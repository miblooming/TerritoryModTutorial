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G:\Territory\数值表\"/>
    </mc:Choice>
  </mc:AlternateContent>
  <xr:revisionPtr revIDLastSave="0" documentId="13_ncr:1_{80EE9BC8-96F7-40F7-A688-EADB39FBC1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tuff" sheetId="1" r:id="rId1"/>
    <sheet name="stuff2" sheetId="2" r:id="rId2"/>
    <sheet name="stuff_type_name" sheetId="3" r:id="rId3"/>
  </sheets>
  <definedNames>
    <definedName name="_xlnm._FilterDatabase" localSheetId="0" hidden="1">stuff!$A$1:$A$598</definedName>
  </definedNames>
  <calcPr calcId="181029"/>
</workbook>
</file>

<file path=xl/calcChain.xml><?xml version="1.0" encoding="utf-8"?>
<calcChain xmlns="http://schemas.openxmlformats.org/spreadsheetml/2006/main">
  <c r="S61" i="1" l="1"/>
  <c r="R61" i="1"/>
  <c r="S465" i="1" l="1"/>
  <c r="R465" i="1"/>
  <c r="S464" i="1"/>
  <c r="R464" i="1"/>
  <c r="S386" i="1"/>
  <c r="R386" i="1"/>
  <c r="S385" i="1"/>
  <c r="R385" i="1"/>
  <c r="S342" i="1"/>
  <c r="R342" i="1"/>
  <c r="S344" i="1"/>
  <c r="R344" i="1"/>
  <c r="S343" i="1"/>
  <c r="R343" i="1"/>
  <c r="S341" i="1"/>
  <c r="R341" i="1"/>
  <c r="S340" i="1"/>
  <c r="R340" i="1"/>
  <c r="S339" i="1"/>
  <c r="R339" i="1"/>
  <c r="S384" i="1"/>
  <c r="R384" i="1"/>
  <c r="S383" i="1"/>
  <c r="R383" i="1"/>
  <c r="S387" i="1"/>
  <c r="R387" i="1"/>
  <c r="S394" i="1"/>
  <c r="R394" i="1"/>
  <c r="B2" i="3"/>
  <c r="X2" i="1"/>
  <c r="Y2" i="1"/>
  <c r="S23" i="1"/>
  <c r="R23" i="1"/>
  <c r="S379" i="1"/>
  <c r="S382" i="1"/>
  <c r="R382" i="1"/>
  <c r="S381" i="1"/>
  <c r="R381" i="1"/>
  <c r="S380" i="1"/>
  <c r="R380" i="1"/>
  <c r="R379" i="1"/>
  <c r="X615" i="1"/>
  <c r="X616" i="1"/>
  <c r="X617" i="1"/>
  <c r="X618" i="1"/>
  <c r="R650" i="2"/>
  <c r="X612" i="1"/>
  <c r="X613" i="1"/>
  <c r="X614" i="1"/>
  <c r="S165" i="1"/>
  <c r="R165" i="1"/>
  <c r="S164" i="1"/>
  <c r="R164" i="1"/>
  <c r="S130" i="1"/>
  <c r="R130" i="1"/>
  <c r="R127" i="1"/>
  <c r="R128" i="1"/>
  <c r="R129" i="1"/>
  <c r="S129" i="1"/>
  <c r="S128" i="1"/>
  <c r="S127" i="1"/>
  <c r="S1124" i="2"/>
  <c r="R1124" i="2"/>
  <c r="Q1124" i="2"/>
  <c r="X611" i="1"/>
  <c r="X126" i="1"/>
  <c r="S126" i="1"/>
  <c r="R126" i="1"/>
  <c r="S1199" i="2"/>
  <c r="R1199" i="2"/>
  <c r="Q1199" i="2"/>
  <c r="S1198" i="2"/>
  <c r="R1198" i="2"/>
  <c r="Q1198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31" i="1"/>
  <c r="S132" i="1"/>
  <c r="S133" i="1"/>
  <c r="S134" i="1"/>
  <c r="S135" i="1"/>
  <c r="S136" i="1"/>
  <c r="S137" i="1"/>
  <c r="S138" i="1"/>
  <c r="S139" i="1"/>
  <c r="S140" i="1"/>
  <c r="S141" i="1"/>
  <c r="X608" i="1"/>
  <c r="X610" i="1"/>
  <c r="X609" i="1"/>
  <c r="S1197" i="2"/>
  <c r="R1197" i="2"/>
  <c r="Q1197" i="2"/>
  <c r="S1196" i="2"/>
  <c r="R1196" i="2"/>
  <c r="Q1196" i="2"/>
  <c r="S273" i="1" l="1"/>
  <c r="R273" i="1"/>
  <c r="R462" i="2"/>
  <c r="S462" i="2"/>
  <c r="R463" i="2"/>
  <c r="S463" i="2"/>
  <c r="R464" i="2"/>
  <c r="S464" i="2"/>
  <c r="R465" i="2"/>
  <c r="S465" i="2"/>
  <c r="R466" i="2"/>
  <c r="S466" i="2"/>
  <c r="R467" i="2"/>
  <c r="S467" i="2"/>
  <c r="R468" i="2"/>
  <c r="S468" i="2"/>
  <c r="R469" i="2"/>
  <c r="S469" i="2"/>
  <c r="R470" i="2"/>
  <c r="S470" i="2"/>
  <c r="R471" i="2"/>
  <c r="S471" i="2"/>
  <c r="R472" i="2"/>
  <c r="S472" i="2"/>
  <c r="R473" i="2"/>
  <c r="S473" i="2"/>
  <c r="R474" i="2"/>
  <c r="S474" i="2"/>
  <c r="R475" i="2"/>
  <c r="S475" i="2"/>
  <c r="R476" i="2"/>
  <c r="S476" i="2"/>
  <c r="R477" i="2"/>
  <c r="S477" i="2"/>
  <c r="R478" i="2"/>
  <c r="S478" i="2"/>
  <c r="R479" i="2"/>
  <c r="S479" i="2"/>
  <c r="R480" i="2"/>
  <c r="S480" i="2"/>
  <c r="R481" i="2"/>
  <c r="S481" i="2"/>
  <c r="R482" i="2"/>
  <c r="S482" i="2"/>
  <c r="R483" i="2"/>
  <c r="S483" i="2"/>
  <c r="R484" i="2"/>
  <c r="S484" i="2"/>
  <c r="R485" i="2"/>
  <c r="S485" i="2"/>
  <c r="R486" i="2"/>
  <c r="S486" i="2"/>
  <c r="R487" i="2"/>
  <c r="S487" i="2"/>
  <c r="R488" i="2"/>
  <c r="S488" i="2"/>
  <c r="R489" i="2"/>
  <c r="S489" i="2"/>
  <c r="R490" i="2"/>
  <c r="S490" i="2"/>
  <c r="R491" i="2"/>
  <c r="S491" i="2"/>
  <c r="R492" i="2"/>
  <c r="S492" i="2"/>
  <c r="R493" i="2"/>
  <c r="S493" i="2"/>
  <c r="R494" i="2"/>
  <c r="S494" i="2"/>
  <c r="R495" i="2"/>
  <c r="S495" i="2"/>
  <c r="R496" i="2"/>
  <c r="S496" i="2"/>
  <c r="R497" i="2"/>
  <c r="S497" i="2"/>
  <c r="R498" i="2"/>
  <c r="S498" i="2"/>
  <c r="R499" i="2"/>
  <c r="S499" i="2"/>
  <c r="R500" i="2"/>
  <c r="S500" i="2"/>
  <c r="R501" i="2"/>
  <c r="S501" i="2"/>
  <c r="R502" i="2"/>
  <c r="S502" i="2"/>
  <c r="R503" i="2"/>
  <c r="S503" i="2"/>
  <c r="R504" i="2"/>
  <c r="S504" i="2"/>
  <c r="R505" i="2"/>
  <c r="S505" i="2"/>
  <c r="R506" i="2"/>
  <c r="S506" i="2"/>
  <c r="R507" i="2"/>
  <c r="S507" i="2"/>
  <c r="R508" i="2"/>
  <c r="S508" i="2"/>
  <c r="R509" i="2"/>
  <c r="S509" i="2"/>
  <c r="R510" i="2"/>
  <c r="S510" i="2"/>
  <c r="R511" i="2"/>
  <c r="S511" i="2"/>
  <c r="R512" i="2"/>
  <c r="S512" i="2"/>
  <c r="R513" i="2"/>
  <c r="S513" i="2"/>
  <c r="R514" i="2"/>
  <c r="S514" i="2"/>
  <c r="R515" i="2"/>
  <c r="S515" i="2"/>
  <c r="R516" i="2"/>
  <c r="S516" i="2"/>
  <c r="R517" i="2"/>
  <c r="S517" i="2"/>
  <c r="R518" i="2"/>
  <c r="S518" i="2"/>
  <c r="R519" i="2"/>
  <c r="S519" i="2"/>
  <c r="R520" i="2"/>
  <c r="S520" i="2"/>
  <c r="R521" i="2"/>
  <c r="S521" i="2"/>
  <c r="R522" i="2"/>
  <c r="S522" i="2"/>
  <c r="R523" i="2"/>
  <c r="S523" i="2"/>
  <c r="R524" i="2"/>
  <c r="S524" i="2"/>
  <c r="R525" i="2"/>
  <c r="S525" i="2"/>
  <c r="R526" i="2"/>
  <c r="S526" i="2"/>
  <c r="R527" i="2"/>
  <c r="S527" i="2"/>
  <c r="R528" i="2"/>
  <c r="S528" i="2"/>
  <c r="R529" i="2"/>
  <c r="S529" i="2"/>
  <c r="R530" i="2"/>
  <c r="S530" i="2"/>
  <c r="R531" i="2"/>
  <c r="S531" i="2"/>
  <c r="R532" i="2"/>
  <c r="S532" i="2"/>
  <c r="R533" i="2"/>
  <c r="S533" i="2"/>
  <c r="R534" i="2"/>
  <c r="S534" i="2"/>
  <c r="R535" i="2"/>
  <c r="S535" i="2"/>
  <c r="R536" i="2"/>
  <c r="S536" i="2"/>
  <c r="R537" i="2"/>
  <c r="S537" i="2"/>
  <c r="R538" i="2"/>
  <c r="S538" i="2"/>
  <c r="R539" i="2"/>
  <c r="S539" i="2"/>
  <c r="R540" i="2"/>
  <c r="S540" i="2"/>
  <c r="R541" i="2"/>
  <c r="S541" i="2"/>
  <c r="R542" i="2"/>
  <c r="S542" i="2"/>
  <c r="R543" i="2"/>
  <c r="S543" i="2"/>
  <c r="R544" i="2"/>
  <c r="S544" i="2"/>
  <c r="R545" i="2"/>
  <c r="S545" i="2"/>
  <c r="R546" i="2"/>
  <c r="S546" i="2"/>
  <c r="R547" i="2"/>
  <c r="S547" i="2"/>
  <c r="R548" i="2"/>
  <c r="S548" i="2"/>
  <c r="R549" i="2"/>
  <c r="S549" i="2"/>
  <c r="R550" i="2"/>
  <c r="S550" i="2"/>
  <c r="R551" i="2"/>
  <c r="S551" i="2"/>
  <c r="R552" i="2"/>
  <c r="S552" i="2"/>
  <c r="R553" i="2"/>
  <c r="S553" i="2"/>
  <c r="R554" i="2"/>
  <c r="S554" i="2"/>
  <c r="R555" i="2"/>
  <c r="S555" i="2"/>
  <c r="R556" i="2"/>
  <c r="S556" i="2"/>
  <c r="R557" i="2"/>
  <c r="S557" i="2"/>
  <c r="R558" i="2"/>
  <c r="S558" i="2"/>
  <c r="R559" i="2"/>
  <c r="S559" i="2"/>
  <c r="R560" i="2"/>
  <c r="S560" i="2"/>
  <c r="R561" i="2"/>
  <c r="S561" i="2"/>
  <c r="R562" i="2"/>
  <c r="S562" i="2"/>
  <c r="R563" i="2"/>
  <c r="S563" i="2"/>
  <c r="R564" i="2"/>
  <c r="S564" i="2"/>
  <c r="R565" i="2"/>
  <c r="S565" i="2"/>
  <c r="R566" i="2"/>
  <c r="S566" i="2"/>
  <c r="R567" i="2"/>
  <c r="S567" i="2"/>
  <c r="R568" i="2"/>
  <c r="S568" i="2"/>
  <c r="R569" i="2"/>
  <c r="S569" i="2"/>
  <c r="R570" i="2"/>
  <c r="S570" i="2"/>
  <c r="R571" i="2"/>
  <c r="S571" i="2"/>
  <c r="R572" i="2"/>
  <c r="S572" i="2"/>
  <c r="R573" i="2"/>
  <c r="S573" i="2"/>
  <c r="R574" i="2"/>
  <c r="S574" i="2"/>
  <c r="R575" i="2"/>
  <c r="S575" i="2"/>
  <c r="R576" i="2"/>
  <c r="S576" i="2"/>
  <c r="R577" i="2"/>
  <c r="S577" i="2"/>
  <c r="R578" i="2"/>
  <c r="S578" i="2"/>
  <c r="R579" i="2"/>
  <c r="S579" i="2"/>
  <c r="R580" i="2"/>
  <c r="S580" i="2"/>
  <c r="R581" i="2"/>
  <c r="S581" i="2"/>
  <c r="R582" i="2"/>
  <c r="S582" i="2"/>
  <c r="R583" i="2"/>
  <c r="S583" i="2"/>
  <c r="R584" i="2"/>
  <c r="S584" i="2"/>
  <c r="R585" i="2"/>
  <c r="S585" i="2"/>
  <c r="R586" i="2"/>
  <c r="S586" i="2"/>
  <c r="R587" i="2"/>
  <c r="S587" i="2"/>
  <c r="R588" i="2"/>
  <c r="S588" i="2"/>
  <c r="R589" i="2"/>
  <c r="S589" i="2"/>
  <c r="R590" i="2"/>
  <c r="S590" i="2"/>
  <c r="R591" i="2"/>
  <c r="S591" i="2"/>
  <c r="R592" i="2"/>
  <c r="S592" i="2"/>
  <c r="R593" i="2"/>
  <c r="S593" i="2"/>
  <c r="R594" i="2"/>
  <c r="S594" i="2"/>
  <c r="R595" i="2"/>
  <c r="S595" i="2"/>
  <c r="R596" i="2"/>
  <c r="S596" i="2"/>
  <c r="R597" i="2"/>
  <c r="S597" i="2"/>
  <c r="R598" i="2"/>
  <c r="S598" i="2"/>
  <c r="R599" i="2"/>
  <c r="S599" i="2"/>
  <c r="R600" i="2"/>
  <c r="S600" i="2"/>
  <c r="R601" i="2"/>
  <c r="S601" i="2"/>
  <c r="R602" i="2"/>
  <c r="S602" i="2"/>
  <c r="R603" i="2"/>
  <c r="S603" i="2"/>
  <c r="R604" i="2"/>
  <c r="S604" i="2"/>
  <c r="R605" i="2"/>
  <c r="S605" i="2"/>
  <c r="R606" i="2"/>
  <c r="S606" i="2"/>
  <c r="R607" i="2"/>
  <c r="S607" i="2"/>
  <c r="R608" i="2"/>
  <c r="S608" i="2"/>
  <c r="R609" i="2"/>
  <c r="S609" i="2"/>
  <c r="R610" i="2"/>
  <c r="S610" i="2"/>
  <c r="R611" i="2"/>
  <c r="S611" i="2"/>
  <c r="R612" i="2"/>
  <c r="S612" i="2"/>
  <c r="R613" i="2"/>
  <c r="S613" i="2"/>
  <c r="R614" i="2"/>
  <c r="S614" i="2"/>
  <c r="R615" i="2"/>
  <c r="S615" i="2"/>
  <c r="R616" i="2"/>
  <c r="S616" i="2"/>
  <c r="R617" i="2"/>
  <c r="S617" i="2"/>
  <c r="R618" i="2"/>
  <c r="S618" i="2"/>
  <c r="R619" i="2"/>
  <c r="S619" i="2"/>
  <c r="R620" i="2"/>
  <c r="S620" i="2"/>
  <c r="S461" i="2"/>
  <c r="R461" i="2"/>
  <c r="R4" i="1"/>
  <c r="S338" i="1" l="1"/>
  <c r="R338" i="1"/>
  <c r="R116" i="1"/>
  <c r="S272" i="1" l="1"/>
  <c r="R272" i="1"/>
  <c r="Q1144" i="2"/>
  <c r="R1144" i="2"/>
  <c r="S1144" i="2"/>
  <c r="Q1145" i="2"/>
  <c r="R1145" i="2"/>
  <c r="S1145" i="2"/>
  <c r="Q1146" i="2"/>
  <c r="R1146" i="2"/>
  <c r="S1146" i="2"/>
  <c r="Q1147" i="2"/>
  <c r="R1147" i="2"/>
  <c r="S1147" i="2"/>
  <c r="Q1148" i="2"/>
  <c r="R1148" i="2"/>
  <c r="S1148" i="2"/>
  <c r="Q1149" i="2"/>
  <c r="R1149" i="2"/>
  <c r="S1149" i="2"/>
  <c r="Q1150" i="2"/>
  <c r="R1150" i="2"/>
  <c r="S1150" i="2"/>
  <c r="Q1151" i="2"/>
  <c r="R1151" i="2"/>
  <c r="S1151" i="2"/>
  <c r="Q1152" i="2"/>
  <c r="R1152" i="2"/>
  <c r="S1152" i="2"/>
  <c r="Q1153" i="2"/>
  <c r="R1153" i="2"/>
  <c r="S1153" i="2"/>
  <c r="Q1154" i="2"/>
  <c r="R1154" i="2"/>
  <c r="S1154" i="2"/>
  <c r="Q1155" i="2"/>
  <c r="R1155" i="2"/>
  <c r="S1155" i="2"/>
  <c r="Q1156" i="2"/>
  <c r="R1156" i="2"/>
  <c r="S1156" i="2"/>
  <c r="Q1157" i="2"/>
  <c r="R1157" i="2"/>
  <c r="S1157" i="2"/>
  <c r="Q1158" i="2"/>
  <c r="R1158" i="2"/>
  <c r="S1158" i="2"/>
  <c r="Q1159" i="2"/>
  <c r="R1159" i="2"/>
  <c r="S1159" i="2"/>
  <c r="Q1160" i="2"/>
  <c r="R1160" i="2"/>
  <c r="S1160" i="2"/>
  <c r="Q1161" i="2"/>
  <c r="R1161" i="2"/>
  <c r="S1161" i="2"/>
  <c r="Q1162" i="2"/>
  <c r="R1162" i="2"/>
  <c r="S1162" i="2"/>
  <c r="Q1163" i="2"/>
  <c r="R1163" i="2"/>
  <c r="S1163" i="2"/>
  <c r="Q1164" i="2"/>
  <c r="R1164" i="2"/>
  <c r="S1164" i="2"/>
  <c r="Q1165" i="2"/>
  <c r="R1165" i="2"/>
  <c r="S1165" i="2"/>
  <c r="Q1166" i="2"/>
  <c r="R1166" i="2"/>
  <c r="S1166" i="2"/>
  <c r="Q1167" i="2"/>
  <c r="R1167" i="2"/>
  <c r="S1167" i="2"/>
  <c r="Q1168" i="2"/>
  <c r="R1168" i="2"/>
  <c r="S1168" i="2"/>
  <c r="Q1169" i="2"/>
  <c r="R1169" i="2"/>
  <c r="S1169" i="2"/>
  <c r="Q1170" i="2"/>
  <c r="R1170" i="2"/>
  <c r="S1170" i="2"/>
  <c r="Q1171" i="2"/>
  <c r="R1171" i="2"/>
  <c r="S1171" i="2"/>
  <c r="Q1172" i="2"/>
  <c r="R1172" i="2"/>
  <c r="S1172" i="2"/>
  <c r="Q1173" i="2"/>
  <c r="R1173" i="2"/>
  <c r="S1173" i="2"/>
  <c r="Q1174" i="2"/>
  <c r="R1174" i="2"/>
  <c r="S1174" i="2"/>
  <c r="Q1175" i="2"/>
  <c r="R1175" i="2"/>
  <c r="S1175" i="2"/>
  <c r="S460" i="1"/>
  <c r="S461" i="1"/>
  <c r="S462" i="1"/>
  <c r="S463" i="1"/>
  <c r="R460" i="1"/>
  <c r="R461" i="1"/>
  <c r="R462" i="1"/>
  <c r="R463" i="1"/>
  <c r="R459" i="1"/>
  <c r="S459" i="1"/>
  <c r="S58" i="2"/>
  <c r="R58" i="2"/>
  <c r="S57" i="2"/>
  <c r="R57" i="2"/>
  <c r="S56" i="2"/>
  <c r="R56" i="2"/>
  <c r="S55" i="2"/>
  <c r="R55" i="2"/>
  <c r="S54" i="2"/>
  <c r="R54" i="2"/>
  <c r="S53" i="2"/>
  <c r="R53" i="2"/>
  <c r="S52" i="2"/>
  <c r="R52" i="2"/>
  <c r="S51" i="2"/>
  <c r="R51" i="2"/>
  <c r="S50" i="2"/>
  <c r="R50" i="2"/>
  <c r="S49" i="2"/>
  <c r="R49" i="2"/>
  <c r="S48" i="2"/>
  <c r="R48" i="2"/>
  <c r="S47" i="2"/>
  <c r="R47" i="2"/>
  <c r="S46" i="2"/>
  <c r="R46" i="2"/>
  <c r="S45" i="2"/>
  <c r="R45" i="2"/>
  <c r="S44" i="2"/>
  <c r="R44" i="2"/>
  <c r="S449" i="1" l="1"/>
  <c r="S450" i="1"/>
  <c r="S451" i="1"/>
  <c r="S452" i="1"/>
  <c r="S453" i="1"/>
  <c r="S454" i="1"/>
  <c r="S455" i="1"/>
  <c r="S456" i="1"/>
  <c r="S457" i="1"/>
  <c r="S458" i="1"/>
  <c r="R449" i="1"/>
  <c r="R450" i="1"/>
  <c r="R451" i="1"/>
  <c r="R452" i="1"/>
  <c r="R453" i="1"/>
  <c r="R454" i="1"/>
  <c r="R455" i="1"/>
  <c r="R456" i="1"/>
  <c r="R457" i="1"/>
  <c r="R458" i="1"/>
  <c r="S43" i="2"/>
  <c r="R43" i="2"/>
  <c r="R135" i="1" l="1"/>
  <c r="S606" i="1"/>
  <c r="R337" i="1"/>
  <c r="S337" i="1"/>
  <c r="S271" i="1" l="1"/>
  <c r="R271" i="1"/>
  <c r="S270" i="1"/>
  <c r="R270" i="1"/>
  <c r="S269" i="1"/>
  <c r="R269" i="1"/>
  <c r="R606" i="1"/>
  <c r="S605" i="1"/>
  <c r="R605" i="1"/>
  <c r="S175" i="1"/>
  <c r="R175" i="1"/>
  <c r="S393" i="1" l="1"/>
  <c r="R393" i="1"/>
  <c r="R115" i="1"/>
  <c r="R22" i="1"/>
  <c r="R21" i="1" l="1"/>
  <c r="R373" i="1" l="1"/>
  <c r="S373" i="1"/>
  <c r="R374" i="1"/>
  <c r="S374" i="1"/>
  <c r="R375" i="1"/>
  <c r="S375" i="1"/>
  <c r="R376" i="1"/>
  <c r="S376" i="1"/>
  <c r="R377" i="1"/>
  <c r="S377" i="1"/>
  <c r="R378" i="1"/>
  <c r="S378" i="1"/>
  <c r="S372" i="1"/>
  <c r="R372" i="1"/>
  <c r="S371" i="1"/>
  <c r="R371" i="1"/>
  <c r="S370" i="1"/>
  <c r="R370" i="1"/>
  <c r="R299" i="1"/>
  <c r="S299" i="1"/>
  <c r="R300" i="1"/>
  <c r="S300" i="1"/>
  <c r="S369" i="1"/>
  <c r="R369" i="1"/>
  <c r="S368" i="1"/>
  <c r="R368" i="1"/>
  <c r="S367" i="1"/>
  <c r="R367" i="1"/>
  <c r="R60" i="1" l="1"/>
  <c r="R59" i="1"/>
  <c r="R58" i="1"/>
  <c r="S1195" i="2"/>
  <c r="R1195" i="2"/>
  <c r="Q1195" i="2"/>
  <c r="R101" i="1"/>
  <c r="R335" i="1"/>
  <c r="S335" i="1"/>
  <c r="Q1115" i="2" l="1"/>
  <c r="R1115" i="2"/>
  <c r="S1115" i="2"/>
  <c r="Q1116" i="2"/>
  <c r="R1116" i="2"/>
  <c r="S1116" i="2"/>
  <c r="Q1117" i="2"/>
  <c r="R1117" i="2"/>
  <c r="S1117" i="2"/>
  <c r="Q1118" i="2"/>
  <c r="R1118" i="2"/>
  <c r="S1118" i="2"/>
  <c r="Q1119" i="2"/>
  <c r="R1119" i="2"/>
  <c r="S1119" i="2"/>
  <c r="Q1120" i="2"/>
  <c r="R1120" i="2"/>
  <c r="S1120" i="2"/>
  <c r="Q1121" i="2"/>
  <c r="R1121" i="2"/>
  <c r="S1121" i="2"/>
  <c r="Q1122" i="2"/>
  <c r="R1122" i="2"/>
  <c r="S1122" i="2"/>
  <c r="Q1123" i="2"/>
  <c r="R1123" i="2"/>
  <c r="S1123" i="2"/>
  <c r="Q1125" i="2"/>
  <c r="R1125" i="2"/>
  <c r="S1125" i="2"/>
  <c r="Q1126" i="2"/>
  <c r="R1126" i="2"/>
  <c r="S1126" i="2"/>
  <c r="Q1127" i="2"/>
  <c r="R1127" i="2"/>
  <c r="S1127" i="2"/>
  <c r="Q1128" i="2"/>
  <c r="R1128" i="2"/>
  <c r="S1128" i="2"/>
  <c r="Q1129" i="2"/>
  <c r="R1129" i="2"/>
  <c r="S1129" i="2"/>
  <c r="Q1130" i="2"/>
  <c r="R1130" i="2"/>
  <c r="S1130" i="2"/>
  <c r="Q1131" i="2"/>
  <c r="R1131" i="2"/>
  <c r="S1131" i="2"/>
  <c r="Q1132" i="2"/>
  <c r="R1132" i="2"/>
  <c r="S1132" i="2"/>
  <c r="Q1133" i="2"/>
  <c r="R1133" i="2"/>
  <c r="S1133" i="2"/>
  <c r="Q1134" i="2"/>
  <c r="R1134" i="2"/>
  <c r="S1134" i="2"/>
  <c r="Q1135" i="2"/>
  <c r="R1135" i="2"/>
  <c r="S1135" i="2"/>
  <c r="Q1136" i="2"/>
  <c r="R1136" i="2"/>
  <c r="S1136" i="2"/>
  <c r="Q1137" i="2"/>
  <c r="R1137" i="2"/>
  <c r="S1137" i="2"/>
  <c r="Q1138" i="2"/>
  <c r="R1138" i="2"/>
  <c r="S1138" i="2"/>
  <c r="Q1139" i="2"/>
  <c r="R1139" i="2"/>
  <c r="S1139" i="2"/>
  <c r="Q1140" i="2"/>
  <c r="R1140" i="2"/>
  <c r="S1140" i="2"/>
  <c r="Q1141" i="2"/>
  <c r="R1141" i="2"/>
  <c r="S1141" i="2"/>
  <c r="Q1142" i="2"/>
  <c r="R1142" i="2"/>
  <c r="S1142" i="2"/>
  <c r="Q1143" i="2"/>
  <c r="R1143" i="2"/>
  <c r="S1143" i="2"/>
  <c r="Q1176" i="2"/>
  <c r="R1176" i="2"/>
  <c r="S1176" i="2"/>
  <c r="X1176" i="2"/>
  <c r="Q1177" i="2"/>
  <c r="R1177" i="2"/>
  <c r="S1177" i="2"/>
  <c r="X1177" i="2"/>
  <c r="Q1178" i="2"/>
  <c r="R1178" i="2"/>
  <c r="S1178" i="2"/>
  <c r="X1178" i="2"/>
  <c r="Q1179" i="2"/>
  <c r="R1179" i="2"/>
  <c r="S1179" i="2"/>
  <c r="X1179" i="2"/>
  <c r="Q1180" i="2"/>
  <c r="R1180" i="2"/>
  <c r="S1180" i="2"/>
  <c r="X1180" i="2"/>
  <c r="Q1181" i="2"/>
  <c r="R1181" i="2"/>
  <c r="S1181" i="2"/>
  <c r="X1181" i="2"/>
  <c r="Q1182" i="2"/>
  <c r="R1182" i="2"/>
  <c r="S1182" i="2"/>
  <c r="X1182" i="2"/>
  <c r="Q1183" i="2"/>
  <c r="R1183" i="2"/>
  <c r="S1183" i="2"/>
  <c r="X1183" i="2"/>
  <c r="Q1184" i="2"/>
  <c r="R1184" i="2"/>
  <c r="S1184" i="2"/>
  <c r="X1184" i="2"/>
  <c r="Q1185" i="2"/>
  <c r="R1185" i="2"/>
  <c r="S1185" i="2"/>
  <c r="X1185" i="2"/>
  <c r="Q1186" i="2"/>
  <c r="R1186" i="2"/>
  <c r="S1186" i="2"/>
  <c r="X1186" i="2"/>
  <c r="Q1187" i="2"/>
  <c r="R1187" i="2"/>
  <c r="S1187" i="2"/>
  <c r="Q1188" i="2"/>
  <c r="R1188" i="2"/>
  <c r="S1188" i="2"/>
  <c r="Q1189" i="2"/>
  <c r="R1189" i="2"/>
  <c r="S1189" i="2"/>
  <c r="Q1190" i="2"/>
  <c r="R1190" i="2"/>
  <c r="S1190" i="2"/>
  <c r="Q1191" i="2"/>
  <c r="R1191" i="2"/>
  <c r="S1191" i="2"/>
  <c r="X1191" i="2"/>
  <c r="Q1192" i="2"/>
  <c r="R1192" i="2"/>
  <c r="S1192" i="2"/>
  <c r="X1192" i="2"/>
  <c r="Q1193" i="2"/>
  <c r="R1193" i="2"/>
  <c r="S1193" i="2"/>
  <c r="X1193" i="2"/>
  <c r="Q1194" i="2"/>
  <c r="R1194" i="2"/>
  <c r="S1194" i="2"/>
  <c r="X1194" i="2"/>
  <c r="R1200" i="2"/>
  <c r="S1200" i="2"/>
  <c r="R1201" i="2"/>
  <c r="S1201" i="2"/>
  <c r="R1202" i="2"/>
  <c r="S1202" i="2"/>
  <c r="R1203" i="2"/>
  <c r="S1203" i="2"/>
  <c r="R1204" i="2"/>
  <c r="S1204" i="2"/>
  <c r="R1205" i="2"/>
  <c r="S1205" i="2"/>
  <c r="R1206" i="2"/>
  <c r="S1206" i="2"/>
  <c r="R1207" i="2"/>
  <c r="S1207" i="2"/>
  <c r="Q1208" i="2"/>
  <c r="R1208" i="2"/>
  <c r="S1208" i="2"/>
  <c r="Q1209" i="2"/>
  <c r="R1209" i="2"/>
  <c r="S1209" i="2"/>
  <c r="Q1210" i="2"/>
  <c r="R1210" i="2"/>
  <c r="S1210" i="2"/>
  <c r="Q1211" i="2"/>
  <c r="R1211" i="2"/>
  <c r="S1211" i="2"/>
  <c r="Q1212" i="2"/>
  <c r="R1212" i="2"/>
  <c r="S1212" i="2"/>
  <c r="Q1213" i="2"/>
  <c r="R1213" i="2"/>
  <c r="S1213" i="2"/>
  <c r="Q1214" i="2"/>
  <c r="R1214" i="2"/>
  <c r="S1214" i="2"/>
  <c r="Q1215" i="2"/>
  <c r="R1215" i="2"/>
  <c r="S1215" i="2"/>
  <c r="Q1216" i="2"/>
  <c r="R1216" i="2"/>
  <c r="S1216" i="2"/>
  <c r="Q1217" i="2"/>
  <c r="R1217" i="2"/>
  <c r="S1217" i="2"/>
  <c r="R1218" i="2"/>
  <c r="S1218" i="2"/>
  <c r="R1219" i="2"/>
  <c r="S1219" i="2"/>
  <c r="R1220" i="2"/>
  <c r="S1220" i="2"/>
  <c r="R1221" i="2"/>
  <c r="S1221" i="2"/>
  <c r="R54" i="1"/>
  <c r="R55" i="1"/>
  <c r="R53" i="1"/>
  <c r="R56" i="1"/>
  <c r="R57" i="1"/>
  <c r="R137" i="1"/>
  <c r="R138" i="1"/>
  <c r="R139" i="1"/>
  <c r="R140" i="1"/>
  <c r="R141" i="1"/>
  <c r="R32" i="1"/>
  <c r="S593" i="1"/>
  <c r="R593" i="1"/>
  <c r="R93" i="1"/>
  <c r="S407" i="1"/>
  <c r="R407" i="1"/>
  <c r="S406" i="1"/>
  <c r="R406" i="1"/>
  <c r="S285" i="1" l="1"/>
  <c r="R285" i="1"/>
  <c r="S284" i="1"/>
  <c r="R284" i="1"/>
  <c r="R469" i="1"/>
  <c r="R470" i="1"/>
  <c r="R472" i="1"/>
  <c r="R473" i="1"/>
  <c r="R474" i="1"/>
  <c r="R475" i="1"/>
  <c r="R476" i="1"/>
  <c r="R477" i="1"/>
  <c r="R478" i="1"/>
  <c r="R479" i="1"/>
  <c r="R480" i="1"/>
  <c r="R481" i="1"/>
  <c r="R482" i="1"/>
  <c r="R485" i="1"/>
  <c r="R486" i="1"/>
  <c r="R487" i="1"/>
  <c r="R488" i="1"/>
  <c r="R489" i="1"/>
  <c r="R490" i="1"/>
  <c r="R491" i="1"/>
  <c r="R494" i="1"/>
  <c r="R495" i="1"/>
  <c r="R496" i="1"/>
  <c r="R497" i="1"/>
  <c r="R498" i="1"/>
  <c r="R499" i="1"/>
  <c r="R500" i="1"/>
  <c r="R501" i="1"/>
  <c r="R502" i="1"/>
  <c r="R503" i="1"/>
  <c r="R504" i="1"/>
  <c r="R505" i="1"/>
  <c r="R506" i="1"/>
  <c r="R507" i="1"/>
  <c r="R508" i="1"/>
  <c r="R509" i="1"/>
  <c r="R510" i="1"/>
  <c r="R511" i="1"/>
  <c r="R512" i="1"/>
  <c r="R513" i="1"/>
  <c r="R514" i="1"/>
  <c r="R515" i="1"/>
  <c r="R516" i="1"/>
  <c r="R517" i="1"/>
  <c r="R518" i="1"/>
  <c r="R519" i="1"/>
  <c r="R520" i="1"/>
  <c r="R521" i="1"/>
  <c r="R522" i="1"/>
  <c r="R523" i="1"/>
  <c r="R524" i="1"/>
  <c r="R525" i="1"/>
  <c r="R526" i="1"/>
  <c r="R527" i="1"/>
  <c r="R528" i="1"/>
  <c r="R529" i="1"/>
  <c r="R530" i="1"/>
  <c r="R531" i="1"/>
  <c r="R532" i="1"/>
  <c r="R533" i="1"/>
  <c r="R534" i="1"/>
  <c r="R536" i="1"/>
  <c r="R538" i="1"/>
  <c r="R539" i="1"/>
  <c r="R540" i="1"/>
  <c r="R541" i="1"/>
  <c r="R542" i="1"/>
  <c r="R543" i="1"/>
  <c r="R544" i="1"/>
  <c r="R545" i="1"/>
  <c r="R551" i="1"/>
  <c r="R552" i="1"/>
  <c r="R553" i="1"/>
  <c r="R554" i="1"/>
  <c r="R555" i="1"/>
  <c r="R556" i="1"/>
  <c r="R557" i="1"/>
  <c r="R558" i="1"/>
  <c r="R559" i="1"/>
  <c r="R561" i="1"/>
  <c r="R563" i="1"/>
  <c r="R564" i="1"/>
  <c r="R566" i="1"/>
  <c r="R568" i="1"/>
  <c r="R569" i="1"/>
  <c r="R570" i="1"/>
  <c r="R571" i="1"/>
  <c r="R572" i="1"/>
  <c r="R573" i="1"/>
  <c r="R574" i="1"/>
  <c r="R575" i="1"/>
  <c r="R576" i="1"/>
  <c r="R577" i="1"/>
  <c r="R580" i="1"/>
  <c r="R581" i="1"/>
  <c r="R582" i="1"/>
  <c r="R583" i="1"/>
  <c r="R584" i="1"/>
  <c r="R585" i="1"/>
  <c r="R586" i="1"/>
  <c r="R587" i="1"/>
  <c r="R589" i="1"/>
  <c r="R590" i="1"/>
  <c r="S470" i="1"/>
  <c r="S472" i="1"/>
  <c r="S473" i="1"/>
  <c r="S474" i="1"/>
  <c r="S475" i="1"/>
  <c r="S476" i="1"/>
  <c r="S477" i="1"/>
  <c r="S478" i="1"/>
  <c r="S479" i="1"/>
  <c r="S480" i="1"/>
  <c r="S481" i="1"/>
  <c r="S482" i="1"/>
  <c r="S485" i="1"/>
  <c r="S486" i="1"/>
  <c r="S487" i="1"/>
  <c r="S488" i="1"/>
  <c r="S489" i="1"/>
  <c r="S490" i="1"/>
  <c r="S491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6" i="1"/>
  <c r="S538" i="1"/>
  <c r="S539" i="1"/>
  <c r="S540" i="1"/>
  <c r="S541" i="1"/>
  <c r="S542" i="1"/>
  <c r="S543" i="1"/>
  <c r="S544" i="1"/>
  <c r="S545" i="1"/>
  <c r="S551" i="1"/>
  <c r="S552" i="1"/>
  <c r="S553" i="1"/>
  <c r="S554" i="1"/>
  <c r="S555" i="1"/>
  <c r="S556" i="1"/>
  <c r="S557" i="1"/>
  <c r="S558" i="1"/>
  <c r="S559" i="1"/>
  <c r="S561" i="1"/>
  <c r="S563" i="1"/>
  <c r="S564" i="1"/>
  <c r="S566" i="1"/>
  <c r="S568" i="1"/>
  <c r="S569" i="1"/>
  <c r="S570" i="1"/>
  <c r="S571" i="1"/>
  <c r="S572" i="1"/>
  <c r="S573" i="1"/>
  <c r="S574" i="1"/>
  <c r="S575" i="1"/>
  <c r="S576" i="1"/>
  <c r="S577" i="1"/>
  <c r="S580" i="1"/>
  <c r="S581" i="1"/>
  <c r="S582" i="1"/>
  <c r="S583" i="1"/>
  <c r="S584" i="1"/>
  <c r="S585" i="1"/>
  <c r="S586" i="1"/>
  <c r="S587" i="1"/>
  <c r="S589" i="1"/>
  <c r="S590" i="1"/>
  <c r="R92" i="1" l="1"/>
  <c r="R100" i="1"/>
  <c r="R10" i="1"/>
  <c r="S295" i="1"/>
  <c r="R295" i="1"/>
  <c r="S645" i="2"/>
  <c r="R645" i="2"/>
  <c r="S668" i="2" l="1"/>
  <c r="R668" i="2"/>
  <c r="S667" i="2"/>
  <c r="R667" i="2"/>
  <c r="X136" i="1"/>
  <c r="R136" i="1"/>
  <c r="S268" i="1"/>
  <c r="R268" i="1"/>
  <c r="S652" i="2"/>
  <c r="R652" i="2"/>
  <c r="R99" i="1" l="1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294" i="1" l="1"/>
  <c r="R294" i="1"/>
  <c r="S293" i="1"/>
  <c r="R293" i="1"/>
  <c r="S644" i="2" l="1"/>
  <c r="R644" i="2"/>
  <c r="R98" i="1"/>
  <c r="Y2" i="2" l="1"/>
  <c r="X2" i="2"/>
  <c r="S684" i="2"/>
  <c r="R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6" i="2"/>
  <c r="R666" i="2"/>
  <c r="S665" i="2"/>
  <c r="R665" i="2"/>
  <c r="S664" i="2"/>
  <c r="R664" i="2"/>
  <c r="S663" i="2"/>
  <c r="R663" i="2"/>
  <c r="S662" i="2"/>
  <c r="R662" i="2"/>
  <c r="S661" i="2"/>
  <c r="R661" i="2"/>
  <c r="S660" i="2"/>
  <c r="R660" i="2"/>
  <c r="S659" i="2"/>
  <c r="R659" i="2"/>
  <c r="S658" i="2"/>
  <c r="R658" i="2"/>
  <c r="S657" i="2"/>
  <c r="R657" i="2"/>
  <c r="S656" i="2"/>
  <c r="R656" i="2"/>
  <c r="S655" i="2"/>
  <c r="R655" i="2"/>
  <c r="S654" i="2"/>
  <c r="R654" i="2"/>
  <c r="S653" i="2"/>
  <c r="R653" i="2"/>
  <c r="S651" i="2"/>
  <c r="R651" i="2"/>
  <c r="S650" i="2"/>
  <c r="S649" i="2"/>
  <c r="R649" i="2"/>
  <c r="S648" i="2"/>
  <c r="R648" i="2"/>
  <c r="S647" i="2"/>
  <c r="R647" i="2"/>
  <c r="S646" i="2"/>
  <c r="R646" i="2"/>
  <c r="S643" i="2"/>
  <c r="R643" i="2"/>
  <c r="S642" i="2"/>
  <c r="R642" i="2"/>
  <c r="S641" i="2"/>
  <c r="R641" i="2"/>
  <c r="R432" i="2"/>
  <c r="R433" i="2" s="1"/>
  <c r="R434" i="2" s="1"/>
  <c r="R435" i="2" s="1"/>
  <c r="R436" i="2" s="1"/>
  <c r="R437" i="2" s="1"/>
  <c r="R438" i="2" s="1"/>
  <c r="R439" i="2" s="1"/>
  <c r="R440" i="2" s="1"/>
  <c r="R422" i="2"/>
  <c r="R423" i="2" s="1"/>
  <c r="R424" i="2" s="1"/>
  <c r="R425" i="2" s="1"/>
  <c r="R426" i="2" s="1"/>
  <c r="R427" i="2" s="1"/>
  <c r="R428" i="2" s="1"/>
  <c r="R429" i="2" s="1"/>
  <c r="R430" i="2" s="1"/>
  <c r="R412" i="2"/>
  <c r="R413" i="2" s="1"/>
  <c r="R414" i="2" s="1"/>
  <c r="R415" i="2" s="1"/>
  <c r="R416" i="2" s="1"/>
  <c r="R417" i="2" s="1"/>
  <c r="R418" i="2" s="1"/>
  <c r="R419" i="2" s="1"/>
  <c r="R420" i="2" s="1"/>
  <c r="R402" i="2"/>
  <c r="R403" i="2" s="1"/>
  <c r="R404" i="2" s="1"/>
  <c r="R405" i="2" s="1"/>
  <c r="R406" i="2" s="1"/>
  <c r="R407" i="2" s="1"/>
  <c r="R408" i="2" s="1"/>
  <c r="R409" i="2" s="1"/>
  <c r="R410" i="2" s="1"/>
  <c r="R392" i="2"/>
  <c r="R393" i="2" s="1"/>
  <c r="R394" i="2" s="1"/>
  <c r="R395" i="2" s="1"/>
  <c r="R396" i="2" s="1"/>
  <c r="R397" i="2" s="1"/>
  <c r="R398" i="2" s="1"/>
  <c r="R399" i="2" s="1"/>
  <c r="R400" i="2" s="1"/>
  <c r="R382" i="2"/>
  <c r="R383" i="2" s="1"/>
  <c r="R384" i="2" s="1"/>
  <c r="R385" i="2" s="1"/>
  <c r="R386" i="2" s="1"/>
  <c r="R387" i="2" s="1"/>
  <c r="R388" i="2" s="1"/>
  <c r="R389" i="2" s="1"/>
  <c r="R390" i="2" s="1"/>
  <c r="R372" i="2"/>
  <c r="R373" i="2" s="1"/>
  <c r="R374" i="2" s="1"/>
  <c r="R375" i="2" s="1"/>
  <c r="R376" i="2" s="1"/>
  <c r="R377" i="2" s="1"/>
  <c r="R378" i="2" s="1"/>
  <c r="R379" i="2" s="1"/>
  <c r="R380" i="2" s="1"/>
  <c r="X370" i="2"/>
  <c r="X369" i="2"/>
  <c r="X368" i="2"/>
  <c r="X367" i="2"/>
  <c r="X366" i="2"/>
  <c r="X365" i="2"/>
  <c r="X364" i="2"/>
  <c r="X363" i="2"/>
  <c r="X362" i="2"/>
  <c r="X361" i="2"/>
  <c r="R361" i="2"/>
  <c r="R362" i="2" s="1"/>
  <c r="R363" i="2" s="1"/>
  <c r="R364" i="2" s="1"/>
  <c r="R365" i="2" s="1"/>
  <c r="R366" i="2" s="1"/>
  <c r="R367" i="2" s="1"/>
  <c r="R368" i="2" s="1"/>
  <c r="R369" i="2" s="1"/>
  <c r="R370" i="2" s="1"/>
  <c r="X360" i="2"/>
  <c r="X359" i="2"/>
  <c r="X358" i="2"/>
  <c r="X357" i="2"/>
  <c r="X356" i="2"/>
  <c r="X355" i="2"/>
  <c r="X354" i="2"/>
  <c r="X353" i="2"/>
  <c r="X352" i="2"/>
  <c r="X351" i="2"/>
  <c r="R351" i="2"/>
  <c r="R352" i="2" s="1"/>
  <c r="R353" i="2" s="1"/>
  <c r="R354" i="2" s="1"/>
  <c r="R355" i="2" s="1"/>
  <c r="R356" i="2" s="1"/>
  <c r="R357" i="2" s="1"/>
  <c r="R358" i="2" s="1"/>
  <c r="R359" i="2" s="1"/>
  <c r="R360" i="2" s="1"/>
  <c r="X350" i="2"/>
  <c r="X349" i="2"/>
  <c r="X348" i="2"/>
  <c r="X347" i="2"/>
  <c r="X346" i="2"/>
  <c r="X345" i="2"/>
  <c r="X344" i="2"/>
  <c r="X343" i="2"/>
  <c r="X342" i="2"/>
  <c r="X341" i="2"/>
  <c r="R341" i="2"/>
  <c r="R342" i="2" s="1"/>
  <c r="R343" i="2" s="1"/>
  <c r="R344" i="2" s="1"/>
  <c r="R345" i="2" s="1"/>
  <c r="R346" i="2" s="1"/>
  <c r="R347" i="2" s="1"/>
  <c r="R348" i="2" s="1"/>
  <c r="R349" i="2" s="1"/>
  <c r="R350" i="2" s="1"/>
  <c r="X340" i="2"/>
  <c r="X339" i="2"/>
  <c r="X338" i="2"/>
  <c r="X337" i="2"/>
  <c r="X336" i="2"/>
  <c r="X335" i="2"/>
  <c r="X334" i="2"/>
  <c r="X333" i="2"/>
  <c r="X332" i="2"/>
  <c r="X331" i="2"/>
  <c r="R331" i="2"/>
  <c r="R332" i="2" s="1"/>
  <c r="R333" i="2" s="1"/>
  <c r="R334" i="2" s="1"/>
  <c r="R335" i="2" s="1"/>
  <c r="R336" i="2" s="1"/>
  <c r="R337" i="2" s="1"/>
  <c r="R338" i="2" s="1"/>
  <c r="R339" i="2" s="1"/>
  <c r="R340" i="2" s="1"/>
  <c r="X330" i="2"/>
  <c r="X329" i="2"/>
  <c r="X328" i="2"/>
  <c r="X327" i="2"/>
  <c r="X326" i="2"/>
  <c r="X325" i="2"/>
  <c r="X324" i="2"/>
  <c r="X323" i="2"/>
  <c r="X322" i="2"/>
  <c r="X321" i="2"/>
  <c r="R321" i="2"/>
  <c r="R322" i="2" s="1"/>
  <c r="R323" i="2" s="1"/>
  <c r="R324" i="2" s="1"/>
  <c r="R325" i="2" s="1"/>
  <c r="R326" i="2" s="1"/>
  <c r="R327" i="2" s="1"/>
  <c r="R328" i="2" s="1"/>
  <c r="R329" i="2" s="1"/>
  <c r="R330" i="2" s="1"/>
  <c r="X320" i="2"/>
  <c r="X319" i="2"/>
  <c r="X318" i="2"/>
  <c r="X317" i="2"/>
  <c r="X316" i="2"/>
  <c r="X315" i="2"/>
  <c r="X314" i="2"/>
  <c r="X313" i="2"/>
  <c r="X312" i="2"/>
  <c r="X311" i="2"/>
  <c r="R311" i="2"/>
  <c r="R312" i="2" s="1"/>
  <c r="R313" i="2" s="1"/>
  <c r="R314" i="2" s="1"/>
  <c r="R315" i="2" s="1"/>
  <c r="R316" i="2" s="1"/>
  <c r="R317" i="2" s="1"/>
  <c r="R318" i="2" s="1"/>
  <c r="R319" i="2" s="1"/>
  <c r="R320" i="2" s="1"/>
  <c r="X310" i="2"/>
  <c r="X309" i="2"/>
  <c r="X308" i="2"/>
  <c r="X307" i="2"/>
  <c r="X306" i="2"/>
  <c r="X305" i="2"/>
  <c r="X304" i="2"/>
  <c r="X303" i="2"/>
  <c r="X302" i="2"/>
  <c r="X301" i="2"/>
  <c r="R301" i="2"/>
  <c r="R302" i="2" s="1"/>
  <c r="R303" i="2" s="1"/>
  <c r="R304" i="2" s="1"/>
  <c r="R305" i="2" s="1"/>
  <c r="R306" i="2" s="1"/>
  <c r="R307" i="2" s="1"/>
  <c r="R308" i="2" s="1"/>
  <c r="R309" i="2" s="1"/>
  <c r="R310" i="2" s="1"/>
  <c r="X300" i="2"/>
  <c r="X299" i="2"/>
  <c r="X298" i="2"/>
  <c r="X297" i="2"/>
  <c r="X296" i="2"/>
  <c r="X295" i="2"/>
  <c r="X294" i="2"/>
  <c r="X293" i="2"/>
  <c r="X292" i="2"/>
  <c r="X291" i="2"/>
  <c r="R291" i="2"/>
  <c r="R292" i="2" s="1"/>
  <c r="R293" i="2" s="1"/>
  <c r="R294" i="2" s="1"/>
  <c r="R295" i="2" s="1"/>
  <c r="R296" i="2" s="1"/>
  <c r="R297" i="2" s="1"/>
  <c r="R298" i="2" s="1"/>
  <c r="R299" i="2" s="1"/>
  <c r="R300" i="2" s="1"/>
  <c r="X290" i="2"/>
  <c r="X289" i="2"/>
  <c r="X288" i="2"/>
  <c r="X287" i="2"/>
  <c r="X286" i="2"/>
  <c r="X285" i="2"/>
  <c r="X284" i="2"/>
  <c r="X283" i="2"/>
  <c r="X282" i="2"/>
  <c r="X281" i="2"/>
  <c r="R281" i="2"/>
  <c r="R282" i="2" s="1"/>
  <c r="R283" i="2" s="1"/>
  <c r="R284" i="2" s="1"/>
  <c r="R285" i="2" s="1"/>
  <c r="R286" i="2" s="1"/>
  <c r="R287" i="2" s="1"/>
  <c r="R288" i="2" s="1"/>
  <c r="R289" i="2" s="1"/>
  <c r="R290" i="2" s="1"/>
  <c r="X280" i="2"/>
  <c r="X279" i="2"/>
  <c r="X278" i="2"/>
  <c r="X277" i="2"/>
  <c r="X276" i="2"/>
  <c r="X275" i="2"/>
  <c r="X274" i="2"/>
  <c r="X273" i="2"/>
  <c r="X272" i="2"/>
  <c r="X271" i="2"/>
  <c r="R271" i="2"/>
  <c r="R272" i="2" s="1"/>
  <c r="R273" i="2" s="1"/>
  <c r="R274" i="2" s="1"/>
  <c r="R275" i="2" s="1"/>
  <c r="R276" i="2" s="1"/>
  <c r="R277" i="2" s="1"/>
  <c r="R278" i="2" s="1"/>
  <c r="R279" i="2" s="1"/>
  <c r="R280" i="2" s="1"/>
  <c r="S81" i="2"/>
  <c r="R81" i="2"/>
  <c r="R102" i="2" s="1"/>
  <c r="R123" i="2" s="1"/>
  <c r="R144" i="2" s="1"/>
  <c r="R165" i="2" s="1"/>
  <c r="R186" i="2" s="1"/>
  <c r="R207" i="2" s="1"/>
  <c r="R228" i="2" s="1"/>
  <c r="R249" i="2" s="1"/>
  <c r="R270" i="2" s="1"/>
  <c r="S80" i="2"/>
  <c r="R80" i="2"/>
  <c r="R101" i="2" s="1"/>
  <c r="R122" i="2" s="1"/>
  <c r="R143" i="2" s="1"/>
  <c r="R164" i="2" s="1"/>
  <c r="R185" i="2" s="1"/>
  <c r="R206" i="2" s="1"/>
  <c r="R227" i="2" s="1"/>
  <c r="R248" i="2" s="1"/>
  <c r="R269" i="2" s="1"/>
  <c r="S79" i="2"/>
  <c r="R79" i="2"/>
  <c r="R100" i="2" s="1"/>
  <c r="R121" i="2" s="1"/>
  <c r="R142" i="2" s="1"/>
  <c r="R163" i="2" s="1"/>
  <c r="R184" i="2" s="1"/>
  <c r="R205" i="2" s="1"/>
  <c r="R226" i="2" s="1"/>
  <c r="R247" i="2" s="1"/>
  <c r="R268" i="2" s="1"/>
  <c r="S78" i="2"/>
  <c r="R78" i="2"/>
  <c r="R99" i="2" s="1"/>
  <c r="R120" i="2" s="1"/>
  <c r="R141" i="2" s="1"/>
  <c r="R162" i="2" s="1"/>
  <c r="R183" i="2" s="1"/>
  <c r="R204" i="2" s="1"/>
  <c r="R225" i="2" s="1"/>
  <c r="R246" i="2" s="1"/>
  <c r="R267" i="2" s="1"/>
  <c r="S77" i="2"/>
  <c r="R77" i="2"/>
  <c r="R98" i="2" s="1"/>
  <c r="R119" i="2" s="1"/>
  <c r="R140" i="2" s="1"/>
  <c r="R161" i="2" s="1"/>
  <c r="R182" i="2" s="1"/>
  <c r="R203" i="2" s="1"/>
  <c r="R224" i="2" s="1"/>
  <c r="R245" i="2" s="1"/>
  <c r="R266" i="2" s="1"/>
  <c r="S76" i="2"/>
  <c r="R76" i="2"/>
  <c r="R97" i="2" s="1"/>
  <c r="R118" i="2" s="1"/>
  <c r="R139" i="2" s="1"/>
  <c r="R160" i="2" s="1"/>
  <c r="R181" i="2" s="1"/>
  <c r="R202" i="2" s="1"/>
  <c r="R223" i="2" s="1"/>
  <c r="R244" i="2" s="1"/>
  <c r="R265" i="2" s="1"/>
  <c r="S75" i="2"/>
  <c r="R75" i="2"/>
  <c r="R96" i="2" s="1"/>
  <c r="R117" i="2" s="1"/>
  <c r="R138" i="2" s="1"/>
  <c r="R159" i="2" s="1"/>
  <c r="R180" i="2" s="1"/>
  <c r="R201" i="2" s="1"/>
  <c r="R222" i="2" s="1"/>
  <c r="R243" i="2" s="1"/>
  <c r="R264" i="2" s="1"/>
  <c r="S74" i="2"/>
  <c r="R74" i="2"/>
  <c r="R95" i="2" s="1"/>
  <c r="R116" i="2" s="1"/>
  <c r="R137" i="2" s="1"/>
  <c r="R158" i="2" s="1"/>
  <c r="R179" i="2" s="1"/>
  <c r="R200" i="2" s="1"/>
  <c r="R221" i="2" s="1"/>
  <c r="R242" i="2" s="1"/>
  <c r="R263" i="2" s="1"/>
  <c r="S73" i="2"/>
  <c r="R73" i="2"/>
  <c r="R94" i="2" s="1"/>
  <c r="R115" i="2" s="1"/>
  <c r="R136" i="2" s="1"/>
  <c r="R157" i="2" s="1"/>
  <c r="R178" i="2" s="1"/>
  <c r="R199" i="2" s="1"/>
  <c r="R220" i="2" s="1"/>
  <c r="R241" i="2" s="1"/>
  <c r="R262" i="2" s="1"/>
  <c r="S72" i="2"/>
  <c r="R72" i="2"/>
  <c r="R93" i="2" s="1"/>
  <c r="R114" i="2" s="1"/>
  <c r="R135" i="2" s="1"/>
  <c r="R156" i="2" s="1"/>
  <c r="R177" i="2" s="1"/>
  <c r="R198" i="2" s="1"/>
  <c r="R219" i="2" s="1"/>
  <c r="R240" i="2" s="1"/>
  <c r="R261" i="2" s="1"/>
  <c r="S71" i="2"/>
  <c r="R71" i="2"/>
  <c r="R92" i="2" s="1"/>
  <c r="R113" i="2" s="1"/>
  <c r="R134" i="2" s="1"/>
  <c r="R155" i="2" s="1"/>
  <c r="R176" i="2" s="1"/>
  <c r="R197" i="2" s="1"/>
  <c r="R218" i="2" s="1"/>
  <c r="R239" i="2" s="1"/>
  <c r="R260" i="2" s="1"/>
  <c r="S70" i="2"/>
  <c r="R70" i="2"/>
  <c r="R91" i="2" s="1"/>
  <c r="R112" i="2" s="1"/>
  <c r="R133" i="2" s="1"/>
  <c r="R154" i="2" s="1"/>
  <c r="R175" i="2" s="1"/>
  <c r="R196" i="2" s="1"/>
  <c r="R217" i="2" s="1"/>
  <c r="R238" i="2" s="1"/>
  <c r="R259" i="2" s="1"/>
  <c r="S69" i="2"/>
  <c r="R69" i="2"/>
  <c r="R90" i="2" s="1"/>
  <c r="R111" i="2" s="1"/>
  <c r="R132" i="2" s="1"/>
  <c r="R153" i="2" s="1"/>
  <c r="R174" i="2" s="1"/>
  <c r="R195" i="2" s="1"/>
  <c r="R216" i="2" s="1"/>
  <c r="R237" i="2" s="1"/>
  <c r="R258" i="2" s="1"/>
  <c r="S68" i="2"/>
  <c r="R68" i="2"/>
  <c r="R89" i="2" s="1"/>
  <c r="R110" i="2" s="1"/>
  <c r="R131" i="2" s="1"/>
  <c r="R152" i="2" s="1"/>
  <c r="R173" i="2" s="1"/>
  <c r="R194" i="2" s="1"/>
  <c r="R215" i="2" s="1"/>
  <c r="R236" i="2" s="1"/>
  <c r="R257" i="2" s="1"/>
  <c r="S67" i="2"/>
  <c r="R67" i="2"/>
  <c r="R88" i="2" s="1"/>
  <c r="R109" i="2" s="1"/>
  <c r="R130" i="2" s="1"/>
  <c r="R151" i="2" s="1"/>
  <c r="R172" i="2" s="1"/>
  <c r="R193" i="2" s="1"/>
  <c r="R214" i="2" s="1"/>
  <c r="R235" i="2" s="1"/>
  <c r="R256" i="2" s="1"/>
  <c r="S66" i="2"/>
  <c r="R66" i="2"/>
  <c r="R87" i="2" s="1"/>
  <c r="R108" i="2" s="1"/>
  <c r="R129" i="2" s="1"/>
  <c r="R150" i="2" s="1"/>
  <c r="R171" i="2" s="1"/>
  <c r="R192" i="2" s="1"/>
  <c r="R213" i="2" s="1"/>
  <c r="R234" i="2" s="1"/>
  <c r="R255" i="2" s="1"/>
  <c r="S65" i="2"/>
  <c r="R65" i="2"/>
  <c r="R86" i="2" s="1"/>
  <c r="R107" i="2" s="1"/>
  <c r="R128" i="2" s="1"/>
  <c r="R149" i="2" s="1"/>
  <c r="R170" i="2" s="1"/>
  <c r="R191" i="2" s="1"/>
  <c r="R212" i="2" s="1"/>
  <c r="R233" i="2" s="1"/>
  <c r="R254" i="2" s="1"/>
  <c r="S64" i="2"/>
  <c r="R64" i="2"/>
  <c r="R85" i="2" s="1"/>
  <c r="R106" i="2" s="1"/>
  <c r="R127" i="2" s="1"/>
  <c r="R148" i="2" s="1"/>
  <c r="R169" i="2" s="1"/>
  <c r="R190" i="2" s="1"/>
  <c r="R211" i="2" s="1"/>
  <c r="R232" i="2" s="1"/>
  <c r="R253" i="2" s="1"/>
  <c r="S63" i="2"/>
  <c r="R63" i="2"/>
  <c r="R84" i="2" s="1"/>
  <c r="R105" i="2" s="1"/>
  <c r="R126" i="2" s="1"/>
  <c r="R147" i="2" s="1"/>
  <c r="R168" i="2" s="1"/>
  <c r="R189" i="2" s="1"/>
  <c r="R210" i="2" s="1"/>
  <c r="R231" i="2" s="1"/>
  <c r="R252" i="2" s="1"/>
  <c r="S62" i="2"/>
  <c r="R62" i="2"/>
  <c r="R83" i="2" s="1"/>
  <c r="R104" i="2" s="1"/>
  <c r="R125" i="2" s="1"/>
  <c r="R146" i="2" s="1"/>
  <c r="R167" i="2" s="1"/>
  <c r="R188" i="2" s="1"/>
  <c r="R209" i="2" s="1"/>
  <c r="R230" i="2" s="1"/>
  <c r="R251" i="2" s="1"/>
  <c r="S61" i="2"/>
  <c r="R61" i="2"/>
  <c r="R82" i="2" s="1"/>
  <c r="R103" i="2" s="1"/>
  <c r="R124" i="2" s="1"/>
  <c r="R145" i="2" s="1"/>
  <c r="R166" i="2" s="1"/>
  <c r="R187" i="2" s="1"/>
  <c r="R208" i="2" s="1"/>
  <c r="R229" i="2" s="1"/>
  <c r="R250" i="2" s="1"/>
  <c r="S42" i="2"/>
  <c r="R42" i="2"/>
  <c r="S41" i="2"/>
  <c r="R41" i="2"/>
  <c r="S40" i="2"/>
  <c r="R40" i="2"/>
  <c r="S39" i="2"/>
  <c r="R39" i="2"/>
  <c r="S38" i="2"/>
  <c r="R38" i="2"/>
  <c r="S37" i="2"/>
  <c r="R37" i="2"/>
  <c r="S36" i="2"/>
  <c r="R36" i="2"/>
  <c r="S35" i="2"/>
  <c r="R35" i="2"/>
  <c r="S34" i="2"/>
  <c r="R34" i="2"/>
  <c r="S33" i="2"/>
  <c r="R33" i="2"/>
  <c r="S32" i="2"/>
  <c r="R32" i="2"/>
  <c r="S31" i="2"/>
  <c r="R31" i="2"/>
  <c r="S30" i="2"/>
  <c r="R30" i="2"/>
  <c r="S29" i="2"/>
  <c r="R29" i="2"/>
  <c r="S28" i="2"/>
  <c r="R28" i="2"/>
  <c r="S27" i="2"/>
  <c r="R27" i="2"/>
  <c r="S26" i="2"/>
  <c r="R26" i="2"/>
  <c r="S25" i="2"/>
  <c r="R25" i="2"/>
  <c r="S24" i="2"/>
  <c r="R24" i="2"/>
  <c r="S23" i="2"/>
  <c r="R23" i="2"/>
  <c r="S22" i="2"/>
  <c r="R22" i="2"/>
  <c r="S21" i="2"/>
  <c r="R21" i="2"/>
  <c r="S20" i="2"/>
  <c r="R20" i="2"/>
  <c r="S19" i="2"/>
  <c r="R19" i="2"/>
  <c r="S18" i="2"/>
  <c r="R18" i="2"/>
  <c r="S17" i="2"/>
  <c r="R17" i="2"/>
  <c r="S16" i="2"/>
  <c r="R16" i="2"/>
  <c r="S15" i="2"/>
  <c r="R15" i="2"/>
  <c r="S14" i="2"/>
  <c r="R14" i="2"/>
  <c r="S13" i="2"/>
  <c r="R13" i="2"/>
  <c r="S12" i="2"/>
  <c r="R12" i="2"/>
  <c r="S11" i="2"/>
  <c r="R11" i="2"/>
  <c r="S10" i="2"/>
  <c r="R10" i="2"/>
  <c r="S9" i="2"/>
  <c r="R9" i="2"/>
  <c r="S8" i="2"/>
  <c r="R8" i="2"/>
  <c r="S7" i="2"/>
  <c r="R7" i="2"/>
  <c r="S6" i="2"/>
  <c r="R6" i="2"/>
  <c r="S5" i="2"/>
  <c r="R5" i="2"/>
  <c r="S4" i="2"/>
  <c r="R4" i="2"/>
  <c r="S3" i="2"/>
  <c r="R3" i="2"/>
  <c r="R9" i="1"/>
  <c r="R30" i="1"/>
  <c r="R52" i="1" l="1"/>
  <c r="R114" i="1" l="1"/>
  <c r="R113" i="1" l="1"/>
  <c r="R133" i="1" l="1"/>
  <c r="R134" i="1"/>
  <c r="X577" i="1" l="1"/>
  <c r="X576" i="1"/>
  <c r="R91" i="1" l="1"/>
  <c r="X575" i="1"/>
  <c r="R97" i="1"/>
  <c r="X574" i="1"/>
  <c r="X263" i="1" l="1"/>
  <c r="S263" i="1"/>
  <c r="R263" i="1"/>
  <c r="X573" i="1"/>
  <c r="R90" i="1" l="1"/>
  <c r="X572" i="1" l="1"/>
  <c r="S469" i="1"/>
  <c r="S468" i="1"/>
  <c r="R468" i="1"/>
  <c r="S467" i="1"/>
  <c r="R467" i="1"/>
  <c r="S466" i="1"/>
  <c r="R466" i="1"/>
  <c r="S448" i="1"/>
  <c r="S447" i="1"/>
  <c r="S446" i="1"/>
  <c r="S445" i="1"/>
  <c r="S444" i="1"/>
  <c r="S443" i="1"/>
  <c r="S442" i="1"/>
  <c r="S441" i="1"/>
  <c r="S440" i="1"/>
  <c r="S429" i="1"/>
  <c r="R429" i="1"/>
  <c r="S428" i="1"/>
  <c r="R428" i="1"/>
  <c r="S427" i="1"/>
  <c r="R427" i="1"/>
  <c r="S426" i="1"/>
  <c r="R426" i="1"/>
  <c r="S425" i="1"/>
  <c r="R425" i="1"/>
  <c r="S424" i="1"/>
  <c r="R424" i="1"/>
  <c r="S423" i="1"/>
  <c r="R423" i="1"/>
  <c r="S422" i="1"/>
  <c r="R422" i="1"/>
  <c r="S419" i="1"/>
  <c r="R419" i="1"/>
  <c r="S418" i="1"/>
  <c r="R418" i="1"/>
  <c r="S417" i="1"/>
  <c r="R417" i="1"/>
  <c r="S416" i="1"/>
  <c r="R416" i="1"/>
  <c r="S415" i="1"/>
  <c r="R415" i="1"/>
  <c r="S414" i="1"/>
  <c r="R414" i="1"/>
  <c r="S413" i="1"/>
  <c r="R413" i="1"/>
  <c r="S412" i="1"/>
  <c r="R412" i="1"/>
  <c r="S411" i="1"/>
  <c r="R411" i="1"/>
  <c r="S410" i="1"/>
  <c r="R410" i="1"/>
  <c r="S409" i="1"/>
  <c r="R409" i="1"/>
  <c r="S408" i="1"/>
  <c r="R408" i="1"/>
  <c r="S405" i="1"/>
  <c r="R405" i="1"/>
  <c r="S404" i="1"/>
  <c r="R404" i="1"/>
  <c r="S403" i="1"/>
  <c r="R403" i="1"/>
  <c r="S402" i="1"/>
  <c r="R402" i="1"/>
  <c r="S401" i="1"/>
  <c r="R401" i="1"/>
  <c r="S400" i="1"/>
  <c r="R400" i="1"/>
  <c r="S399" i="1"/>
  <c r="R399" i="1"/>
  <c r="S398" i="1"/>
  <c r="R398" i="1"/>
  <c r="S397" i="1"/>
  <c r="R397" i="1"/>
  <c r="S396" i="1"/>
  <c r="R396" i="1"/>
  <c r="S395" i="1"/>
  <c r="R395" i="1"/>
  <c r="S392" i="1"/>
  <c r="R392" i="1"/>
  <c r="S391" i="1"/>
  <c r="R391" i="1"/>
  <c r="S390" i="1"/>
  <c r="R390" i="1"/>
  <c r="S389" i="1"/>
  <c r="R389" i="1"/>
  <c r="S388" i="1"/>
  <c r="R388" i="1"/>
  <c r="S366" i="1"/>
  <c r="R366" i="1"/>
  <c r="S365" i="1"/>
  <c r="R365" i="1"/>
  <c r="S364" i="1"/>
  <c r="R364" i="1"/>
  <c r="S363" i="1"/>
  <c r="R363" i="1"/>
  <c r="S362" i="1"/>
  <c r="R362" i="1"/>
  <c r="S361" i="1"/>
  <c r="R361" i="1"/>
  <c r="S360" i="1"/>
  <c r="R360" i="1"/>
  <c r="S359" i="1"/>
  <c r="R359" i="1"/>
  <c r="S358" i="1"/>
  <c r="R358" i="1"/>
  <c r="S357" i="1"/>
  <c r="R357" i="1"/>
  <c r="S356" i="1"/>
  <c r="R356" i="1"/>
  <c r="S355" i="1"/>
  <c r="R355" i="1"/>
  <c r="S354" i="1"/>
  <c r="R354" i="1"/>
  <c r="S353" i="1"/>
  <c r="R353" i="1"/>
  <c r="S352" i="1"/>
  <c r="R352" i="1"/>
  <c r="S351" i="1"/>
  <c r="R351" i="1"/>
  <c r="S350" i="1"/>
  <c r="R350" i="1"/>
  <c r="S349" i="1"/>
  <c r="R349" i="1"/>
  <c r="S348" i="1"/>
  <c r="R348" i="1"/>
  <c r="S347" i="1"/>
  <c r="R347" i="1"/>
  <c r="S346" i="1"/>
  <c r="R346" i="1"/>
  <c r="S345" i="1"/>
  <c r="R345" i="1"/>
  <c r="S334" i="1"/>
  <c r="R334" i="1"/>
  <c r="X333" i="1"/>
  <c r="S333" i="1"/>
  <c r="R333" i="1"/>
  <c r="X332" i="1"/>
  <c r="S332" i="1"/>
  <c r="R332" i="1"/>
  <c r="X331" i="1"/>
  <c r="S331" i="1"/>
  <c r="R331" i="1"/>
  <c r="X330" i="1"/>
  <c r="S330" i="1"/>
  <c r="R330" i="1"/>
  <c r="X329" i="1"/>
  <c r="S329" i="1"/>
  <c r="R329" i="1"/>
  <c r="X328" i="1"/>
  <c r="S328" i="1"/>
  <c r="R328" i="1"/>
  <c r="S327" i="1"/>
  <c r="R327" i="1"/>
  <c r="S326" i="1"/>
  <c r="R326" i="1"/>
  <c r="S325" i="1"/>
  <c r="R325" i="1"/>
  <c r="S324" i="1"/>
  <c r="R324" i="1"/>
  <c r="S323" i="1"/>
  <c r="R323" i="1"/>
  <c r="S336" i="1"/>
  <c r="R336" i="1"/>
  <c r="S322" i="1"/>
  <c r="R322" i="1"/>
  <c r="S321" i="1"/>
  <c r="R321" i="1"/>
  <c r="S320" i="1"/>
  <c r="R320" i="1"/>
  <c r="S319" i="1"/>
  <c r="R319" i="1"/>
  <c r="S318" i="1"/>
  <c r="R318" i="1"/>
  <c r="S317" i="1"/>
  <c r="R317" i="1"/>
  <c r="S316" i="1"/>
  <c r="R316" i="1"/>
  <c r="S315" i="1"/>
  <c r="R315" i="1"/>
  <c r="S314" i="1"/>
  <c r="R314" i="1"/>
  <c r="S313" i="1"/>
  <c r="R313" i="1"/>
  <c r="S312" i="1"/>
  <c r="R312" i="1"/>
  <c r="S311" i="1"/>
  <c r="R311" i="1"/>
  <c r="S310" i="1"/>
  <c r="R310" i="1"/>
  <c r="S309" i="1"/>
  <c r="R309" i="1"/>
  <c r="S308" i="1"/>
  <c r="R308" i="1"/>
  <c r="S307" i="1"/>
  <c r="R307" i="1"/>
  <c r="S306" i="1"/>
  <c r="R306" i="1"/>
  <c r="S305" i="1"/>
  <c r="R305" i="1"/>
  <c r="X304" i="1"/>
  <c r="S304" i="1"/>
  <c r="R304" i="1"/>
  <c r="X303" i="1"/>
  <c r="S303" i="1"/>
  <c r="R303" i="1"/>
  <c r="X302" i="1"/>
  <c r="S302" i="1"/>
  <c r="R302" i="1"/>
  <c r="S301" i="1"/>
  <c r="R301" i="1"/>
  <c r="S298" i="1"/>
  <c r="R298" i="1"/>
  <c r="S297" i="1"/>
  <c r="R297" i="1"/>
  <c r="S296" i="1"/>
  <c r="R296" i="1"/>
  <c r="S292" i="1"/>
  <c r="R292" i="1"/>
  <c r="S291" i="1"/>
  <c r="R291" i="1"/>
  <c r="S290" i="1"/>
  <c r="R290" i="1"/>
  <c r="S289" i="1"/>
  <c r="R289" i="1"/>
  <c r="S288" i="1"/>
  <c r="R288" i="1"/>
  <c r="S287" i="1"/>
  <c r="R287" i="1"/>
  <c r="S286" i="1"/>
  <c r="R286" i="1"/>
  <c r="S283" i="1"/>
  <c r="R283" i="1"/>
  <c r="S282" i="1"/>
  <c r="R282" i="1"/>
  <c r="S281" i="1"/>
  <c r="R281" i="1"/>
  <c r="S280" i="1"/>
  <c r="R280" i="1"/>
  <c r="S279" i="1"/>
  <c r="R279" i="1"/>
  <c r="S278" i="1"/>
  <c r="R278" i="1"/>
  <c r="S277" i="1"/>
  <c r="R277" i="1"/>
  <c r="S276" i="1"/>
  <c r="R276" i="1"/>
  <c r="S275" i="1"/>
  <c r="R275" i="1"/>
  <c r="S274" i="1"/>
  <c r="R274" i="1"/>
  <c r="S267" i="1"/>
  <c r="R267" i="1"/>
  <c r="S266" i="1"/>
  <c r="R266" i="1"/>
  <c r="S265" i="1"/>
  <c r="R265" i="1"/>
  <c r="S264" i="1"/>
  <c r="R264" i="1"/>
  <c r="X262" i="1"/>
  <c r="S262" i="1"/>
  <c r="R262" i="1"/>
  <c r="X261" i="1"/>
  <c r="S261" i="1"/>
  <c r="R261" i="1"/>
  <c r="X260" i="1"/>
  <c r="S260" i="1"/>
  <c r="R260" i="1"/>
  <c r="X259" i="1"/>
  <c r="S259" i="1"/>
  <c r="R259" i="1"/>
  <c r="X258" i="1"/>
  <c r="S258" i="1"/>
  <c r="R258" i="1"/>
  <c r="X257" i="1"/>
  <c r="S257" i="1"/>
  <c r="R257" i="1"/>
  <c r="X256" i="1"/>
  <c r="S256" i="1"/>
  <c r="R256" i="1"/>
  <c r="S255" i="1"/>
  <c r="R255" i="1"/>
  <c r="S254" i="1"/>
  <c r="R254" i="1"/>
  <c r="S253" i="1"/>
  <c r="R253" i="1"/>
  <c r="S252" i="1"/>
  <c r="R252" i="1"/>
  <c r="S251" i="1"/>
  <c r="R251" i="1"/>
  <c r="S250" i="1"/>
  <c r="R250" i="1"/>
  <c r="S249" i="1"/>
  <c r="R249" i="1"/>
  <c r="X248" i="1"/>
  <c r="S248" i="1"/>
  <c r="R248" i="1"/>
  <c r="S247" i="1"/>
  <c r="R247" i="1"/>
  <c r="S246" i="1"/>
  <c r="R246" i="1"/>
  <c r="S245" i="1"/>
  <c r="R245" i="1"/>
  <c r="S244" i="1"/>
  <c r="R244" i="1"/>
  <c r="S243" i="1"/>
  <c r="R243" i="1"/>
  <c r="S242" i="1"/>
  <c r="R242" i="1"/>
  <c r="S241" i="1"/>
  <c r="R241" i="1"/>
  <c r="S240" i="1"/>
  <c r="R240" i="1"/>
  <c r="S239" i="1"/>
  <c r="R239" i="1"/>
  <c r="S238" i="1"/>
  <c r="R238" i="1"/>
  <c r="S237" i="1"/>
  <c r="R237" i="1"/>
  <c r="S236" i="1"/>
  <c r="R236" i="1"/>
  <c r="S235" i="1"/>
  <c r="R235" i="1"/>
  <c r="S234" i="1"/>
  <c r="R234" i="1"/>
  <c r="S233" i="1"/>
  <c r="R233" i="1"/>
  <c r="S232" i="1"/>
  <c r="R232" i="1"/>
  <c r="S231" i="1"/>
  <c r="R231" i="1"/>
  <c r="S230" i="1"/>
  <c r="R230" i="1"/>
  <c r="S229" i="1"/>
  <c r="R229" i="1"/>
  <c r="S228" i="1"/>
  <c r="R228" i="1"/>
  <c r="S227" i="1"/>
  <c r="R227" i="1"/>
  <c r="S226" i="1"/>
  <c r="R226" i="1"/>
  <c r="S225" i="1"/>
  <c r="R225" i="1"/>
  <c r="S224" i="1"/>
  <c r="R224" i="1"/>
  <c r="S223" i="1"/>
  <c r="R223" i="1"/>
  <c r="S222" i="1"/>
  <c r="R222" i="1"/>
  <c r="S221" i="1"/>
  <c r="R221" i="1"/>
  <c r="S220" i="1"/>
  <c r="R220" i="1"/>
  <c r="S219" i="1"/>
  <c r="R219" i="1"/>
  <c r="S218" i="1"/>
  <c r="R218" i="1"/>
  <c r="S217" i="1"/>
  <c r="R217" i="1"/>
  <c r="S216" i="1"/>
  <c r="R216" i="1"/>
  <c r="S215" i="1"/>
  <c r="R215" i="1"/>
  <c r="S214" i="1"/>
  <c r="R214" i="1"/>
  <c r="S213" i="1"/>
  <c r="R213" i="1"/>
  <c r="S212" i="1"/>
  <c r="R212" i="1"/>
  <c r="S211" i="1"/>
  <c r="R211" i="1"/>
  <c r="S210" i="1"/>
  <c r="R210" i="1"/>
  <c r="S209" i="1"/>
  <c r="R209" i="1"/>
  <c r="S208" i="1"/>
  <c r="R208" i="1"/>
  <c r="S207" i="1"/>
  <c r="R207" i="1"/>
  <c r="S206" i="1"/>
  <c r="R206" i="1"/>
  <c r="S205" i="1"/>
  <c r="R205" i="1"/>
  <c r="S204" i="1"/>
  <c r="R204" i="1"/>
  <c r="S203" i="1"/>
  <c r="R203" i="1"/>
  <c r="S202" i="1"/>
  <c r="R202" i="1"/>
  <c r="S201" i="1"/>
  <c r="R201" i="1"/>
  <c r="S200" i="1"/>
  <c r="R200" i="1"/>
  <c r="S199" i="1"/>
  <c r="R199" i="1"/>
  <c r="S198" i="1"/>
  <c r="R198" i="1"/>
  <c r="S197" i="1"/>
  <c r="R197" i="1"/>
  <c r="S196" i="1"/>
  <c r="R196" i="1"/>
  <c r="S195" i="1"/>
  <c r="R195" i="1"/>
  <c r="S194" i="1"/>
  <c r="R194" i="1"/>
  <c r="S193" i="1"/>
  <c r="R193" i="1"/>
  <c r="S192" i="1"/>
  <c r="R192" i="1"/>
  <c r="S191" i="1"/>
  <c r="R191" i="1"/>
  <c r="S171" i="1"/>
  <c r="R171" i="1"/>
  <c r="S170" i="1"/>
  <c r="R170" i="1"/>
  <c r="S190" i="1"/>
  <c r="R190" i="1"/>
  <c r="S189" i="1"/>
  <c r="R189" i="1"/>
  <c r="S188" i="1"/>
  <c r="R188" i="1"/>
  <c r="S187" i="1"/>
  <c r="R187" i="1"/>
  <c r="S186" i="1"/>
  <c r="R186" i="1"/>
  <c r="S185" i="1"/>
  <c r="R185" i="1"/>
  <c r="S184" i="1"/>
  <c r="R184" i="1"/>
  <c r="S183" i="1"/>
  <c r="R183" i="1"/>
  <c r="S182" i="1"/>
  <c r="R182" i="1"/>
  <c r="S181" i="1"/>
  <c r="R181" i="1"/>
  <c r="S180" i="1"/>
  <c r="R180" i="1"/>
  <c r="S179" i="1"/>
  <c r="R179" i="1"/>
  <c r="S178" i="1"/>
  <c r="R178" i="1"/>
  <c r="S177" i="1"/>
  <c r="R177" i="1"/>
  <c r="S176" i="1"/>
  <c r="R176" i="1"/>
  <c r="S174" i="1"/>
  <c r="R174" i="1"/>
  <c r="S173" i="1"/>
  <c r="R173" i="1"/>
  <c r="S172" i="1"/>
  <c r="R172" i="1"/>
  <c r="S169" i="1"/>
  <c r="R169" i="1"/>
  <c r="S168" i="1"/>
  <c r="R168" i="1"/>
  <c r="S167" i="1"/>
  <c r="R167" i="1"/>
  <c r="S166" i="1"/>
  <c r="R166" i="1"/>
  <c r="S163" i="1"/>
  <c r="R163" i="1"/>
  <c r="S162" i="1"/>
  <c r="R162" i="1"/>
  <c r="S161" i="1"/>
  <c r="R161" i="1"/>
  <c r="S160" i="1"/>
  <c r="R160" i="1"/>
  <c r="S159" i="1"/>
  <c r="R159" i="1"/>
  <c r="S158" i="1"/>
  <c r="R158" i="1"/>
  <c r="S157" i="1"/>
  <c r="R157" i="1"/>
  <c r="S156" i="1"/>
  <c r="R156" i="1"/>
  <c r="S155" i="1"/>
  <c r="R155" i="1"/>
  <c r="S154" i="1"/>
  <c r="R154" i="1"/>
  <c r="S153" i="1"/>
  <c r="R153" i="1"/>
  <c r="S152" i="1"/>
  <c r="R152" i="1"/>
  <c r="S151" i="1"/>
  <c r="R151" i="1"/>
  <c r="S150" i="1"/>
  <c r="R150" i="1"/>
  <c r="S149" i="1"/>
  <c r="R149" i="1"/>
  <c r="S148" i="1"/>
  <c r="R148" i="1"/>
  <c r="S147" i="1"/>
  <c r="R147" i="1"/>
  <c r="S146" i="1"/>
  <c r="R146" i="1"/>
  <c r="S145" i="1"/>
  <c r="R145" i="1"/>
  <c r="S144" i="1"/>
  <c r="R144" i="1"/>
  <c r="S143" i="1"/>
  <c r="R143" i="1"/>
  <c r="S142" i="1"/>
  <c r="R142" i="1"/>
  <c r="R132" i="1"/>
  <c r="R131" i="1"/>
  <c r="X125" i="1"/>
  <c r="R125" i="1"/>
  <c r="X124" i="1"/>
  <c r="R124" i="1"/>
  <c r="X123" i="1"/>
  <c r="R123" i="1"/>
  <c r="X122" i="1"/>
  <c r="R122" i="1"/>
  <c r="X121" i="1"/>
  <c r="R121" i="1"/>
  <c r="X120" i="1"/>
  <c r="R120" i="1"/>
  <c r="X119" i="1"/>
  <c r="R119" i="1"/>
  <c r="R118" i="1"/>
  <c r="R112" i="1"/>
  <c r="R111" i="1"/>
  <c r="R110" i="1"/>
  <c r="R109" i="1"/>
  <c r="R108" i="1"/>
  <c r="R107" i="1"/>
  <c r="R106" i="1"/>
  <c r="R105" i="1"/>
  <c r="R104" i="1"/>
  <c r="R103" i="1"/>
  <c r="R102" i="1"/>
  <c r="R96" i="1"/>
  <c r="R95" i="1"/>
  <c r="R94" i="1"/>
  <c r="R89" i="1"/>
  <c r="R88" i="1"/>
  <c r="R87" i="1"/>
  <c r="R86" i="1"/>
  <c r="R85" i="1"/>
  <c r="R84" i="1"/>
  <c r="R83" i="1"/>
  <c r="R82" i="1"/>
  <c r="R81" i="1"/>
  <c r="R80" i="1"/>
  <c r="R79" i="1"/>
  <c r="R78" i="1"/>
  <c r="R77" i="1"/>
  <c r="R76" i="1"/>
  <c r="R75" i="1"/>
  <c r="R74" i="1"/>
  <c r="R73" i="1"/>
  <c r="R72" i="1"/>
  <c r="R71" i="1"/>
  <c r="R70" i="1"/>
  <c r="R69" i="1"/>
  <c r="R68" i="1"/>
  <c r="R67" i="1"/>
  <c r="R66" i="1"/>
  <c r="R65" i="1"/>
  <c r="R64" i="1"/>
  <c r="R63" i="1"/>
  <c r="R62" i="1"/>
  <c r="R51" i="1"/>
  <c r="R50" i="1"/>
  <c r="R49" i="1"/>
  <c r="R48" i="1"/>
  <c r="R47" i="1"/>
  <c r="R46" i="1"/>
  <c r="R45" i="1"/>
  <c r="R44" i="1"/>
  <c r="R43" i="1"/>
  <c r="R42" i="1"/>
  <c r="R41" i="1"/>
  <c r="R40" i="1"/>
  <c r="R39" i="1"/>
  <c r="R38" i="1"/>
  <c r="R37" i="1"/>
  <c r="R36" i="1"/>
  <c r="R35" i="1"/>
  <c r="R34" i="1"/>
  <c r="R33" i="1"/>
  <c r="R31" i="1"/>
  <c r="R29" i="1"/>
  <c r="R28" i="1"/>
  <c r="R27" i="1"/>
  <c r="R26" i="1"/>
  <c r="R25" i="1"/>
  <c r="R24" i="1"/>
  <c r="R20" i="1"/>
  <c r="R19" i="1"/>
  <c r="R18" i="1"/>
  <c r="R17" i="1"/>
  <c r="R16" i="1"/>
  <c r="R15" i="1"/>
  <c r="R14" i="1"/>
  <c r="R13" i="1"/>
  <c r="R12" i="1"/>
  <c r="R11" i="1"/>
  <c r="R8" i="1"/>
  <c r="R7" i="1"/>
  <c r="R6" i="1"/>
  <c r="R5" i="1"/>
  <c r="R3" i="1"/>
</calcChain>
</file>

<file path=xl/sharedStrings.xml><?xml version="1.0" encoding="utf-8"?>
<sst xmlns="http://schemas.openxmlformats.org/spreadsheetml/2006/main" count="12060" uniqueCount="3619">
  <si>
    <t>物品ID</t>
  </si>
  <si>
    <t>价格</t>
  </si>
  <si>
    <t>保质年数</t>
  </si>
  <si>
    <t>禁用</t>
  </si>
  <si>
    <t>不分类汇总</t>
  </si>
  <si>
    <t>排序</t>
  </si>
  <si>
    <t>大类</t>
  </si>
  <si>
    <t>大类名称</t>
  </si>
  <si>
    <t>小类</t>
  </si>
  <si>
    <t>小类名称</t>
  </si>
  <si>
    <t>功效价值</t>
  </si>
  <si>
    <t>备注</t>
  </si>
  <si>
    <t>物品图片</t>
  </si>
  <si>
    <t>重量</t>
  </si>
  <si>
    <t>在列表中操作数量时，每次增加的数量</t>
  </si>
  <si>
    <t>物品描述</t>
  </si>
  <si>
    <t>zh-CN</t>
  </si>
  <si>
    <t>stuff_id#int</t>
  </si>
  <si>
    <t>!stuff_name#str</t>
  </si>
  <si>
    <r>
      <rPr>
        <sz val="11"/>
        <color theme="1"/>
        <rFont val="宋体"/>
        <family val="3"/>
        <charset val="134"/>
        <scheme val="minor"/>
      </rPr>
      <t>pric</t>
    </r>
    <r>
      <rPr>
        <sz val="11"/>
        <color theme="1"/>
        <rFont val="宋体"/>
        <family val="3"/>
        <charset val="134"/>
        <scheme val="minor"/>
      </rPr>
      <t>e</t>
    </r>
    <r>
      <rPr>
        <sz val="11"/>
        <color theme="1"/>
        <rFont val="宋体"/>
        <family val="3"/>
        <charset val="134"/>
        <scheme val="minor"/>
      </rPr>
      <t>#int</t>
    </r>
  </si>
  <si>
    <r>
      <rPr>
        <sz val="11"/>
        <color theme="1"/>
        <rFont val="宋体"/>
        <family val="3"/>
        <charset val="134"/>
        <scheme val="minor"/>
      </rPr>
      <t>spoilage_year_limit</t>
    </r>
    <r>
      <rPr>
        <sz val="11"/>
        <color theme="1"/>
        <rFont val="宋体"/>
        <family val="3"/>
        <charset val="134"/>
        <scheme val="minor"/>
      </rPr>
      <t>#int</t>
    </r>
  </si>
  <si>
    <t>disable#int</t>
  </si>
  <si>
    <t>ignore_in_summary#int</t>
  </si>
  <si>
    <t>sort_index#int</t>
  </si>
  <si>
    <t>stuff_type#int</t>
  </si>
  <si>
    <t>stuff_sub_type#int</t>
  </si>
  <si>
    <t>!stuff_sub_type_name#str</t>
  </si>
  <si>
    <t>effect_value#float</t>
  </si>
  <si>
    <t>remark#str</t>
  </si>
  <si>
    <t>prefab#str</t>
  </si>
  <si>
    <t>stuff_img#str</t>
  </si>
  <si>
    <r>
      <rPr>
        <sz val="11"/>
        <color theme="1"/>
        <rFont val="宋体"/>
        <family val="3"/>
        <charset val="134"/>
        <scheme val="minor"/>
      </rPr>
      <t>stuff_img</t>
    </r>
    <r>
      <rPr>
        <sz val="11"/>
        <color theme="1"/>
        <rFont val="宋体"/>
        <family val="3"/>
        <charset val="134"/>
        <scheme val="minor"/>
      </rPr>
      <t>_on_map</t>
    </r>
    <r>
      <rPr>
        <sz val="11"/>
        <color theme="1"/>
        <rFont val="宋体"/>
        <family val="3"/>
        <charset val="134"/>
        <scheme val="minor"/>
      </rPr>
      <t>#str</t>
    </r>
  </si>
  <si>
    <t>weight#float</t>
  </si>
  <si>
    <t>reward_count_once#int</t>
  </si>
  <si>
    <t>op_increase_step#int</t>
  </si>
  <si>
    <t>!desc#str</t>
  </si>
  <si>
    <t>建筑设施</t>
  </si>
  <si>
    <t>小床</t>
  </si>
  <si>
    <t>住房</t>
  </si>
  <si>
    <t>可睡人数</t>
  </si>
  <si>
    <t>bed</t>
  </si>
  <si>
    <t>大床</t>
  </si>
  <si>
    <t>double_bed</t>
  </si>
  <si>
    <t>treasure_bed</t>
  </si>
  <si>
    <t>土路</t>
  </si>
  <si>
    <t>交通设施</t>
  </si>
  <si>
    <t>dirt_road</t>
  </si>
  <si>
    <t>居民在土路上行走速度更快。</t>
  </si>
  <si>
    <t>石板路</t>
  </si>
  <si>
    <t>stone_road</t>
  </si>
  <si>
    <t>居民在石板路上行走速度飞快。</t>
  </si>
  <si>
    <t>木桥</t>
  </si>
  <si>
    <t>bridge</t>
  </si>
  <si>
    <t>可架在水面上，连接两块陆地。</t>
  </si>
  <si>
    <t>山路</t>
  </si>
  <si>
    <t>ladder</t>
  </si>
  <si>
    <t>通过山路，居民可以上下高地。</t>
  </si>
  <si>
    <t>木墙</t>
  </si>
  <si>
    <t>wood_wall</t>
  </si>
  <si>
    <t>石墙</t>
  </si>
  <si>
    <t>门</t>
  </si>
  <si>
    <t>door</t>
  </si>
  <si>
    <t>城墙</t>
  </si>
  <si>
    <t>city_wall</t>
  </si>
  <si>
    <t>城门</t>
  </si>
  <si>
    <t>city_wall_door</t>
  </si>
  <si>
    <t>大箱子</t>
  </si>
  <si>
    <t>物流仓储</t>
  </si>
  <si>
    <t>storage_barn</t>
  </si>
  <si>
    <t>料堆</t>
  </si>
  <si>
    <t>stock_pile</t>
  </si>
  <si>
    <t>货架</t>
  </si>
  <si>
    <t>单格容量</t>
  </si>
  <si>
    <t>distribution_center</t>
  </si>
  <si>
    <t>交易台</t>
  </si>
  <si>
    <t>trading_desk</t>
  </si>
  <si>
    <t>边贸口岸</t>
  </si>
  <si>
    <t>trading_port</t>
  </si>
  <si>
    <t>路标</t>
  </si>
  <si>
    <t>road_sign</t>
  </si>
  <si>
    <t>可建造在地图边缘，用于引导商人进入地图。</t>
  </si>
  <si>
    <t>周转箱</t>
  </si>
  <si>
    <t>turnover_box</t>
  </si>
  <si>
    <t>马车站</t>
  </si>
  <si>
    <t>wagon_station</t>
  </si>
  <si>
    <t>定制运输线路，使用马车大批量快速运输物品。</t>
  </si>
  <si>
    <t>喂食器</t>
  </si>
  <si>
    <t>feeder</t>
  </si>
  <si>
    <t>水井</t>
  </si>
  <si>
    <t>市政设施</t>
  </si>
  <si>
    <t>well</t>
  </si>
  <si>
    <t>讲台</t>
  </si>
  <si>
    <t>teacher_desk</t>
  </si>
  <si>
    <t>让居民接受教育培训，提升工作效率，增加产量。</t>
  </si>
  <si>
    <t>布道台</t>
  </si>
  <si>
    <t>教徒容量</t>
  </si>
  <si>
    <t>sermon_desk</t>
  </si>
  <si>
    <t>墓地</t>
  </si>
  <si>
    <t>墓碑保留年数</t>
  </si>
  <si>
    <t>cemetery</t>
  </si>
  <si>
    <t>诊断台</t>
  </si>
  <si>
    <t>doctor_table</t>
  </si>
  <si>
    <t>医生在此为病人提供诊断，指导病人吃药。</t>
  </si>
  <si>
    <t>医疗床</t>
  </si>
  <si>
    <t>medical_bed</t>
  </si>
  <si>
    <t>收治病人，加速伤病康复。</t>
  </si>
  <si>
    <t>篝火堆</t>
  </si>
  <si>
    <t>燃料填充上限</t>
  </si>
  <si>
    <t>bonfire</t>
  </si>
  <si>
    <t>火把</t>
  </si>
  <si>
    <t>torch</t>
  </si>
  <si>
    <t>火盆</t>
  </si>
  <si>
    <t>brazier</t>
  </si>
  <si>
    <t>壁炉</t>
  </si>
  <si>
    <t>椅子</t>
  </si>
  <si>
    <t>chair2</t>
  </si>
  <si>
    <t>放在讲桌范围内，让学生可坐下学习。</t>
  </si>
  <si>
    <t>餐桌</t>
  </si>
  <si>
    <t>研究台</t>
  </si>
  <si>
    <t>research_table</t>
  </si>
  <si>
    <t>学者在此研究新的思想和技术。</t>
  </si>
  <si>
    <t>flowerpot</t>
  </si>
  <si>
    <t>用来养花。</t>
  </si>
  <si>
    <t>接待台</t>
  </si>
  <si>
    <t>front_desk</t>
  </si>
  <si>
    <t>农田</t>
  </si>
  <si>
    <t>生产设施</t>
  </si>
  <si>
    <t>crop_field</t>
  </si>
  <si>
    <t>获得种子后，农田可用于种植蔬菜或谷物。需农民播种，打理和收获。</t>
  </si>
  <si>
    <t>果园</t>
  </si>
  <si>
    <t>orchard</t>
  </si>
  <si>
    <t>获得种子后，果园可用于种植果树或坚果树。需农民打理和收获。</t>
  </si>
  <si>
    <t>牧场</t>
  </si>
  <si>
    <t>pasture</t>
  </si>
  <si>
    <t>购买动物后，可建牧场喂养动物。需牧民打理，可获得肉或皮毛。</t>
  </si>
  <si>
    <t>渔人码头</t>
  </si>
  <si>
    <t>单格产量</t>
  </si>
  <si>
    <t>fishing_dock</t>
  </si>
  <si>
    <t>修建渔业码头后，渔夫可到水边钓鱼。</t>
  </si>
  <si>
    <t>猎人营地</t>
  </si>
  <si>
    <t>hunting_cabin</t>
  </si>
  <si>
    <t>采集营地</t>
  </si>
  <si>
    <t>gatherers_hut</t>
  </si>
  <si>
    <t>采集工人会在附近的森林里，采集野菜。</t>
  </si>
  <si>
    <t>劈材桩</t>
  </si>
  <si>
    <t>wood_cutter</t>
  </si>
  <si>
    <t>护林营地</t>
  </si>
  <si>
    <t>forester_lodge</t>
  </si>
  <si>
    <t>采药营地</t>
  </si>
  <si>
    <t>herbalist</t>
  </si>
  <si>
    <t>草药师会在附近寻找草药。草药只会生长在古树附近。</t>
  </si>
  <si>
    <t>制造台</t>
  </si>
  <si>
    <t>居民会在此打造工具和武器。</t>
  </si>
  <si>
    <t>缝纫台</t>
  </si>
  <si>
    <t>裁缝会在此缝制衣服。</t>
  </si>
  <si>
    <t>酿酒桶</t>
  </si>
  <si>
    <t>tavern</t>
  </si>
  <si>
    <t>酿造师会在此酿酒，居民饮酒可提升幸福感。</t>
  </si>
  <si>
    <t>矿井</t>
  </si>
  <si>
    <t>mine</t>
  </si>
  <si>
    <t>采石场</t>
  </si>
  <si>
    <t>总产量</t>
  </si>
  <si>
    <t>quarry</t>
  </si>
  <si>
    <t>堆肥桶</t>
  </si>
  <si>
    <t>compost</t>
  </si>
  <si>
    <t>居民将搜集的动物粪便放入堆肥桶，一段时间后会转变为肥料。</t>
  </si>
  <si>
    <t>烹饪台</t>
  </si>
  <si>
    <t>单次补充的燃料数量</t>
  </si>
  <si>
    <t>cook_table</t>
  </si>
  <si>
    <t>居民在此加工食物。</t>
  </si>
  <si>
    <t>捕兽夹</t>
  </si>
  <si>
    <t>trap</t>
  </si>
  <si>
    <t>猎人捕捉猎物的陷阱。</t>
  </si>
  <si>
    <t>蟹笼</t>
  </si>
  <si>
    <t>crab_pot</t>
  </si>
  <si>
    <t>捕捉螃蟹和龙虾的工具。</t>
  </si>
  <si>
    <t>取水点</t>
  </si>
  <si>
    <t>water_point</t>
  </si>
  <si>
    <t>居民在此取水，需建在水边。</t>
  </si>
  <si>
    <t>采石点</t>
  </si>
  <si>
    <t>quarry_point</t>
  </si>
  <si>
    <t>居民在此开采石料，需建在山地边缘。</t>
  </si>
  <si>
    <t>挖掘点</t>
  </si>
  <si>
    <t>trenching_point</t>
  </si>
  <si>
    <t>居民在此挖坑，与其它水域连通，可成河</t>
  </si>
  <si>
    <t>造陆点</t>
  </si>
  <si>
    <t>landmaking_point</t>
  </si>
  <si>
    <t>居民在此填水造陆</t>
  </si>
  <si>
    <t>蜂房</t>
  </si>
  <si>
    <t>蜜蜂数量</t>
  </si>
  <si>
    <t>hive</t>
  </si>
  <si>
    <t>雕像座</t>
  </si>
  <si>
    <t>statue</t>
  </si>
  <si>
    <t>用石头和黄金打造，用于供奉雕像，触发神奇魔法</t>
  </si>
  <si>
    <t>炼药锅</t>
  </si>
  <si>
    <t>药师在此熬煮炼制药物</t>
  </si>
  <si>
    <t>码头</t>
  </si>
  <si>
    <t>dock</t>
  </si>
  <si>
    <t>制造和补给船只</t>
  </si>
  <si>
    <t>出海口</t>
  </si>
  <si>
    <t>estuary</t>
  </si>
  <si>
    <t>船只通过此处，开往大海</t>
  </si>
  <si>
    <t>熔炉</t>
  </si>
  <si>
    <t>furnace</t>
  </si>
  <si>
    <t>用于熔炼金属或焚烧物品。</t>
  </si>
  <si>
    <t>军营</t>
  </si>
  <si>
    <t>军事设施</t>
  </si>
  <si>
    <t>barracks</t>
  </si>
  <si>
    <t>招募士兵，保护家园。</t>
  </si>
  <si>
    <t>牢房</t>
  </si>
  <si>
    <t>prison</t>
  </si>
  <si>
    <t>关押囚犯的地方，可安排先知，对囚犯洗脑劝降。</t>
  </si>
  <si>
    <t>大炮</t>
  </si>
  <si>
    <t>cannon</t>
  </si>
  <si>
    <t>大范围杀伤性武器</t>
  </si>
  <si>
    <t>废弃矿井</t>
  </si>
  <si>
    <t>废弃设施</t>
  </si>
  <si>
    <t>mine_abandoned</t>
  </si>
  <si>
    <t>废弃的矿井，对地表造成了不可修复的影响。</t>
  </si>
  <si>
    <t>墓碑</t>
  </si>
  <si>
    <t>tombstone_single</t>
  </si>
  <si>
    <t>破旧的墓碑</t>
  </si>
  <si>
    <t>强盗营地</t>
  </si>
  <si>
    <t>敌人军事设施</t>
  </si>
  <si>
    <t>barracks_bandit</t>
  </si>
  <si>
    <t>强盗的营地</t>
  </si>
  <si>
    <t>barracks_enemy</t>
  </si>
  <si>
    <t>古墓</t>
  </si>
  <si>
    <t>地图元素</t>
  </si>
  <si>
    <t>ancient_tomb</t>
  </si>
  <si>
    <t>荒野中的古墓，据说其中有珍贵的陪藏品。</t>
  </si>
  <si>
    <t>巨型蜂巢</t>
  </si>
  <si>
    <t>wild_hive</t>
  </si>
  <si>
    <t>野外的蜂巢，建造它的是一种凶猛的毒蜂。</t>
  </si>
  <si>
    <t>金字塔</t>
  </si>
  <si>
    <t>pyramid</t>
  </si>
  <si>
    <t>巨型蘑菇</t>
  </si>
  <si>
    <t>mushroom</t>
  </si>
  <si>
    <t>巨型的蘑菇，采集可获得大量蘑菇。</t>
  </si>
  <si>
    <t>巨树</t>
  </si>
  <si>
    <t>big_tree</t>
  </si>
  <si>
    <t>巨大的树木，砍伐可获得大量木头。</t>
  </si>
  <si>
    <t>巨型蛋</t>
  </si>
  <si>
    <t>monster_egg</t>
  </si>
  <si>
    <t>外壳坚硬的巨型蛋，不知道会孵化出什么东西。</t>
  </si>
  <si>
    <t>沉船遗迹</t>
  </si>
  <si>
    <t>wreck_remains</t>
  </si>
  <si>
    <t>国库</t>
  </si>
  <si>
    <t>皇家设施</t>
  </si>
  <si>
    <t>小城堡</t>
  </si>
  <si>
    <t>聚居地</t>
  </si>
  <si>
    <t>castle1</t>
  </si>
  <si>
    <t/>
  </si>
  <si>
    <t>大城堡</t>
  </si>
  <si>
    <t>castle2</t>
  </si>
  <si>
    <t>小村庄</t>
  </si>
  <si>
    <t>village2</t>
  </si>
  <si>
    <t>大村庄</t>
  </si>
  <si>
    <t>village3</t>
  </si>
  <si>
    <t>渔村</t>
  </si>
  <si>
    <t>village1</t>
  </si>
  <si>
    <t>小部落</t>
  </si>
  <si>
    <t>tribe1</t>
  </si>
  <si>
    <t>大部落</t>
  </si>
  <si>
    <t>tribe2</t>
  </si>
  <si>
    <t>奇观</t>
  </si>
  <si>
    <t>obelisk</t>
  </si>
  <si>
    <t>titan_hand</t>
  </si>
  <si>
    <t>菜豆</t>
  </si>
  <si>
    <t>食物</t>
  </si>
  <si>
    <t>蔬菜</t>
  </si>
  <si>
    <t>加饥饿值</t>
  </si>
  <si>
    <t>stuff_on_map</t>
  </si>
  <si>
    <t>居民喜欢的一种蔬菜</t>
  </si>
  <si>
    <t>卷心菜</t>
  </si>
  <si>
    <t>辣椒</t>
  </si>
  <si>
    <t>南瓜</t>
  </si>
  <si>
    <t>笋瓜</t>
  </si>
  <si>
    <t>蘑菇</t>
  </si>
  <si>
    <t>采集蔬菜</t>
  </si>
  <si>
    <t>居民喜欢的一种蔬菜，从野外采集</t>
  </si>
  <si>
    <t>洋葱</t>
  </si>
  <si>
    <t>玉米</t>
  </si>
  <si>
    <t>粮食</t>
  </si>
  <si>
    <t>居民喜欢的粮食之一</t>
  </si>
  <si>
    <t>土豆</t>
  </si>
  <si>
    <t>小麦</t>
  </si>
  <si>
    <t>木薯</t>
  </si>
  <si>
    <t>采集粮食</t>
  </si>
  <si>
    <t>居民喜欢的粮食之一，山地上采集获得</t>
  </si>
  <si>
    <t>苹果</t>
  </si>
  <si>
    <t>水果</t>
  </si>
  <si>
    <t>深受人们喜欢的一种水果</t>
  </si>
  <si>
    <t>樱桃</t>
  </si>
  <si>
    <t>红润剔透的小颗粒水果，也不少人喜欢樱桃酒</t>
  </si>
  <si>
    <t>梨</t>
  </si>
  <si>
    <t>甜美多汁的水果</t>
  </si>
  <si>
    <t>梅子</t>
  </si>
  <si>
    <t>梅子酿酒酸甜辛辣，余韵无穷</t>
  </si>
  <si>
    <t>核桃</t>
  </si>
  <si>
    <t>高蛋白质的坚果，营养丰富</t>
  </si>
  <si>
    <t>浆果</t>
  </si>
  <si>
    <t>采集水果</t>
  </si>
  <si>
    <t>森间采摘的野果，也有人喜欢用它酿造果酒</t>
  </si>
  <si>
    <t>鱼</t>
  </si>
  <si>
    <t>肉类</t>
  </si>
  <si>
    <t>肉制品，钓鱼码头获得</t>
  </si>
  <si>
    <t>肉</t>
  </si>
  <si>
    <t>鸡蛋</t>
  </si>
  <si>
    <t>螃蟹</t>
  </si>
  <si>
    <t>肉制品，蟹笼捕捞获得</t>
  </si>
  <si>
    <t>龙虾</t>
  </si>
  <si>
    <t>简单食物</t>
  </si>
  <si>
    <t>烹饪食品</t>
  </si>
  <si>
    <t>由包含肉食的两种食材，或全肉食烹饪而来。</t>
  </si>
  <si>
    <t>精致食物</t>
  </si>
  <si>
    <t>由主食，肉类，再加蔬菜或水果烹饪而来，或简单食物加蜂蜜调制而来。</t>
  </si>
  <si>
    <t>黑暗料理</t>
  </si>
  <si>
    <t>粗糙食物</t>
  </si>
  <si>
    <t>由单一素食食材烹饪而来。</t>
  </si>
  <si>
    <t>蜂蜜</t>
  </si>
  <si>
    <t>美味的高级食材，可将简单食物，转变为精致食物</t>
  </si>
  <si>
    <t>烈酒</t>
  </si>
  <si>
    <t>加工品</t>
  </si>
  <si>
    <t>酒水</t>
  </si>
  <si>
    <t>非常受欢迎的饮品。</t>
  </si>
  <si>
    <t>果酒</t>
  </si>
  <si>
    <t>柴火</t>
  </si>
  <si>
    <t>取暖</t>
  </si>
  <si>
    <t>燃料系数</t>
  </si>
  <si>
    <t>生火取暖必需。</t>
  </si>
  <si>
    <t>普通工具</t>
  </si>
  <si>
    <t>工具</t>
  </si>
  <si>
    <t>效率加成</t>
  </si>
  <si>
    <t>比徒手工作效率提高2倍。</t>
  </si>
  <si>
    <t>优质工具</t>
  </si>
  <si>
    <t>比徒手工作效率提高3倍，且耐久度提高一倍。</t>
  </si>
  <si>
    <t>简单工具</t>
  </si>
  <si>
    <t>比徒手工作效率提高1.5倍。</t>
  </si>
  <si>
    <t>皮夹克</t>
  </si>
  <si>
    <t>衣服</t>
  </si>
  <si>
    <t>热量流失系数</t>
  </si>
  <si>
    <t>居民热量流失速度减小到80%。</t>
  </si>
  <si>
    <t>羊毛衫</t>
  </si>
  <si>
    <t>居民热量流失速度减小到70%。</t>
  </si>
  <si>
    <t>保暖衣</t>
  </si>
  <si>
    <t>居民热量流失速度减小到50%。</t>
  </si>
  <si>
    <t>战车</t>
  </si>
  <si>
    <t>stuff_chariot</t>
  </si>
  <si>
    <t>钢铁之心</t>
  </si>
  <si>
    <t>泰坦之心</t>
  </si>
  <si>
    <t>泰坦怪物ID</t>
  </si>
  <si>
    <t>stuff_on_map_of_titan_heart</t>
  </si>
  <si>
    <t>熔岩之心</t>
  </si>
  <si>
    <t>寒冰之心</t>
  </si>
  <si>
    <t>森林之心</t>
  </si>
  <si>
    <t>咖啡</t>
  </si>
  <si>
    <t>零食</t>
  </si>
  <si>
    <t>短时间提高居民工作效率</t>
  </si>
  <si>
    <t>巧克力</t>
  </si>
  <si>
    <t>简单武器</t>
  </si>
  <si>
    <t>武器</t>
  </si>
  <si>
    <t>等级序号</t>
  </si>
  <si>
    <t>普通武器</t>
  </si>
  <si>
    <t>优良武器</t>
  </si>
  <si>
    <t>高级武器</t>
  </si>
  <si>
    <t>稀有武器</t>
  </si>
  <si>
    <t>特殊武器</t>
  </si>
  <si>
    <t>极品武器</t>
  </si>
  <si>
    <t>传说武器</t>
  </si>
  <si>
    <t>史诗武器</t>
  </si>
  <si>
    <t>简单盾牌</t>
  </si>
  <si>
    <t>盾牌</t>
  </si>
  <si>
    <t>普通盾牌</t>
  </si>
  <si>
    <t>优良盾牌</t>
  </si>
  <si>
    <t>高级盾牌</t>
  </si>
  <si>
    <t>稀有盾牌</t>
  </si>
  <si>
    <t>特殊盾牌</t>
  </si>
  <si>
    <t>极品盾牌</t>
  </si>
  <si>
    <t>传说盾牌</t>
  </si>
  <si>
    <t>史诗盾牌</t>
  </si>
  <si>
    <t>简单盔甲</t>
  </si>
  <si>
    <t>盔甲</t>
  </si>
  <si>
    <t>普通盔甲</t>
  </si>
  <si>
    <t>优良盔甲</t>
  </si>
  <si>
    <t>高级盔甲</t>
  </si>
  <si>
    <t>稀有盔甲</t>
  </si>
  <si>
    <t>特殊盔甲</t>
  </si>
  <si>
    <t>极品盔甲</t>
  </si>
  <si>
    <t>传说盔甲</t>
  </si>
  <si>
    <t>史诗盔甲</t>
  </si>
  <si>
    <t>车</t>
  </si>
  <si>
    <t>四轮马车</t>
  </si>
  <si>
    <t>蘑菇精华</t>
  </si>
  <si>
    <t>合成品</t>
  </si>
  <si>
    <t>特殊药物</t>
  </si>
  <si>
    <t>延长的寿命</t>
  </si>
  <si>
    <t>从蘑菇中提取的精华物质，延年益寿，居民服用后，寿命延长30岁。</t>
  </si>
  <si>
    <t>增加颜值</t>
  </si>
  <si>
    <t>雨伞</t>
  </si>
  <si>
    <t>居民在雨天打伞，避免因淋雨感冒。</t>
  </si>
  <si>
    <t>皮包</t>
  </si>
  <si>
    <t>居民随身携带，装食物及偏好的物品</t>
  </si>
  <si>
    <t>药茶</t>
  </si>
  <si>
    <t>一种用草药和蜂蜜调制而成的饮品，可令人心情愉悦，烦恼消散。</t>
  </si>
  <si>
    <t>火药</t>
  </si>
  <si>
    <t>易燃易爆的粉末</t>
  </si>
  <si>
    <t>榴弹</t>
  </si>
  <si>
    <t>炮弹</t>
  </si>
  <si>
    <t>炸弹魔法ID</t>
  </si>
  <si>
    <t>落地后，可产生范围伤害</t>
  </si>
  <si>
    <t>铁弹</t>
  </si>
  <si>
    <t>落地后，可对敌人产生致命伤害，能摧毁建筑</t>
  </si>
  <si>
    <t>巨型炸弹</t>
  </si>
  <si>
    <t>落地后，可产生范围伤害。对敌人产生致命伤害，能摧毁建筑</t>
  </si>
  <si>
    <t>炸弹果</t>
  </si>
  <si>
    <t>精英炸弹果</t>
  </si>
  <si>
    <t>书籍</t>
  </si>
  <si>
    <t>兵法书</t>
  </si>
  <si>
    <t>鸡</t>
  </si>
  <si>
    <t>动物</t>
  </si>
  <si>
    <t>家养动物</t>
  </si>
  <si>
    <t>animal_chicken</t>
  </si>
  <si>
    <t>羊</t>
  </si>
  <si>
    <t>animal_sheep</t>
  </si>
  <si>
    <t>牛</t>
  </si>
  <si>
    <t>马</t>
  </si>
  <si>
    <t>animal_horse</t>
  </si>
  <si>
    <t>可以拉车运输，也可作为骑兵坐骑。</t>
  </si>
  <si>
    <t>猪</t>
  </si>
  <si>
    <t>animal_wildboar</t>
  </si>
  <si>
    <t>被驯化的猪，日常产出大量粪便，被宰杀后可获得肉。</t>
  </si>
  <si>
    <t>驯狼</t>
  </si>
  <si>
    <t>animal_wolf</t>
  </si>
  <si>
    <t>被驯化的狼，可作为骑兵坐骑，灵活勇猛。</t>
  </si>
  <si>
    <t>鹿</t>
  </si>
  <si>
    <t>野生动物</t>
  </si>
  <si>
    <t>animal_deer</t>
  </si>
  <si>
    <t>不可被驯化的动物。</t>
  </si>
  <si>
    <t>野马</t>
  </si>
  <si>
    <t>horse01</t>
  </si>
  <si>
    <t>野猪</t>
  </si>
  <si>
    <t>wildboar01</t>
  </si>
  <si>
    <t>野狼</t>
  </si>
  <si>
    <t>wolf01</t>
  </si>
  <si>
    <t>猫</t>
  </si>
  <si>
    <t>宠物</t>
  </si>
  <si>
    <t>战马</t>
  </si>
  <si>
    <t>战斗坐骑</t>
  </si>
  <si>
    <t>战猪</t>
  </si>
  <si>
    <t>战狼</t>
  </si>
  <si>
    <t>马坐骑</t>
  </si>
  <si>
    <t>普通坐骑</t>
  </si>
  <si>
    <t>猪坐骑</t>
  </si>
  <si>
    <t>狼坐骑</t>
  </si>
  <si>
    <t>煤</t>
  </si>
  <si>
    <t>原料</t>
  </si>
  <si>
    <t>煤可用于锻造生铁，是打造优质工具和武器必备的材料。燃烧效用是柴火的5倍。</t>
  </si>
  <si>
    <t>草药</t>
  </si>
  <si>
    <t>药物</t>
  </si>
  <si>
    <t>野外采集获得，治病救人不可或缺。</t>
  </si>
  <si>
    <t>生命药水</t>
  </si>
  <si>
    <t>将草药提炼加工获得的药水，包治百病。且三年内免疫感冒和传染病。士兵可随身携带，军中必备。</t>
  </si>
  <si>
    <t>铁锭</t>
  </si>
  <si>
    <t>金属</t>
  </si>
  <si>
    <t>铁是制作工具和武器的关键材料。</t>
  </si>
  <si>
    <t>秘银锭</t>
  </si>
  <si>
    <t>一种轻质坚韧的金属，是打造盔甲的上好材料。</t>
  </si>
  <si>
    <t>精金锭</t>
  </si>
  <si>
    <t>一种无坚不摧的金属，是打造武器的上好材料。</t>
  </si>
  <si>
    <t>山铜锭</t>
  </si>
  <si>
    <t>一种坚不可摧的金属，是打造盾牌的上好材料。</t>
  </si>
  <si>
    <t>原木</t>
  </si>
  <si>
    <t>砍伐树木获得。</t>
  </si>
  <si>
    <t>石料</t>
  </si>
  <si>
    <t>石料是建造建筑设施的基础材料。</t>
  </si>
  <si>
    <t>皮革</t>
  </si>
  <si>
    <t>衣料</t>
  </si>
  <si>
    <t>打猎，养牛可获得皮革，制衣材料，武器装备材料</t>
  </si>
  <si>
    <t>羊毛</t>
  </si>
  <si>
    <t>养羊可获得羊毛，制衣材料</t>
  </si>
  <si>
    <t>白银</t>
  </si>
  <si>
    <t>银</t>
  </si>
  <si>
    <t>稀有贵金属，白色。</t>
  </si>
  <si>
    <t>黄金</t>
  </si>
  <si>
    <t>金</t>
  </si>
  <si>
    <t>稀有贵金属，金黄澄亮。</t>
  </si>
  <si>
    <t>肥料</t>
  </si>
  <si>
    <t>肥料撒在地里，可以促进作物生长，提高产量。</t>
  </si>
  <si>
    <t>粪便放入堆肥桶中，可以转化为肥料。</t>
  </si>
  <si>
    <t>腐败食物</t>
  </si>
  <si>
    <t>灰烬</t>
  </si>
  <si>
    <t>咖啡豆</t>
  </si>
  <si>
    <t>零食原料</t>
  </si>
  <si>
    <t>可可豆</t>
  </si>
  <si>
    <t>红宝石</t>
  </si>
  <si>
    <t>宝石</t>
  </si>
  <si>
    <t>蓝宝石</t>
  </si>
  <si>
    <t>绿宝石</t>
  </si>
  <si>
    <t>金蛋</t>
  </si>
  <si>
    <t>材质为黄金的蛋。</t>
  </si>
  <si>
    <t>龙涎香</t>
  </si>
  <si>
    <t>香料</t>
  </si>
  <si>
    <t>产自于大鱼体内的一种香料。</t>
  </si>
  <si>
    <t>红宝石碎片</t>
  </si>
  <si>
    <t>宝石碎片</t>
  </si>
  <si>
    <t>可合成红宝石。</t>
  </si>
  <si>
    <t>蓝宝石碎片</t>
  </si>
  <si>
    <t>可合成蓝宝石。</t>
  </si>
  <si>
    <t>绿宝石碎片</t>
  </si>
  <si>
    <t>可合成绿宝石。</t>
  </si>
  <si>
    <t>矿石</t>
  </si>
  <si>
    <t>精金矿</t>
  </si>
  <si>
    <t>山铜矿</t>
  </si>
  <si>
    <t>菜豆种子</t>
  </si>
  <si>
    <t>种子</t>
  </si>
  <si>
    <t>农田种子</t>
  </si>
  <si>
    <t>卷心菜种子</t>
  </si>
  <si>
    <t>辣椒种子</t>
  </si>
  <si>
    <t>蔬菜作物，产量高，需肥料多，生长较快，有点怕低温。</t>
  </si>
  <si>
    <t>南瓜种子</t>
  </si>
  <si>
    <t>笋瓜种子</t>
  </si>
  <si>
    <t>蔬菜作物，产量中，水份和肥料需求低，生长速度中等，有一定抗寒能力。</t>
  </si>
  <si>
    <t>玉米种子</t>
  </si>
  <si>
    <t>土豆种子</t>
  </si>
  <si>
    <t>粮食作物，产量中，肥料需求高，生长较快，不耐寒。</t>
  </si>
  <si>
    <t>小麦种子</t>
  </si>
  <si>
    <t>苹果树种子</t>
  </si>
  <si>
    <t>果园种子</t>
  </si>
  <si>
    <t>深受人们喜欢的一种水果。</t>
  </si>
  <si>
    <t>樱桃树种子</t>
  </si>
  <si>
    <t>红润剔透的小颗粒水果，也不少人喜欢樱桃酒。</t>
  </si>
  <si>
    <t>梨树种子</t>
  </si>
  <si>
    <t>甜美多汁的水果。</t>
  </si>
  <si>
    <t>梅子树种子</t>
  </si>
  <si>
    <t>梅子酿酒酸甜辛辣，余韵无穷。</t>
  </si>
  <si>
    <t>核桃树种子</t>
  </si>
  <si>
    <t>高蛋白质的坚果，营养丰富。</t>
  </si>
  <si>
    <t>蓝十字花</t>
  </si>
  <si>
    <t>花种子</t>
  </si>
  <si>
    <t>十字形，蓝色小花。晚春开花，花期持续3个月。</t>
  </si>
  <si>
    <t>红十字花</t>
  </si>
  <si>
    <t>十字形，红色小花。初夏开花，花期持续3个月。</t>
  </si>
  <si>
    <t>牡丹花</t>
  </si>
  <si>
    <t>牡丹花，寓意富贵。仲夏开花，花期持续3个月。</t>
  </si>
  <si>
    <t>黄钻花</t>
  </si>
  <si>
    <t>黄色钻石状花。夏末开花，花期持续3个月。</t>
  </si>
  <si>
    <t>蓝钻花</t>
  </si>
  <si>
    <t>蓝色钻石状花。早秋开花，花期持续3个月。</t>
  </si>
  <si>
    <t>风铃花</t>
  </si>
  <si>
    <t>风铃状小花。仲秋开花，花期持续3个月。</t>
  </si>
  <si>
    <t>百合花</t>
  </si>
  <si>
    <t>单支百合花。晚秋开花，花期持续3个月。</t>
  </si>
  <si>
    <t>杜鹃花</t>
  </si>
  <si>
    <t>一团杜鹃花。初夏开花，花期持续5个月。</t>
  </si>
  <si>
    <t>农夫雕像</t>
  </si>
  <si>
    <t>雕像</t>
  </si>
  <si>
    <t>精灵雕像</t>
  </si>
  <si>
    <t>士兵雕像</t>
  </si>
  <si>
    <t>渔夫雕像</t>
  </si>
  <si>
    <t>牧民雕像</t>
  </si>
  <si>
    <t>货船</t>
  </si>
  <si>
    <t>船</t>
  </si>
  <si>
    <t>ship_706001</t>
  </si>
  <si>
    <t>可以载人或运货的船</t>
  </si>
  <si>
    <t>战舰</t>
  </si>
  <si>
    <t>ship_706002</t>
  </si>
  <si>
    <t>装有大炮，用于作战的船</t>
  </si>
  <si>
    <t>巨型战舰</t>
  </si>
  <si>
    <t>ship_706003</t>
  </si>
  <si>
    <t>战斗力强悍的巨型舰船</t>
  </si>
  <si>
    <t>死亡的鸡</t>
  </si>
  <si>
    <t>死亡的动物</t>
  </si>
  <si>
    <t>dead_body_chicken</t>
  </si>
  <si>
    <t>死亡的羊</t>
  </si>
  <si>
    <t>dead_body_sheep</t>
  </si>
  <si>
    <t>死亡的牛</t>
  </si>
  <si>
    <t>死亡的马</t>
  </si>
  <si>
    <t>dead_body_horse</t>
  </si>
  <si>
    <t>死亡的猪</t>
  </si>
  <si>
    <t>死亡的狼</t>
  </si>
  <si>
    <t>dead_body_wolf</t>
  </si>
  <si>
    <t>死亡的鹿</t>
  </si>
  <si>
    <t>种子商人贸易船</t>
  </si>
  <si>
    <t>ship1</t>
  </si>
  <si>
    <t>食品商人贸易船</t>
  </si>
  <si>
    <t>ship2</t>
  </si>
  <si>
    <t>杂货商人贸易船</t>
  </si>
  <si>
    <t>ship3</t>
  </si>
  <si>
    <t>牲畜商人贸易船</t>
  </si>
  <si>
    <t>ship4</t>
  </si>
  <si>
    <t>代购商人贸易船</t>
  </si>
  <si>
    <t>ship5</t>
  </si>
  <si>
    <t>水</t>
  </si>
  <si>
    <t>图标</t>
  </si>
  <si>
    <t>尸体</t>
  </si>
  <si>
    <t>大鱼</t>
  </si>
  <si>
    <t>已宰杀的动物</t>
  </si>
  <si>
    <t>dead_body_big_fish</t>
  </si>
  <si>
    <t>种子商人</t>
  </si>
  <si>
    <t>商人</t>
  </si>
  <si>
    <t>empty_gameobject</t>
  </si>
  <si>
    <t>食品商人</t>
  </si>
  <si>
    <t>杂货商人</t>
  </si>
  <si>
    <t>牲畜商人</t>
  </si>
  <si>
    <t>货物容量</t>
  </si>
  <si>
    <t>wagon1_horse_no_npc</t>
  </si>
  <si>
    <t>ui_416001</t>
  </si>
  <si>
    <t>wagon2_horse_no_npc</t>
  </si>
  <si>
    <t>ui_416002</t>
  </si>
  <si>
    <t>马战车</t>
  </si>
  <si>
    <t>狼战车</t>
  </si>
  <si>
    <t>猪战车</t>
  </si>
  <si>
    <t>???</t>
  </si>
  <si>
    <t>未知</t>
  </si>
  <si>
    <t>未知物品。</t>
  </si>
  <si>
    <t>鼻涕</t>
  </si>
  <si>
    <t>鼻涕，传染病传播媒介，居民接触到，就会感染疾病。</t>
  </si>
  <si>
    <t>宝藏标记</t>
  </si>
  <si>
    <t>场景元素</t>
  </si>
  <si>
    <t>treasure_mark</t>
  </si>
  <si>
    <t>据说这个区域里，埋有宝藏。</t>
  </si>
  <si>
    <t>宝箱</t>
  </si>
  <si>
    <t>装有宝物的箱子。</t>
  </si>
  <si>
    <t>一神教</t>
  </si>
  <si>
    <t>其它</t>
  </si>
  <si>
    <t>信仰</t>
  </si>
  <si>
    <t>仁义道</t>
  </si>
  <si>
    <t>萨满教</t>
  </si>
  <si>
    <t>崇拜各种奇特自然现象，将其作为神灵的化身，对未知事物充满警惕。</t>
  </si>
  <si>
    <t>登山技术</t>
  </si>
  <si>
    <t>技术思想</t>
  </si>
  <si>
    <t>石匠技术</t>
  </si>
  <si>
    <t>贸易</t>
  </si>
  <si>
    <t>酿酒</t>
  </si>
  <si>
    <t>教育</t>
  </si>
  <si>
    <t>文化信仰</t>
  </si>
  <si>
    <t>医疗</t>
  </si>
  <si>
    <t>制药</t>
  </si>
  <si>
    <t>轮伐护林</t>
  </si>
  <si>
    <t>手工制造</t>
  </si>
  <si>
    <t>地下采矿</t>
  </si>
  <si>
    <t>地下采石</t>
  </si>
  <si>
    <t>福利事业</t>
  </si>
  <si>
    <t>施肥增产</t>
  </si>
  <si>
    <t>成片播种</t>
  </si>
  <si>
    <t>成片浇水</t>
  </si>
  <si>
    <t>成片收割</t>
  </si>
  <si>
    <t>采集</t>
  </si>
  <si>
    <t>一神教思想</t>
  </si>
  <si>
    <t>仁义道思想</t>
  </si>
  <si>
    <t>狩猎</t>
  </si>
  <si>
    <t>捕鱼</t>
  </si>
  <si>
    <t>养殖</t>
  </si>
  <si>
    <t>养蜂</t>
  </si>
  <si>
    <t>锻造</t>
  </si>
  <si>
    <t>弓矢</t>
  </si>
  <si>
    <t>弩机</t>
  </si>
  <si>
    <t>巨盾</t>
  </si>
  <si>
    <t>填水造陆</t>
  </si>
  <si>
    <t>开挖河道</t>
  </si>
  <si>
    <t>边境贸易</t>
  </si>
  <si>
    <t>马车运输</t>
  </si>
  <si>
    <t>个人意识</t>
  </si>
  <si>
    <t>灵感</t>
  </si>
  <si>
    <t>居民在休息和闲逛时积累灵感（累计时间1天加1点灵感），灵感爆发时（满100），工作效率极大提高，作用持续一段时间。居民幸福度，会影响灵感积累。</t>
  </si>
  <si>
    <t>勇气</t>
  </si>
  <si>
    <t>居民遭受袭击时，用拳头反击</t>
  </si>
  <si>
    <t>自由恋爱</t>
  </si>
  <si>
    <t>居民择偶时，倾向于同龄人。丧偶后，可再婚。</t>
  </si>
  <si>
    <t>惩罚制度</t>
  </si>
  <si>
    <t>流放居民，威慑其它居民，短期抑制个人偏好及抗议情绪</t>
  </si>
  <si>
    <t>奖励制度</t>
  </si>
  <si>
    <t>怪物驯化</t>
  </si>
  <si>
    <t>开山采石</t>
  </si>
  <si>
    <t>航海术</t>
  </si>
  <si>
    <t>弹道</t>
  </si>
  <si>
    <t>精确计算炮弹落点，降低误差</t>
  </si>
  <si>
    <t>旅店</t>
  </si>
  <si>
    <t>制裁</t>
  </si>
  <si>
    <t>信仰之力</t>
  </si>
  <si>
    <t>狂热</t>
  </si>
  <si>
    <t>神爱世人</t>
  </si>
  <si>
    <t>天下归心</t>
  </si>
  <si>
    <t>救民水火</t>
  </si>
  <si>
    <t>浩然正气</t>
  </si>
  <si>
    <t>闪电</t>
  </si>
  <si>
    <t>图腾召唤</t>
  </si>
  <si>
    <t>上天恩赐</t>
  </si>
  <si>
    <t>医疗区</t>
  </si>
  <si>
    <t>敢死队</t>
  </si>
  <si>
    <t>守护</t>
  </si>
  <si>
    <t>捕获陷阱</t>
  </si>
  <si>
    <t>小闪电</t>
  </si>
  <si>
    <t>骷髅爆炸</t>
  </si>
  <si>
    <t>蘑菇爆炸</t>
  </si>
  <si>
    <t>地面毒液</t>
  </si>
  <si>
    <t>榴弹爆炸</t>
  </si>
  <si>
    <t>铁弹爆炸</t>
  </si>
  <si>
    <t>巨型炸弹爆炸</t>
  </si>
  <si>
    <t>天降冰柱</t>
  </si>
  <si>
    <t>流星陨落</t>
  </si>
  <si>
    <t>万物复苏</t>
  </si>
  <si>
    <t>冰封千里</t>
  </si>
  <si>
    <t>钢铁护盾</t>
  </si>
  <si>
    <t>求同存异，天下大同</t>
  </si>
  <si>
    <t>外交思想</t>
  </si>
  <si>
    <t>顺我者昌，逆我者亡</t>
  </si>
  <si>
    <t>吾即为法，利即是义</t>
  </si>
  <si>
    <t>受命于天，君敬臣忠</t>
  </si>
  <si>
    <t>内政思想</t>
  </si>
  <si>
    <t>强调治理天下是君王天职，君臣之间，尊崇礼义道德。
子领地忠诚度，受臣子受教育程度影响。</t>
  </si>
  <si>
    <t>乱世天下，能者居之</t>
  </si>
  <si>
    <t>崇尚强权，弱肉强食。对内奖励军功，对外武力征服。
子领地忠诚度，受君主臣子实力对比影响。</t>
  </si>
  <si>
    <t>君权神授，契约永存</t>
  </si>
  <si>
    <t>从人与神的契约，演伸出人与人的契约，形成社会权利和义务。
子领地忠诚度，受君主信用度影响。</t>
  </si>
  <si>
    <t>拳头</t>
  </si>
  <si>
    <t>magic_treatment_buff</t>
  </si>
  <si>
    <t>战场上的医疗区，用于加速回血</t>
  </si>
  <si>
    <t>毒液区</t>
  </si>
  <si>
    <t>magic_poison_buff</t>
  </si>
  <si>
    <t>钉甲虫</t>
  </si>
  <si>
    <t>战斗单位</t>
  </si>
  <si>
    <t>怪物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</si>
  <si>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</t>
    </r>
  </si>
  <si>
    <t>幻书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</si>
  <si>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2</t>
    </r>
  </si>
  <si>
    <t>骷髅战士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</si>
  <si>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3</t>
    </r>
  </si>
  <si>
    <t>钉剌蜗牛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</si>
  <si>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4</t>
    </r>
  </si>
  <si>
    <t>一种变异的蜗牛，性情凶狠，且在爬行路径上，遗留携带传染病的粘液。</t>
  </si>
  <si>
    <t>魔血巨眼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</si>
  <si>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5</t>
    </r>
  </si>
  <si>
    <t>魔蟹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</si>
  <si>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6</t>
    </r>
  </si>
  <si>
    <t>一种螃蟹类怪物，会主动攻击人，喜欢吃鱼。</t>
  </si>
  <si>
    <t>自爆蘑菇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</si>
  <si>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7</t>
    </r>
  </si>
  <si>
    <t>由巨型蘑菇的怒气凝聚而成，会以自爆的方式，还击侵扰者。</t>
  </si>
  <si>
    <t>鬼手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</si>
  <si>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8</t>
    </r>
  </si>
  <si>
    <t>蚊群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</si>
  <si>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9</t>
    </r>
  </si>
  <si>
    <t>史莱姆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</si>
  <si>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10</t>
    </r>
  </si>
  <si>
    <t>外表人畜无害，不会主动攻击成年人。喜食农作物，对黑暗料理着迷。</t>
  </si>
  <si>
    <t>巨齿兽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</si>
  <si>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11</t>
    </r>
  </si>
  <si>
    <t>小眼睛大嘴巴的巨兽，喜欢吃肉，会吞噬尸体。</t>
  </si>
  <si>
    <t>巨蚊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</si>
  <si>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12</t>
    </r>
  </si>
  <si>
    <t>青蛇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</si>
  <si>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13</t>
    </r>
  </si>
  <si>
    <t>幽浮章鱼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</si>
  <si>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14</t>
    </r>
  </si>
  <si>
    <t>食人花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</si>
  <si>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15</t>
    </r>
  </si>
  <si>
    <t>毒蜂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</si>
  <si>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16</t>
    </r>
  </si>
  <si>
    <t>体型巨大的蜂，喜食蜂蜜。</t>
  </si>
  <si>
    <t>毒蜂幼虫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</si>
  <si>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17</t>
    </r>
  </si>
  <si>
    <t>幼虫，没有攻击力。</t>
  </si>
  <si>
    <t>蠹虫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</si>
  <si>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18</t>
    </r>
  </si>
  <si>
    <t>一种喜欢啃噬木头的蠕虫。</t>
  </si>
  <si>
    <t>蠹虫幼虫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</si>
  <si>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19</t>
    </r>
  </si>
  <si>
    <t>幽灵</t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</si>
  <si>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20</t>
    </r>
  </si>
  <si>
    <t>魔血小眼</t>
  </si>
  <si>
    <t>monster21</t>
  </si>
  <si>
    <t>蝙蝠</t>
  </si>
  <si>
    <t>monster22</t>
  </si>
  <si>
    <t>钢铁泰坦</t>
  </si>
  <si>
    <t>monster23</t>
  </si>
  <si>
    <t>熔岩泰坦</t>
  </si>
  <si>
    <t>monster24</t>
  </si>
  <si>
    <t>寒冰泰坦</t>
  </si>
  <si>
    <t>monster25</t>
  </si>
  <si>
    <t>森林泰坦</t>
  </si>
  <si>
    <t>monster26</t>
  </si>
  <si>
    <t>坚甲犀牛</t>
  </si>
  <si>
    <t>monster27</t>
  </si>
  <si>
    <t>寄居蟹</t>
  </si>
  <si>
    <t>monster28</t>
  </si>
  <si>
    <t>海盗王</t>
  </si>
  <si>
    <t>monster29</t>
  </si>
  <si>
    <t>海盗头目</t>
  </si>
  <si>
    <t>monster30</t>
  </si>
  <si>
    <t>暗夜收割者</t>
  </si>
  <si>
    <t>monster31</t>
  </si>
  <si>
    <t>monster32</t>
  </si>
  <si>
    <t>钻地虫</t>
  </si>
  <si>
    <t>monster34</t>
  </si>
  <si>
    <t>刺毛虫</t>
  </si>
  <si>
    <t>monster35</t>
  </si>
  <si>
    <t>1级钉甲虫</t>
  </si>
  <si>
    <t>1级幻书</t>
  </si>
  <si>
    <t>1级骷髅战士</t>
  </si>
  <si>
    <t>1级钉剌蜗牛</t>
  </si>
  <si>
    <t>1级魔血巨眼</t>
  </si>
  <si>
    <t>1级魔蟹</t>
  </si>
  <si>
    <t>1级自爆蘑菇</t>
  </si>
  <si>
    <t>1级鬼手</t>
  </si>
  <si>
    <t>1级蚊群</t>
  </si>
  <si>
    <t>1级史莱姆</t>
  </si>
  <si>
    <t>1级巨齿兽</t>
  </si>
  <si>
    <t>1级巨蚊</t>
  </si>
  <si>
    <t>1级青蛇</t>
  </si>
  <si>
    <t>1级幽浮章鱼</t>
  </si>
  <si>
    <t>1级食人花</t>
  </si>
  <si>
    <t>1级毒蜂</t>
  </si>
  <si>
    <t>1级毒蜂幼虫</t>
  </si>
  <si>
    <t>1级蠹虫</t>
  </si>
  <si>
    <t>1级蠹虫幼虫</t>
  </si>
  <si>
    <t>1级幽灵</t>
  </si>
  <si>
    <t>1级魔血小眼</t>
  </si>
  <si>
    <t>2级钉甲虫</t>
  </si>
  <si>
    <t>monster1_1</t>
  </si>
  <si>
    <t>2级幻书</t>
  </si>
  <si>
    <t>monster2_1</t>
  </si>
  <si>
    <t>2级骷髅战士</t>
  </si>
  <si>
    <t>monster3_1</t>
  </si>
  <si>
    <t>2级钉剌蜗牛</t>
  </si>
  <si>
    <t>monster4_1</t>
  </si>
  <si>
    <t>2级魔血巨眼</t>
  </si>
  <si>
    <t>monster5_1</t>
  </si>
  <si>
    <t>2级魔蟹</t>
  </si>
  <si>
    <t>monster6_1</t>
  </si>
  <si>
    <t>2级自爆蘑菇</t>
  </si>
  <si>
    <t>monster7_1</t>
  </si>
  <si>
    <t>2级鬼手</t>
  </si>
  <si>
    <t>monster8_1</t>
  </si>
  <si>
    <t>2级蚊群</t>
  </si>
  <si>
    <t>monster9_1</t>
  </si>
  <si>
    <t>2级史莱姆</t>
  </si>
  <si>
    <t>monster10_1</t>
  </si>
  <si>
    <t>2级巨齿兽</t>
  </si>
  <si>
    <t>monster11_1</t>
  </si>
  <si>
    <t>2级巨蚊</t>
  </si>
  <si>
    <t>monster12_1</t>
  </si>
  <si>
    <t>2级蟒蛇</t>
  </si>
  <si>
    <t>monster13_1</t>
  </si>
  <si>
    <t>2级幽浮章鱼</t>
  </si>
  <si>
    <t>monster14_1</t>
  </si>
  <si>
    <t>2级食人花</t>
  </si>
  <si>
    <t>monster15_1</t>
  </si>
  <si>
    <t>2级毒蜂</t>
  </si>
  <si>
    <t>monster16_1</t>
  </si>
  <si>
    <t>2级毒蜂幼虫</t>
  </si>
  <si>
    <t>monster17_1</t>
  </si>
  <si>
    <t>2级蠹虫</t>
  </si>
  <si>
    <t>monster18_1</t>
  </si>
  <si>
    <t>2级蠹虫幼虫</t>
  </si>
  <si>
    <t>monster19_1</t>
  </si>
  <si>
    <t>2级幽灵</t>
  </si>
  <si>
    <t>monster20_1</t>
  </si>
  <si>
    <t>2级魔血小眼</t>
  </si>
  <si>
    <t>monster21_1</t>
  </si>
  <si>
    <t>3级钉甲虫</t>
  </si>
  <si>
    <t>3级幻书</t>
  </si>
  <si>
    <t>3级骷髅战士</t>
  </si>
  <si>
    <t>3级钉剌蜗牛</t>
  </si>
  <si>
    <t>3级魔血巨眼</t>
  </si>
  <si>
    <t>3级魔蟹</t>
  </si>
  <si>
    <t>3级自爆蘑菇</t>
  </si>
  <si>
    <t>3级鬼手</t>
  </si>
  <si>
    <t>3级蚊群</t>
  </si>
  <si>
    <t>3级史莱姆</t>
  </si>
  <si>
    <t>3级巨齿兽</t>
  </si>
  <si>
    <t>3级巨蚊</t>
  </si>
  <si>
    <t>3级青蛇</t>
  </si>
  <si>
    <t>3级幽浮章鱼</t>
  </si>
  <si>
    <t>3级食人花</t>
  </si>
  <si>
    <t>3级毒蜂</t>
  </si>
  <si>
    <t>3级毒蜂幼虫</t>
  </si>
  <si>
    <t>3级蠹虫</t>
  </si>
  <si>
    <t>3级蠹虫幼虫</t>
  </si>
  <si>
    <t>3级幽灵</t>
  </si>
  <si>
    <t>3级魔血小眼</t>
  </si>
  <si>
    <t>4级钉甲虫</t>
  </si>
  <si>
    <t>4级幻书</t>
  </si>
  <si>
    <t>4级骷髅战士</t>
  </si>
  <si>
    <t>4级钉剌蜗牛</t>
  </si>
  <si>
    <t>4级魔血巨眼</t>
  </si>
  <si>
    <t>4级魔蟹</t>
  </si>
  <si>
    <t>4级自爆蘑菇</t>
  </si>
  <si>
    <t>4级鬼手</t>
  </si>
  <si>
    <t>4级蚊群</t>
  </si>
  <si>
    <t>4级史莱姆</t>
  </si>
  <si>
    <t>4级巨齿兽</t>
  </si>
  <si>
    <t>4级巨蚊</t>
  </si>
  <si>
    <t>4级蟒蛇</t>
  </si>
  <si>
    <t>4级幽浮章鱼</t>
  </si>
  <si>
    <t>4级食人花</t>
  </si>
  <si>
    <t>4级毒蜂</t>
  </si>
  <si>
    <t>4级毒蜂幼虫</t>
  </si>
  <si>
    <t>4级蠹虫</t>
  </si>
  <si>
    <t>4级蠹虫幼虫</t>
  </si>
  <si>
    <t>4级幽灵</t>
  </si>
  <si>
    <t>4级魔血小眼</t>
  </si>
  <si>
    <t>5级钉甲虫</t>
  </si>
  <si>
    <t>5级幻书</t>
  </si>
  <si>
    <t>5级骷髅战士</t>
  </si>
  <si>
    <t>5级钉剌蜗牛</t>
  </si>
  <si>
    <t>5级魔血巨眼</t>
  </si>
  <si>
    <t>5级魔蟹</t>
  </si>
  <si>
    <t>5级自爆蘑菇</t>
  </si>
  <si>
    <t>5级鬼手</t>
  </si>
  <si>
    <t>5级蚊群</t>
  </si>
  <si>
    <t>5级史莱姆</t>
  </si>
  <si>
    <t>5级巨齿兽</t>
  </si>
  <si>
    <t>5级巨蚊</t>
  </si>
  <si>
    <t>5级青蛇</t>
  </si>
  <si>
    <t>5级幽浮章鱼</t>
  </si>
  <si>
    <t>5级食人花</t>
  </si>
  <si>
    <t>5级毒蜂</t>
  </si>
  <si>
    <t>5级毒蜂幼虫</t>
  </si>
  <si>
    <t>5级蠹虫</t>
  </si>
  <si>
    <t>5级蠹虫幼虫</t>
  </si>
  <si>
    <t>5级幽灵</t>
  </si>
  <si>
    <t>5级魔血小眼</t>
  </si>
  <si>
    <t>6级钉甲虫</t>
  </si>
  <si>
    <t>6级幻书</t>
  </si>
  <si>
    <t>6级骷髅战士</t>
  </si>
  <si>
    <t>6级钉剌蜗牛</t>
  </si>
  <si>
    <t>6级魔血巨眼</t>
  </si>
  <si>
    <t>6级魔蟹</t>
  </si>
  <si>
    <t>6级自爆蘑菇</t>
  </si>
  <si>
    <t>6级鬼手</t>
  </si>
  <si>
    <t>6级蚊群</t>
  </si>
  <si>
    <t>6级史莱姆</t>
  </si>
  <si>
    <t>6级巨齿兽</t>
  </si>
  <si>
    <t>6级巨蚊</t>
  </si>
  <si>
    <t>6级蟒蛇</t>
  </si>
  <si>
    <t>6级幽浮章鱼</t>
  </si>
  <si>
    <t>6级食人花</t>
  </si>
  <si>
    <t>6级毒蜂</t>
  </si>
  <si>
    <t>6级毒蜂幼虫</t>
  </si>
  <si>
    <t>6级蠹虫</t>
  </si>
  <si>
    <t>6级蠹虫幼虫</t>
  </si>
  <si>
    <t>6级幽灵</t>
  </si>
  <si>
    <t>6级魔血小眼</t>
  </si>
  <si>
    <t>7级钉甲虫</t>
  </si>
  <si>
    <t>7级幻书</t>
  </si>
  <si>
    <t>7级骷髅战士</t>
  </si>
  <si>
    <t>7级钉剌蜗牛</t>
  </si>
  <si>
    <t>7级魔血巨眼</t>
  </si>
  <si>
    <t>7级魔蟹</t>
  </si>
  <si>
    <t>7级自爆蘑菇</t>
  </si>
  <si>
    <t>7级鬼手</t>
  </si>
  <si>
    <t>7级蚊群</t>
  </si>
  <si>
    <t>7级史莱姆</t>
  </si>
  <si>
    <t>7级巨齿兽</t>
  </si>
  <si>
    <t>7级巨蚊</t>
  </si>
  <si>
    <t>7级青蛇</t>
  </si>
  <si>
    <t>7级幽浮章鱼</t>
  </si>
  <si>
    <t>7级食人花</t>
  </si>
  <si>
    <t>7级毒蜂</t>
  </si>
  <si>
    <t>7级毒蜂幼虫</t>
  </si>
  <si>
    <t>7级蠹虫</t>
  </si>
  <si>
    <t>7级蠹虫幼虫</t>
  </si>
  <si>
    <t>7级幽灵</t>
  </si>
  <si>
    <t>7级魔血小眼</t>
  </si>
  <si>
    <t>8级钉甲虫</t>
  </si>
  <si>
    <t>8级幻书</t>
  </si>
  <si>
    <t>8级骷髅战士</t>
  </si>
  <si>
    <t>8级钉剌蜗牛</t>
  </si>
  <si>
    <t>8级魔血巨眼</t>
  </si>
  <si>
    <t>8级魔蟹</t>
  </si>
  <si>
    <t>8级自爆蘑菇</t>
  </si>
  <si>
    <t>8级鬼手</t>
  </si>
  <si>
    <t>8级蚊群</t>
  </si>
  <si>
    <t>8级史莱姆</t>
  </si>
  <si>
    <t>8级巨齿兽</t>
  </si>
  <si>
    <t>8级巨蚊</t>
  </si>
  <si>
    <t>8级蟒蛇</t>
  </si>
  <si>
    <t>8级幽浮章鱼</t>
  </si>
  <si>
    <t>8级食人花</t>
  </si>
  <si>
    <t>8级毒蜂</t>
  </si>
  <si>
    <t>8级毒蜂幼虫</t>
  </si>
  <si>
    <t>8级蠹虫</t>
  </si>
  <si>
    <t>8级蠹虫幼虫</t>
  </si>
  <si>
    <t>8级幽灵</t>
  </si>
  <si>
    <t>8级魔血小眼</t>
  </si>
  <si>
    <t>9级钉甲虫</t>
  </si>
  <si>
    <t>9级幻书</t>
  </si>
  <si>
    <t>9级骷髅战士</t>
  </si>
  <si>
    <t>9级钉剌蜗牛</t>
  </si>
  <si>
    <t>9级魔血巨眼</t>
  </si>
  <si>
    <t>9级魔蟹</t>
  </si>
  <si>
    <t>9级自爆蘑菇</t>
  </si>
  <si>
    <t>9级鬼手</t>
  </si>
  <si>
    <t>9级蚊群</t>
  </si>
  <si>
    <t>9级史莱姆</t>
  </si>
  <si>
    <t>9级巨齿兽</t>
  </si>
  <si>
    <t>9级巨蚊</t>
  </si>
  <si>
    <t>9级青蛇</t>
  </si>
  <si>
    <t>9级幽浮章鱼</t>
  </si>
  <si>
    <t>9级食人花</t>
  </si>
  <si>
    <t>9级毒蜂</t>
  </si>
  <si>
    <t>9级毒蜂幼虫</t>
  </si>
  <si>
    <t>9级蠹虫</t>
  </si>
  <si>
    <t>9级蠹虫幼虫</t>
  </si>
  <si>
    <t>9级幽灵</t>
  </si>
  <si>
    <t>9级魔血小眼</t>
  </si>
  <si>
    <t>10级钉甲虫</t>
  </si>
  <si>
    <t>10级幻书</t>
  </si>
  <si>
    <t>10级骷髅战士</t>
  </si>
  <si>
    <t>10级钉剌蜗牛</t>
  </si>
  <si>
    <t>10级魔血巨眼</t>
  </si>
  <si>
    <t>10级魔蟹</t>
  </si>
  <si>
    <t>10级自爆蘑菇</t>
  </si>
  <si>
    <t>10级鬼手</t>
  </si>
  <si>
    <t>10级蚊群</t>
  </si>
  <si>
    <t>10级史莱姆</t>
  </si>
  <si>
    <t>10级巨齿兽</t>
  </si>
  <si>
    <t>10级巨蚊</t>
  </si>
  <si>
    <t>10级蟒蛇</t>
  </si>
  <si>
    <t>10级幽浮章鱼</t>
  </si>
  <si>
    <t>10级食人花</t>
  </si>
  <si>
    <t>10级毒蜂</t>
  </si>
  <si>
    <t>10级毒蜂幼虫</t>
  </si>
  <si>
    <t>10级蠹虫</t>
  </si>
  <si>
    <t>10级蠹虫幼虫</t>
  </si>
  <si>
    <t>10级幽灵</t>
  </si>
  <si>
    <t>10级魔血小眼</t>
  </si>
  <si>
    <t>1级蝙蝠</t>
  </si>
  <si>
    <t>2级蝙蝠</t>
  </si>
  <si>
    <t>monster22_1</t>
  </si>
  <si>
    <t>3级蝙蝠</t>
  </si>
  <si>
    <t>4级蝙蝠</t>
  </si>
  <si>
    <t>5级蝙蝠</t>
  </si>
  <si>
    <t>6级蝙蝠</t>
  </si>
  <si>
    <t>7级蝙蝠</t>
  </si>
  <si>
    <t>8级蝙蝠</t>
  </si>
  <si>
    <t>9级蝙蝠</t>
  </si>
  <si>
    <t>10级蝙蝠</t>
  </si>
  <si>
    <t>1级钢铁泰坦</t>
  </si>
  <si>
    <t>2级钢铁泰坦</t>
  </si>
  <si>
    <t>monster23_1</t>
  </si>
  <si>
    <t>3级钢铁泰坦</t>
  </si>
  <si>
    <t>4级钢铁泰坦</t>
  </si>
  <si>
    <t>5级钢铁泰坦</t>
  </si>
  <si>
    <t>6级钢铁泰坦</t>
  </si>
  <si>
    <t>7级钢铁泰坦</t>
  </si>
  <si>
    <t>8级钢铁泰坦</t>
  </si>
  <si>
    <t>9级钢铁泰坦</t>
  </si>
  <si>
    <t>10级钢铁泰坦</t>
  </si>
  <si>
    <t>1级熔岩泰坦</t>
  </si>
  <si>
    <t>2级熔岩泰坦</t>
  </si>
  <si>
    <t>monster24_1</t>
  </si>
  <si>
    <t>3级熔岩泰坦</t>
  </si>
  <si>
    <t>4级熔岩泰坦</t>
  </si>
  <si>
    <t>5级熔岩泰坦</t>
  </si>
  <si>
    <t>6级熔岩泰坦</t>
  </si>
  <si>
    <t>7级熔岩泰坦</t>
  </si>
  <si>
    <t>8级熔岩泰坦</t>
  </si>
  <si>
    <t>9级熔岩泰坦</t>
  </si>
  <si>
    <t>10级熔岩泰坦</t>
  </si>
  <si>
    <t>1级寒冰泰坦</t>
  </si>
  <si>
    <t>2级寒冰泰坦</t>
  </si>
  <si>
    <t>monster25_1</t>
  </si>
  <si>
    <t>3级寒冰泰坦</t>
  </si>
  <si>
    <t>4级寒冰泰坦</t>
  </si>
  <si>
    <t>5级寒冰泰坦</t>
  </si>
  <si>
    <t>6级寒冰泰坦</t>
  </si>
  <si>
    <t>7级寒冰泰坦</t>
  </si>
  <si>
    <t>8级寒冰泰坦</t>
  </si>
  <si>
    <t>9级寒冰泰坦</t>
  </si>
  <si>
    <t>10级寒冰泰坦</t>
  </si>
  <si>
    <t>1级森林泰坦</t>
  </si>
  <si>
    <t>2级森林泰坦</t>
  </si>
  <si>
    <t>monster26_1</t>
  </si>
  <si>
    <t>3级森林泰坦</t>
  </si>
  <si>
    <t>4级森林泰坦</t>
  </si>
  <si>
    <t>5级森林泰坦</t>
  </si>
  <si>
    <t>6级森林泰坦</t>
  </si>
  <si>
    <t>7级森林泰坦</t>
  </si>
  <si>
    <t>8级森林泰坦</t>
  </si>
  <si>
    <t>9级森林泰坦</t>
  </si>
  <si>
    <t>10级森林泰坦</t>
  </si>
  <si>
    <t>1级坚甲犀牛</t>
  </si>
  <si>
    <t>2级坚甲犀牛</t>
  </si>
  <si>
    <t>monster27_1</t>
  </si>
  <si>
    <t>3级坚甲犀牛</t>
  </si>
  <si>
    <t>4级坚甲犀牛</t>
  </si>
  <si>
    <t>5级坚甲犀牛</t>
  </si>
  <si>
    <t>6级坚甲犀牛</t>
  </si>
  <si>
    <t>7级坚甲犀牛</t>
  </si>
  <si>
    <t>8级坚甲犀牛</t>
  </si>
  <si>
    <t>9级坚甲犀牛</t>
  </si>
  <si>
    <t>10级坚甲犀牛</t>
  </si>
  <si>
    <t>1级寄居蟹</t>
  </si>
  <si>
    <t>2级寄居蟹</t>
  </si>
  <si>
    <t>monster28_1</t>
  </si>
  <si>
    <t>3级寄居蟹</t>
  </si>
  <si>
    <t>4级寄居蟹</t>
  </si>
  <si>
    <t>5级寄居蟹</t>
  </si>
  <si>
    <t>6级寄居蟹</t>
  </si>
  <si>
    <t>7级寄居蟹</t>
  </si>
  <si>
    <t>8级寄居蟹</t>
  </si>
  <si>
    <t>9级寄居蟹</t>
  </si>
  <si>
    <t>10级寄居蟹</t>
  </si>
  <si>
    <t>2级海盗王</t>
  </si>
  <si>
    <t>monster29_1</t>
  </si>
  <si>
    <t>3级海盗王</t>
  </si>
  <si>
    <t>4级海盗王</t>
  </si>
  <si>
    <t>5级海盗王</t>
  </si>
  <si>
    <t>6级海盗王</t>
  </si>
  <si>
    <t>7级海盗王</t>
  </si>
  <si>
    <t>8级海盗王</t>
  </si>
  <si>
    <t>9级海盗王</t>
  </si>
  <si>
    <t>10级海盗王</t>
  </si>
  <si>
    <t>1级海盗头目</t>
  </si>
  <si>
    <t>2级海盗头目</t>
  </si>
  <si>
    <t>monster30_1</t>
  </si>
  <si>
    <t>3级海盗头目</t>
  </si>
  <si>
    <t>4级海盗头目</t>
  </si>
  <si>
    <t>5级海盗头目</t>
  </si>
  <si>
    <t>6级海盗头目</t>
  </si>
  <si>
    <t>7级海盗头目</t>
  </si>
  <si>
    <t>8级海盗头目</t>
  </si>
  <si>
    <t>9级海盗头目</t>
  </si>
  <si>
    <t>10级海盗头目</t>
  </si>
  <si>
    <t>1级暗夜收割者</t>
  </si>
  <si>
    <t>2级暗夜收割者</t>
  </si>
  <si>
    <t>monster31_1</t>
  </si>
  <si>
    <t>3级暗夜收割者</t>
  </si>
  <si>
    <t>4级暗夜收割者</t>
  </si>
  <si>
    <t>5级暗夜收割者</t>
  </si>
  <si>
    <t>6级暗夜收割者</t>
  </si>
  <si>
    <t>7级暗夜收割者</t>
  </si>
  <si>
    <t>8级暗夜收割者</t>
  </si>
  <si>
    <t>9级暗夜收割者</t>
  </si>
  <si>
    <t>10级暗夜收割者</t>
  </si>
  <si>
    <t>1级炸弹果</t>
  </si>
  <si>
    <t>ic_monster32</t>
  </si>
  <si>
    <t>2级炸弹果</t>
  </si>
  <si>
    <t>monster32_1</t>
  </si>
  <si>
    <t>3级炸弹果</t>
  </si>
  <si>
    <t>4级炸弹果</t>
  </si>
  <si>
    <t>5级炸弹果</t>
  </si>
  <si>
    <t>6级炸弹果</t>
  </si>
  <si>
    <t>7级炸弹果</t>
  </si>
  <si>
    <t>8级炸弹果</t>
  </si>
  <si>
    <t>9级炸弹果</t>
  </si>
  <si>
    <t>10级炸弹果</t>
  </si>
  <si>
    <t>1级钻地虫</t>
  </si>
  <si>
    <t>ic_monster34</t>
  </si>
  <si>
    <t>2级钻地虫</t>
  </si>
  <si>
    <t>monster34_1</t>
  </si>
  <si>
    <t>3级钻地虫</t>
  </si>
  <si>
    <t>4级钻地虫</t>
  </si>
  <si>
    <t>5级钻地虫</t>
  </si>
  <si>
    <t>6级钻地虫</t>
  </si>
  <si>
    <t>7级钻地虫</t>
  </si>
  <si>
    <t>8级钻地虫</t>
  </si>
  <si>
    <t>9级钻地虫</t>
  </si>
  <si>
    <t>10级钻地虫</t>
  </si>
  <si>
    <t>1级刺毛虫</t>
  </si>
  <si>
    <t>ic_monster35</t>
  </si>
  <si>
    <t>2级刺毛虫</t>
  </si>
  <si>
    <t>monster35_1</t>
  </si>
  <si>
    <t>3级刺毛虫</t>
  </si>
  <si>
    <t>4级刺毛虫</t>
  </si>
  <si>
    <t>5级刺毛虫</t>
  </si>
  <si>
    <t>6级刺毛虫</t>
  </si>
  <si>
    <t>7级刺毛虫</t>
  </si>
  <si>
    <t>8级刺毛虫</t>
  </si>
  <si>
    <t>9级刺毛虫</t>
  </si>
  <si>
    <t>10级刺毛虫</t>
  </si>
  <si>
    <t>兵种</t>
  </si>
  <si>
    <t>狼骑兵</t>
  </si>
  <si>
    <t>猪骑兵</t>
  </si>
  <si>
    <t>弓骑兵</t>
  </si>
  <si>
    <t>弓箭兵</t>
  </si>
  <si>
    <t>弩箭兵</t>
  </si>
  <si>
    <t>投石兵</t>
  </si>
  <si>
    <t>剑士</t>
  </si>
  <si>
    <t>大刀兵</t>
  </si>
  <si>
    <t>钝器兵</t>
  </si>
  <si>
    <t>长枪兵</t>
  </si>
  <si>
    <t>巨盾兵</t>
  </si>
  <si>
    <t>后勤兵</t>
  </si>
  <si>
    <t>雇佣刀盾兵</t>
  </si>
  <si>
    <t>雇佣巨盾兵</t>
  </si>
  <si>
    <t>雇佣剑士</t>
  </si>
  <si>
    <t>雇佣长枪兵</t>
  </si>
  <si>
    <t>雇佣钝器兵</t>
  </si>
  <si>
    <t>雇佣投石兵</t>
  </si>
  <si>
    <t>雇佣弓箭兵</t>
  </si>
  <si>
    <t>雇佣弩箭兵</t>
  </si>
  <si>
    <t>雇佣弓骑兵</t>
  </si>
  <si>
    <t>雇佣马骑兵</t>
  </si>
  <si>
    <t>雇佣猪骑兵</t>
  </si>
  <si>
    <t>雇佣狼骑兵</t>
  </si>
  <si>
    <t>雇佣马战车</t>
  </si>
  <si>
    <t>雇佣猪战车</t>
  </si>
  <si>
    <t>雇佣狼战车</t>
  </si>
  <si>
    <t>1级短刀</t>
  </si>
  <si>
    <t>具体武器</t>
  </si>
  <si>
    <t>dagger_0</t>
  </si>
  <si>
    <t>2级短刀</t>
  </si>
  <si>
    <t>dagger_1</t>
  </si>
  <si>
    <t>3级短刀</t>
  </si>
  <si>
    <t>dagger_2</t>
  </si>
  <si>
    <t>4级短刀</t>
  </si>
  <si>
    <t>dagger_3</t>
  </si>
  <si>
    <t>5级短刀</t>
  </si>
  <si>
    <t>dagger_4</t>
  </si>
  <si>
    <t>6级短刀</t>
  </si>
  <si>
    <t>dagger_5</t>
  </si>
  <si>
    <t>7级短刀</t>
  </si>
  <si>
    <t>dagger_6</t>
  </si>
  <si>
    <t>8级短刀</t>
  </si>
  <si>
    <t>dagger_7</t>
  </si>
  <si>
    <t>9级短刀</t>
  </si>
  <si>
    <t>dagger_8</t>
  </si>
  <si>
    <t>1级大刀</t>
  </si>
  <si>
    <t>sword_big_0</t>
  </si>
  <si>
    <t>2级大刀</t>
  </si>
  <si>
    <t>sword_big_1</t>
  </si>
  <si>
    <t>3级大刀</t>
  </si>
  <si>
    <t>sword_big_2</t>
  </si>
  <si>
    <t>4级大刀</t>
  </si>
  <si>
    <t>sword_big_3</t>
  </si>
  <si>
    <t>5级大刀</t>
  </si>
  <si>
    <t>sword_big_4</t>
  </si>
  <si>
    <t>6级大刀</t>
  </si>
  <si>
    <t>sword_big_5</t>
  </si>
  <si>
    <t>7级大刀</t>
  </si>
  <si>
    <t>sword_big_6</t>
  </si>
  <si>
    <t>8级大刀</t>
  </si>
  <si>
    <t>sword_big_7</t>
  </si>
  <si>
    <t>9级大刀</t>
  </si>
  <si>
    <t>sword_big_8</t>
  </si>
  <si>
    <t>1级大剑</t>
  </si>
  <si>
    <t>sword_big_9</t>
  </si>
  <si>
    <t>2级大剑</t>
  </si>
  <si>
    <t>sword_big_10</t>
  </si>
  <si>
    <t>3级大剑</t>
  </si>
  <si>
    <t>sword_big_11</t>
  </si>
  <si>
    <t>4级大剑</t>
  </si>
  <si>
    <t>sword_big_12</t>
  </si>
  <si>
    <t>5级大剑</t>
  </si>
  <si>
    <t>sword_big_13</t>
  </si>
  <si>
    <t>6级大剑</t>
  </si>
  <si>
    <t>sword_big_14</t>
  </si>
  <si>
    <t>7级大剑</t>
  </si>
  <si>
    <t>sword_big_15</t>
  </si>
  <si>
    <t>8级大剑</t>
  </si>
  <si>
    <t>sword_big_16</t>
  </si>
  <si>
    <t>9级大剑</t>
  </si>
  <si>
    <t>sword_big_17</t>
  </si>
  <si>
    <t>1级长杆</t>
  </si>
  <si>
    <t>polearm_0</t>
  </si>
  <si>
    <t>2级长杆</t>
  </si>
  <si>
    <t>polearm_1</t>
  </si>
  <si>
    <t>3级长杆</t>
  </si>
  <si>
    <t>polearm_2</t>
  </si>
  <si>
    <t>4级长杆</t>
  </si>
  <si>
    <t>polearm_3</t>
  </si>
  <si>
    <t>5级长杆</t>
  </si>
  <si>
    <t>polearm_4</t>
  </si>
  <si>
    <t>6级长杆</t>
  </si>
  <si>
    <t>polearm_5</t>
  </si>
  <si>
    <t>7级长杆</t>
  </si>
  <si>
    <t>polearm_6</t>
  </si>
  <si>
    <t>8级长杆</t>
  </si>
  <si>
    <t>polearm_7</t>
  </si>
  <si>
    <t>9级长杆</t>
  </si>
  <si>
    <t>polearm_8</t>
  </si>
  <si>
    <t>1级钝器</t>
  </si>
  <si>
    <t>blunt_0</t>
  </si>
  <si>
    <t>2级钝器</t>
  </si>
  <si>
    <t>blunt_1</t>
  </si>
  <si>
    <t>3级钝器</t>
  </si>
  <si>
    <t>blunt_2</t>
  </si>
  <si>
    <t>4级钝器</t>
  </si>
  <si>
    <t>blunt_3</t>
  </si>
  <si>
    <t>5级钝器</t>
  </si>
  <si>
    <t>blunt_4</t>
  </si>
  <si>
    <t>6级钝器</t>
  </si>
  <si>
    <t>blunt_5</t>
  </si>
  <si>
    <t>7级钝器</t>
  </si>
  <si>
    <t>blunt_6</t>
  </si>
  <si>
    <t>8级钝器</t>
  </si>
  <si>
    <t>blunt_7</t>
  </si>
  <si>
    <t>9级钝器</t>
  </si>
  <si>
    <t>blunt_8</t>
  </si>
  <si>
    <t>1级投石</t>
  </si>
  <si>
    <t>sling_0</t>
  </si>
  <si>
    <t>2级投石</t>
  </si>
  <si>
    <t>stick_sling_0</t>
  </si>
  <si>
    <t>3级投石</t>
  </si>
  <si>
    <t>stick_sling_1</t>
  </si>
  <si>
    <t>4级投石</t>
  </si>
  <si>
    <t>stick_sling_2</t>
  </si>
  <si>
    <t>5级投石</t>
  </si>
  <si>
    <t>stick_sling_3</t>
  </si>
  <si>
    <t>6级投石</t>
  </si>
  <si>
    <t>stick_sling_4</t>
  </si>
  <si>
    <t>7级投石</t>
  </si>
  <si>
    <t>stick_sling_5</t>
  </si>
  <si>
    <t>8级投石</t>
  </si>
  <si>
    <t>stick_sling_6</t>
  </si>
  <si>
    <t>9级投石</t>
  </si>
  <si>
    <t>stick_sling_7</t>
  </si>
  <si>
    <t>1级弓箭</t>
  </si>
  <si>
    <t>bow_1</t>
  </si>
  <si>
    <t>2级弓箭</t>
  </si>
  <si>
    <t>bow_3</t>
  </si>
  <si>
    <t>3级弓箭</t>
  </si>
  <si>
    <t>4级弓箭</t>
  </si>
  <si>
    <t>5级弓箭</t>
  </si>
  <si>
    <t>6级弓箭</t>
  </si>
  <si>
    <t>7级弓箭</t>
  </si>
  <si>
    <t>8级弓箭</t>
  </si>
  <si>
    <t>9级弓箭</t>
  </si>
  <si>
    <t>1级弩箭</t>
  </si>
  <si>
    <t>crossbow_0</t>
  </si>
  <si>
    <t>2级弩箭</t>
  </si>
  <si>
    <t>crossbow_3</t>
  </si>
  <si>
    <t>3级弩箭</t>
  </si>
  <si>
    <t>4级弩箭</t>
  </si>
  <si>
    <t>5级弩箭</t>
  </si>
  <si>
    <t>6级弩箭</t>
  </si>
  <si>
    <t>7级弩箭</t>
  </si>
  <si>
    <t>8级弩箭</t>
  </si>
  <si>
    <t>9级弩箭</t>
  </si>
  <si>
    <t>1级大战斧</t>
  </si>
  <si>
    <t>axe_big_0</t>
  </si>
  <si>
    <t>2级大战斧</t>
  </si>
  <si>
    <t>axe_big_1</t>
  </si>
  <si>
    <t>3级大战斧</t>
  </si>
  <si>
    <t>axe_big_2</t>
  </si>
  <si>
    <t>4级大战斧</t>
  </si>
  <si>
    <t>axe_big_3</t>
  </si>
  <si>
    <t>5级大战斧</t>
  </si>
  <si>
    <t>axe_big_4</t>
  </si>
  <si>
    <t>6级大战斧</t>
  </si>
  <si>
    <t>axe_big_5</t>
  </si>
  <si>
    <t>7级大战斧</t>
  </si>
  <si>
    <t>axe_big_6</t>
  </si>
  <si>
    <t>8级大战斧</t>
  </si>
  <si>
    <t>axe_big_7</t>
  </si>
  <si>
    <t>9级大战斧</t>
  </si>
  <si>
    <t>axe_big_8</t>
  </si>
  <si>
    <t>1级骑枪</t>
  </si>
  <si>
    <t>polearm_9</t>
  </si>
  <si>
    <t>2级骑枪</t>
  </si>
  <si>
    <t>polearm_10</t>
  </si>
  <si>
    <t>3级骑枪</t>
  </si>
  <si>
    <t>polearm_11</t>
  </si>
  <si>
    <t>4级骑枪</t>
  </si>
  <si>
    <t>polearm_12</t>
  </si>
  <si>
    <t>5级骑枪</t>
  </si>
  <si>
    <t>polearm_13</t>
  </si>
  <si>
    <t>6级骑枪</t>
  </si>
  <si>
    <t>polearm_14</t>
  </si>
  <si>
    <t>7级骑枪</t>
  </si>
  <si>
    <t>polearm_15</t>
  </si>
  <si>
    <t>8级骑枪</t>
  </si>
  <si>
    <t>polearm_16</t>
  </si>
  <si>
    <t>9级骑枪</t>
  </si>
  <si>
    <t>polearm_17</t>
  </si>
  <si>
    <t>1级皮甲</t>
  </si>
  <si>
    <t>具体盔甲</t>
  </si>
  <si>
    <t>hat_0</t>
  </si>
  <si>
    <t>2级皮甲</t>
  </si>
  <si>
    <t>hat_1</t>
  </si>
  <si>
    <t>3级皮甲</t>
  </si>
  <si>
    <t>hat_2</t>
  </si>
  <si>
    <t>4级皮甲</t>
  </si>
  <si>
    <t>hat_3</t>
  </si>
  <si>
    <t>5级皮甲</t>
  </si>
  <si>
    <t>hat_4</t>
  </si>
  <si>
    <t>6级皮甲</t>
  </si>
  <si>
    <t>hat_5</t>
  </si>
  <si>
    <t>7级皮甲</t>
  </si>
  <si>
    <t>hat_6</t>
  </si>
  <si>
    <t>8级皮甲</t>
  </si>
  <si>
    <t>hat_7</t>
  </si>
  <si>
    <t>9级皮甲</t>
  </si>
  <si>
    <t>hat_8</t>
  </si>
  <si>
    <t>1级棉甲</t>
  </si>
  <si>
    <t>hat_9</t>
  </si>
  <si>
    <t>2级棉甲</t>
  </si>
  <si>
    <t>hat_10</t>
  </si>
  <si>
    <t>3级棉甲</t>
  </si>
  <si>
    <t>hat_11</t>
  </si>
  <si>
    <t>4级棉甲</t>
  </si>
  <si>
    <t>hat_12</t>
  </si>
  <si>
    <t>5级棉甲</t>
  </si>
  <si>
    <t>hat_13</t>
  </si>
  <si>
    <t>6级棉甲</t>
  </si>
  <si>
    <t>hat_14</t>
  </si>
  <si>
    <t>7级棉甲</t>
  </si>
  <si>
    <t>hat_15</t>
  </si>
  <si>
    <t>8级棉甲</t>
  </si>
  <si>
    <t>hat_16</t>
  </si>
  <si>
    <t>9级棉甲</t>
  </si>
  <si>
    <t>hat_17</t>
  </si>
  <si>
    <t>1级鳞甲</t>
  </si>
  <si>
    <t>hat_18</t>
  </si>
  <si>
    <t>2级鳞甲</t>
  </si>
  <si>
    <t>hat_19</t>
  </si>
  <si>
    <t>3级鳞甲</t>
  </si>
  <si>
    <t>hat_20</t>
  </si>
  <si>
    <t>4级鳞甲</t>
  </si>
  <si>
    <t>hat_21</t>
  </si>
  <si>
    <t>5级鳞甲</t>
  </si>
  <si>
    <t>hat_22</t>
  </si>
  <si>
    <t>6级鳞甲</t>
  </si>
  <si>
    <t>hat_23</t>
  </si>
  <si>
    <t>7级鳞甲</t>
  </si>
  <si>
    <t>hat_24</t>
  </si>
  <si>
    <t>8级鳞甲</t>
  </si>
  <si>
    <t>hat_25</t>
  </si>
  <si>
    <t>9级鳞甲</t>
  </si>
  <si>
    <t>hat_26</t>
  </si>
  <si>
    <t>1级板甲</t>
  </si>
  <si>
    <t>hat_27</t>
  </si>
  <si>
    <t>2级板甲</t>
  </si>
  <si>
    <t>hat_28</t>
  </si>
  <si>
    <t>3级板甲</t>
  </si>
  <si>
    <t>hat_29</t>
  </si>
  <si>
    <t>4级板甲</t>
  </si>
  <si>
    <t>hat_30</t>
  </si>
  <si>
    <t>5级板甲</t>
  </si>
  <si>
    <t>hat_31</t>
  </si>
  <si>
    <t>6级板甲</t>
  </si>
  <si>
    <t>hat_32</t>
  </si>
  <si>
    <t>7级板甲</t>
  </si>
  <si>
    <t>hat_33</t>
  </si>
  <si>
    <t>8级板甲</t>
  </si>
  <si>
    <t>hat_34</t>
  </si>
  <si>
    <t>9级板甲</t>
  </si>
  <si>
    <t>hat_35</t>
  </si>
  <si>
    <t>1级骑鳞甲</t>
  </si>
  <si>
    <t>hat_high_0</t>
  </si>
  <si>
    <t>2级骑鳞甲</t>
  </si>
  <si>
    <t>hat_high_1</t>
  </si>
  <si>
    <t>3级骑鳞甲</t>
  </si>
  <si>
    <t>hat_high_2</t>
  </si>
  <si>
    <t>4级骑鳞甲</t>
  </si>
  <si>
    <t>hat_high_3</t>
  </si>
  <si>
    <t>5级骑鳞甲</t>
  </si>
  <si>
    <t>hat_high_4</t>
  </si>
  <si>
    <t>6级骑鳞甲</t>
  </si>
  <si>
    <t>hat_high_5</t>
  </si>
  <si>
    <t>7级骑鳞甲</t>
  </si>
  <si>
    <t>hat_high_6</t>
  </si>
  <si>
    <t>8级骑鳞甲</t>
  </si>
  <si>
    <t>hat_high_7</t>
  </si>
  <si>
    <t>9级骑鳞甲</t>
  </si>
  <si>
    <t>hat_high_8</t>
  </si>
  <si>
    <t>1级将军板甲</t>
  </si>
  <si>
    <t>hat_high_9</t>
  </si>
  <si>
    <t>2级将军板甲</t>
  </si>
  <si>
    <t>hat_high_10</t>
  </si>
  <si>
    <t>3级将军板甲</t>
  </si>
  <si>
    <t>hat_high_11</t>
  </si>
  <si>
    <t>4级将军板甲</t>
  </si>
  <si>
    <t>hat_high_12</t>
  </si>
  <si>
    <t>5级将军板甲</t>
  </si>
  <si>
    <t>hat_high_13</t>
  </si>
  <si>
    <t>6级将军板甲</t>
  </si>
  <si>
    <t>hat_high_14</t>
  </si>
  <si>
    <t>7级将军板甲</t>
  </si>
  <si>
    <t>hat_high_15</t>
  </si>
  <si>
    <t>8级将军板甲</t>
  </si>
  <si>
    <t>hat_high_16</t>
  </si>
  <si>
    <t>9级将军板甲</t>
  </si>
  <si>
    <t>hat_high_17</t>
  </si>
  <si>
    <t>1级蛮将军鳞甲</t>
  </si>
  <si>
    <t>hat_high_36</t>
  </si>
  <si>
    <t>2级蛮将军鳞甲</t>
  </si>
  <si>
    <t>hat_high_37</t>
  </si>
  <si>
    <t>3级蛮将军鳞甲</t>
  </si>
  <si>
    <t>hat_high_38</t>
  </si>
  <si>
    <t>4级蛮将军鳞甲</t>
  </si>
  <si>
    <t>hat_high_39</t>
  </si>
  <si>
    <t>5级蛮将军鳞甲</t>
  </si>
  <si>
    <t>hat_high_40</t>
  </si>
  <si>
    <t>6级蛮将军鳞甲</t>
  </si>
  <si>
    <t>hat_high_41</t>
  </si>
  <si>
    <t>7级蛮将军鳞甲</t>
  </si>
  <si>
    <t>hat_high_42</t>
  </si>
  <si>
    <t>8级蛮将军鳞甲</t>
  </si>
  <si>
    <t>hat_high_43</t>
  </si>
  <si>
    <t>9级蛮将军鳞甲</t>
  </si>
  <si>
    <t>hat_high_44</t>
  </si>
  <si>
    <t>1级轻甲</t>
  </si>
  <si>
    <t>hat_72</t>
  </si>
  <si>
    <t>2级轻甲</t>
  </si>
  <si>
    <t>hat_73</t>
  </si>
  <si>
    <t>3级轻甲</t>
  </si>
  <si>
    <t>hat_74</t>
  </si>
  <si>
    <t>4级轻甲</t>
  </si>
  <si>
    <t>hat_75</t>
  </si>
  <si>
    <t>5级轻甲</t>
  </si>
  <si>
    <t>hat_76</t>
  </si>
  <si>
    <t>6级轻甲</t>
  </si>
  <si>
    <t>hat_77</t>
  </si>
  <si>
    <t>7级轻甲</t>
  </si>
  <si>
    <t>hat_78</t>
  </si>
  <si>
    <t>8级轻甲</t>
  </si>
  <si>
    <t>hat_79</t>
  </si>
  <si>
    <t>9级轻甲</t>
  </si>
  <si>
    <t>hat_80</t>
  </si>
  <si>
    <t>1级盾牌</t>
  </si>
  <si>
    <t>具体盾牌</t>
  </si>
  <si>
    <t>shield_0</t>
  </si>
  <si>
    <t>2级盾牌</t>
  </si>
  <si>
    <t>shield_1</t>
  </si>
  <si>
    <t>3级盾牌</t>
  </si>
  <si>
    <t>shield_2</t>
  </si>
  <si>
    <t>4级盾牌</t>
  </si>
  <si>
    <t>shield_3</t>
  </si>
  <si>
    <t>5级盾牌</t>
  </si>
  <si>
    <t>shield_4</t>
  </si>
  <si>
    <t>6级盾牌</t>
  </si>
  <si>
    <t>shield_5</t>
  </si>
  <si>
    <t>7级盾牌</t>
  </si>
  <si>
    <t>shield_6</t>
  </si>
  <si>
    <t>8级盾牌</t>
  </si>
  <si>
    <t>shield_7</t>
  </si>
  <si>
    <t>9级盾牌</t>
  </si>
  <si>
    <t>shield_8</t>
  </si>
  <si>
    <t>1级巨盾</t>
  </si>
  <si>
    <t>shield_huge_0</t>
  </si>
  <si>
    <t>2级巨盾</t>
  </si>
  <si>
    <t>shield_huge_1</t>
  </si>
  <si>
    <t>3级巨盾</t>
  </si>
  <si>
    <t>shield_huge_2</t>
  </si>
  <si>
    <t>4级巨盾</t>
  </si>
  <si>
    <t>shield_huge_3</t>
  </si>
  <si>
    <t>5级巨盾</t>
  </si>
  <si>
    <t>shield_huge_4</t>
  </si>
  <si>
    <t>6级巨盾</t>
  </si>
  <si>
    <t>shield_huge_5</t>
  </si>
  <si>
    <t>7级巨盾</t>
  </si>
  <si>
    <t>shield_huge_6</t>
  </si>
  <si>
    <t>8级巨盾</t>
  </si>
  <si>
    <t>shield_huge_7</t>
  </si>
  <si>
    <t>9级巨盾</t>
  </si>
  <si>
    <t>shield_huge_8</t>
  </si>
  <si>
    <t>incineration_result#int</t>
    <phoneticPr fontId="6" type="noConversion"/>
  </si>
  <si>
    <t>蜂蜜</t>
    <phoneticPr fontId="6" type="noConversion"/>
  </si>
  <si>
    <t>焚烧反应
0不可焚烧
1可烧成灰烬
2可分解还原
3可转化
4烧得一干二尽
5爆炸</t>
    <phoneticPr fontId="6" type="noConversion"/>
  </si>
  <si>
    <t>熔炉</t>
    <phoneticPr fontId="6" type="noConversion"/>
  </si>
  <si>
    <t>讲台</t>
    <phoneticPr fontId="6" type="noConversion"/>
  </si>
  <si>
    <t>某些物品焚烧后的剩余物</t>
    <phoneticPr fontId="6" type="noConversion"/>
  </si>
  <si>
    <t>fireplace</t>
    <phoneticPr fontId="6" type="noConversion"/>
  </si>
  <si>
    <t>泰坦祭坛</t>
    <phoneticPr fontId="6" type="noConversion"/>
  </si>
  <si>
    <t>用于存放泰坦之心，以便随时召唤泰坦巨人</t>
    <phoneticPr fontId="6" type="noConversion"/>
  </si>
  <si>
    <t>放置在泰坦祭坛上，可用于召唤熔岩泰坦</t>
    <phoneticPr fontId="6" type="noConversion"/>
  </si>
  <si>
    <t>放置在泰坦祭坛上，可用于召唤钢铁泰坦</t>
    <phoneticPr fontId="6" type="noConversion"/>
  </si>
  <si>
    <t>放置在泰坦祭坛上，可用于召唤寒冰泰坦</t>
    <phoneticPr fontId="6" type="noConversion"/>
  </si>
  <si>
    <t>放置在泰坦祭坛上，可用于召唤森林泰坦</t>
    <phoneticPr fontId="6" type="noConversion"/>
  </si>
  <si>
    <t>方尖碑</t>
    <phoneticPr fontId="6" type="noConversion"/>
  </si>
  <si>
    <t>损坏的简单武器</t>
    <phoneticPr fontId="6" type="noConversion"/>
  </si>
  <si>
    <t>损坏的普通武器</t>
  </si>
  <si>
    <t>损坏的优良武器</t>
  </si>
  <si>
    <t>损坏的高级武器</t>
  </si>
  <si>
    <t>损坏的稀有武器</t>
  </si>
  <si>
    <t>损坏的特殊武器</t>
  </si>
  <si>
    <t>损坏的极品武器</t>
  </si>
  <si>
    <t>损坏的传说武器</t>
  </si>
  <si>
    <t>损坏的史诗武器</t>
  </si>
  <si>
    <t>损坏的简单盾牌</t>
  </si>
  <si>
    <t>损坏的普通盾牌</t>
  </si>
  <si>
    <t>损坏的优良盾牌</t>
  </si>
  <si>
    <t>损坏的高级盾牌</t>
  </si>
  <si>
    <t>损坏的稀有盾牌</t>
  </si>
  <si>
    <t>损坏的特殊盾牌</t>
  </si>
  <si>
    <t>损坏的极品盾牌</t>
  </si>
  <si>
    <t>损坏的传说盾牌</t>
  </si>
  <si>
    <t>损坏的史诗盾牌</t>
  </si>
  <si>
    <t>损坏的简单盔甲</t>
  </si>
  <si>
    <t>损坏的普通盔甲</t>
  </si>
  <si>
    <t>损坏的优良盔甲</t>
  </si>
  <si>
    <t>损坏的高级盔甲</t>
  </si>
  <si>
    <t>损坏的稀有盔甲</t>
  </si>
  <si>
    <t>损坏的特殊盔甲</t>
  </si>
  <si>
    <t>损坏的极品盔甲</t>
  </si>
  <si>
    <t>损坏的传说盔甲</t>
  </si>
  <si>
    <t>损坏的史诗盔甲</t>
  </si>
  <si>
    <t>损坏的装备</t>
    <phoneticPr fontId="6" type="noConversion"/>
  </si>
  <si>
    <t>对应的装备</t>
    <phoneticPr fontId="6" type="noConversion"/>
  </si>
  <si>
    <t>蘑菇精华</t>
    <phoneticPr fontId="6" type="noConversion"/>
  </si>
  <si>
    <t>深井开采</t>
    <phoneticPr fontId="6" type="noConversion"/>
  </si>
  <si>
    <t>浅层矿产开采后，可以进一步向地下深入挖掘，获得更多矿产。</t>
    <phoneticPr fontId="6" type="noConversion"/>
  </si>
  <si>
    <t>钢铁泰坦</t>
    <phoneticPr fontId="6" type="noConversion"/>
  </si>
  <si>
    <t>挖开之后鬼魂数量</t>
    <phoneticPr fontId="6" type="noConversion"/>
  </si>
  <si>
    <t>流星陨落</t>
    <phoneticPr fontId="6" type="noConversion"/>
  </si>
  <si>
    <t>一群流星撞击地面，对敌人或怪物造成伤害</t>
    <phoneticPr fontId="6" type="noConversion"/>
  </si>
  <si>
    <t>将敌人或怪物冰封，并在冰封解除时造成伤害</t>
    <phoneticPr fontId="6" type="noConversion"/>
  </si>
  <si>
    <t>为我方士兵增加一个魔法护盾，抵消伤害</t>
    <phoneticPr fontId="6" type="noConversion"/>
  </si>
  <si>
    <t>复活地上的尸体</t>
    <phoneticPr fontId="6" type="noConversion"/>
  </si>
  <si>
    <t>可用于堆肥，或者烹饪为黑暗料理</t>
    <phoneticPr fontId="6" type="noConversion"/>
  </si>
  <si>
    <t>被击沉后遗迹中怪物数量</t>
    <phoneticPr fontId="6" type="noConversion"/>
  </si>
  <si>
    <t>沉船遗迹</t>
    <phoneticPr fontId="6" type="noConversion"/>
  </si>
  <si>
    <t>粗糙食物</t>
    <phoneticPr fontId="6" type="noConversion"/>
  </si>
  <si>
    <t>糖</t>
    <phoneticPr fontId="6" type="noConversion"/>
  </si>
  <si>
    <t>零食</t>
    <phoneticPr fontId="6" type="noConversion"/>
  </si>
  <si>
    <t>非常受欢迎的零食，可提高居民幸福度</t>
    <phoneticPr fontId="6" type="noConversion"/>
  </si>
  <si>
    <t>甘蔗</t>
    <phoneticPr fontId="6" type="noConversion"/>
  </si>
  <si>
    <t>咖啡</t>
    <phoneticPr fontId="6" type="noConversion"/>
  </si>
  <si>
    <t>钢铁之心</t>
    <phoneticPr fontId="6" type="noConversion"/>
  </si>
  <si>
    <t>戒指</t>
    <phoneticPr fontId="6" type="noConversion"/>
  </si>
  <si>
    <t>项链</t>
    <phoneticPr fontId="6" type="noConversion"/>
  </si>
  <si>
    <t>甘蔗种子</t>
    <phoneticPr fontId="6" type="noConversion"/>
  </si>
  <si>
    <t>经济作物</t>
    <phoneticPr fontId="6" type="noConversion"/>
  </si>
  <si>
    <t>经济作物，可以制糖</t>
    <phoneticPr fontId="6" type="noConversion"/>
  </si>
  <si>
    <t>预置体</t>
    <phoneticPr fontId="6" type="noConversion"/>
  </si>
  <si>
    <t>粮食</t>
    <phoneticPr fontId="6" type="noConversion"/>
  </si>
  <si>
    <t>肉类</t>
    <phoneticPr fontId="6" type="noConversion"/>
  </si>
  <si>
    <t>宝石</t>
    <phoneticPr fontId="6" type="noConversion"/>
  </si>
  <si>
    <t>森林之心</t>
    <phoneticPr fontId="6" type="noConversion"/>
  </si>
  <si>
    <t>炼药锅</t>
    <phoneticPr fontId="6" type="noConversion"/>
  </si>
  <si>
    <t>cauldron</t>
    <phoneticPr fontId="6" type="noConversion"/>
  </si>
  <si>
    <t>皮包</t>
    <phoneticPr fontId="6" type="noConversion"/>
  </si>
  <si>
    <t>wand_1</t>
  </si>
  <si>
    <t>wand_2</t>
  </si>
  <si>
    <t>wand_3</t>
  </si>
  <si>
    <t>1级斗篷</t>
  </si>
  <si>
    <t>2级斗篷</t>
  </si>
  <si>
    <t>3级斗篷</t>
  </si>
  <si>
    <t>4级斗篷</t>
  </si>
  <si>
    <t>5级斗篷</t>
  </si>
  <si>
    <t>6级斗篷</t>
  </si>
  <si>
    <t>7级斗篷</t>
  </si>
  <si>
    <t>8级斗篷</t>
  </si>
  <si>
    <t>9级斗篷</t>
  </si>
  <si>
    <t>hat_high_44</t>
    <phoneticPr fontId="6" type="noConversion"/>
  </si>
  <si>
    <t>hat_high_45</t>
    <phoneticPr fontId="6" type="noConversion"/>
  </si>
  <si>
    <t>hat_high_46</t>
  </si>
  <si>
    <t>hat_high_47</t>
  </si>
  <si>
    <t>hat_high_48</t>
  </si>
  <si>
    <t>hat_high_49</t>
  </si>
  <si>
    <t>hat_high_50</t>
  </si>
  <si>
    <t>hat_high_51</t>
  </si>
  <si>
    <t>hat_high_52</t>
  </si>
  <si>
    <t>hat_high_53</t>
  </si>
  <si>
    <t>hat_high_54</t>
  </si>
  <si>
    <t>hat_high_55</t>
  </si>
  <si>
    <t>hat_high_56</t>
  </si>
  <si>
    <t>hat_high_57</t>
  </si>
  <si>
    <t>hat_high_58</t>
  </si>
  <si>
    <t>hat_high_59</t>
  </si>
  <si>
    <t>hat_high_60</t>
  </si>
  <si>
    <t>hat_high_61</t>
  </si>
  <si>
    <t>hat_high_62</t>
  </si>
  <si>
    <t>hat_high_63</t>
  </si>
  <si>
    <t>hat_high_64</t>
  </si>
  <si>
    <t>hat_high_65</t>
  </si>
  <si>
    <t>hat_high_66</t>
  </si>
  <si>
    <t>hat_high_67</t>
  </si>
  <si>
    <t>hat_high_68</t>
  </si>
  <si>
    <t>hat_high_69</t>
  </si>
  <si>
    <t>hat_high_70</t>
  </si>
  <si>
    <t>hat_high_71</t>
  </si>
  <si>
    <t>hat_high_71</t>
    <phoneticPr fontId="6" type="noConversion"/>
  </si>
  <si>
    <t>hat_high_72</t>
  </si>
  <si>
    <t>hat_high_73</t>
  </si>
  <si>
    <t>hat_high_74</t>
  </si>
  <si>
    <t>hat_high_75</t>
  </si>
  <si>
    <t>hat_high_76</t>
  </si>
  <si>
    <t>hat_high_77</t>
  </si>
  <si>
    <t>hat_high_78</t>
  </si>
  <si>
    <t>hat_high_79</t>
  </si>
  <si>
    <t>hat_high_80</t>
  </si>
  <si>
    <t>1级斗篷</t>
    <phoneticPr fontId="6" type="noConversion"/>
  </si>
  <si>
    <t>wand_0</t>
  </si>
  <si>
    <t>法杖</t>
    <phoneticPr fontId="6" type="noConversion"/>
  </si>
  <si>
    <t>wand_4</t>
  </si>
  <si>
    <t>wand_5</t>
  </si>
  <si>
    <t>wand_6</t>
  </si>
  <si>
    <t>wand_7</t>
  </si>
  <si>
    <t>wand_8</t>
  </si>
  <si>
    <t>wand_9</t>
  </si>
  <si>
    <t>wand_10</t>
  </si>
  <si>
    <t>wand_11</t>
  </si>
  <si>
    <t>wand_12</t>
  </si>
  <si>
    <t>wand_13</t>
  </si>
  <si>
    <t>wand_14</t>
  </si>
  <si>
    <t>wand_15</t>
  </si>
  <si>
    <t>wand_16</t>
  </si>
  <si>
    <t>wand_17</t>
  </si>
  <si>
    <t>wand_18</t>
  </si>
  <si>
    <t>wand_19</t>
  </si>
  <si>
    <t>wand_20</t>
  </si>
  <si>
    <t>wand_21</t>
  </si>
  <si>
    <t>wand_22</t>
  </si>
  <si>
    <t>wand_23</t>
  </si>
  <si>
    <t>wand_24</t>
  </si>
  <si>
    <t>wand_25</t>
  </si>
  <si>
    <t>wand_26</t>
  </si>
  <si>
    <t>wand_27</t>
  </si>
  <si>
    <t>wand_28</t>
  </si>
  <si>
    <t>wand_29</t>
  </si>
  <si>
    <t>wand_30</t>
  </si>
  <si>
    <t>wand_31</t>
  </si>
  <si>
    <t>wand_32</t>
  </si>
  <si>
    <t>wand_33</t>
  </si>
  <si>
    <t>wand_34</t>
  </si>
  <si>
    <t>wand_35</t>
  </si>
  <si>
    <t>生命之力</t>
  </si>
  <si>
    <t>生命之力</t>
    <phoneticPr fontId="6" type="noConversion"/>
  </si>
  <si>
    <t>hp_buff_area</t>
    <phoneticPr fontId="6" type="noConversion"/>
  </si>
  <si>
    <t>场景BUFF</t>
    <phoneticPr fontId="6" type="noConversion"/>
  </si>
  <si>
    <t>map_stuff_treasure_box</t>
    <phoneticPr fontId="6" type="noConversion"/>
  </si>
  <si>
    <t>infection_source</t>
    <phoneticPr fontId="6" type="noConversion"/>
  </si>
  <si>
    <t>在此我方士兵可恢复HP</t>
    <phoneticPr fontId="6" type="noConversion"/>
  </si>
  <si>
    <t>刀盾兵</t>
    <phoneticPr fontId="6" type="noConversion"/>
  </si>
  <si>
    <t>红精灵法师</t>
    <phoneticPr fontId="6" type="noConversion"/>
  </si>
  <si>
    <t>蓝精灵法师</t>
    <phoneticPr fontId="6" type="noConversion"/>
  </si>
  <si>
    <t>绿精灵法师</t>
    <phoneticPr fontId="6" type="noConversion"/>
  </si>
  <si>
    <t>三眼法师</t>
    <phoneticPr fontId="6" type="noConversion"/>
  </si>
  <si>
    <t>民兵</t>
  </si>
  <si>
    <t>10级刺毛虫</t>
    <phoneticPr fontId="6" type="noConversion"/>
  </si>
  <si>
    <t>佩剑士兵，武艺高超</t>
    <phoneticPr fontId="6" type="noConversion"/>
  </si>
  <si>
    <t>持长枪的士兵，拥有更大的攻击范围，但防护较差</t>
    <phoneticPr fontId="6" type="noConversion"/>
  </si>
  <si>
    <t>持弓箭的士兵，可远距离袭击，移动速度较快，但防护较差</t>
    <phoneticPr fontId="6" type="noConversion"/>
  </si>
  <si>
    <t>持弩箭的士兵，可更快地射击，移动速度较快，防护较差</t>
    <phoneticPr fontId="6" type="noConversion"/>
  </si>
  <si>
    <t>持大刀和盾牌的兵，攻守兼备</t>
    <phoneticPr fontId="6" type="noConversion"/>
  </si>
  <si>
    <t>持巨盾的士兵，防守一流，移动速度慢</t>
    <phoneticPr fontId="6" type="noConversion"/>
  </si>
  <si>
    <t>持续后勤补给及搬运任务的士兵</t>
    <phoneticPr fontId="6" type="noConversion"/>
  </si>
  <si>
    <t>持弓箭的骑兵，机动灵活，远距离袭击</t>
    <phoneticPr fontId="6" type="noConversion"/>
  </si>
  <si>
    <t>骑狼持巨斧的士兵，机动灵活，智勇双全</t>
    <phoneticPr fontId="6" type="noConversion"/>
  </si>
  <si>
    <t>持大刀的士兵，精于近身作战</t>
    <phoneticPr fontId="6" type="noConversion"/>
  </si>
  <si>
    <t>持钝器的士兵，拥有很强的护甲穿透能力</t>
    <phoneticPr fontId="6" type="noConversion"/>
  </si>
  <si>
    <t>鬼魂，晚上出没于坟墓附近。免疫炸弹攻击。</t>
    <phoneticPr fontId="6" type="noConversion"/>
  </si>
  <si>
    <t>经常在夏天出没于沉船遗迹附近。</t>
    <phoneticPr fontId="6" type="noConversion"/>
  </si>
  <si>
    <t>会吞噬士兵的食人花，移动时会钻入地下，免疫攻击。</t>
    <phoneticPr fontId="6" type="noConversion"/>
  </si>
  <si>
    <t>巨大的蛇，会撕咬或吞噬士兵。</t>
    <phoneticPr fontId="6" type="noConversion"/>
  </si>
  <si>
    <t>长着巨大的牙齿的怪兽，喜食尸体。</t>
    <phoneticPr fontId="6" type="noConversion"/>
  </si>
  <si>
    <t>浑身是刺的甲虫，受惊吓时，会将刺作为武器发身出去。</t>
    <phoneticPr fontId="6" type="noConversion"/>
  </si>
  <si>
    <t>死而复生的骷髅。</t>
    <phoneticPr fontId="6" type="noConversion"/>
  </si>
  <si>
    <t>巨大的恶魔眼，会吐出血丝网。</t>
    <phoneticPr fontId="6" type="noConversion"/>
  </si>
  <si>
    <t>小型恶魔眼，机动灵活，数量众多。</t>
    <phoneticPr fontId="6" type="noConversion"/>
  </si>
  <si>
    <t>有攻击力的蝙蝠，喜欢倒挂在巨树上。</t>
    <phoneticPr fontId="6" type="noConversion"/>
  </si>
  <si>
    <t>借用蓝宝石魔法力量，使用钢铁之心召唤的泰坦。防御力较强。</t>
    <phoneticPr fontId="6" type="noConversion"/>
  </si>
  <si>
    <t>借用红宝石魔法力量，使用熔岩之心召唤的泰坦。攻击力较强。</t>
    <phoneticPr fontId="6" type="noConversion"/>
  </si>
  <si>
    <t>借用蓝宝石魔法力量，使用寒冰之心召唤的泰坦。可施展技能冰冻敌人。</t>
    <phoneticPr fontId="6" type="noConversion"/>
  </si>
  <si>
    <t>借用绿宝石魔法力量，使用森林之心召唤的泰坦。可施展技能，拯救士兵。</t>
    <phoneticPr fontId="6" type="noConversion"/>
  </si>
  <si>
    <t>可投掷类似炸弹果实的植物。</t>
    <phoneticPr fontId="6" type="noConversion"/>
  </si>
  <si>
    <t>可发射针刺的毛毛虫。</t>
    <phoneticPr fontId="6" type="noConversion"/>
  </si>
  <si>
    <t>可钻入地下的蠕虫。</t>
    <phoneticPr fontId="6" type="noConversion"/>
  </si>
  <si>
    <t>吸收了魔法力量的古书。</t>
    <phoneticPr fontId="6" type="noConversion"/>
  </si>
  <si>
    <t>幼虫，没有攻击力。</t>
    <phoneticPr fontId="6" type="noConversion"/>
  </si>
  <si>
    <t>寄居蟹</t>
    <phoneticPr fontId="6" type="noConversion"/>
  </si>
  <si>
    <t>巨大的寄居蟹，属于泰坦级别的生物。</t>
    <phoneticPr fontId="6" type="noConversion"/>
  </si>
  <si>
    <t>巨大的海盗王不死之身，属于泰坦级别的怪物。</t>
    <phoneticPr fontId="6" type="noConversion"/>
  </si>
  <si>
    <t>巨大的海盗头目骷髅怪，属于泰坦级别的怪物。</t>
    <phoneticPr fontId="6" type="noConversion"/>
  </si>
  <si>
    <t>巨大的犀牛，属于泰坦级别的生物。</t>
    <phoneticPr fontId="6" type="noConversion"/>
  </si>
  <si>
    <t>巨大的飞行杀戮者，属于泰坦级别的怪物。</t>
    <phoneticPr fontId="6" type="noConversion"/>
  </si>
  <si>
    <t>是否在帮助文档中的显示</t>
    <phoneticPr fontId="6" type="noConversion"/>
  </si>
  <si>
    <t>图腾兵</t>
    <phoneticPr fontId="6" type="noConversion"/>
  </si>
  <si>
    <t>投掷石头的士兵，可以击晕士兵。</t>
    <phoneticPr fontId="6" type="noConversion"/>
  </si>
  <si>
    <t>使用信仰之力召唤的战士，战斗力强劲。</t>
    <phoneticPr fontId="6" type="noConversion"/>
  </si>
  <si>
    <t>传送门</t>
    <phoneticPr fontId="6" type="noConversion"/>
  </si>
  <si>
    <t>portal</t>
    <phoneticPr fontId="6" type="noConversion"/>
  </si>
  <si>
    <t>高大的城墙，可阻挡任何敌人。士兵可在城墙上打击敌人。</t>
    <phoneticPr fontId="6" type="noConversion"/>
  </si>
  <si>
    <t>士兵可以在一对传送门间穿梭。</t>
    <phoneticPr fontId="6" type="noConversion"/>
  </si>
  <si>
    <t>地下穴居</t>
    <phoneticPr fontId="6" type="noConversion"/>
  </si>
  <si>
    <t>矮人</t>
    <phoneticPr fontId="9" type="noConversion"/>
  </si>
  <si>
    <t>鼠人</t>
  </si>
  <si>
    <t>猫人</t>
  </si>
  <si>
    <t>羊人</t>
  </si>
  <si>
    <t>猪人</t>
  </si>
  <si>
    <t>精灵族</t>
  </si>
  <si>
    <t>蜥蜴人</t>
    <phoneticPr fontId="9" type="noConversion"/>
  </si>
  <si>
    <t>狼人</t>
  </si>
  <si>
    <t>三眼人</t>
  </si>
  <si>
    <t>蚁人</t>
    <phoneticPr fontId="9" type="noConversion"/>
  </si>
  <si>
    <t>种族</t>
    <phoneticPr fontId="6" type="noConversion"/>
  </si>
  <si>
    <t>形似蚂蚁的种族，地着单调而节制的生活。寿命较短，洞穴群居，偏好糖，免疫肠胃炎。</t>
    <phoneticPr fontId="9" type="noConversion"/>
  </si>
  <si>
    <t>形似老鼠的种族，擅长挖掘，是天生的矿工。寿命较短，洞穴群居，免疫传染病和肠胃炎。</t>
    <phoneticPr fontId="9" type="noConversion"/>
  </si>
  <si>
    <t>形似猪的种族，擅长种植，是天生的农民。洞穴群居，偏好主食，免疫肠胃炎。住所肮脏不堪。</t>
    <phoneticPr fontId="9" type="noConversion"/>
  </si>
  <si>
    <t>天生会利用宝石中神秘力量，施展魔法的种族。自命为万物之灵，寿命极长，免疫寒冷，免疫传染病，不从事日常劳动。只吃精致食物，偏好宝石。</t>
    <phoneticPr fontId="9" type="noConversion"/>
  </si>
  <si>
    <t>上古遗民的后代，额头上长有第三只眼，自称为无上的先知，可对敌人，施展精神控制。</t>
    <phoneticPr fontId="9" type="noConversion"/>
  </si>
  <si>
    <t>career_9201_m</t>
  </si>
  <si>
    <t>career_9202_m</t>
  </si>
  <si>
    <t>career_9203_m</t>
  </si>
  <si>
    <t>career_9204_m</t>
  </si>
  <si>
    <t>career_9205_m</t>
  </si>
  <si>
    <t>career_9206_m</t>
  </si>
  <si>
    <t>career_9207_m</t>
  </si>
  <si>
    <t>career_9208_m</t>
  </si>
  <si>
    <t>career_9209_m</t>
  </si>
  <si>
    <r>
      <t>career_</t>
    </r>
    <r>
      <rPr>
        <sz val="11"/>
        <color theme="1"/>
        <rFont val="宋体"/>
        <family val="3"/>
        <charset val="134"/>
        <scheme val="minor"/>
      </rPr>
      <t>0</t>
    </r>
    <r>
      <rPr>
        <sz val="11"/>
        <color theme="1"/>
        <rFont val="宋体"/>
        <family val="3"/>
        <charset val="134"/>
        <scheme val="minor"/>
      </rPr>
      <t>_m</t>
    </r>
    <phoneticPr fontId="6" type="noConversion"/>
  </si>
  <si>
    <t xml:space="preserve">种族编号 </t>
    <phoneticPr fontId="6" type="noConversion"/>
  </si>
  <si>
    <t>身体矮小的类人种族，大多数显得不太聪明，有着自己独特的文明。擅长加工制造。</t>
    <phoneticPr fontId="6" type="noConversion"/>
  </si>
  <si>
    <t>宴会桌</t>
    <phoneticPr fontId="6" type="noConversion"/>
  </si>
  <si>
    <t>banquet_table</t>
    <phoneticPr fontId="6" type="noConversion"/>
  </si>
  <si>
    <t>节日庆典</t>
    <phoneticPr fontId="6" type="noConversion"/>
  </si>
  <si>
    <t>蜜糖派对</t>
    <phoneticPr fontId="6" type="noConversion"/>
  </si>
  <si>
    <t>药茶品鉴会</t>
    <phoneticPr fontId="6" type="noConversion"/>
  </si>
  <si>
    <t>水果蔬菜沙龙</t>
    <phoneticPr fontId="6" type="noConversion"/>
  </si>
  <si>
    <t>酒神狂欢节</t>
    <phoneticPr fontId="6" type="noConversion"/>
  </si>
  <si>
    <t>黑暗料理派对</t>
    <phoneticPr fontId="6" type="noConversion"/>
  </si>
  <si>
    <t>鱼肉生鲜派对</t>
    <phoneticPr fontId="6" type="noConversion"/>
  </si>
  <si>
    <t>文化研讨会</t>
    <phoneticPr fontId="6" type="noConversion"/>
  </si>
  <si>
    <t>贵族派对</t>
    <phoneticPr fontId="6" type="noConversion"/>
  </si>
  <si>
    <t>让居民享用药茶的派对，可提升幸福感。一些单身汉在此找到了另一半。</t>
    <phoneticPr fontId="6" type="noConversion"/>
  </si>
  <si>
    <t>让居民享用蜜糖的派对，可提升幸福感。一些单身汉在此找到了另一半。</t>
    <phoneticPr fontId="6" type="noConversion"/>
  </si>
  <si>
    <t>让居民品尝水果和蔬菜的派对，可提升幸福感。一些单身汉在此找到了另一半。</t>
    <phoneticPr fontId="6" type="noConversion"/>
  </si>
  <si>
    <t>让居民品尝美酒的派对，可提升幸福感。一些单身汉在此找到了另一半。</t>
    <phoneticPr fontId="6" type="noConversion"/>
  </si>
  <si>
    <t>鼠人专有的派对，可提升幸福感。一些单身汉在此找到了另一半。</t>
    <phoneticPr fontId="6" type="noConversion"/>
  </si>
  <si>
    <t>宝石品鉴会</t>
    <phoneticPr fontId="6" type="noConversion"/>
  </si>
  <si>
    <t>魔法师的派对，交流宝石神秘力量使用心得，可增强魔法师的战斗力。一些单身汉在此找到了另一半。</t>
    <phoneticPr fontId="6" type="noConversion"/>
  </si>
  <si>
    <t>贵族派对，一些单身贵族在此找到了另一半。</t>
    <phoneticPr fontId="6" type="noConversion"/>
  </si>
  <si>
    <t>文化人的派对，可提升贵族的管理和军事等方面的能力。</t>
    <phoneticPr fontId="6" type="noConversion"/>
  </si>
  <si>
    <t>猫人和狼人专有派对，可提升幸福感。一些单身汉在此找到了另一半。</t>
    <phoneticPr fontId="6" type="noConversion"/>
  </si>
  <si>
    <t>珍贵药物，永久提升颜值。仅对颜值低于90的儿童或学生有效。</t>
    <phoneticPr fontId="6" type="noConversion"/>
  </si>
  <si>
    <t>狼战士</t>
  </si>
  <si>
    <t>狼战士</t>
    <phoneticPr fontId="6" type="noConversion"/>
  </si>
  <si>
    <t>金矿</t>
    <phoneticPr fontId="6" type="noConversion"/>
  </si>
  <si>
    <t>银矿</t>
    <phoneticPr fontId="6" type="noConversion"/>
  </si>
  <si>
    <t>可通过冶炼铁矿，获得铁锭。</t>
    <phoneticPr fontId="6" type="noConversion"/>
  </si>
  <si>
    <t>可通过冶炼金矿，获得黄金。</t>
    <phoneticPr fontId="6" type="noConversion"/>
  </si>
  <si>
    <t>可通过冶炼银矿，获得白银。</t>
    <phoneticPr fontId="6" type="noConversion"/>
  </si>
  <si>
    <t>厕所</t>
    <phoneticPr fontId="6" type="noConversion"/>
  </si>
  <si>
    <t>toilet</t>
    <phoneticPr fontId="6" type="noConversion"/>
  </si>
  <si>
    <t>厕所</t>
    <phoneticPr fontId="6" type="noConversion"/>
  </si>
  <si>
    <t>粪便</t>
    <phoneticPr fontId="6" type="noConversion"/>
  </si>
  <si>
    <t>一群蚊子，活跃在仲夏和晚夏。会叮咬居民，有概率传染疟疾。</t>
    <phoneticPr fontId="6" type="noConversion"/>
  </si>
  <si>
    <t>形似猫的种族，擅长捕鱼，是天生的渔夫。春天四处求爱配对，秋天自动解除婚配关系。猫人晚上不睡觉，初夏和仲夏会睡整两个月。偏好鱼，免疫肠胃炎</t>
    <phoneticPr fontId="9" type="noConversion"/>
  </si>
  <si>
    <t>ui_banquet</t>
  </si>
  <si>
    <t>派对</t>
    <phoneticPr fontId="6" type="noConversion"/>
  </si>
  <si>
    <t>牧草</t>
    <phoneticPr fontId="6" type="noConversion"/>
  </si>
  <si>
    <t>饲料</t>
    <phoneticPr fontId="6" type="noConversion"/>
  </si>
  <si>
    <t>用于喂养动物的草料。</t>
    <phoneticPr fontId="6" type="noConversion"/>
  </si>
  <si>
    <t>牧草种子</t>
    <phoneticPr fontId="6" type="noConversion"/>
  </si>
  <si>
    <t>可用于饲养动物。</t>
    <phoneticPr fontId="6" type="noConversion"/>
  </si>
  <si>
    <t>来自地心的种族，形似蜥蜴，自称掌握着宇宙的真理。经常在夏夜聚在一起祷告，据说是在聆听神的旨意。特别害怕寒冷，需冬眠。</t>
    <phoneticPr fontId="9" type="noConversion"/>
  </si>
  <si>
    <t>stuff_on_map_faeces</t>
    <phoneticPr fontId="6" type="noConversion"/>
  </si>
  <si>
    <t>钩爪</t>
    <phoneticPr fontId="6" type="noConversion"/>
  </si>
  <si>
    <t>魔法项链</t>
    <phoneticPr fontId="6" type="noConversion"/>
  </si>
  <si>
    <t>魔法戒指</t>
    <phoneticPr fontId="6" type="noConversion"/>
  </si>
  <si>
    <t>自爆</t>
    <phoneticPr fontId="6" type="noConversion"/>
  </si>
  <si>
    <t>附着魔法的戒指，可增强佩戴者的魔法强度。其魔法功效，会在使用中逐渐损耗掉。
精灵族佩戴时，可增强魔法攻击力
三眼人佩戴时，可使被心灵控制的敌兵死亡时自爆
蜥蜴人佩戴时，可进一步提升研究速度</t>
    <phoneticPr fontId="6" type="noConversion"/>
  </si>
  <si>
    <t>附着魔法的项链，可增加佩戴者的魔法容量。其魔法功效，会在使用中逐渐损耗掉。
精灵族佩戴时，可提升大招出现频率
三眼人佩戴时，可吸收一半的攻击伤害
蜥蜴人佩戴时，可使灵感爆发作用次数翻倍</t>
    <phoneticPr fontId="6" type="noConversion"/>
  </si>
  <si>
    <t>地火</t>
    <phoneticPr fontId="6" type="noConversion"/>
  </si>
  <si>
    <t>两轮马车</t>
    <phoneticPr fontId="6" type="noConversion"/>
  </si>
  <si>
    <t>四轮马车</t>
    <phoneticPr fontId="6" type="noConversion"/>
  </si>
  <si>
    <t>相对于居民的移动速度</t>
    <phoneticPr fontId="6" type="noConversion"/>
  </si>
  <si>
    <t>运输量小，但移动速度较快</t>
    <phoneticPr fontId="6" type="noConversion"/>
  </si>
  <si>
    <t>运输量大，但移动速度比两轮马车慢一点</t>
    <phoneticPr fontId="6" type="noConversion"/>
  </si>
  <si>
    <t>两轮马车</t>
    <phoneticPr fontId="6" type="noConversion"/>
  </si>
  <si>
    <t>铁矿</t>
    <phoneticPr fontId="6" type="noConversion"/>
  </si>
  <si>
    <t xml:space="preserve"> </t>
    <phoneticPr fontId="6" type="noConversion"/>
  </si>
  <si>
    <t>成片施肥</t>
    <phoneticPr fontId="6" type="noConversion"/>
  </si>
  <si>
    <t>成片施肥</t>
    <phoneticPr fontId="6" type="noConversion"/>
  </si>
  <si>
    <t>尚武精神</t>
    <phoneticPr fontId="6" type="noConversion"/>
  </si>
  <si>
    <t>制定生育法律，限制一对夫妇可生育的子女数量。</t>
    <phoneticPr fontId="6" type="noConversion"/>
  </si>
  <si>
    <t>悬浮在空中的尖石碑，具有使附近的敌人移动减速的魔法力量。</t>
    <phoneticPr fontId="6" type="noConversion"/>
  </si>
  <si>
    <t>人口政策</t>
    <phoneticPr fontId="6" type="noConversion"/>
  </si>
  <si>
    <t>启蒙书</t>
    <phoneticPr fontId="6" type="noConversion"/>
  </si>
  <si>
    <t>学习效率系数</t>
    <phoneticPr fontId="6" type="noConversion"/>
  </si>
  <si>
    <t>一种稀有金属矿石，可用来打造顶级盔甲。</t>
    <phoneticPr fontId="6" type="noConversion"/>
  </si>
  <si>
    <t>一种稀有金属矿石，可用来打造顶级武器。</t>
    <phoneticPr fontId="6" type="noConversion"/>
  </si>
  <si>
    <t>一种稀有金属矿石，可用来打造顶级盾牌。</t>
    <phoneticPr fontId="6" type="noConversion"/>
  </si>
  <si>
    <t>蔬菜作物，产量中，水份需求高，肥料需求中等，生长快，有点怕低温。</t>
    <phoneticPr fontId="6" type="noConversion"/>
  </si>
  <si>
    <t>饼干</t>
    <phoneticPr fontId="6" type="noConversion"/>
  </si>
  <si>
    <t>蛋糕</t>
    <phoneticPr fontId="6" type="noConversion"/>
  </si>
  <si>
    <t>牛奶</t>
    <phoneticPr fontId="6" type="noConversion"/>
  </si>
  <si>
    <t>面粉</t>
    <phoneticPr fontId="6" type="noConversion"/>
  </si>
  <si>
    <t>红宝石</t>
    <phoneticPr fontId="6" type="noConversion"/>
  </si>
  <si>
    <t>洞穴</t>
    <phoneticPr fontId="6" type="noConversion"/>
  </si>
  <si>
    <t>洞穴</t>
    <phoneticPr fontId="6" type="noConversion"/>
  </si>
  <si>
    <t>人工建造的洞穴，内部空间巨大，深受蚁人，鼠人和猪人的喜爱。</t>
    <phoneticPr fontId="6" type="noConversion"/>
  </si>
  <si>
    <t>burrow</t>
    <phoneticPr fontId="6" type="noConversion"/>
  </si>
  <si>
    <t>磨坊</t>
    <phoneticPr fontId="6" type="noConversion"/>
  </si>
  <si>
    <t>mill</t>
    <phoneticPr fontId="6" type="noConversion"/>
  </si>
  <si>
    <t>磨面粉的作坊</t>
    <phoneticPr fontId="6" type="noConversion"/>
  </si>
  <si>
    <t>美味可口的蛋糕，让人幸福满满</t>
    <phoneticPr fontId="6" type="noConversion"/>
  </si>
  <si>
    <t>骷髅战士</t>
    <phoneticPr fontId="6" type="noConversion"/>
  </si>
  <si>
    <t>金字塔，长期被强大力量封印着，据说埋藏着顶级的武器装备图纸。</t>
    <phoneticPr fontId="6" type="noConversion"/>
  </si>
  <si>
    <t>尸体</t>
    <phoneticPr fontId="6" type="noConversion"/>
  </si>
  <si>
    <t>stuff_on_map</t>
    <phoneticPr fontId="6" type="noConversion"/>
  </si>
  <si>
    <t>dinner_table</t>
    <phoneticPr fontId="6" type="noConversion"/>
  </si>
  <si>
    <t>workbench</t>
    <phoneticPr fontId="6" type="noConversion"/>
  </si>
  <si>
    <t>可安排居民进餐。居民在进餐的同时，可享用咖啡，饮酒等。</t>
    <phoneticPr fontId="6" type="noConversion"/>
  </si>
  <si>
    <t>含糖量极高的经济作物，可在【炼药锅】中炼制成糖。</t>
    <phoneticPr fontId="6" type="noConversion"/>
  </si>
  <si>
    <t>营养材料，对儿童成长有很大作用。</t>
    <phoneticPr fontId="6" type="noConversion"/>
  </si>
  <si>
    <t>肉制品，牧场养鸡获得。营养材料，对儿童成长有很大作用。</t>
    <phoneticPr fontId="6" type="noConversion"/>
  </si>
  <si>
    <t>驻扎点</t>
    <phoneticPr fontId="6" type="noConversion"/>
  </si>
  <si>
    <r>
      <t>ba</t>
    </r>
    <r>
      <rPr>
        <sz val="11"/>
        <color theme="1"/>
        <rFont val="宋体"/>
        <family val="3"/>
        <charset val="134"/>
        <scheme val="minor"/>
      </rPr>
      <t>rracks_station_point</t>
    </r>
    <phoneticPr fontId="6" type="noConversion"/>
  </si>
  <si>
    <t>心灵书</t>
    <phoneticPr fontId="6" type="noConversion"/>
  </si>
  <si>
    <t>用于给怪物投喂食物，吸引怪物，并促进其繁殖。也可以投喂野生动物使其聚集。</t>
    <phoneticPr fontId="6" type="noConversion"/>
  </si>
  <si>
    <t>野营</t>
    <phoneticPr fontId="6" type="noConversion"/>
  </si>
  <si>
    <r>
      <t>barracks</t>
    </r>
    <r>
      <rPr>
        <sz val="11"/>
        <color theme="1"/>
        <rFont val="宋体"/>
        <family val="3"/>
        <charset val="134"/>
        <scheme val="minor"/>
      </rPr>
      <t>_small</t>
    </r>
    <phoneticPr fontId="6" type="noConversion"/>
  </si>
  <si>
    <t>野外军营，方便快捷，可容纳少量士兵。</t>
    <phoneticPr fontId="6" type="noConversion"/>
  </si>
  <si>
    <t>蘑菇箱</t>
    <phoneticPr fontId="6" type="noConversion"/>
  </si>
  <si>
    <t>mushroom_box</t>
    <phoneticPr fontId="6" type="noConversion"/>
  </si>
  <si>
    <t>使用蘑菇箱，可以在室内培育蘑菇。</t>
    <phoneticPr fontId="6" type="noConversion"/>
  </si>
  <si>
    <t>蘑菇培育</t>
    <phoneticPr fontId="6" type="noConversion"/>
  </si>
  <si>
    <t>让人愉悦的甜味物质。由甘蔗在【炼药锅】中炼制而来。</t>
    <phoneticPr fontId="6" type="noConversion"/>
  </si>
  <si>
    <t>monster1</t>
  </si>
  <si>
    <t>monster2</t>
  </si>
  <si>
    <t>monster3</t>
  </si>
  <si>
    <t>monster4</t>
  </si>
  <si>
    <t>monster5</t>
  </si>
  <si>
    <t>monster6</t>
  </si>
  <si>
    <t>monster7</t>
  </si>
  <si>
    <t>monster8</t>
  </si>
  <si>
    <t>monster9</t>
  </si>
  <si>
    <t>monster10</t>
  </si>
  <si>
    <t>monster11</t>
  </si>
  <si>
    <t>monster12</t>
  </si>
  <si>
    <t>monster13</t>
  </si>
  <si>
    <t>monster14</t>
  </si>
  <si>
    <t>monster15</t>
  </si>
  <si>
    <t>monster16</t>
  </si>
  <si>
    <t>monster17</t>
  </si>
  <si>
    <t>monster18</t>
  </si>
  <si>
    <t>monster19</t>
  </si>
  <si>
    <t>monster20</t>
  </si>
  <si>
    <t>monster23</t>
    <phoneticPr fontId="6" type="noConversion"/>
  </si>
  <si>
    <r>
      <t>monster2</t>
    </r>
    <r>
      <rPr>
        <sz val="11"/>
        <color theme="1"/>
        <rFont val="宋体"/>
        <family val="3"/>
        <charset val="134"/>
        <scheme val="minor"/>
      </rPr>
      <t>4</t>
    </r>
    <phoneticPr fontId="6" type="noConversion"/>
  </si>
  <si>
    <t>monster25</t>
    <phoneticPr fontId="6" type="noConversion"/>
  </si>
  <si>
    <t>monster26</t>
    <phoneticPr fontId="6" type="noConversion"/>
  </si>
  <si>
    <t>monster27</t>
    <phoneticPr fontId="6" type="noConversion"/>
  </si>
  <si>
    <t>monster28</t>
    <phoneticPr fontId="6" type="noConversion"/>
  </si>
  <si>
    <t>monster29</t>
    <phoneticPr fontId="6" type="noConversion"/>
  </si>
  <si>
    <t>monster30</t>
    <phoneticPr fontId="6" type="noConversion"/>
  </si>
  <si>
    <t>monster31</t>
    <phoneticPr fontId="6" type="noConversion"/>
  </si>
  <si>
    <t>monster32</t>
    <phoneticPr fontId="6" type="noConversion"/>
  </si>
  <si>
    <t>monster34</t>
    <phoneticPr fontId="6" type="noConversion"/>
  </si>
  <si>
    <t>monster35</t>
    <phoneticPr fontId="6" type="noConversion"/>
  </si>
  <si>
    <t>光明祭坛</t>
    <phoneticPr fontId="6" type="noConversion"/>
  </si>
  <si>
    <t>黑暗祭坛</t>
  </si>
  <si>
    <t>黑暗祭坛</t>
    <phoneticPr fontId="6" type="noConversion"/>
  </si>
  <si>
    <t>altar_dark</t>
    <phoneticPr fontId="6" type="noConversion"/>
  </si>
  <si>
    <t>altar_light</t>
    <phoneticPr fontId="6" type="noConversion"/>
  </si>
  <si>
    <t>供奉光明之神，以产生奇迹</t>
    <phoneticPr fontId="6" type="noConversion"/>
  </si>
  <si>
    <t>供奉黑暗之神，以产生奇迹</t>
    <phoneticPr fontId="6" type="noConversion"/>
  </si>
  <si>
    <t>制裁</t>
    <phoneticPr fontId="6" type="noConversion"/>
  </si>
  <si>
    <t>一呼百应</t>
    <phoneticPr fontId="6" type="noConversion"/>
  </si>
  <si>
    <t>斩妖除魔</t>
    <phoneticPr fontId="6" type="noConversion"/>
  </si>
  <si>
    <t>日食</t>
  </si>
  <si>
    <t>净化瘟疫</t>
    <phoneticPr fontId="6" type="noConversion"/>
  </si>
  <si>
    <t>精灵之友</t>
    <phoneticPr fontId="6" type="noConversion"/>
  </si>
  <si>
    <t>一年内可自由造山</t>
    <phoneticPr fontId="6" type="noConversion"/>
  </si>
  <si>
    <t>造山</t>
    <phoneticPr fontId="6" type="noConversion"/>
  </si>
  <si>
    <r>
      <t>瞬间清除瘟疫，且1</t>
    </r>
    <r>
      <rPr>
        <sz val="11"/>
        <color theme="1"/>
        <rFont val="宋体"/>
        <family val="3"/>
        <charset val="134"/>
        <scheme val="minor"/>
      </rPr>
      <t>0年内持续清除传染源</t>
    </r>
    <phoneticPr fontId="6" type="noConversion"/>
  </si>
  <si>
    <r>
      <t>明年1</t>
    </r>
    <r>
      <rPr>
        <sz val="11"/>
        <color theme="1"/>
        <rFont val="宋体"/>
        <family val="3"/>
        <charset val="134"/>
        <scheme val="minor"/>
      </rPr>
      <t>00%</t>
    </r>
    <r>
      <rPr>
        <sz val="11"/>
        <color theme="1"/>
        <rFont val="宋体"/>
        <family val="3"/>
        <charset val="134"/>
        <scheme val="minor"/>
      </rPr>
      <t>触发日食</t>
    </r>
    <phoneticPr fontId="6" type="noConversion"/>
  </si>
  <si>
    <r>
      <t>明年1</t>
    </r>
    <r>
      <rPr>
        <sz val="11"/>
        <color theme="1"/>
        <rFont val="宋体"/>
        <family val="3"/>
        <charset val="134"/>
        <scheme val="minor"/>
      </rPr>
      <t>00%</t>
    </r>
    <r>
      <rPr>
        <sz val="11"/>
        <color theme="1"/>
        <rFont val="宋体"/>
        <family val="3"/>
        <charset val="134"/>
        <scheme val="minor"/>
      </rPr>
      <t>触发干旱</t>
    </r>
    <phoneticPr fontId="6" type="noConversion"/>
  </si>
  <si>
    <t>瞬间召唤100个小精灵，前来帮忙</t>
    <phoneticPr fontId="6" type="noConversion"/>
  </si>
  <si>
    <t>尸体</t>
    <phoneticPr fontId="6" type="noConversion"/>
  </si>
  <si>
    <t>动画帧数</t>
    <phoneticPr fontId="6" type="noConversion"/>
  </si>
  <si>
    <t>召唤5级海盗王</t>
    <phoneticPr fontId="6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</si>
  <si>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海盗王</t>
    </r>
    <phoneticPr fontId="6" type="noConversion"/>
  </si>
  <si>
    <t>召唤5级暗夜收割者</t>
    <phoneticPr fontId="6" type="noConversion"/>
  </si>
  <si>
    <r>
      <t>召唤1</t>
    </r>
    <r>
      <rPr>
        <sz val="11"/>
        <color theme="1"/>
        <rFont val="宋体"/>
        <family val="3"/>
        <charset val="134"/>
        <scheme val="minor"/>
      </rPr>
      <t>0级</t>
    </r>
    <r>
      <rPr>
        <sz val="11"/>
        <color theme="1"/>
        <rFont val="宋体"/>
        <family val="3"/>
        <charset val="134"/>
        <scheme val="minor"/>
      </rPr>
      <t>暗夜收割者</t>
    </r>
    <phoneticPr fontId="6" type="noConversion"/>
  </si>
  <si>
    <t>魂飞魄散</t>
  </si>
  <si>
    <t>干旱</t>
  </si>
  <si>
    <t>感染源</t>
    <phoneticPr fontId="6" type="noConversion"/>
  </si>
  <si>
    <t>小精灵可免费召唤上限永久加1</t>
    <phoneticPr fontId="6" type="noConversion"/>
  </si>
  <si>
    <t>粮食作物，产量低，水肥需求适中，收获期长，生长慢，耐寒。</t>
    <phoneticPr fontId="6" type="noConversion"/>
  </si>
  <si>
    <t>结束日食</t>
    <phoneticPr fontId="6" type="noConversion"/>
  </si>
  <si>
    <t>结束正在发生的日食</t>
    <phoneticPr fontId="6" type="noConversion"/>
  </si>
  <si>
    <t>奇迹</t>
    <phoneticPr fontId="6" type="noConversion"/>
  </si>
  <si>
    <t>轮回书</t>
  </si>
  <si>
    <t>轮回书</t>
    <phoneticPr fontId="6" type="noConversion"/>
  </si>
  <si>
    <t>人伦书</t>
    <phoneticPr fontId="6" type="noConversion"/>
  </si>
  <si>
    <t>天职书</t>
    <phoneticPr fontId="6" type="noConversion"/>
  </si>
  <si>
    <t>工作效率提升</t>
    <phoneticPr fontId="6" type="noConversion"/>
  </si>
  <si>
    <t>使用火焰进行攻击的精灵法师。（仅限精灵族）</t>
    <phoneticPr fontId="6" type="noConversion"/>
  </si>
  <si>
    <t>使用寒冰进行攻击的精灵法师，有机率将敌人冰冻。（仅限精灵族）</t>
    <phoneticPr fontId="6" type="noConversion"/>
  </si>
  <si>
    <t>使用圣光进行攻击的精灵法师，有机率掉落生命之力，可恢复己方士兵力量。（仅限精灵族）</t>
    <phoneticPr fontId="6" type="noConversion"/>
  </si>
  <si>
    <t>使用魔法攻击敌人的法师，有概率从精神上控制敌人士兵（敌人等级更高时，可能控制失败。等级相差越多，越不易成功）（仅限三眼人）</t>
    <phoneticPr fontId="6" type="noConversion"/>
  </si>
  <si>
    <t>monster36</t>
    <phoneticPr fontId="6" type="noConversion"/>
  </si>
  <si>
    <t>monster37</t>
    <phoneticPr fontId="6" type="noConversion"/>
  </si>
  <si>
    <t>炸弹史莱姆</t>
    <phoneticPr fontId="6" type="noConversion"/>
  </si>
  <si>
    <t>性格暴躁的史莱姆，死亡后会掉落火药。</t>
    <phoneticPr fontId="6" type="noConversion"/>
  </si>
  <si>
    <t>1级炸弹史莱姆</t>
    <phoneticPr fontId="6" type="noConversion"/>
  </si>
  <si>
    <t>2级炸弹史莱姆</t>
  </si>
  <si>
    <t>3级炸弹史莱姆</t>
  </si>
  <si>
    <t>4级炸弹史莱姆</t>
  </si>
  <si>
    <t>5级炸弹史莱姆</t>
  </si>
  <si>
    <t>6级炸弹史莱姆</t>
  </si>
  <si>
    <t>7级炸弹史莱姆</t>
  </si>
  <si>
    <t>8级炸弹史莱姆</t>
  </si>
  <si>
    <t>9级炸弹史莱姆</t>
  </si>
  <si>
    <t>10级炸弹史莱姆</t>
  </si>
  <si>
    <r>
      <t>monster3</t>
    </r>
    <r>
      <rPr>
        <sz val="11"/>
        <color theme="1"/>
        <rFont val="宋体"/>
        <family val="3"/>
        <charset val="134"/>
        <scheme val="minor"/>
      </rPr>
      <t>6</t>
    </r>
    <phoneticPr fontId="6" type="noConversion"/>
  </si>
  <si>
    <r>
      <t>monster3</t>
    </r>
    <r>
      <rPr>
        <sz val="11"/>
        <color theme="1"/>
        <rFont val="宋体"/>
        <family val="3"/>
        <charset val="134"/>
        <scheme val="minor"/>
      </rPr>
      <t>6</t>
    </r>
    <r>
      <rPr>
        <sz val="11"/>
        <color theme="1"/>
        <rFont val="宋体"/>
        <family val="3"/>
        <charset val="134"/>
        <scheme val="minor"/>
      </rPr>
      <t>_1</t>
    </r>
    <phoneticPr fontId="6" type="noConversion"/>
  </si>
  <si>
    <t>ic_monster36</t>
    <phoneticPr fontId="6" type="noConversion"/>
  </si>
  <si>
    <t>monster36</t>
    <phoneticPr fontId="6" type="noConversion"/>
  </si>
  <si>
    <t>monster38</t>
  </si>
  <si>
    <t>monster37</t>
    <phoneticPr fontId="6" type="noConversion"/>
  </si>
  <si>
    <t>红宝石史莱姆</t>
    <phoneticPr fontId="6" type="noConversion"/>
  </si>
  <si>
    <t>绿宝石史莱姆</t>
    <phoneticPr fontId="6" type="noConversion"/>
  </si>
  <si>
    <t>蓝宝石史莱姆</t>
    <phoneticPr fontId="6" type="noConversion"/>
  </si>
  <si>
    <t>喜食红宝石碎片的史莱姆，性格温和，死亡后会掉落宝石。</t>
    <phoneticPr fontId="6" type="noConversion"/>
  </si>
  <si>
    <t>喜食绿宝石碎片的史莱姆，性格温和，死亡后会掉落宝石。</t>
    <phoneticPr fontId="6" type="noConversion"/>
  </si>
  <si>
    <t>喜食蓝宝石碎片的史莱姆，性格温和，死亡后会掉落宝石。</t>
    <phoneticPr fontId="6" type="noConversion"/>
  </si>
  <si>
    <t>1级红宝石史莱姆</t>
    <phoneticPr fontId="6" type="noConversion"/>
  </si>
  <si>
    <t>2级红宝石史莱姆</t>
  </si>
  <si>
    <t>3级红宝石史莱姆</t>
  </si>
  <si>
    <t>4级红宝石史莱姆</t>
  </si>
  <si>
    <t>5级红宝石史莱姆</t>
  </si>
  <si>
    <t>6级红宝石史莱姆</t>
  </si>
  <si>
    <t>7级红宝石史莱姆</t>
  </si>
  <si>
    <t>8级红宝石史莱姆</t>
  </si>
  <si>
    <t>9级红宝石史莱姆</t>
  </si>
  <si>
    <t>10级红宝石史莱姆</t>
  </si>
  <si>
    <t>1级蓝宝石史莱姆</t>
    <phoneticPr fontId="6" type="noConversion"/>
  </si>
  <si>
    <t>2级蓝宝石史莱姆</t>
  </si>
  <si>
    <t>3级蓝宝石史莱姆</t>
  </si>
  <si>
    <t>4级蓝宝石史莱姆</t>
  </si>
  <si>
    <t>5级蓝宝石史莱姆</t>
  </si>
  <si>
    <t>6级蓝宝石史莱姆</t>
  </si>
  <si>
    <t>7级蓝宝石史莱姆</t>
  </si>
  <si>
    <t>8级蓝宝石史莱姆</t>
  </si>
  <si>
    <t>9级蓝宝石史莱姆</t>
  </si>
  <si>
    <t>10级蓝宝石史莱姆</t>
  </si>
  <si>
    <t>1级绿宝石史莱姆</t>
    <phoneticPr fontId="6" type="noConversion"/>
  </si>
  <si>
    <t>2级绿宝石史莱姆</t>
  </si>
  <si>
    <t>3级绿宝石史莱姆</t>
  </si>
  <si>
    <t>4级绿宝石史莱姆</t>
  </si>
  <si>
    <t>5级绿宝石史莱姆</t>
  </si>
  <si>
    <t>6级绿宝石史莱姆</t>
  </si>
  <si>
    <t>7级绿宝石史莱姆</t>
  </si>
  <si>
    <t>8级绿宝石史莱姆</t>
  </si>
  <si>
    <t>9级绿宝石史莱姆</t>
  </si>
  <si>
    <t>10级绿宝石史莱姆</t>
  </si>
  <si>
    <r>
      <t>monster37</t>
    </r>
    <r>
      <rPr>
        <sz val="11"/>
        <color theme="1"/>
        <rFont val="宋体"/>
        <family val="3"/>
        <charset val="134"/>
        <scheme val="minor"/>
      </rPr>
      <t>_1</t>
    </r>
    <phoneticPr fontId="6" type="noConversion"/>
  </si>
  <si>
    <t>monster38</t>
    <phoneticPr fontId="6" type="noConversion"/>
  </si>
  <si>
    <r>
      <t>monster38</t>
    </r>
    <r>
      <rPr>
        <sz val="11"/>
        <color theme="1"/>
        <rFont val="宋体"/>
        <family val="3"/>
        <charset val="134"/>
        <scheme val="minor"/>
      </rPr>
      <t>_1</t>
    </r>
    <phoneticPr fontId="6" type="noConversion"/>
  </si>
  <si>
    <t>monster39</t>
    <phoneticPr fontId="6" type="noConversion"/>
  </si>
  <si>
    <r>
      <t>monster39</t>
    </r>
    <r>
      <rPr>
        <sz val="11"/>
        <color theme="1"/>
        <rFont val="宋体"/>
        <family val="3"/>
        <charset val="134"/>
        <scheme val="minor"/>
      </rPr>
      <t>_1</t>
    </r>
    <phoneticPr fontId="6" type="noConversion"/>
  </si>
  <si>
    <t>ic_monster37</t>
    <phoneticPr fontId="6" type="noConversion"/>
  </si>
  <si>
    <t>ic_monster38</t>
    <phoneticPr fontId="6" type="noConversion"/>
  </si>
  <si>
    <t>ic_monster39</t>
    <phoneticPr fontId="6" type="noConversion"/>
  </si>
  <si>
    <t>monster38</t>
    <phoneticPr fontId="6" type="noConversion"/>
  </si>
  <si>
    <t>monster39</t>
    <phoneticPr fontId="6" type="noConversion"/>
  </si>
  <si>
    <t>日常牛可以产奶，宰杀后可产出牛肉和皮革。</t>
    <phoneticPr fontId="6" type="noConversion"/>
  </si>
  <si>
    <t>日常羊可以产出羊毛，宰杀后可产出肉。</t>
    <phoneticPr fontId="6" type="noConversion"/>
  </si>
  <si>
    <t>日常鸡会下蛋，宰杀后可产出鸡肉，是优质的肉食来源。</t>
    <phoneticPr fontId="6" type="noConversion"/>
  </si>
  <si>
    <t>蚁穴</t>
    <phoneticPr fontId="6" type="noConversion"/>
  </si>
  <si>
    <r>
      <t>ant</t>
    </r>
    <r>
      <rPr>
        <sz val="11"/>
        <color theme="1"/>
        <rFont val="宋体"/>
        <family val="3"/>
        <charset val="134"/>
        <scheme val="minor"/>
      </rPr>
      <t>_</t>
    </r>
    <r>
      <rPr>
        <sz val="11"/>
        <color theme="1"/>
        <rFont val="宋体"/>
        <family val="3"/>
        <charset val="134"/>
        <scheme val="minor"/>
      </rPr>
      <t>nest</t>
    </r>
    <phoneticPr fontId="6" type="noConversion"/>
  </si>
  <si>
    <t>一种奇特的蚂蚁类生物的巢穴</t>
    <phoneticPr fontId="6" type="noConversion"/>
  </si>
  <si>
    <t>工蚁</t>
    <phoneticPr fontId="6" type="noConversion"/>
  </si>
  <si>
    <t>ant_worker</t>
  </si>
  <si>
    <t>ant_worker</t>
    <phoneticPr fontId="6" type="noConversion"/>
  </si>
  <si>
    <t>ant_soldier</t>
    <phoneticPr fontId="6" type="noConversion"/>
  </si>
  <si>
    <t>性格温顺的工蚁，没有攻击力，四处搜集物资。</t>
    <phoneticPr fontId="6" type="noConversion"/>
  </si>
  <si>
    <t>军蚁负责保卫蚁穴，受军蚁攻击后，可能中毒。</t>
    <phoneticPr fontId="6" type="noConversion"/>
  </si>
  <si>
    <t>monster39</t>
    <phoneticPr fontId="6" type="noConversion"/>
  </si>
  <si>
    <t>1级工蚁</t>
    <phoneticPr fontId="6" type="noConversion"/>
  </si>
  <si>
    <t>2级工蚁</t>
  </si>
  <si>
    <t>3级工蚁</t>
  </si>
  <si>
    <t>4级工蚁</t>
  </si>
  <si>
    <t>5级工蚁</t>
  </si>
  <si>
    <t>6级工蚁</t>
  </si>
  <si>
    <t>7级工蚁</t>
  </si>
  <si>
    <t>8级工蚁</t>
  </si>
  <si>
    <t>9级工蚁</t>
  </si>
  <si>
    <t>10级工蚁</t>
  </si>
  <si>
    <t>1级兵蚁</t>
    <phoneticPr fontId="6" type="noConversion"/>
  </si>
  <si>
    <t>2级兵蚁</t>
  </si>
  <si>
    <t>3级兵蚁</t>
  </si>
  <si>
    <t>4级兵蚁</t>
  </si>
  <si>
    <t>5级兵蚁</t>
  </si>
  <si>
    <t>6级兵蚁</t>
  </si>
  <si>
    <t>7级兵蚁</t>
  </si>
  <si>
    <t>8级兵蚁</t>
  </si>
  <si>
    <t>9级兵蚁</t>
  </si>
  <si>
    <t>10级兵蚁</t>
  </si>
  <si>
    <t>兵蚁</t>
    <phoneticPr fontId="6" type="noConversion"/>
  </si>
  <si>
    <t>ant_soldier</t>
    <phoneticPr fontId="6" type="noConversion"/>
  </si>
  <si>
    <t>ic_ant_worker</t>
    <phoneticPr fontId="6" type="noConversion"/>
  </si>
  <si>
    <t>ic_ant_soldier</t>
    <phoneticPr fontId="6" type="noConversion"/>
  </si>
  <si>
    <t>鼓励平民随身携带武器，临时转为民兵时，会有更强的战斗力。兵营可设置，是否向平民发送武器，及武器等级。</t>
    <phoneticPr fontId="6" type="noConversion"/>
  </si>
  <si>
    <t>巨蚊</t>
    <phoneticPr fontId="6" type="noConversion"/>
  </si>
  <si>
    <t>蚊群</t>
    <phoneticPr fontId="6" type="noConversion"/>
  </si>
  <si>
    <t>牢房1格容纳的人数</t>
    <phoneticPr fontId="6" type="noConversion"/>
  </si>
  <si>
    <t>拳头</t>
    <phoneticPr fontId="6" type="noConversion"/>
  </si>
  <si>
    <t>圣剑光环</t>
    <phoneticPr fontId="6" type="noConversion"/>
  </si>
  <si>
    <t>疾步光环</t>
    <phoneticPr fontId="6" type="noConversion"/>
  </si>
  <si>
    <t>领主光环</t>
    <phoneticPr fontId="6" type="noConversion"/>
  </si>
  <si>
    <t>圣盾光环</t>
    <phoneticPr fontId="6" type="noConversion"/>
  </si>
  <si>
    <t>图腾之柱</t>
    <phoneticPr fontId="6" type="noConversion"/>
  </si>
  <si>
    <t>totem_pillar</t>
    <phoneticPr fontId="6" type="noConversion"/>
  </si>
  <si>
    <t>英雄纪念碑</t>
    <phoneticPr fontId="6" type="noConversion"/>
  </si>
  <si>
    <t>monument</t>
    <phoneticPr fontId="6" type="noConversion"/>
  </si>
  <si>
    <t>将阵亡的士兵葬入公墓，永远纪念他们，他们个个都是英雄。</t>
    <phoneticPr fontId="6" type="noConversion"/>
  </si>
  <si>
    <t>精致的床</t>
    <phoneticPr fontId="6" type="noConversion"/>
  </si>
  <si>
    <t>一次赏赐数量</t>
    <phoneticPr fontId="6" type="noConversion"/>
  </si>
  <si>
    <t>初始马车</t>
    <phoneticPr fontId="6" type="noConversion"/>
  </si>
  <si>
    <t>装载着领地第一代开拓者物资的马车。</t>
    <phoneticPr fontId="6" type="noConversion"/>
  </si>
  <si>
    <t>料堆可用于堆放木头，石头，铁矿，煤和柴火。</t>
    <phoneticPr fontId="6" type="noConversion"/>
  </si>
  <si>
    <t>居民在此将原木劈成柴火。</t>
    <phoneticPr fontId="6" type="noConversion"/>
  </si>
  <si>
    <t>凝聚信仰，提升居民的幸福度，获得信仰之力。</t>
    <phoneticPr fontId="6" type="noConversion"/>
  </si>
  <si>
    <t>小范围提高周围环境温度，不会阻碍行走。由杂工根据需要，点燃或熄灭。</t>
    <phoneticPr fontId="6" type="noConversion"/>
  </si>
  <si>
    <t>大范围提高周围环境温度。由杂工根据需要，点燃或熄灭。</t>
    <phoneticPr fontId="6" type="noConversion"/>
  </si>
  <si>
    <t>在附近，护林员定期种植树苗，砍伐大树。</t>
    <phoneticPr fontId="6" type="noConversion"/>
  </si>
  <si>
    <t>饲养蜜蜂，可收获蜂蜜。</t>
    <phoneticPr fontId="6" type="noConversion"/>
  </si>
  <si>
    <t>极大范围供暖。由杂工根据需要，点燃或熄灭。</t>
    <phoneticPr fontId="6" type="noConversion"/>
  </si>
  <si>
    <t>安葬好去世的人，可减少亲人们的悲痛。
墓碑保留10年。</t>
    <phoneticPr fontId="6" type="noConversion"/>
  </si>
  <si>
    <t>居民在夜色中，围着篝火快乐地跳起舞。单身汉们借此机会，寻找另一半。</t>
    <phoneticPr fontId="6" type="noConversion"/>
  </si>
  <si>
    <t>接待途经领地的过路客，提供住宿，销售物品。</t>
    <phoneticPr fontId="6" type="noConversion"/>
  </si>
  <si>
    <t>军事营地，招募士兵。</t>
    <phoneticPr fontId="6" type="noConversion"/>
  </si>
  <si>
    <t>贵族专用，舒适华丽。</t>
    <phoneticPr fontId="6" type="noConversion"/>
  </si>
  <si>
    <t>贵族或平民在此举办沙龙。</t>
    <phoneticPr fontId="6" type="noConversion"/>
  </si>
  <si>
    <t>1级海盗王</t>
    <phoneticPr fontId="6" type="noConversion"/>
  </si>
  <si>
    <t>冰窖</t>
    <phoneticPr fontId="6" type="noConversion"/>
  </si>
  <si>
    <t>ice_cellar</t>
    <phoneticPr fontId="6" type="noConversion"/>
  </si>
  <si>
    <t>双层床</t>
    <phoneticPr fontId="6" type="noConversion"/>
  </si>
  <si>
    <r>
      <t>b</t>
    </r>
    <r>
      <rPr>
        <sz val="11"/>
        <color theme="1"/>
        <rFont val="宋体"/>
        <family val="3"/>
        <charset val="134"/>
        <scheme val="minor"/>
      </rPr>
      <t>unk_bed</t>
    </r>
    <phoneticPr fontId="6" type="noConversion"/>
  </si>
  <si>
    <t>双层的床，供单身居民使用，可容纳2人。</t>
    <phoneticPr fontId="6" type="noConversion"/>
  </si>
  <si>
    <t>一颗蓝宝石的作用天数</t>
    <phoneticPr fontId="6" type="noConversion"/>
  </si>
  <si>
    <t>王座</t>
    <phoneticPr fontId="6" type="noConversion"/>
  </si>
  <si>
    <t>throne</t>
    <phoneticPr fontId="6" type="noConversion"/>
  </si>
  <si>
    <t>领主议事的地方，王权的象征。</t>
    <phoneticPr fontId="6" type="noConversion"/>
  </si>
  <si>
    <t>骑士</t>
    <phoneticPr fontId="6" type="noConversion"/>
  </si>
  <si>
    <t>骑马持长矛的贵族骑士，机动灵活，智勇双全</t>
    <phoneticPr fontId="6" type="noConversion"/>
  </si>
  <si>
    <t>矿井需建造在靠近山体边上，矿工会在此挖矿，可产出煤，铁矿，银矿或金矿。在一些特殊颜色的山区，还可以挖到稀有金属矿。</t>
    <phoneticPr fontId="6" type="noConversion"/>
  </si>
  <si>
    <t>采石场建造后，采石工会在此采集石头。</t>
    <phoneticPr fontId="6" type="noConversion"/>
  </si>
  <si>
    <t>领主</t>
    <phoneticPr fontId="6" type="noConversion"/>
  </si>
  <si>
    <t>骑士马坐骑</t>
    <phoneticPr fontId="6" type="noConversion"/>
  </si>
  <si>
    <t>领主马坐骑</t>
    <phoneticPr fontId="6" type="noConversion"/>
  </si>
  <si>
    <t>生命光环</t>
    <phoneticPr fontId="6" type="noConversion"/>
  </si>
  <si>
    <t>无敌金身</t>
    <phoneticPr fontId="6" type="noConversion"/>
  </si>
  <si>
    <t>幸运光环</t>
    <phoneticPr fontId="6" type="noConversion"/>
  </si>
  <si>
    <t>黑暗之力</t>
    <phoneticPr fontId="6" type="noConversion"/>
  </si>
  <si>
    <t>磁吸之力</t>
    <phoneticPr fontId="6" type="noConversion"/>
  </si>
  <si>
    <t>使领主附近的士兵，获得护盾保护。</t>
    <phoneticPr fontId="6" type="noConversion"/>
  </si>
  <si>
    <t>领主及附近士兵，短时间内变为无敌状态。</t>
    <phoneticPr fontId="6" type="noConversion"/>
  </si>
  <si>
    <t>领主及附近的士兵，临时移动速度变快。</t>
    <phoneticPr fontId="6" type="noConversion"/>
  </si>
  <si>
    <t>领主吸附捡起附近的物品。</t>
    <phoneticPr fontId="6" type="noConversion"/>
  </si>
  <si>
    <t>将地面上的物品数量翻倍。</t>
    <phoneticPr fontId="6" type="noConversion"/>
  </si>
  <si>
    <t>将地面尸体转化为骷髅战士为我方而战。</t>
    <phoneticPr fontId="6" type="noConversion"/>
  </si>
  <si>
    <t>木</t>
    <phoneticPr fontId="6" type="noConversion"/>
  </si>
  <si>
    <t>水</t>
    <phoneticPr fontId="6" type="noConversion"/>
  </si>
  <si>
    <t>火</t>
    <phoneticPr fontId="6" type="noConversion"/>
  </si>
  <si>
    <t>土</t>
    <phoneticPr fontId="6" type="noConversion"/>
  </si>
  <si>
    <t>日</t>
    <phoneticPr fontId="6" type="noConversion"/>
  </si>
  <si>
    <t>月</t>
    <phoneticPr fontId="6" type="noConversion"/>
  </si>
  <si>
    <t>象</t>
    <phoneticPr fontId="6" type="noConversion"/>
  </si>
  <si>
    <t>舟</t>
    <phoneticPr fontId="6" type="noConversion"/>
  </si>
  <si>
    <t>雨</t>
    <phoneticPr fontId="6" type="noConversion"/>
  </si>
  <si>
    <t>鹿</t>
    <phoneticPr fontId="6" type="noConversion"/>
  </si>
  <si>
    <t>屎</t>
  </si>
  <si>
    <t>人</t>
    <phoneticPr fontId="6" type="noConversion"/>
  </si>
  <si>
    <t>禾</t>
    <phoneticPr fontId="6" type="noConversion"/>
  </si>
  <si>
    <t>尾</t>
  </si>
  <si>
    <t>山</t>
    <phoneticPr fontId="6" type="noConversion"/>
  </si>
  <si>
    <t>鱼</t>
    <phoneticPr fontId="6" type="noConversion"/>
  </si>
  <si>
    <t>龟</t>
    <phoneticPr fontId="6" type="noConversion"/>
  </si>
  <si>
    <t>门</t>
    <phoneticPr fontId="6" type="noConversion"/>
  </si>
  <si>
    <t>网</t>
    <phoneticPr fontId="6" type="noConversion"/>
  </si>
  <si>
    <t>目</t>
  </si>
  <si>
    <t>尿</t>
  </si>
  <si>
    <t>身</t>
  </si>
  <si>
    <t>长</t>
  </si>
  <si>
    <t>儿</t>
  </si>
  <si>
    <t>大</t>
  </si>
  <si>
    <t>天</t>
  </si>
  <si>
    <t>美</t>
  </si>
  <si>
    <t>舞</t>
  </si>
  <si>
    <t>走</t>
  </si>
  <si>
    <t>交</t>
  </si>
  <si>
    <t>鬼</t>
  </si>
  <si>
    <t>女</t>
  </si>
  <si>
    <t>奴</t>
  </si>
  <si>
    <t>子</t>
  </si>
  <si>
    <t>面</t>
  </si>
  <si>
    <t>眉</t>
  </si>
  <si>
    <t>耳</t>
    <phoneticPr fontId="6" type="noConversion"/>
  </si>
  <si>
    <t>口</t>
    <phoneticPr fontId="6" type="noConversion"/>
  </si>
  <si>
    <t>舌</t>
    <phoneticPr fontId="6" type="noConversion"/>
  </si>
  <si>
    <t>右</t>
    <phoneticPr fontId="6" type="noConversion"/>
  </si>
  <si>
    <t>左</t>
    <phoneticPr fontId="6" type="noConversion"/>
  </si>
  <si>
    <t>爪</t>
    <phoneticPr fontId="6" type="noConversion"/>
  </si>
  <si>
    <t>象人侧立之形。</t>
    <phoneticPr fontId="6" type="noConversion"/>
  </si>
  <si>
    <t>象人遗尿形。</t>
    <phoneticPr fontId="6" type="noConversion"/>
  </si>
  <si>
    <t>象人遗屎之形。</t>
    <phoneticPr fontId="6" type="noConversion"/>
  </si>
  <si>
    <t>象人长发貌。</t>
    <phoneticPr fontId="6" type="noConversion"/>
  </si>
  <si>
    <t>象人之身后饰尾。</t>
    <phoneticPr fontId="6" type="noConversion"/>
  </si>
  <si>
    <t>象人正立之形。</t>
    <phoneticPr fontId="6" type="noConversion"/>
  </si>
  <si>
    <t>象人戴头饰。</t>
    <phoneticPr fontId="6" type="noConversion"/>
  </si>
  <si>
    <t>象人执物而舞形。</t>
    <phoneticPr fontId="6" type="noConversion"/>
  </si>
  <si>
    <t>象人急走或奔跑时，两臂前后上下甩动之形。</t>
    <phoneticPr fontId="6" type="noConversion"/>
  </si>
  <si>
    <t>象交错下肢的正面人形。</t>
    <phoneticPr fontId="6" type="noConversion"/>
  </si>
  <si>
    <t>象人身而巨首之异物，以表示与生人有异之鬼。</t>
    <phoneticPr fontId="6" type="noConversion"/>
  </si>
  <si>
    <t>象反缚其两手以跪形。</t>
    <phoneticPr fontId="6" type="noConversion"/>
  </si>
  <si>
    <t>象人眼之形。</t>
    <phoneticPr fontId="6" type="noConversion"/>
  </si>
  <si>
    <t>象幼儿之形。</t>
    <phoneticPr fontId="6" type="noConversion"/>
  </si>
  <si>
    <t>象面部框廓之形。</t>
    <phoneticPr fontId="6" type="noConversion"/>
  </si>
  <si>
    <t>象目上之眉。</t>
    <phoneticPr fontId="6" type="noConversion"/>
  </si>
  <si>
    <t>象耳形。</t>
    <phoneticPr fontId="6" type="noConversion"/>
  </si>
  <si>
    <t>象人张口之形。</t>
    <phoneticPr fontId="6" type="noConversion"/>
  </si>
  <si>
    <t>象口舌之形。</t>
    <phoneticPr fontId="6" type="noConversion"/>
  </si>
  <si>
    <t>象右手之形。</t>
    <phoneticPr fontId="6" type="noConversion"/>
  </si>
  <si>
    <t>象左手之形</t>
    <phoneticPr fontId="6" type="noConversion"/>
  </si>
  <si>
    <t>象覆手之形。</t>
    <phoneticPr fontId="6" type="noConversion"/>
  </si>
  <si>
    <t>猱</t>
    <phoneticPr fontId="6" type="noConversion"/>
  </si>
  <si>
    <t>象猿猴形。</t>
    <phoneticPr fontId="6" type="noConversion"/>
  </si>
  <si>
    <t>象日之形。</t>
    <phoneticPr fontId="6" type="noConversion"/>
  </si>
  <si>
    <t>晕</t>
    <phoneticPr fontId="6" type="noConversion"/>
  </si>
  <si>
    <t>指日光出现或日晕之象。</t>
    <phoneticPr fontId="6" type="noConversion"/>
  </si>
  <si>
    <t>晶</t>
    <phoneticPr fontId="6" type="noConversion"/>
  </si>
  <si>
    <t>象月缺之形。</t>
    <phoneticPr fontId="6" type="noConversion"/>
  </si>
  <si>
    <t>云</t>
    <phoneticPr fontId="6" type="noConversion"/>
  </si>
  <si>
    <t>象云气回环之形。</t>
    <phoneticPr fontId="6" type="noConversion"/>
  </si>
  <si>
    <t>象雨滴纷纷下降形。</t>
    <phoneticPr fontId="6" type="noConversion"/>
  </si>
  <si>
    <t>雹</t>
    <phoneticPr fontId="6" type="noConversion"/>
  </si>
  <si>
    <t>象雨雹之形。</t>
    <phoneticPr fontId="6" type="noConversion"/>
  </si>
  <si>
    <t>象土块形。</t>
    <phoneticPr fontId="6" type="noConversion"/>
  </si>
  <si>
    <t>象山峦形。</t>
    <phoneticPr fontId="6" type="noConversion"/>
  </si>
  <si>
    <t>象火形。</t>
    <phoneticPr fontId="6" type="noConversion"/>
  </si>
  <si>
    <t>丘</t>
    <phoneticPr fontId="6" type="noConversion"/>
  </si>
  <si>
    <t>象土丘之形。</t>
    <phoneticPr fontId="6" type="noConversion"/>
  </si>
  <si>
    <t>岳</t>
    <phoneticPr fontId="6" type="noConversion"/>
  </si>
  <si>
    <t>象层峦叠峰山外有山这形。</t>
    <phoneticPr fontId="6" type="noConversion"/>
  </si>
  <si>
    <t>象水流之形。</t>
    <phoneticPr fontId="6" type="noConversion"/>
  </si>
  <si>
    <t>川</t>
    <phoneticPr fontId="6" type="noConversion"/>
  </si>
  <si>
    <t>象畔岸而水在中流之形。</t>
    <phoneticPr fontId="6" type="noConversion"/>
  </si>
  <si>
    <t>州</t>
    <phoneticPr fontId="6" type="noConversion"/>
  </si>
  <si>
    <t>象水中高土之形。</t>
    <phoneticPr fontId="6" type="noConversion"/>
  </si>
  <si>
    <t>象征树木枝干形。</t>
    <phoneticPr fontId="6" type="noConversion"/>
  </si>
  <si>
    <t>果</t>
    <phoneticPr fontId="6" type="noConversion"/>
  </si>
  <si>
    <t>象果实在木之形。</t>
    <phoneticPr fontId="6" type="noConversion"/>
  </si>
  <si>
    <t>桑</t>
    <phoneticPr fontId="6" type="noConversion"/>
  </si>
  <si>
    <t>象桑木之形。</t>
    <phoneticPr fontId="6" type="noConversion"/>
  </si>
  <si>
    <t>象禾苗之形。</t>
    <phoneticPr fontId="6" type="noConversion"/>
  </si>
  <si>
    <t>牛</t>
    <phoneticPr fontId="6" type="noConversion"/>
  </si>
  <si>
    <t>象牛之形，中间一竖表示牛面，上面两竖加弯表牛角，下面两小撇表示牛耳</t>
    <phoneticPr fontId="6" type="noConversion"/>
  </si>
  <si>
    <t>牢</t>
    <phoneticPr fontId="6" type="noConversion"/>
  </si>
  <si>
    <t>象养牛的圈。</t>
    <phoneticPr fontId="6" type="noConversion"/>
  </si>
  <si>
    <t>羊</t>
    <phoneticPr fontId="6" type="noConversion"/>
  </si>
  <si>
    <t>象正面羊头及两角耳之形。</t>
    <phoneticPr fontId="6" type="noConversion"/>
  </si>
  <si>
    <t>犬</t>
    <phoneticPr fontId="6" type="noConversion"/>
  </si>
  <si>
    <t>象犬形，以瘦腹及长尾拳曲为其特征。</t>
    <phoneticPr fontId="6" type="noConversion"/>
  </si>
  <si>
    <t>象豕硕腹垂尾形。</t>
    <phoneticPr fontId="6" type="noConversion"/>
  </si>
  <si>
    <t>豕</t>
    <phoneticPr fontId="6" type="noConversion"/>
  </si>
  <si>
    <t>马</t>
    <phoneticPr fontId="6" type="noConversion"/>
  </si>
  <si>
    <t>象马头髦尾之形。</t>
    <phoneticPr fontId="6" type="noConversion"/>
  </si>
  <si>
    <t>著长鼻之象。</t>
    <phoneticPr fontId="6" type="noConversion"/>
  </si>
  <si>
    <t>虎</t>
    <phoneticPr fontId="6" type="noConversion"/>
  </si>
  <si>
    <t>虎的纵向侧视形。</t>
    <phoneticPr fontId="6" type="noConversion"/>
  </si>
  <si>
    <t>象豹之形，突出其“圈文”</t>
  </si>
  <si>
    <t>象长耳而厥尾之兔形。</t>
    <phoneticPr fontId="6" type="noConversion"/>
  </si>
  <si>
    <t>豹</t>
    <phoneticPr fontId="6" type="noConversion"/>
  </si>
  <si>
    <t>兔</t>
    <phoneticPr fontId="6" type="noConversion"/>
  </si>
  <si>
    <t>象鹿形。</t>
    <phoneticPr fontId="6" type="noConversion"/>
  </si>
  <si>
    <t>鸟的侧视之形。</t>
    <phoneticPr fontId="6" type="noConversion"/>
  </si>
  <si>
    <t>鸟</t>
    <phoneticPr fontId="6" type="noConversion"/>
  </si>
  <si>
    <t>象燕之形。</t>
    <phoneticPr fontId="6" type="noConversion"/>
  </si>
  <si>
    <t>燕</t>
    <phoneticPr fontId="6" type="noConversion"/>
  </si>
  <si>
    <t>象鱼形。</t>
    <phoneticPr fontId="6" type="noConversion"/>
  </si>
  <si>
    <t>象龙屈伸变化之形。</t>
    <phoneticPr fontId="6" type="noConversion"/>
  </si>
  <si>
    <t>龙</t>
    <phoneticPr fontId="6" type="noConversion"/>
  </si>
  <si>
    <t>象蛇形。</t>
    <phoneticPr fontId="6" type="noConversion"/>
  </si>
  <si>
    <t>它</t>
    <phoneticPr fontId="6" type="noConversion"/>
  </si>
  <si>
    <t>象龟昂首被甲短尾之形。</t>
    <phoneticPr fontId="6" type="noConversion"/>
  </si>
  <si>
    <t>熊</t>
    <phoneticPr fontId="6" type="noConversion"/>
  </si>
  <si>
    <t>象熊形。</t>
    <phoneticPr fontId="6" type="noConversion"/>
  </si>
  <si>
    <t>角</t>
    <phoneticPr fontId="6" type="noConversion"/>
  </si>
  <si>
    <t>象兽角之形。</t>
    <phoneticPr fontId="6" type="noConversion"/>
  </si>
  <si>
    <t>贝</t>
    <phoneticPr fontId="6" type="noConversion"/>
  </si>
  <si>
    <t>象海贝之形。</t>
    <phoneticPr fontId="6" type="noConversion"/>
  </si>
  <si>
    <t>象人心脏的轮廓形。</t>
    <phoneticPr fontId="6" type="noConversion"/>
  </si>
  <si>
    <t>心</t>
    <phoneticPr fontId="6" type="noConversion"/>
  </si>
  <si>
    <t>泉</t>
    <phoneticPr fontId="6" type="noConversion"/>
  </si>
  <si>
    <t>象泉水之形。</t>
    <phoneticPr fontId="6" type="noConversion"/>
  </si>
  <si>
    <t>户</t>
    <phoneticPr fontId="6" type="noConversion"/>
  </si>
  <si>
    <t>象单扉形。</t>
    <phoneticPr fontId="6" type="noConversion"/>
  </si>
  <si>
    <t>象两扉形。</t>
    <phoneticPr fontId="6" type="noConversion"/>
  </si>
  <si>
    <t>田</t>
    <phoneticPr fontId="6" type="noConversion"/>
  </si>
  <si>
    <t>象田圃之形。</t>
    <phoneticPr fontId="6" type="noConversion"/>
  </si>
  <si>
    <t>齿</t>
    <phoneticPr fontId="6" type="noConversion"/>
  </si>
  <si>
    <t>戈</t>
    <phoneticPr fontId="6" type="noConversion"/>
  </si>
  <si>
    <t>为戈之全体象形。</t>
    <phoneticPr fontId="6" type="noConversion"/>
  </si>
  <si>
    <t>刀</t>
    <phoneticPr fontId="6" type="noConversion"/>
  </si>
  <si>
    <t>象刀形。</t>
    <phoneticPr fontId="6" type="noConversion"/>
  </si>
  <si>
    <t>矢</t>
    <phoneticPr fontId="6" type="noConversion"/>
  </si>
  <si>
    <t>象矢形。</t>
    <phoneticPr fontId="6" type="noConversion"/>
  </si>
  <si>
    <t>弓</t>
    <phoneticPr fontId="6" type="noConversion"/>
  </si>
  <si>
    <t>象弓形。</t>
    <phoneticPr fontId="6" type="noConversion"/>
  </si>
  <si>
    <t>皿</t>
    <phoneticPr fontId="6" type="noConversion"/>
  </si>
  <si>
    <t>象盛食器具之形。</t>
    <phoneticPr fontId="6" type="noConversion"/>
  </si>
  <si>
    <t>血</t>
    <phoneticPr fontId="6" type="noConversion"/>
  </si>
  <si>
    <t>象皿盛血之形。</t>
    <phoneticPr fontId="6" type="noConversion"/>
  </si>
  <si>
    <t>酉</t>
    <phoneticPr fontId="6" type="noConversion"/>
  </si>
  <si>
    <t>象酒尊形。</t>
    <phoneticPr fontId="6" type="noConversion"/>
  </si>
  <si>
    <t>壶</t>
    <phoneticPr fontId="6" type="noConversion"/>
  </si>
  <si>
    <t>象壶之形。</t>
    <phoneticPr fontId="6" type="noConversion"/>
  </si>
  <si>
    <t>鼎</t>
    <phoneticPr fontId="6" type="noConversion"/>
  </si>
  <si>
    <t>象鼎之形。</t>
    <phoneticPr fontId="6" type="noConversion"/>
  </si>
  <si>
    <t>爵</t>
    <phoneticPr fontId="6" type="noConversion"/>
  </si>
  <si>
    <t>象爵之形。</t>
    <phoneticPr fontId="6" type="noConversion"/>
  </si>
  <si>
    <t>象网形。</t>
    <phoneticPr fontId="6" type="noConversion"/>
  </si>
  <si>
    <t>井</t>
    <phoneticPr fontId="6" type="noConversion"/>
  </si>
  <si>
    <t>象井栏两根横木相交之形。</t>
    <phoneticPr fontId="6" type="noConversion"/>
  </si>
  <si>
    <t>册</t>
    <phoneticPr fontId="6" type="noConversion"/>
  </si>
  <si>
    <t>象编简之形。</t>
    <phoneticPr fontId="6" type="noConversion"/>
  </si>
  <si>
    <t>车</t>
    <phoneticPr fontId="6" type="noConversion"/>
  </si>
  <si>
    <t>象舟形。</t>
    <phoneticPr fontId="6" type="noConversion"/>
  </si>
  <si>
    <t>象车形。</t>
    <phoneticPr fontId="6" type="noConversion"/>
  </si>
  <si>
    <t>束</t>
    <phoneticPr fontId="6" type="noConversion"/>
  </si>
  <si>
    <t>在木上加圈，象用绳索把木柴捆起来。</t>
    <phoneticPr fontId="6" type="noConversion"/>
  </si>
  <si>
    <t>文</t>
    <phoneticPr fontId="6" type="noConversion"/>
  </si>
  <si>
    <t>玉</t>
    <phoneticPr fontId="6" type="noConversion"/>
  </si>
  <si>
    <t>力</t>
    <phoneticPr fontId="6" type="noConversion"/>
  </si>
  <si>
    <t>刺</t>
    <phoneticPr fontId="6" type="noConversion"/>
  </si>
  <si>
    <t>象正立之人形,胸部有刻画之纹饰，故以纹身之纹为文。</t>
    <phoneticPr fontId="6" type="noConversion"/>
  </si>
  <si>
    <t>象以绳贯玉之形。</t>
    <phoneticPr fontId="6" type="noConversion"/>
  </si>
  <si>
    <t>象木有芒刺之形。</t>
    <phoneticPr fontId="6" type="noConversion"/>
  </si>
  <si>
    <t>虹</t>
    <phoneticPr fontId="6" type="noConversion"/>
  </si>
  <si>
    <t>虹之象形</t>
    <phoneticPr fontId="6" type="noConversion"/>
  </si>
  <si>
    <t>一</t>
    <phoneticPr fontId="6" type="noConversion"/>
  </si>
  <si>
    <t>象一枚筹形。</t>
    <phoneticPr fontId="6" type="noConversion"/>
  </si>
  <si>
    <t>二</t>
    <phoneticPr fontId="6" type="noConversion"/>
  </si>
  <si>
    <t>三</t>
    <phoneticPr fontId="6" type="noConversion"/>
  </si>
  <si>
    <t>象二枚筹形。</t>
    <phoneticPr fontId="6" type="noConversion"/>
  </si>
  <si>
    <t>象三枚筹形。</t>
    <phoneticPr fontId="6" type="noConversion"/>
  </si>
  <si>
    <t>夕</t>
    <phoneticPr fontId="6" type="noConversion"/>
  </si>
  <si>
    <t>指事，从月半见。</t>
    <phoneticPr fontId="6" type="noConversion"/>
  </si>
  <si>
    <t>分</t>
    <phoneticPr fontId="6" type="noConversion"/>
  </si>
  <si>
    <t>旦</t>
    <phoneticPr fontId="6" type="noConversion"/>
  </si>
  <si>
    <t>雷</t>
    <phoneticPr fontId="6" type="noConversion"/>
  </si>
  <si>
    <t>买</t>
    <phoneticPr fontId="6" type="noConversion"/>
  </si>
  <si>
    <t>刃</t>
    <phoneticPr fontId="6" type="noConversion"/>
  </si>
  <si>
    <t>母</t>
    <phoneticPr fontId="6" type="noConversion"/>
  </si>
  <si>
    <t>乳</t>
    <phoneticPr fontId="6" type="noConversion"/>
  </si>
  <si>
    <t>孕</t>
    <phoneticPr fontId="6" type="noConversion"/>
  </si>
  <si>
    <t>牧</t>
    <phoneticPr fontId="6" type="noConversion"/>
  </si>
  <si>
    <t>高</t>
    <phoneticPr fontId="6" type="noConversion"/>
  </si>
  <si>
    <t>渔</t>
    <phoneticPr fontId="6" type="noConversion"/>
  </si>
  <si>
    <t>富</t>
    <phoneticPr fontId="6" type="noConversion"/>
  </si>
  <si>
    <t>教</t>
    <phoneticPr fontId="6" type="noConversion"/>
  </si>
  <si>
    <t>比</t>
    <phoneticPr fontId="6" type="noConversion"/>
  </si>
  <si>
    <t>夫</t>
    <phoneticPr fontId="6" type="noConversion"/>
  </si>
  <si>
    <t>父</t>
    <phoneticPr fontId="6" type="noConversion"/>
  </si>
  <si>
    <t>见</t>
    <phoneticPr fontId="6" type="noConversion"/>
  </si>
  <si>
    <t>仆</t>
    <phoneticPr fontId="6" type="noConversion"/>
  </si>
  <si>
    <t>安</t>
    <phoneticPr fontId="6" type="noConversion"/>
  </si>
  <si>
    <t>死</t>
    <phoneticPr fontId="6" type="noConversion"/>
  </si>
  <si>
    <t>休</t>
    <phoneticPr fontId="6" type="noConversion"/>
  </si>
  <si>
    <t>众</t>
    <phoneticPr fontId="6" type="noConversion"/>
  </si>
  <si>
    <t>男</t>
    <phoneticPr fontId="6" type="noConversion"/>
  </si>
  <si>
    <t>骑</t>
    <phoneticPr fontId="6" type="noConversion"/>
  </si>
  <si>
    <t>梦</t>
    <phoneticPr fontId="6" type="noConversion"/>
  </si>
  <si>
    <t>文字</t>
    <phoneticPr fontId="6" type="noConversion"/>
  </si>
  <si>
    <t>表示用耒在田间耕作。</t>
    <phoneticPr fontId="6" type="noConversion"/>
  </si>
  <si>
    <t>象刀将物品剖为两半。</t>
    <phoneticPr fontId="6" type="noConversion"/>
  </si>
  <si>
    <t>象太阳从地面刚刚升起的样子。</t>
    <phoneticPr fontId="6" type="noConversion"/>
  </si>
  <si>
    <t>中间象闪电，圆圈和小点表示雷声。</t>
    <phoneticPr fontId="6" type="noConversion"/>
  </si>
  <si>
    <t>从网贝。“网”是收进，“贝”是财货。合起来表示把财货购进来。</t>
    <phoneticPr fontId="6" type="noConversion"/>
  </si>
  <si>
    <t>在刀上加一点，表示刀锋所在。</t>
    <phoneticPr fontId="6" type="noConversion"/>
  </si>
  <si>
    <t>表示手拿棍棒牧牛（羊）。</t>
    <phoneticPr fontId="6" type="noConversion"/>
  </si>
  <si>
    <t>象楼台重叠之形，表示高大。</t>
    <phoneticPr fontId="6" type="noConversion"/>
  </si>
  <si>
    <t>表示在水中捕鱼。</t>
    <phoneticPr fontId="6" type="noConversion"/>
  </si>
  <si>
    <t>表示财产多，富有。</t>
    <phoneticPr fontId="6" type="noConversion"/>
  </si>
  <si>
    <t>象母亲有乳之形。</t>
    <phoneticPr fontId="6" type="noConversion"/>
  </si>
  <si>
    <t>象手抱婴儿哺乳形。</t>
    <phoneticPr fontId="6" type="noConversion"/>
  </si>
  <si>
    <t>外象妇女大腹之形，内象腹中怀子之形。</t>
    <phoneticPr fontId="6" type="noConversion"/>
  </si>
  <si>
    <t>象以手持杖或执鞭，施行教化之义。</t>
    <phoneticPr fontId="6" type="noConversion"/>
  </si>
  <si>
    <t>象两人步调一致，比肩而行。</t>
    <phoneticPr fontId="6" type="noConversion"/>
  </si>
  <si>
    <t>像站着的人形，头发上插一根簪，意思是成年男子。</t>
    <phoneticPr fontId="6" type="noConversion"/>
  </si>
  <si>
    <t>象右手持棒之形。意思是，手里举着棍棒教子女守规矩的人是家长，即父亲。</t>
    <phoneticPr fontId="6" type="noConversion"/>
  </si>
  <si>
    <t>在人的头上加只眼睛，就是为了突出眼睛的作用。</t>
    <phoneticPr fontId="6" type="noConversion"/>
  </si>
  <si>
    <t>象一个罪人端着畚箕，从事卑贱劳动之形。</t>
    <phoneticPr fontId="6" type="noConversion"/>
  </si>
  <si>
    <t>女在房子里，表示无危险。</t>
    <phoneticPr fontId="6" type="noConversion"/>
  </si>
  <si>
    <t>指人的形体与魂魄分离，即生命终止。</t>
    <phoneticPr fontId="6" type="noConversion"/>
  </si>
  <si>
    <t>表示人依傍大树休息。</t>
    <phoneticPr fontId="6" type="noConversion"/>
  </si>
  <si>
    <t>表示许多人。</t>
    <phoneticPr fontId="6" type="noConversion"/>
  </si>
  <si>
    <t>象嘴里的牙齿。</t>
    <phoneticPr fontId="6" type="noConversion"/>
  </si>
  <si>
    <t>象跨马之形。</t>
    <phoneticPr fontId="6" type="noConversion"/>
  </si>
  <si>
    <t>意为夜间在床上睡觉，眼前模糊看不清，即作梦。</t>
    <phoneticPr fontId="6" type="noConversion"/>
  </si>
  <si>
    <t>尻</t>
    <phoneticPr fontId="6" type="noConversion"/>
  </si>
  <si>
    <t>象肉形住于人之臀部，指屁股。</t>
    <phoneticPr fontId="6" type="noConversion"/>
  </si>
  <si>
    <t>本象人之形体而突出其顶。</t>
    <phoneticPr fontId="6" type="noConversion"/>
  </si>
  <si>
    <t>cc_jiaguwen_0</t>
    <phoneticPr fontId="6" type="noConversion"/>
  </si>
  <si>
    <t>cc_jiaguwen_1</t>
  </si>
  <si>
    <t>cc_jiaguwen_2</t>
  </si>
  <si>
    <t>cc_jiaguwen_3</t>
  </si>
  <si>
    <t>cc_jiaguwen_4</t>
  </si>
  <si>
    <t>cc_jiaguwen_6</t>
  </si>
  <si>
    <t>cc_jiaguwen_8</t>
  </si>
  <si>
    <t>cc_jiaguwen_9</t>
  </si>
  <si>
    <t>cc_jiaguwen_10</t>
  </si>
  <si>
    <t>cc_jiaguwen_11</t>
  </si>
  <si>
    <t>cc_jiaguwen_12</t>
  </si>
  <si>
    <t>cc_jiaguwen_13</t>
  </si>
  <si>
    <t>cc_jiaguwen_14</t>
  </si>
  <si>
    <t>cc_jiaguwen_15</t>
  </si>
  <si>
    <t>cc_jiaguwen_16</t>
  </si>
  <si>
    <t>cc_jiaguwen_17</t>
  </si>
  <si>
    <t>cc_jiaguwen_18</t>
  </si>
  <si>
    <t>cc_jiaguwen_19</t>
  </si>
  <si>
    <t>cc_jiaguwen_20</t>
  </si>
  <si>
    <t>cc_jiaguwen_21</t>
  </si>
  <si>
    <t>cc_jiaguwen_22</t>
  </si>
  <si>
    <t>cc_jiaguwen_23</t>
  </si>
  <si>
    <t>cc_jiaguwen_24</t>
  </si>
  <si>
    <t>cc_jiaguwen_25</t>
  </si>
  <si>
    <t>cc_jiaguwen_26</t>
  </si>
  <si>
    <t>cc_jiaguwen_27</t>
  </si>
  <si>
    <t>cc_jiaguwen_28</t>
  </si>
  <si>
    <t>cc_jiaguwen_29</t>
  </si>
  <si>
    <t>cc_jiaguwen_30</t>
  </si>
  <si>
    <t>cc_jiaguwen_31</t>
  </si>
  <si>
    <t>cc_jiaguwen_32</t>
  </si>
  <si>
    <t>cc_jiaguwen_33</t>
  </si>
  <si>
    <t>cc_jiaguwen_34</t>
  </si>
  <si>
    <t>cc_jiaguwen_35</t>
  </si>
  <si>
    <t>cc_jiaguwen_36</t>
  </si>
  <si>
    <t>cc_jiaguwen_37</t>
  </si>
  <si>
    <t>cc_jiaguwen_38</t>
  </si>
  <si>
    <t>cc_jiaguwen_39</t>
  </si>
  <si>
    <t>cc_jiaguwen_40</t>
  </si>
  <si>
    <t>cc_jiaguwen_41</t>
  </si>
  <si>
    <t>cc_jiaguwen_42</t>
  </si>
  <si>
    <t>cc_jiaguwen_43</t>
  </si>
  <si>
    <t>cc_jiaguwen_44</t>
  </si>
  <si>
    <t>cc_jiaguwen_45</t>
  </si>
  <si>
    <t>cc_jiaguwen_46</t>
  </si>
  <si>
    <t>cc_jiaguwen_47</t>
  </si>
  <si>
    <t>cc_jiaguwen_48</t>
  </si>
  <si>
    <t>cc_jiaguwen_49</t>
  </si>
  <si>
    <t>cc_jiaguwen_50</t>
  </si>
  <si>
    <t>cc_jiaguwen_51</t>
  </si>
  <si>
    <t>cc_jiaguwen_52</t>
  </si>
  <si>
    <t>cc_jiaguwen_53</t>
  </si>
  <si>
    <t>cc_jiaguwen_54</t>
  </si>
  <si>
    <t>cc_jiaguwen_55</t>
  </si>
  <si>
    <t>cc_jiaguwen_56</t>
  </si>
  <si>
    <t>cc_jiaguwen_57</t>
  </si>
  <si>
    <t>cc_jiaguwen_58</t>
  </si>
  <si>
    <t>cc_jiaguwen_59</t>
  </si>
  <si>
    <t>cc_jiaguwen_60</t>
  </si>
  <si>
    <t>cc_jiaguwen_61</t>
  </si>
  <si>
    <t>cc_jiaguwen_62</t>
  </si>
  <si>
    <t>cc_jiaguwen_63</t>
  </si>
  <si>
    <t>cc_jiaguwen_64</t>
  </si>
  <si>
    <t>cc_jiaguwen_65</t>
  </si>
  <si>
    <t>cc_jiaguwen_66</t>
  </si>
  <si>
    <t>cc_jiaguwen_67</t>
  </si>
  <si>
    <t>cc_jiaguwen_68</t>
  </si>
  <si>
    <t>cc_jiaguwen_69</t>
  </si>
  <si>
    <t>cc_jiaguwen_70</t>
  </si>
  <si>
    <t>cc_jiaguwen_71</t>
  </si>
  <si>
    <t>cc_jiaguwen_72</t>
  </si>
  <si>
    <t>cc_jiaguwen_73</t>
  </si>
  <si>
    <t>cc_jiaguwen_74</t>
  </si>
  <si>
    <t>cc_jiaguwen_75</t>
  </si>
  <si>
    <t>cc_jiaguwen_76</t>
  </si>
  <si>
    <t>cc_jiaguwen_77</t>
  </si>
  <si>
    <t>cc_jiaguwen_78</t>
  </si>
  <si>
    <t>cc_jiaguwen_79</t>
  </si>
  <si>
    <t>cc_jiaguwen_80</t>
  </si>
  <si>
    <t>cc_jiaguwen_81</t>
  </si>
  <si>
    <t>cc_jiaguwen_82</t>
  </si>
  <si>
    <t>cc_jiaguwen_83</t>
  </si>
  <si>
    <t>cc_jiaguwen_84</t>
  </si>
  <si>
    <t>cc_jiaguwen_85</t>
  </si>
  <si>
    <t>cc_jiaguwen_86</t>
  </si>
  <si>
    <t>cc_jiaguwen_87</t>
  </si>
  <si>
    <t>cc_jiaguwen_88</t>
  </si>
  <si>
    <t>cc_jiaguwen_89</t>
  </si>
  <si>
    <t>cc_jiaguwen_90</t>
  </si>
  <si>
    <t>cc_jiaguwen_91</t>
  </si>
  <si>
    <t>cc_jiaguwen_92</t>
  </si>
  <si>
    <t>cc_jiaguwen_93</t>
  </si>
  <si>
    <t>cc_jiaguwen_94</t>
  </si>
  <si>
    <t>cc_jiaguwen_95</t>
  </si>
  <si>
    <t>cc_jiaguwen_96</t>
  </si>
  <si>
    <t>cc_jiaguwen_97</t>
  </si>
  <si>
    <t>cc_jiaguwen_98</t>
  </si>
  <si>
    <t>cc_jiaguwen_99</t>
  </si>
  <si>
    <t>cc_jiaguwen_100</t>
  </si>
  <si>
    <t>cc_jiaguwen_101</t>
  </si>
  <si>
    <t>cc_jiaguwen_102</t>
  </si>
  <si>
    <t>cc_jiaguwen_103</t>
  </si>
  <si>
    <t>cc_jiaguwen_104</t>
  </si>
  <si>
    <t>cc_jiaguwen_105</t>
  </si>
  <si>
    <t>cc_jiaguwen_106</t>
  </si>
  <si>
    <t>cc_jiaguwen_107</t>
  </si>
  <si>
    <t>cc_jiaguwen_108</t>
  </si>
  <si>
    <t>cc_jiaguwen_109</t>
  </si>
  <si>
    <t>cc_jiaguwen_110</t>
  </si>
  <si>
    <t>cc_jiaguwen_111</t>
  </si>
  <si>
    <t>cc_jiaguwen_112</t>
  </si>
  <si>
    <t>cc_jiaguwen_113</t>
  </si>
  <si>
    <t>cc_jiaguwen_114</t>
  </si>
  <si>
    <t>cc_jiaguwen_115</t>
  </si>
  <si>
    <t>cc_jiaguwen_116</t>
  </si>
  <si>
    <t>cc_jiaguwen_117</t>
  </si>
  <si>
    <t>cc_jiaguwen_118</t>
  </si>
  <si>
    <t>cc_jiaguwen_119</t>
  </si>
  <si>
    <t>cc_jiaguwen_120</t>
  </si>
  <si>
    <t>cc_jiaguwen_121</t>
  </si>
  <si>
    <t>cc_jiaguwen_122</t>
  </si>
  <si>
    <t>cc_jiaguwen_123</t>
  </si>
  <si>
    <t>cc_jiaguwen_124</t>
  </si>
  <si>
    <t>cc_jiaguwen_125</t>
  </si>
  <si>
    <t>cc_jiaguwen_126</t>
  </si>
  <si>
    <t>cc_jiaguwen_127</t>
  </si>
  <si>
    <t>cc_jiaguwen_128</t>
  </si>
  <si>
    <t>cc_jiaguwen_129</t>
  </si>
  <si>
    <t>cc_jiaguwen_130</t>
  </si>
  <si>
    <t>cc_jiaguwen_131</t>
  </si>
  <si>
    <t>cc_jiaguwen_132</t>
  </si>
  <si>
    <t>人相关的字</t>
    <phoneticPr fontId="6" type="noConversion"/>
  </si>
  <si>
    <t>自然相关的字</t>
    <phoneticPr fontId="6" type="noConversion"/>
  </si>
  <si>
    <t>动物相关的字</t>
    <phoneticPr fontId="6" type="noConversion"/>
  </si>
  <si>
    <t>事物相关的字</t>
    <phoneticPr fontId="6" type="noConversion"/>
  </si>
  <si>
    <t>cc_jiaguwen_5</t>
    <phoneticPr fontId="6" type="noConversion"/>
  </si>
  <si>
    <t>cc_jiaguwen_7</t>
    <phoneticPr fontId="6" type="noConversion"/>
  </si>
  <si>
    <t>领主点数</t>
  </si>
  <si>
    <t>领主点数</t>
    <phoneticPr fontId="6" type="noConversion"/>
  </si>
  <si>
    <t>领主点数，用于提升领主光环的能力。</t>
    <phoneticPr fontId="6" type="noConversion"/>
  </si>
  <si>
    <t>一把圣剑，围绕着领主，可攻击敌人。</t>
    <phoneticPr fontId="6" type="noConversion"/>
  </si>
  <si>
    <t>屎</t>
    <phoneticPr fontId="6" type="noConversion"/>
  </si>
  <si>
    <t>尿</t>
    <phoneticPr fontId="6" type="noConversion"/>
  </si>
  <si>
    <t>字形像侧立的孕妇，突出某腹部。后引申为“身体”，“自己”的意思。</t>
    <phoneticPr fontId="6" type="noConversion"/>
  </si>
  <si>
    <t>字形像婴儿，头部囟门未闭合是新生儿的特征。</t>
    <phoneticPr fontId="6" type="noConversion"/>
  </si>
  <si>
    <t>象一女子跪坐（古人席地而坐）着，双手温文地放在胸前。</t>
    <phoneticPr fontId="6" type="noConversion"/>
  </si>
  <si>
    <t>许多星星在一起，表示光亮之意。</t>
    <phoneticPr fontId="6" type="noConversion"/>
  </si>
  <si>
    <t>象耒形，耕田需要用力。</t>
    <phoneticPr fontId="6" type="noConversion"/>
  </si>
  <si>
    <t>奔</t>
    <phoneticPr fontId="6" type="noConversion"/>
  </si>
  <si>
    <t>乘</t>
    <phoneticPr fontId="6" type="noConversion"/>
  </si>
  <si>
    <t>逐</t>
    <phoneticPr fontId="6" type="noConversion"/>
  </si>
  <si>
    <t>采</t>
    <phoneticPr fontId="6" type="noConversion"/>
  </si>
  <si>
    <t>陷</t>
    <phoneticPr fontId="6" type="noConversion"/>
  </si>
  <si>
    <t>饮</t>
    <phoneticPr fontId="6" type="noConversion"/>
  </si>
  <si>
    <t>麦</t>
    <phoneticPr fontId="6" type="noConversion"/>
  </si>
  <si>
    <t>灾</t>
    <phoneticPr fontId="6" type="noConversion"/>
  </si>
  <si>
    <t>宿</t>
    <phoneticPr fontId="6" type="noConversion"/>
  </si>
  <si>
    <t>表现房子起火这类可怕的事情。</t>
    <phoneticPr fontId="6" type="noConversion"/>
  </si>
  <si>
    <t>表示人摆动胳膊跑，下部三个脚印，强调速度很快。</t>
    <phoneticPr fontId="6" type="noConversion"/>
  </si>
  <si>
    <t>像一个人高高地站在树上，本义是“登上”。</t>
    <phoneticPr fontId="6" type="noConversion"/>
  </si>
  <si>
    <t>猪下面一个脚，表示在追赶的意思。</t>
    <phoneticPr fontId="6" type="noConversion"/>
  </si>
  <si>
    <t>象一只手在采摘树上的果实。</t>
    <phoneticPr fontId="6" type="noConversion"/>
  </si>
  <si>
    <t>象一个人掉进陷阱里面。</t>
    <phoneticPr fontId="6" type="noConversion"/>
  </si>
  <si>
    <t>象一个人在房子里面的竹席上睡觉。</t>
    <phoneticPr fontId="6" type="noConversion"/>
  </si>
  <si>
    <t>象一个人手扶酒坛，俯首张口，伸出舌头喝酒的样子。</t>
    <phoneticPr fontId="6" type="noConversion"/>
  </si>
  <si>
    <t>象一棵小麦。</t>
    <phoneticPr fontId="6" type="noConversion"/>
  </si>
  <si>
    <t>兑</t>
    <phoneticPr fontId="6" type="noConversion"/>
  </si>
  <si>
    <t>“兑”是“悦”的本字。表示一个人在笑，很开心。</t>
    <phoneticPr fontId="6" type="noConversion"/>
  </si>
  <si>
    <t>正直仁慈</t>
    <phoneticPr fontId="6" type="noConversion"/>
  </si>
  <si>
    <t>务实善良</t>
    <phoneticPr fontId="6" type="noConversion"/>
  </si>
  <si>
    <t>叛逆善良</t>
  </si>
  <si>
    <t>正义客观</t>
  </si>
  <si>
    <t>中立平衡</t>
  </si>
  <si>
    <t>随性自由</t>
  </si>
  <si>
    <t>权谋冷酷</t>
  </si>
  <si>
    <t>自私功利</t>
  </si>
  <si>
    <t>自私残暴</t>
  </si>
  <si>
    <t>领主性格</t>
    <phoneticPr fontId="6" type="noConversion"/>
  </si>
  <si>
    <t>希望平息争端，消灭怪物，让所有人摆脱苦难的生活。灵活处事，善于处理冲突，管控分歧。</t>
    <phoneticPr fontId="6" type="noConversion"/>
  </si>
  <si>
    <t>希望消灭恶势力和怪物，鼓励人民勇敢拿起武器战斗，保卫家园，认为打击恶人可不择手段。</t>
    <phoneticPr fontId="6" type="noConversion"/>
  </si>
  <si>
    <t>认为世界需要由大人物来统领，法律和规则只是统治手段，权谋与诡计同样也是统治手段。</t>
    <phoneticPr fontId="6" type="noConversion"/>
  </si>
  <si>
    <t>认为在这混乱的世道，追求权力和财富，受其它人尊敬和追随，才是最重要的。那些不幸的人，只是懒惰软弱的失败者，不值得同情。</t>
    <phoneticPr fontId="6" type="noConversion"/>
  </si>
  <si>
    <t>认为自由是最高的价值，反对一切束服，每个人都有权按自己的方式生活。让每个个体的价值达到满足，才是终极目标。</t>
    <phoneticPr fontId="6" type="noConversion"/>
  </si>
  <si>
    <t>希望能建立起精密的法律，恢复世界秩序。相信秩序会带来更广大的福祉，为建立和维护秩序，可以牺牲一部分人为代价。</t>
    <phoneticPr fontId="6" type="noConversion"/>
  </si>
  <si>
    <t>认为世界万物存在即合理；极端的思想和行为可能将世界带入危险的境地，而各方的动态平衡则是自然的真理。</t>
    <phoneticPr fontId="6" type="noConversion"/>
  </si>
  <si>
    <t>希望一统天下，终结战乱，消灭怪物，造福万民，成就千秋大业。</t>
    <phoneticPr fontId="6" type="noConversion"/>
  </si>
  <si>
    <t>认为为所欲为是强者的特权，规则和法律是约束弱者牢笼，支配和摧残弱者，方能彰显自身的实力。</t>
    <phoneticPr fontId="6" type="noConversion"/>
  </si>
  <si>
    <t>地雷</t>
    <phoneticPr fontId="6" type="noConversion"/>
  </si>
  <si>
    <t>埋在地表的炸弹，被触发后，有巨大杀伤力。</t>
    <phoneticPr fontId="6" type="noConversion"/>
  </si>
  <si>
    <t>爆炸特效</t>
    <phoneticPr fontId="6" type="noConversion"/>
  </si>
  <si>
    <t>地雷爆炸</t>
  </si>
  <si>
    <t>地雷爆炸</t>
    <phoneticPr fontId="6" type="noConversion"/>
  </si>
  <si>
    <r>
      <t>land</t>
    </r>
    <r>
      <rPr>
        <sz val="11"/>
        <color theme="1"/>
        <rFont val="宋体"/>
        <family val="3"/>
        <charset val="134"/>
        <scheme val="minor"/>
      </rPr>
      <t>mine</t>
    </r>
    <phoneticPr fontId="6" type="noConversion"/>
  </si>
  <si>
    <t>1级火法杖</t>
    <phoneticPr fontId="6" type="noConversion"/>
  </si>
  <si>
    <t>2级火法杖</t>
  </si>
  <si>
    <t>3级火法杖</t>
  </si>
  <si>
    <t>4级火法杖</t>
  </si>
  <si>
    <t>5级火法杖</t>
  </si>
  <si>
    <t>6级火法杖</t>
  </si>
  <si>
    <t>7级火法杖</t>
  </si>
  <si>
    <t>8级火法杖</t>
  </si>
  <si>
    <t>9级火法杖</t>
  </si>
  <si>
    <t>1级冰法杖</t>
    <phoneticPr fontId="6" type="noConversion"/>
  </si>
  <si>
    <t>2级冰法杖</t>
  </si>
  <si>
    <t>3级冰法杖</t>
  </si>
  <si>
    <t>4级冰法杖</t>
  </si>
  <si>
    <t>5级冰法杖</t>
  </si>
  <si>
    <t>6级冰法杖</t>
  </si>
  <si>
    <t>7级冰法杖</t>
  </si>
  <si>
    <t>8级冰法杖</t>
  </si>
  <si>
    <t>9级冰法杖</t>
  </si>
  <si>
    <t>1级生命法杖</t>
    <phoneticPr fontId="6" type="noConversion"/>
  </si>
  <si>
    <t>2级生命法杖</t>
  </si>
  <si>
    <t>3级生命法杖</t>
  </si>
  <si>
    <t>4级生命法杖</t>
  </si>
  <si>
    <t>5级生命法杖</t>
  </si>
  <si>
    <t>6级生命法杖</t>
  </si>
  <si>
    <t>7级生命法杖</t>
  </si>
  <si>
    <t>8级生命法杖</t>
  </si>
  <si>
    <t>9级生命法杖</t>
  </si>
  <si>
    <t>1级蛊惑法杖</t>
    <phoneticPr fontId="6" type="noConversion"/>
  </si>
  <si>
    <t>2级蛊惑法杖</t>
  </si>
  <si>
    <t>3级蛊惑法杖</t>
  </si>
  <si>
    <t>4级蛊惑法杖</t>
  </si>
  <si>
    <t>5级蛊惑法杖</t>
  </si>
  <si>
    <t>6级蛊惑法杖</t>
  </si>
  <si>
    <t>7级蛊惑法杖</t>
  </si>
  <si>
    <t>8级蛊惑法杖</t>
  </si>
  <si>
    <t>9级蛊惑法杖</t>
  </si>
  <si>
    <t>沉船遗迹，夏季和秋季，附近会有&lt;color=#EE4242&gt;幽浮章鱼&lt;/color&gt;出没。</t>
  </si>
  <si>
    <t>&lt;color=#4CB34C&gt;免除信仰不同的负面影响。&lt;/color&gt;_x000D_
&lt;color=#EE4242&gt;对外开战，需要理由，否则不可开战。&lt;/color&gt;_x000D_
追求目标：文化认同，共同繁荣。</t>
  </si>
  <si>
    <t>&lt;color=#4CB34C&gt;对子领地，可征收200%的税，而不担心引起叛乱。&lt;/color&gt;_x000D_
&lt;color=#4CB34C&gt;对任意地区开战，无需理由。&lt;/color&gt;_x000D_
&lt;color=#EE4242&gt;对外开展贸易时，买入价格贵20%。&lt;/color&gt;_x000D_
追求目标：武力征服，一统天下。</t>
  </si>
  <si>
    <t>&lt;color=#4CB34C&gt;可以修改国际规则，要求某个物品价格减半或翻倍。&lt;/color&gt;_x000D_
&lt;color=#4CB34C&gt;可针对不同信仰地区展开圣战，且能增加臣属忠诚度。&lt;/color&gt;_x000D_
&lt;color=#EE4242&gt;在子领地的管理费用，增加到200%。&lt;/color&gt;_x000D_
追求目标：霸权统治，主宰世界。</t>
  </si>
  <si>
    <t>酿酒桶</t>
    <phoneticPr fontId="6" type="noConversion"/>
  </si>
  <si>
    <t>取水点</t>
    <phoneticPr fontId="6" type="noConversion"/>
  </si>
  <si>
    <t>形似山羊的种族，擅长放牧，是天生的牧民。偏好蔬菜，免疫肠胃炎。不怕冷，也不会因亲人亡故而悲伤。</t>
    <phoneticPr fontId="9" type="noConversion"/>
  </si>
  <si>
    <t>召唤5级海盗王，为领地战斗（限时10年）</t>
    <phoneticPr fontId="6" type="noConversion"/>
  </si>
  <si>
    <t>召唤10级海盗王，为领地战斗（限时10年）</t>
    <phoneticPr fontId="6" type="noConversion"/>
  </si>
  <si>
    <t>召唤5级暗夜收割者，为领地战斗（限时10年）</t>
    <phoneticPr fontId="6" type="noConversion"/>
  </si>
  <si>
    <t>召唤10级暗夜收割者，为领地战斗（限时10年）</t>
    <phoneticPr fontId="6" type="noConversion"/>
  </si>
  <si>
    <t>忠义书</t>
    <phoneticPr fontId="6" type="noConversion"/>
  </si>
  <si>
    <t>可奖励居民，进而提升一部分同职业居民的工作热情
可奖励军功，提升士兵忠诚度，并提升战斗力</t>
    <phoneticPr fontId="6" type="noConversion"/>
  </si>
  <si>
    <t>管理书</t>
    <phoneticPr fontId="6" type="noConversion"/>
  </si>
  <si>
    <t>强制劳动</t>
  </si>
  <si>
    <t>官员选拔</t>
  </si>
  <si>
    <t>政治联姻</t>
  </si>
  <si>
    <t>强制俘虏参与生产劳动</t>
    <phoneticPr fontId="6" type="noConversion"/>
  </si>
  <si>
    <t>设定评选标准，自动选拔官员管理附属领地</t>
    <phoneticPr fontId="6" type="noConversion"/>
  </si>
  <si>
    <t>自动执行政治联姻计划，维持伯爵忠诚度</t>
    <phoneticPr fontId="6" type="noConversion"/>
  </si>
  <si>
    <t>瞬间消灭领地内的所有怪物</t>
    <phoneticPr fontId="6" type="noConversion"/>
  </si>
  <si>
    <t>瞬间使领地内的50%的敌人士兵变为幽灵或骷髅（对领主，骑士和法师无效）</t>
    <phoneticPr fontId="6" type="noConversion"/>
  </si>
  <si>
    <t>1级铁爪</t>
    <phoneticPr fontId="6" type="noConversion"/>
  </si>
  <si>
    <t>2级铁爪</t>
  </si>
  <si>
    <t>3级铁爪</t>
  </si>
  <si>
    <t>4级铁爪</t>
  </si>
  <si>
    <t>5级铁爪</t>
  </si>
  <si>
    <t>6级铁爪</t>
  </si>
  <si>
    <t>7级铁爪</t>
  </si>
  <si>
    <t>8级铁爪</t>
  </si>
  <si>
    <t>9级铁爪</t>
  </si>
  <si>
    <t>1级大宝剑</t>
    <phoneticPr fontId="6" type="noConversion"/>
  </si>
  <si>
    <t>2级大宝剑</t>
  </si>
  <si>
    <t>3级大宝剑</t>
  </si>
  <si>
    <t>4级大宝剑</t>
  </si>
  <si>
    <t>5级大宝剑</t>
  </si>
  <si>
    <t>6级大宝剑</t>
  </si>
  <si>
    <t>7级大宝剑</t>
  </si>
  <si>
    <t>8级大宝剑</t>
  </si>
  <si>
    <t>9级大宝剑</t>
  </si>
  <si>
    <t>1级火枪</t>
    <phoneticPr fontId="6" type="noConversion"/>
  </si>
  <si>
    <t>2级火枪</t>
  </si>
  <si>
    <t>3级火枪</t>
  </si>
  <si>
    <t>4级火枪</t>
  </si>
  <si>
    <t>5级火枪</t>
  </si>
  <si>
    <t>6级火枪</t>
  </si>
  <si>
    <t>7级火枪</t>
  </si>
  <si>
    <t>8级火枪</t>
  </si>
  <si>
    <t>9级火枪</t>
  </si>
  <si>
    <r>
      <t>c</t>
    </r>
    <r>
      <rPr>
        <sz val="11"/>
        <color theme="1"/>
        <rFont val="宋体"/>
        <family val="3"/>
        <charset val="134"/>
        <scheme val="minor"/>
      </rPr>
      <t>law_0</t>
    </r>
    <phoneticPr fontId="6" type="noConversion"/>
  </si>
  <si>
    <r>
      <t>c</t>
    </r>
    <r>
      <rPr>
        <sz val="11"/>
        <color theme="1"/>
        <rFont val="宋体"/>
        <family val="3"/>
        <charset val="134"/>
        <scheme val="minor"/>
      </rPr>
      <t>law_1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</si>
  <si>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law_2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</si>
  <si>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law_3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</si>
  <si>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law_4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</si>
  <si>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law_5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</si>
  <si>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law_6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</si>
  <si>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law_7</t>
    </r>
    <r>
      <rPr>
        <sz val="11"/>
        <color theme="1"/>
        <rFont val="宋体"/>
        <family val="2"/>
        <scheme val="minor"/>
      </rPr>
      <t/>
    </r>
  </si>
  <si>
    <r>
      <t>c</t>
    </r>
    <r>
      <rPr>
        <sz val="11"/>
        <color theme="1"/>
        <rFont val="宋体"/>
        <family val="3"/>
        <charset val="134"/>
        <scheme val="minor"/>
      </rPr>
      <t>law_8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</si>
  <si>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12</t>
    </r>
    <phoneticPr fontId="6" type="noConversion"/>
  </si>
  <si>
    <r>
      <t>sword_big_</t>
    </r>
    <r>
      <rPr>
        <sz val="11"/>
        <color theme="1"/>
        <rFont val="宋体"/>
        <family val="3"/>
        <charset val="134"/>
        <scheme val="minor"/>
      </rPr>
      <t>13</t>
    </r>
    <phoneticPr fontId="6" type="noConversion"/>
  </si>
  <si>
    <r>
      <t>sword_big_</t>
    </r>
    <r>
      <rPr>
        <sz val="11"/>
        <color theme="1"/>
        <rFont val="宋体"/>
        <family val="3"/>
        <charset val="134"/>
        <scheme val="minor"/>
      </rPr>
      <t>14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</si>
  <si>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15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</si>
  <si>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16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</si>
  <si>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17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</si>
  <si>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18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</si>
  <si>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19</t>
    </r>
    <r>
      <rPr>
        <sz val="11"/>
        <color theme="1"/>
        <rFont val="宋体"/>
        <family val="2"/>
        <scheme val="minor"/>
      </rPr>
      <t/>
    </r>
  </si>
  <si>
    <r>
      <t>sword_big_</t>
    </r>
    <r>
      <rPr>
        <sz val="11"/>
        <color theme="1"/>
        <rFont val="宋体"/>
        <family val="3"/>
        <charset val="134"/>
        <scheme val="minor"/>
      </rPr>
      <t>20</t>
    </r>
    <r>
      <rPr>
        <sz val="11"/>
        <color theme="1"/>
        <rFont val="宋体"/>
        <family val="2"/>
        <scheme val="minor"/>
      </rPr>
      <t/>
    </r>
  </si>
  <si>
    <t>3级生命法杖</t>
    <phoneticPr fontId="6" type="noConversion"/>
  </si>
  <si>
    <t>火枪手</t>
    <phoneticPr fontId="6" type="noConversion"/>
  </si>
  <si>
    <t>使用火枪的士兵，拥有巨大杀伤力，但装填慢。</t>
    <phoneticPr fontId="6" type="noConversion"/>
  </si>
  <si>
    <t>火枪</t>
    <phoneticPr fontId="6" type="noConversion"/>
  </si>
  <si>
    <t>子弹</t>
    <phoneticPr fontId="6" type="noConversion"/>
  </si>
  <si>
    <t>由火药制作的弹丸，通过火枪发射，威力巨大</t>
    <phoneticPr fontId="6" type="noConversion"/>
  </si>
  <si>
    <t>旗帜</t>
    <phoneticPr fontId="6" type="noConversion"/>
  </si>
  <si>
    <r>
      <t>fl</t>
    </r>
    <r>
      <rPr>
        <sz val="11"/>
        <color theme="1"/>
        <rFont val="宋体"/>
        <family val="3"/>
        <charset val="134"/>
        <scheme val="minor"/>
      </rPr>
      <t>ag</t>
    </r>
    <phoneticPr fontId="6" type="noConversion"/>
  </si>
  <si>
    <t>赏金猎人</t>
    <phoneticPr fontId="6" type="noConversion"/>
  </si>
  <si>
    <t>刺客</t>
    <phoneticPr fontId="6" type="noConversion"/>
  </si>
  <si>
    <t>为赏金而战的职业战士</t>
    <phoneticPr fontId="6" type="noConversion"/>
  </si>
  <si>
    <t>1级手里剑</t>
    <phoneticPr fontId="6" type="noConversion"/>
  </si>
  <si>
    <t>2级手里剑</t>
  </si>
  <si>
    <t>3级手里剑</t>
  </si>
  <si>
    <t>4级手里剑</t>
  </si>
  <si>
    <t>5级手里剑</t>
  </si>
  <si>
    <t>6级手里剑</t>
  </si>
  <si>
    <t>7级手里剑</t>
  </si>
  <si>
    <t>8级手里剑</t>
  </si>
  <si>
    <t>9级手里剑</t>
  </si>
  <si>
    <t>pistol_0</t>
    <phoneticPr fontId="6" type="noConversion"/>
  </si>
  <si>
    <t>pistol_4</t>
    <phoneticPr fontId="6" type="noConversion"/>
  </si>
  <si>
    <t>pistol_8</t>
  </si>
  <si>
    <t>pistol_12</t>
  </si>
  <si>
    <t>pistol_16</t>
  </si>
  <si>
    <t>pistol_20</t>
  </si>
  <si>
    <t>musket_0</t>
    <phoneticPr fontId="6" type="noConversion"/>
  </si>
  <si>
    <t>musket_15</t>
    <phoneticPr fontId="6" type="noConversion"/>
  </si>
  <si>
    <r>
      <t>repeater_musket</t>
    </r>
    <r>
      <rPr>
        <sz val="11"/>
        <color theme="1"/>
        <rFont val="宋体"/>
        <family val="3"/>
        <charset val="134"/>
        <scheme val="minor"/>
      </rPr>
      <t>_0</t>
    </r>
    <phoneticPr fontId="6" type="noConversion"/>
  </si>
  <si>
    <t>1级火枪-赏金猎人</t>
    <phoneticPr fontId="6" type="noConversion"/>
  </si>
  <si>
    <t>2级火枪-赏金猎人</t>
  </si>
  <si>
    <t>3级火枪-赏金猎人</t>
  </si>
  <si>
    <t>4级火枪-赏金猎人</t>
  </si>
  <si>
    <t>5级火枪-赏金猎人</t>
  </si>
  <si>
    <t>6级火枪-赏金猎人</t>
  </si>
  <si>
    <t>7级火枪-赏金猎人</t>
  </si>
  <si>
    <t>8级火枪-赏金猎人</t>
  </si>
  <si>
    <t>9级火枪-赏金猎人</t>
  </si>
  <si>
    <t>皇家骑士</t>
    <phoneticPr fontId="6" type="noConversion"/>
  </si>
  <si>
    <t>皇家骑士坐骑</t>
    <phoneticPr fontId="6" type="noConversion"/>
  </si>
  <si>
    <t>驯狼</t>
    <phoneticPr fontId="6" type="noConversion"/>
  </si>
  <si>
    <t>骑射</t>
    <phoneticPr fontId="6" type="noConversion"/>
  </si>
  <si>
    <t>骑射</t>
  </si>
  <si>
    <t>饼干味美，且保质期长。质轻，居民单次携带量更大。</t>
    <phoneticPr fontId="6" type="noConversion"/>
  </si>
  <si>
    <t>人生的价值在于承上启下，继往开来，不孝有三，无后为大。&lt;color=#4CB34C&gt;居民不会因不幸福而不结婚&lt;/color&gt;。（由学者在研究台编写，由先知在布道台分发）</t>
    <phoneticPr fontId="6" type="noConversion"/>
  </si>
  <si>
    <t>工作是人的天职，人生的价值在于其劳动创造的价值。&lt;color=#4CB34C&gt;居民工作会更勤奋&lt;/color&gt;。（由学者在研究台编写，由先知在布道台分发）</t>
    <phoneticPr fontId="6" type="noConversion"/>
  </si>
  <si>
    <t>用于传承学习管理，提升居民的管理能力（由学者在研究台编写，由贵族取用学习，存储位置不限）</t>
    <phoneticPr fontId="6" type="noConversion"/>
  </si>
  <si>
    <t>用于宣扬忠君爱国的精神，提升居民的忠诚度（由学者在研究台编写，由贵族取用学习，存储位置不限）</t>
    <phoneticPr fontId="6" type="noConversion"/>
  </si>
  <si>
    <t>辅助学生学习，可提升学习效率（由学者在研究台编写，由老师在讲台上分发）</t>
    <phoneticPr fontId="6" type="noConversion"/>
  </si>
  <si>
    <t>天道轮回，死生在天，对于生离死别，能淡然处之。&lt;color=#4CB34C&gt;居民受亲人离世的影响很小&lt;/color&gt;。（由学者在研究台编写，由先知在布道台分发）</t>
    <phoneticPr fontId="6" type="noConversion"/>
  </si>
  <si>
    <t>满足有文化的居民的精神需求（由学者在研究台编写，由受教育过的居民阅读取用，存储位置不限）</t>
    <phoneticPr fontId="6" type="noConversion"/>
  </si>
  <si>
    <t>monster29</t>
    <phoneticPr fontId="6" type="noConversion"/>
  </si>
  <si>
    <t>精致小床</t>
    <phoneticPr fontId="6" type="noConversion"/>
  </si>
  <si>
    <r>
      <t>sm</t>
    </r>
    <r>
      <rPr>
        <sz val="11"/>
        <color theme="1"/>
        <rFont val="宋体"/>
        <family val="3"/>
        <charset val="134"/>
        <scheme val="minor"/>
      </rPr>
      <t>all_</t>
    </r>
    <r>
      <rPr>
        <sz val="11"/>
        <color theme="1"/>
        <rFont val="宋体"/>
        <family val="3"/>
        <charset val="134"/>
        <scheme val="minor"/>
      </rPr>
      <t>treasure_bed</t>
    </r>
    <phoneticPr fontId="6" type="noConversion"/>
  </si>
  <si>
    <t>精致小床</t>
    <phoneticPr fontId="6" type="noConversion"/>
  </si>
  <si>
    <t>精致大床</t>
    <phoneticPr fontId="6" type="noConversion"/>
  </si>
  <si>
    <t>水晶球</t>
    <phoneticPr fontId="6" type="noConversion"/>
  </si>
  <si>
    <t>crystal_ball</t>
    <phoneticPr fontId="6" type="noConversion"/>
  </si>
  <si>
    <t>猎人会在附近狩猎野生动物。</t>
    <phoneticPr fontId="6" type="noConversion"/>
  </si>
  <si>
    <t>资源搜集点</t>
    <phoneticPr fontId="6" type="noConversion"/>
  </si>
  <si>
    <t>resource_collection_point</t>
    <phoneticPr fontId="6" type="noConversion"/>
  </si>
  <si>
    <t>安排杂工搜集附近的资源。</t>
    <phoneticPr fontId="6" type="noConversion"/>
  </si>
  <si>
    <t>冶炼</t>
    <phoneticPr fontId="6" type="noConversion"/>
  </si>
  <si>
    <t>高级冶炼</t>
    <phoneticPr fontId="6" type="noConversion"/>
  </si>
  <si>
    <t>empty_gameobject</t>
    <phoneticPr fontId="6" type="noConversion"/>
  </si>
  <si>
    <t>一神教思想</t>
    <phoneticPr fontId="6" type="noConversion"/>
  </si>
  <si>
    <t>人伦书</t>
    <phoneticPr fontId="6" type="noConversion"/>
  </si>
  <si>
    <t>填水造陆</t>
    <phoneticPr fontId="6" type="noConversion"/>
  </si>
  <si>
    <t>农夫雕像</t>
    <phoneticPr fontId="6" type="noConversion"/>
  </si>
  <si>
    <t>城墙</t>
    <phoneticPr fontId="6" type="noConversion"/>
  </si>
  <si>
    <t>大炮</t>
    <phoneticPr fontId="6" type="noConversion"/>
  </si>
  <si>
    <t>巨型战舰</t>
    <phoneticPr fontId="6" type="noConversion"/>
  </si>
  <si>
    <t>方尖碑</t>
    <phoneticPr fontId="6" type="noConversion"/>
  </si>
  <si>
    <t>铁弹</t>
    <phoneticPr fontId="6" type="noConversion"/>
  </si>
  <si>
    <t>巨型炸弹</t>
    <phoneticPr fontId="6" type="noConversion"/>
  </si>
  <si>
    <t>传送门</t>
    <phoneticPr fontId="6" type="noConversion"/>
  </si>
  <si>
    <t>地下穴居</t>
    <phoneticPr fontId="6" type="noConversion"/>
  </si>
  <si>
    <t>光明祭坛</t>
    <phoneticPr fontId="6" type="noConversion"/>
  </si>
  <si>
    <t>磨坊</t>
    <phoneticPr fontId="6" type="noConversion"/>
  </si>
  <si>
    <t>奇观</t>
    <phoneticPr fontId="6" type="noConversion"/>
  </si>
  <si>
    <t>灵感</t>
    <phoneticPr fontId="6" type="noConversion"/>
  </si>
  <si>
    <t>弹道</t>
    <phoneticPr fontId="6" type="noConversion"/>
  </si>
  <si>
    <t>强制劳动</t>
    <phoneticPr fontId="6" type="noConversion"/>
  </si>
  <si>
    <t>一次播种4格</t>
  </si>
  <si>
    <t>一次浇水4格</t>
  </si>
  <si>
    <t>一次收割4格</t>
  </si>
  <si>
    <t>白鹿</t>
    <phoneticPr fontId="6" type="noConversion"/>
  </si>
  <si>
    <t>梅花鹿</t>
    <phoneticPr fontId="6" type="noConversion"/>
  </si>
  <si>
    <t>animal_deer</t>
    <phoneticPr fontId="6" type="noConversion"/>
  </si>
  <si>
    <t>死亡的白鹿</t>
    <phoneticPr fontId="6" type="noConversion"/>
  </si>
  <si>
    <t>死亡的梅花鹿</t>
    <phoneticPr fontId="6" type="noConversion"/>
  </si>
  <si>
    <r>
      <t>dead_body_deer</t>
    </r>
    <r>
      <rPr>
        <sz val="11"/>
        <color theme="1"/>
        <rFont val="宋体"/>
        <family val="3"/>
        <charset val="134"/>
        <scheme val="minor"/>
      </rPr>
      <t>1</t>
    </r>
    <phoneticPr fontId="6" type="noConversion"/>
  </si>
  <si>
    <r>
      <t>dead_body_deer</t>
    </r>
    <r>
      <rPr>
        <sz val="11"/>
        <color theme="1"/>
        <rFont val="宋体"/>
        <family val="3"/>
        <charset val="134"/>
        <scheme val="minor"/>
      </rPr>
      <t>2</t>
    </r>
    <phoneticPr fontId="6" type="noConversion"/>
  </si>
  <si>
    <t>dead_body_deer</t>
    <phoneticPr fontId="6" type="noConversion"/>
  </si>
  <si>
    <r>
      <t>can_pick_up_by_ant</t>
    </r>
    <r>
      <rPr>
        <sz val="11"/>
        <color theme="1"/>
        <rFont val="宋体"/>
        <family val="3"/>
        <charset val="134"/>
        <scheme val="minor"/>
      </rPr>
      <t>#int</t>
    </r>
    <phoneticPr fontId="6" type="noConversion"/>
  </si>
  <si>
    <t>是否可被蚂蚁捡起</t>
    <phoneticPr fontId="6" type="noConversion"/>
  </si>
  <si>
    <t>不分类汇总</t>
    <phoneticPr fontId="6" type="noConversion"/>
  </si>
  <si>
    <t>排序</t>
    <phoneticPr fontId="6" type="noConversion"/>
  </si>
  <si>
    <t>可阻挡冷风吹进室内，起保暖作用。</t>
    <phoneticPr fontId="6" type="noConversion"/>
  </si>
  <si>
    <t>可供居民凑合居住，不会考虑生小孩。</t>
    <phoneticPr fontId="6" type="noConversion"/>
  </si>
  <si>
    <t>可供夫妻舒适居住，会考虑生儿育女。</t>
    <phoneticPr fontId="6" type="noConversion"/>
  </si>
  <si>
    <t>热量流失系数</t>
    <phoneticPr fontId="6" type="noConversion"/>
  </si>
  <si>
    <t>魔法能量的结晶，蕴含战斗的力量</t>
    <phoneticPr fontId="6" type="noConversion"/>
  </si>
  <si>
    <t>魔法能量的结晶，蕴含建设的力量</t>
    <phoneticPr fontId="6" type="noConversion"/>
  </si>
  <si>
    <t>魔法能量的结晶，蕴含生命的力量</t>
    <phoneticPr fontId="6" type="noConversion"/>
  </si>
  <si>
    <t>损坏的装备在可熔炉分解回收其中的贵重金属和宝石</t>
    <phoneticPr fontId="6" type="noConversion"/>
  </si>
  <si>
    <t>在此可与四个方向商人，稳定地大规模地采购和卖出物品。不同方向可交易物品不同。</t>
  </si>
  <si>
    <t>在此可与随机出现的旅行商队进行交易，不同的旅行商队可交易商品不同，交易规模相对较小。</t>
    <phoneticPr fontId="6" type="noConversion"/>
  </si>
  <si>
    <t>mill2</t>
    <phoneticPr fontId="6" type="noConversion"/>
  </si>
  <si>
    <t>由小麦或玉米在磨坊中加工而成，可用于制作更优质的食物。</t>
    <phoneticPr fontId="6" type="noConversion"/>
  </si>
  <si>
    <t>制作咖啡的原材料</t>
    <phoneticPr fontId="6" type="noConversion"/>
  </si>
  <si>
    <t>制作巧克力的原材料</t>
    <phoneticPr fontId="6" type="noConversion"/>
  </si>
  <si>
    <t>减速比率</t>
    <phoneticPr fontId="6" type="noConversion"/>
  </si>
  <si>
    <t>用于存临时存储物品，&lt;color=#EE4242&gt;批量运输&lt;/color&gt;，提高效率。</t>
    <phoneticPr fontId="6" type="noConversion"/>
  </si>
  <si>
    <t>tailor</t>
    <phoneticPr fontId="6" type="noConversion"/>
  </si>
  <si>
    <t>军事</t>
    <phoneticPr fontId="6" type="noConversion"/>
  </si>
  <si>
    <t>initial</t>
    <phoneticPr fontId="6" type="noConversion"/>
  </si>
  <si>
    <t>等级为2级的武器，使用该武器的士兵等级为2级</t>
    <phoneticPr fontId="6" type="noConversion"/>
  </si>
  <si>
    <t>等级为3级的武器，使用该武器的士兵等级为3级</t>
    <phoneticPr fontId="6" type="noConversion"/>
  </si>
  <si>
    <t>等级为4级的武器，使用该武器的士兵等级为4级</t>
    <phoneticPr fontId="6" type="noConversion"/>
  </si>
  <si>
    <t>等级为5级的武器，使用该武器的士兵等级为5级</t>
    <phoneticPr fontId="6" type="noConversion"/>
  </si>
  <si>
    <t>等级为6级的武器，使用该武器的士兵等级为6级</t>
    <phoneticPr fontId="6" type="noConversion"/>
  </si>
  <si>
    <t>等级为7级的武器，使用该武器的士兵等级为7级</t>
    <phoneticPr fontId="6" type="noConversion"/>
  </si>
  <si>
    <t>等级为8级的武器，使用该武器的士兵等级为8级</t>
    <phoneticPr fontId="6" type="noConversion"/>
  </si>
  <si>
    <t>等级为9级的武器，使用该武器的士兵等级为9级</t>
    <phoneticPr fontId="6" type="noConversion"/>
  </si>
  <si>
    <t>等级为1级的武器，使用该武器的士兵等级为1级</t>
    <phoneticPr fontId="6" type="noConversion"/>
  </si>
  <si>
    <t>社会抚养</t>
    <phoneticPr fontId="6" type="noConversion"/>
  </si>
  <si>
    <t>士兵的婴儿或父母双亡的孤儿，可由杂工代为照顾</t>
    <phoneticPr fontId="6" type="noConversion"/>
  </si>
  <si>
    <t>ice_cellar2</t>
    <phoneticPr fontId="6" type="noConversion"/>
  </si>
  <si>
    <t>ui_705001</t>
    <phoneticPr fontId="6" type="noConversion"/>
  </si>
  <si>
    <t>ui_705002</t>
  </si>
  <si>
    <t>ui_705003</t>
  </si>
  <si>
    <t>ui_705004</t>
  </si>
  <si>
    <t>ui_705005</t>
  </si>
  <si>
    <t>705001</t>
    <phoneticPr fontId="6" type="noConversion"/>
  </si>
  <si>
    <t>705002</t>
  </si>
  <si>
    <t>705003</t>
  </si>
  <si>
    <t>705004</t>
  </si>
  <si>
    <t>705005</t>
  </si>
  <si>
    <t>地板</t>
    <phoneticPr fontId="6" type="noConversion"/>
  </si>
  <si>
    <t>地板</t>
    <phoneticPr fontId="6" type="noConversion"/>
  </si>
  <si>
    <t>石质地板</t>
    <phoneticPr fontId="6" type="noConversion"/>
  </si>
  <si>
    <t>铁质地板</t>
    <phoneticPr fontId="6" type="noConversion"/>
  </si>
  <si>
    <t>银质地板</t>
    <phoneticPr fontId="6" type="noConversion"/>
  </si>
  <si>
    <t>金质地板</t>
    <phoneticPr fontId="6" type="noConversion"/>
  </si>
  <si>
    <t>地板地形</t>
    <phoneticPr fontId="6" type="noConversion"/>
  </si>
  <si>
    <t>floorboard</t>
    <phoneticPr fontId="6" type="noConversion"/>
  </si>
  <si>
    <t>stone_floor</t>
    <phoneticPr fontId="6" type="noConversion"/>
  </si>
  <si>
    <t>iron_floor</t>
    <phoneticPr fontId="6" type="noConversion"/>
  </si>
  <si>
    <t>silver_floor</t>
    <phoneticPr fontId="6" type="noConversion"/>
  </si>
  <si>
    <t>golden_floor</t>
    <phoneticPr fontId="6" type="noConversion"/>
  </si>
  <si>
    <t>113001</t>
    <phoneticPr fontId="6" type="noConversion"/>
  </si>
  <si>
    <t>ui_113001</t>
    <phoneticPr fontId="6" type="noConversion"/>
  </si>
  <si>
    <t>ui_113002</t>
  </si>
  <si>
    <t>113002</t>
  </si>
  <si>
    <t>ui_113003</t>
  </si>
  <si>
    <t>113003</t>
  </si>
  <si>
    <t>ui_113004</t>
  </si>
  <si>
    <t>113004</t>
  </si>
  <si>
    <t>ui_113005</t>
  </si>
  <si>
    <t>113005</t>
  </si>
  <si>
    <t>对应地形</t>
    <phoneticPr fontId="6" type="noConversion"/>
  </si>
  <si>
    <t>肉制品，猎人打猎，或牧场养殖获得</t>
    <phoneticPr fontId="6" type="noConversion"/>
  </si>
  <si>
    <t>扑克桌</t>
    <phoneticPr fontId="6" type="noConversion"/>
  </si>
  <si>
    <t>幸运轮盘</t>
    <phoneticPr fontId="6" type="noConversion"/>
  </si>
  <si>
    <t>公共浴场</t>
    <phoneticPr fontId="6" type="noConversion"/>
  </si>
  <si>
    <t>roulette_wheel</t>
    <phoneticPr fontId="6" type="noConversion"/>
  </si>
  <si>
    <t>poker_table</t>
    <phoneticPr fontId="6" type="noConversion"/>
  </si>
  <si>
    <t>public_bath</t>
    <phoneticPr fontId="6" type="noConversion"/>
  </si>
  <si>
    <t>高级扑克桌</t>
    <phoneticPr fontId="6" type="noConversion"/>
  </si>
  <si>
    <t>豪华扑克桌</t>
    <phoneticPr fontId="6" type="noConversion"/>
  </si>
  <si>
    <t>poker_table1</t>
    <phoneticPr fontId="6" type="noConversion"/>
  </si>
  <si>
    <t>poker_table2</t>
    <phoneticPr fontId="6" type="noConversion"/>
  </si>
  <si>
    <t>博彩</t>
    <phoneticPr fontId="6" type="noConversion"/>
  </si>
  <si>
    <t>ui_104027</t>
    <phoneticPr fontId="6" type="noConversion"/>
  </si>
  <si>
    <t>104027</t>
    <phoneticPr fontId="6" type="noConversion"/>
  </si>
  <si>
    <t>居民开始形成个人观念，行为偏好及更丰富的情感。
受过教育的居民，需要阅读来满足精神需求。
居民会要求居室铺设地板。</t>
    <phoneticPr fontId="6" type="noConversion"/>
  </si>
  <si>
    <t>可供旅客玩扑克。可吸引更多旅客来访。</t>
    <phoneticPr fontId="6" type="noConversion"/>
  </si>
  <si>
    <t>可供有钱的旅客玩扑克。可吸引更多旅客来访。</t>
    <phoneticPr fontId="6" type="noConversion"/>
  </si>
  <si>
    <t>可供超有钱的旅客玩扑克。可吸引更多旅客来访。</t>
    <phoneticPr fontId="6" type="noConversion"/>
  </si>
  <si>
    <t>供居民或旅客洗浴的地方。可吸引更多旅客来访。</t>
    <phoneticPr fontId="6" type="noConversion"/>
  </si>
  <si>
    <t>银币</t>
    <phoneticPr fontId="6" type="noConversion"/>
  </si>
  <si>
    <t>reward_count_once#int</t>
    <phoneticPr fontId="6" type="noConversion"/>
  </si>
  <si>
    <t>使用白银制造的硬币。</t>
    <phoneticPr fontId="6" type="noConversion"/>
  </si>
  <si>
    <t>单局押注</t>
    <phoneticPr fontId="6" type="noConversion"/>
  </si>
  <si>
    <t>ui_104026</t>
    <phoneticPr fontId="6" type="noConversion"/>
  </si>
  <si>
    <t>104026</t>
    <phoneticPr fontId="6" type="noConversion"/>
  </si>
  <si>
    <t>可供旅客玩轮盘赌。可吸引更多旅客来访。
轮盘上有12个数字，旅客下注一个数字。
转动轮盘，停止后，指针指向某个数字，
如果与旅客相同，则旅客赢，旅客将获得10倍的奖金，反之旅客输掉赌注。</t>
    <phoneticPr fontId="6" type="noConversion"/>
  </si>
  <si>
    <t>从坟墓中爬出来的怪物，远程攻击很难命中，则免疫雕像魔法攻击。</t>
    <phoneticPr fontId="6" type="noConversion"/>
  </si>
  <si>
    <t>训练场</t>
    <phoneticPr fontId="6" type="noConversion"/>
  </si>
  <si>
    <t>training_ground</t>
    <phoneticPr fontId="6" type="noConversion"/>
  </si>
  <si>
    <t>操练士兵，提升士兵战斗力的地方。</t>
    <phoneticPr fontId="6" type="noConversion"/>
  </si>
  <si>
    <t>军事训练</t>
    <phoneticPr fontId="6" type="noConversion"/>
  </si>
  <si>
    <t>ui_106008</t>
    <phoneticPr fontId="6" type="noConversion"/>
  </si>
  <si>
    <t>106008</t>
    <phoneticPr fontId="6" type="noConversion"/>
  </si>
  <si>
    <t>用于传承学习兵法，提升居民的军事能力（由学者在研究台编写，由贵族或士兵取用学习）</t>
    <phoneticPr fontId="6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</si>
  <si>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_106005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</si>
  <si>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106005</t>
    </r>
    <phoneticPr fontId="6" type="noConversion"/>
  </si>
  <si>
    <t>智慧宝石</t>
    <phoneticPr fontId="6" type="noConversion"/>
  </si>
  <si>
    <t>召唤石头人</t>
    <phoneticPr fontId="6" type="noConversion"/>
  </si>
  <si>
    <t>召唤石头人，永远为领地服务。</t>
    <phoneticPr fontId="6" type="noConversion"/>
  </si>
  <si>
    <t>蔬菜作物，产量高，水份和肥料需求中，生长速度中，气温适应性适中。</t>
    <phoneticPr fontId="6" type="noConversion"/>
  </si>
  <si>
    <t>蔬菜作物，产量高，水份和肥料需求多，收获期短，生长快，非常怕低温。</t>
    <phoneticPr fontId="6" type="noConversion"/>
  </si>
  <si>
    <t>钝器兵</t>
    <phoneticPr fontId="6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</si>
  <si>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_103005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</si>
  <si>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103005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</si>
  <si>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104019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</si>
  <si>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i_104019</t>
    </r>
    <phoneticPr fontId="6" type="noConversion"/>
  </si>
  <si>
    <t>103008</t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</si>
  <si>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i_103008</t>
    </r>
    <phoneticPr fontId="6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</si>
  <si>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_111002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</si>
  <si>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111002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</si>
  <si>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i_101004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</si>
  <si>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101004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</si>
  <si>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i_104020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</si>
  <si>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104020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</si>
  <si>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i_111003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</si>
  <si>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i_111004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</si>
  <si>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111003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</si>
  <si>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111004</t>
    </r>
    <phoneticPr fontId="6" type="noConversion"/>
  </si>
  <si>
    <t>halo_buff_sword_</t>
    <phoneticPr fontId="6" type="noConversion"/>
  </si>
  <si>
    <t>halo_buff_shield_</t>
    <phoneticPr fontId="6" type="noConversion"/>
  </si>
  <si>
    <t>halo_buff_heal_</t>
    <phoneticPr fontId="6" type="noConversion"/>
  </si>
  <si>
    <t>halo_buff_invincible_</t>
    <phoneticPr fontId="6" type="noConversion"/>
  </si>
  <si>
    <t>halo_buff_lucky_</t>
    <phoneticPr fontId="6" type="noConversion"/>
  </si>
  <si>
    <t>halo_buff_speed_</t>
    <phoneticPr fontId="6" type="noConversion"/>
  </si>
  <si>
    <t>halo_buff_dark_</t>
    <phoneticPr fontId="6" type="noConversion"/>
  </si>
  <si>
    <r>
      <t>halo_buff</t>
    </r>
    <r>
      <rPr>
        <sz val="11"/>
        <color theme="1"/>
        <rFont val="宋体"/>
        <family val="3"/>
        <charset val="134"/>
        <scheme val="minor"/>
      </rPr>
      <t>_magnetic_</t>
    </r>
    <phoneticPr fontId="6" type="noConversion"/>
  </si>
  <si>
    <t>花盆</t>
    <phoneticPr fontId="6" type="noConversion"/>
  </si>
  <si>
    <t>灌木花盆</t>
    <phoneticPr fontId="6" type="noConversion"/>
  </si>
  <si>
    <t>种树花盆</t>
    <phoneticPr fontId="6" type="noConversion"/>
  </si>
  <si>
    <r>
      <t>flowerpot</t>
    </r>
    <r>
      <rPr>
        <sz val="11"/>
        <color theme="1"/>
        <rFont val="宋体"/>
        <family val="3"/>
        <charset val="134"/>
        <scheme val="minor"/>
      </rPr>
      <t>1</t>
    </r>
    <phoneticPr fontId="6" type="noConversion"/>
  </si>
  <si>
    <r>
      <t>flowerpot</t>
    </r>
    <r>
      <rPr>
        <sz val="11"/>
        <color theme="1"/>
        <rFont val="宋体"/>
        <family val="3"/>
        <charset val="134"/>
        <scheme val="minor"/>
      </rPr>
      <t>2</t>
    </r>
    <phoneticPr fontId="6" type="noConversion"/>
  </si>
  <si>
    <t>flowerpot3</t>
    <phoneticPr fontId="6" type="noConversion"/>
  </si>
  <si>
    <t>用来养花的小花盆。</t>
    <phoneticPr fontId="6" type="noConversion"/>
  </si>
  <si>
    <t>用来种植灌木的中型花盆。</t>
    <phoneticPr fontId="6" type="noConversion"/>
  </si>
  <si>
    <t>用来种植观赏树木的大型花盆。</t>
    <phoneticPr fontId="6" type="noConversion"/>
  </si>
  <si>
    <t>盆栽</t>
    <phoneticPr fontId="6" type="noConversion"/>
  </si>
  <si>
    <t>盆栽</t>
    <phoneticPr fontId="6" type="noConversion"/>
  </si>
  <si>
    <t>在花盆中养花，培育灌木，种植树木。</t>
    <phoneticPr fontId="6" type="noConversion"/>
  </si>
  <si>
    <t>小花盆</t>
    <phoneticPr fontId="6" type="noConversion"/>
  </si>
  <si>
    <t>生命之花</t>
    <phoneticPr fontId="6" type="noConversion"/>
  </si>
  <si>
    <t>忘忧草</t>
    <phoneticPr fontId="6" type="noConversion"/>
  </si>
  <si>
    <t>一种极具药用价值的花，会结出“&lt;color=#4CB34C&gt;生命果实&lt;/color&gt;”，用于制作“&lt;color=#4CB34C&gt;生命药水&lt;/color&gt;”。</t>
    <phoneticPr fontId="6" type="noConversion"/>
  </si>
  <si>
    <t>一种可结出“&lt;color=#4CB34C&gt;忘忧果&lt;/color&gt;”的植物，是上好的“&lt;color=#4CB34C&gt;药茶&lt;/color&gt;”合成材料。</t>
    <phoneticPr fontId="6" type="noConversion"/>
  </si>
  <si>
    <t>生命果实</t>
    <phoneticPr fontId="6" type="noConversion"/>
  </si>
  <si>
    <t>忘忧果</t>
    <phoneticPr fontId="6" type="noConversion"/>
  </si>
  <si>
    <t>制作“药茶”的上好材料。</t>
    <phoneticPr fontId="6" type="noConversion"/>
  </si>
  <si>
    <t>夏日浆果</t>
    <phoneticPr fontId="6" type="noConversion"/>
  </si>
  <si>
    <t>秋日浆果</t>
    <phoneticPr fontId="6" type="noConversion"/>
  </si>
  <si>
    <t>冬日浆果</t>
    <phoneticPr fontId="6" type="noConversion"/>
  </si>
  <si>
    <t>一种夏季可产出浆果的盆栽灌木。</t>
    <phoneticPr fontId="6" type="noConversion"/>
  </si>
  <si>
    <t>一种秋季可产出浆果的盆栽灌木。</t>
    <phoneticPr fontId="6" type="noConversion"/>
  </si>
  <si>
    <t>一种冬季可产出浆果的盆栽灌木。</t>
    <phoneticPr fontId="6" type="noConversion"/>
  </si>
  <si>
    <t>松树</t>
    <phoneticPr fontId="6" type="noConversion"/>
  </si>
  <si>
    <t>枫树</t>
    <phoneticPr fontId="6" type="noConversion"/>
  </si>
  <si>
    <t>梧桐</t>
    <phoneticPr fontId="6" type="noConversion"/>
  </si>
  <si>
    <t>榕树</t>
    <phoneticPr fontId="6" type="noConversion"/>
  </si>
  <si>
    <t>樟树</t>
    <phoneticPr fontId="6" type="noConversion"/>
  </si>
  <si>
    <t>桦树</t>
    <phoneticPr fontId="6" type="noConversion"/>
  </si>
  <si>
    <t>一种常见的树。</t>
    <phoneticPr fontId="6" type="noConversion"/>
  </si>
  <si>
    <t>ui_618001</t>
  </si>
  <si>
    <t>618001</t>
  </si>
  <si>
    <t>单个轮盘设施的累计总收益</t>
    <phoneticPr fontId="6" type="noConversion"/>
  </si>
  <si>
    <t>单个轮盘收益</t>
    <phoneticPr fontId="6" type="noConversion"/>
  </si>
  <si>
    <t>边贸口岸</t>
    <phoneticPr fontId="6" type="noConversion"/>
  </si>
  <si>
    <t>一次给4格施肥</t>
    <phoneticPr fontId="6" type="noConversion"/>
  </si>
  <si>
    <t>水井</t>
    <phoneticPr fontId="6" type="noConversion"/>
  </si>
  <si>
    <r>
      <rPr>
        <sz val="11"/>
        <color theme="1"/>
        <rFont val="宋体"/>
        <family val="3"/>
        <charset val="134"/>
        <scheme val="minor"/>
      </rPr>
      <t>ui_104001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</si>
  <si>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104001</t>
    </r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</si>
  <si>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i_105015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</si>
  <si>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105015</t>
    </r>
    <phoneticPr fontId="6" type="noConversion"/>
  </si>
  <si>
    <t>铁墙</t>
    <phoneticPr fontId="6" type="noConversion"/>
  </si>
  <si>
    <r>
      <t>meta</t>
    </r>
    <r>
      <rPr>
        <sz val="11"/>
        <color theme="1"/>
        <rFont val="宋体"/>
        <family val="3"/>
        <charset val="134"/>
        <scheme val="minor"/>
      </rPr>
      <t>l</t>
    </r>
    <r>
      <rPr>
        <sz val="11"/>
        <color theme="1"/>
        <rFont val="宋体"/>
        <family val="3"/>
        <charset val="134"/>
        <scheme val="minor"/>
      </rPr>
      <t>_wall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</si>
  <si>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ui_102011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</si>
  <si>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102011</t>
    </r>
    <phoneticPr fontId="6" type="noConversion"/>
  </si>
  <si>
    <t>铁门</t>
    <phoneticPr fontId="6" type="noConversion"/>
  </si>
  <si>
    <r>
      <t>ir</t>
    </r>
    <r>
      <rPr>
        <sz val="11"/>
        <color theme="1"/>
        <rFont val="宋体"/>
        <family val="3"/>
        <charset val="134"/>
        <scheme val="minor"/>
      </rPr>
      <t>on_</t>
    </r>
    <r>
      <rPr>
        <sz val="11"/>
        <color theme="1"/>
        <rFont val="宋体"/>
        <family val="3"/>
        <charset val="134"/>
        <scheme val="minor"/>
      </rPr>
      <t>door</t>
    </r>
    <phoneticPr fontId="6" type="noConversion"/>
  </si>
  <si>
    <t>铁做的墙，怪物和敌人都无法对其造成伤害。</t>
    <phoneticPr fontId="6" type="noConversion"/>
  </si>
  <si>
    <t>铁制的门，怪物和敌人都无法对其造成伤害。</t>
    <phoneticPr fontId="6" type="noConversion"/>
  </si>
  <si>
    <r>
      <t>sermon_desk</t>
    </r>
    <r>
      <rPr>
        <sz val="11"/>
        <color theme="1"/>
        <rFont val="宋体"/>
        <family val="3"/>
        <charset val="134"/>
        <scheme val="minor"/>
      </rPr>
      <t>_of_other_territory</t>
    </r>
    <phoneticPr fontId="6" type="noConversion"/>
  </si>
  <si>
    <t>根据条件，自动控制周围的设施。</t>
    <phoneticPr fontId="6" type="noConversion"/>
  </si>
  <si>
    <r>
      <t>ui</t>
    </r>
    <r>
      <rPr>
        <sz val="11"/>
        <color theme="1"/>
        <rFont val="宋体"/>
        <family val="3"/>
        <charset val="134"/>
        <scheme val="minor"/>
      </rPr>
      <t>_109005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</si>
  <si>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109005</t>
    </r>
    <phoneticPr fontId="6" type="noConversion"/>
  </si>
  <si>
    <t>国库</t>
    <phoneticPr fontId="6" type="noConversion"/>
  </si>
  <si>
    <t>集中物资，用于研究，探索，外交或军事。</t>
    <phoneticPr fontId="6" type="noConversion"/>
  </si>
  <si>
    <r>
      <t>B</t>
    </r>
    <r>
      <rPr>
        <sz val="11"/>
        <color theme="1"/>
        <rFont val="宋体"/>
        <family val="3"/>
        <charset val="134"/>
        <scheme val="minor"/>
      </rPr>
      <t>UG</t>
    </r>
    <r>
      <rPr>
        <sz val="11"/>
        <color theme="1"/>
        <rFont val="宋体"/>
        <family val="3"/>
        <charset val="134"/>
        <scheme val="minor"/>
      </rPr>
      <t>雕像</t>
    </r>
    <phoneticPr fontId="6" type="noConversion"/>
  </si>
  <si>
    <t>召唤任意等级的怪物</t>
    <phoneticPr fontId="6" type="noConversion"/>
  </si>
  <si>
    <r>
      <t>ui_70500</t>
    </r>
    <r>
      <rPr>
        <sz val="11"/>
        <color theme="1"/>
        <rFont val="宋体"/>
        <family val="3"/>
        <charset val="134"/>
        <scheme val="minor"/>
      </rPr>
      <t>6</t>
    </r>
    <phoneticPr fontId="6" type="noConversion"/>
  </si>
  <si>
    <t>705006</t>
    <phoneticPr fontId="6" type="noConversion"/>
  </si>
  <si>
    <r>
      <rPr>
        <sz val="11"/>
        <color theme="1"/>
        <rFont val="宋体"/>
        <family val="3"/>
        <charset val="134"/>
        <scheme val="minor"/>
      </rPr>
      <t>monster</t>
    </r>
    <r>
      <rPr>
        <sz val="11"/>
        <color theme="1"/>
        <rFont val="宋体"/>
        <family val="3"/>
        <charset val="134"/>
        <scheme val="minor"/>
      </rPr>
      <t>2</t>
    </r>
    <phoneticPr fontId="6" type="noConversion"/>
  </si>
  <si>
    <t>木头质地的地板，美观舒适，使用广泛。同时，建在缝纫台和酿酒桶周围，可提高生产效率。方便行走（介于土路与石板路之间）。</t>
    <phoneticPr fontId="6" type="noConversion"/>
  </si>
  <si>
    <t>石头质地的地板，建在劈材，烹饪，制药，冶炼周围，可提高生产效率。方便行走（介于土路与石板路之间）。</t>
    <phoneticPr fontId="6" type="noConversion"/>
  </si>
  <si>
    <t>铁制的地板，坚固可靠，建在制造台周围，可提高生产效率。方便行走（介于土路与石板路之间）。</t>
    <phoneticPr fontId="6" type="noConversion"/>
  </si>
  <si>
    <t>银质的地板，干净整洁，防止病毒传染，建在医疗床周围，有利于病人康复。方便行走（介于土路与石板路之间）。</t>
    <phoneticPr fontId="6" type="noConversion"/>
  </si>
  <si>
    <t>黄金打造的地板，奢华无比。建在床的周围，可提升居民幸福度，提升贵族的忠诚度。方便行走（介于土路与石板路之间）。</t>
    <phoneticPr fontId="6" type="noConversion"/>
  </si>
  <si>
    <t>蜂蜜酒</t>
    <phoneticPr fontId="6" type="noConversion"/>
  </si>
  <si>
    <t>一种由蜂蜜发酵制成的饮料。</t>
    <phoneticPr fontId="6" type="noConversion"/>
  </si>
  <si>
    <t>106002</t>
    <phoneticPr fontId="6" type="noConversion"/>
  </si>
  <si>
    <r>
      <t>u</t>
    </r>
    <r>
      <rPr>
        <sz val="11"/>
        <color theme="1"/>
        <rFont val="宋体"/>
        <family val="3"/>
        <charset val="134"/>
        <scheme val="minor"/>
      </rPr>
      <t>i_106002</t>
    </r>
    <phoneticPr fontId="6" type="noConversion"/>
  </si>
  <si>
    <t>继承人选拔</t>
    <phoneticPr fontId="6" type="noConversion"/>
  </si>
  <si>
    <t>领主去世后，自动挑选符合条件的继承人</t>
    <phoneticPr fontId="6" type="noConversion"/>
  </si>
  <si>
    <t>兽药</t>
    <phoneticPr fontId="6" type="noConversion"/>
  </si>
  <si>
    <t>兽药</t>
    <phoneticPr fontId="6" type="noConversion"/>
  </si>
  <si>
    <t>生产兽药，促进动物生长和繁殖</t>
    <phoneticPr fontId="6" type="noConversion"/>
  </si>
  <si>
    <t>动物生长素</t>
    <phoneticPr fontId="6" type="noConversion"/>
  </si>
  <si>
    <t xml:space="preserve">动物促产素 </t>
    <phoneticPr fontId="6" type="noConversion"/>
  </si>
  <si>
    <t>动物催肥素</t>
    <phoneticPr fontId="6" type="noConversion"/>
  </si>
  <si>
    <t>史莱姆凝液</t>
    <phoneticPr fontId="6" type="noConversion"/>
  </si>
  <si>
    <t>史莱姆掉落的一种神奇素材，可用于合成药物</t>
    <phoneticPr fontId="6" type="noConversion"/>
  </si>
  <si>
    <t>怪物素材</t>
    <phoneticPr fontId="6" type="noConversion"/>
  </si>
  <si>
    <t>加速动物生长，缩短成熟时间（需1年使用1次）</t>
    <phoneticPr fontId="6" type="noConversion"/>
  </si>
  <si>
    <t>让动物长得更肥，长更多肉（只需使用1次）</t>
    <phoneticPr fontId="6" type="noConversion"/>
  </si>
  <si>
    <t>让动物产更多幼仔或下更多蛋（每次产仔或下蛋需使用1次）</t>
    <phoneticPr fontId="6" type="noConversion"/>
  </si>
  <si>
    <t>永恒圣殿</t>
    <phoneticPr fontId="6" type="noConversion"/>
  </si>
  <si>
    <r>
      <t>e</t>
    </r>
    <r>
      <rPr>
        <sz val="11"/>
        <color theme="1"/>
        <rFont val="宋体"/>
        <family val="3"/>
        <charset val="134"/>
        <scheme val="minor"/>
      </rPr>
      <t>teranl_temple</t>
    </r>
    <phoneticPr fontId="6" type="noConversion"/>
  </si>
  <si>
    <t>ui_111005</t>
    <phoneticPr fontId="6" type="noConversion"/>
  </si>
  <si>
    <r>
      <rPr>
        <sz val="11"/>
        <color theme="1"/>
        <rFont val="宋体"/>
        <family val="3"/>
        <charset val="134"/>
        <scheme val="minor"/>
      </rPr>
      <t>111005</t>
    </r>
    <phoneticPr fontId="6" type="noConversion"/>
  </si>
  <si>
    <t>在城墙上建造城门后，人们可以通过城门或登上城墙。</t>
    <phoneticPr fontId="6" type="noConversion"/>
  </si>
  <si>
    <t>dragon1</t>
    <phoneticPr fontId="6" type="noConversion"/>
  </si>
  <si>
    <t>monster32</t>
    <phoneticPr fontId="6" type="noConversion"/>
  </si>
  <si>
    <t>青青草原</t>
    <phoneticPr fontId="6" type="noConversion"/>
  </si>
  <si>
    <t>北部森林</t>
    <phoneticPr fontId="6" type="noConversion"/>
  </si>
  <si>
    <t>迷雾山峰</t>
    <phoneticPr fontId="6" type="noConversion"/>
  </si>
  <si>
    <t>恶魔海角</t>
    <phoneticPr fontId="6" type="noConversion"/>
  </si>
  <si>
    <t>龙之平原</t>
    <phoneticPr fontId="6" type="noConversion"/>
  </si>
  <si>
    <t>龙之峡谷</t>
    <phoneticPr fontId="6" type="noConversion"/>
  </si>
  <si>
    <t>无人荒野</t>
    <phoneticPr fontId="6" type="noConversion"/>
  </si>
  <si>
    <t>帝国区域</t>
    <phoneticPr fontId="6" type="noConversion"/>
  </si>
  <si>
    <t>野蛮荒野</t>
    <phoneticPr fontId="6" type="noConversion"/>
  </si>
  <si>
    <t>繁茂的森林覆盖着肥沃土地，商队与猎人常年穿行其间。</t>
  </si>
  <si>
    <t>广袤无垠的翠绿牧场，生机勃勃，是旅人们踏入帝国的第一站。</t>
  </si>
  <si>
    <t>荒凉无垠的废土，只有失落的遗迹和流浪的野兽。</t>
  </si>
  <si>
    <t>密林深处不见天日，潜伏着不属于人间的恐怖存在。</t>
  </si>
  <si>
    <t>蛮族游猎的土地，血与铁的规则至高无上。</t>
  </si>
  <si>
    <t>云雾缭绕的高山，隐藏着远古遗迹与未知秘境。</t>
  </si>
  <si>
    <t>薄雾弥漫的原野，旅人常常在此迷失方向，或被潜伏的怪物盯上。</t>
  </si>
  <si>
    <t>曾被诅咒的黑色海岸，风暴之下回荡着恶魔的低语。</t>
  </si>
  <si>
    <t>古老巨龙曾在此翱翔，遗留下庞大的白骨与传说。</t>
  </si>
  <si>
    <t>陡峭深邃的峡谷，传闻中仍栖息着沉睡的龙王。</t>
  </si>
  <si>
    <t>优质工具</t>
    <phoneticPr fontId="6" type="noConversion"/>
  </si>
  <si>
    <t>火龙</t>
  </si>
  <si>
    <t>冰龙</t>
  </si>
  <si>
    <t>电龙</t>
  </si>
  <si>
    <t>幽冥龙</t>
  </si>
  <si>
    <t>岩龙</t>
  </si>
  <si>
    <t>熔岩龙</t>
  </si>
  <si>
    <t>远古树龙</t>
  </si>
  <si>
    <t>风暴龙</t>
  </si>
  <si>
    <t>疾风龙</t>
  </si>
  <si>
    <t>奥术龙</t>
  </si>
  <si>
    <t>圣盾龙</t>
  </si>
  <si>
    <t>铁棘龙</t>
  </si>
  <si>
    <t>虚空龙</t>
    <phoneticPr fontId="6" type="noConversion"/>
  </si>
  <si>
    <t>毒龙</t>
    <phoneticPr fontId="6" type="noConversion"/>
  </si>
  <si>
    <t>幻心龙</t>
  </si>
  <si>
    <t>潮汐龙</t>
  </si>
  <si>
    <t>dragon2</t>
    <phoneticPr fontId="6" type="noConversion"/>
  </si>
  <si>
    <t>dragon3</t>
  </si>
  <si>
    <t>dragon4</t>
  </si>
  <si>
    <t>dragon5</t>
  </si>
  <si>
    <t>dragon6</t>
  </si>
  <si>
    <t>dragon7</t>
  </si>
  <si>
    <t>dragon8</t>
  </si>
  <si>
    <t>dragon9</t>
  </si>
  <si>
    <t>dragon10</t>
  </si>
  <si>
    <t>dragon11</t>
  </si>
  <si>
    <t>dragon12</t>
  </si>
  <si>
    <t>dragon13</t>
  </si>
  <si>
    <t>dragon14</t>
  </si>
  <si>
    <t>dragon15</t>
  </si>
  <si>
    <t>dragon16</t>
  </si>
  <si>
    <t>一座行走的巨岩堡垒，以厚重鳞甲抵挡猛烈攻击，并用震荡波逼退敌人。</t>
  </si>
  <si>
    <t>炽热的熔岩从体内涌动，全身燃烧着岩浆，反击敌人时附带持续灼烧效果。</t>
  </si>
  <si>
    <t>浑身覆盖着金属尖刺，刀枪不入，能将物理伤害反弹回敌人。</t>
  </si>
  <si>
    <t>身处虚空与现实之间，能够吸收法术伤害化为自身能量，反制法系敌人。</t>
  </si>
  <si>
    <t>翅膀扇动间带起炽热风暴，以高爆发火焰喷射焚烧敌人，留下持续灼烧伤害。</t>
  </si>
  <si>
    <t>雷霆缠绕其身，高速飞行，雷电爪击可以连锁攻击多个敌人。</t>
  </si>
  <si>
    <t>快若疾风，身影难以捕捉，每次攻击都精准暴击，迅速撕裂敌人。</t>
  </si>
  <si>
    <t>夜色中的冷血猎手，潜伏在黑暗中，以吸血攻击偷取敌人生命。</t>
  </si>
  <si>
    <t>冰冷的气息让空气凝结，吐息冻结敌人，使战场变为寒冷的禁锢牢笼。</t>
  </si>
  <si>
    <t>体内流淌着剧毒之血，释放剧毒侵蚀敌人体魄，削弱护甲并使其持续中毒。</t>
  </si>
  <si>
    <t>翻腾的狂风随其降临，召唤龙卷风吹飞敌人，掌控战局动向。</t>
  </si>
  <si>
    <t>神秘莫测的幻象之主，制造幻觉迷惑敌人，让战局陷入混乱。</t>
  </si>
  <si>
    <t>圣洁而威严的守护者，以神圣之力护卫队友，为全队提供强大护盾。</t>
  </si>
  <si>
    <t>操控奥术能量流动，掌控魔法之流，缩短队友技能冷却，增强法术输出。</t>
  </si>
  <si>
    <t>潮汐随其意志翻腾，召唤净化海潮，加速队友法力恢复，并驱散负面状态。</t>
  </si>
  <si>
    <t>古老而充满生机，源源不断地散发生命能量，为队友提供持久治疗。</t>
  </si>
  <si>
    <t>1级岩龙</t>
    <phoneticPr fontId="6" type="noConversion"/>
  </si>
  <si>
    <t>2级岩龙</t>
  </si>
  <si>
    <t>3级岩龙</t>
  </si>
  <si>
    <t>4级岩龙</t>
  </si>
  <si>
    <t>5级岩龙</t>
  </si>
  <si>
    <t>6级岩龙</t>
  </si>
  <si>
    <t>7级岩龙</t>
  </si>
  <si>
    <t>8级岩龙</t>
  </si>
  <si>
    <t>9级岩龙</t>
  </si>
  <si>
    <t>10级岩龙</t>
  </si>
  <si>
    <t>1级熔岩龙</t>
    <phoneticPr fontId="6" type="noConversion"/>
  </si>
  <si>
    <t>2级熔岩龙</t>
  </si>
  <si>
    <t>3级熔岩龙</t>
  </si>
  <si>
    <t>4级熔岩龙</t>
  </si>
  <si>
    <t>5级熔岩龙</t>
  </si>
  <si>
    <t>6级熔岩龙</t>
  </si>
  <si>
    <t>7级熔岩龙</t>
  </si>
  <si>
    <t>8级熔岩龙</t>
  </si>
  <si>
    <t>9级熔岩龙</t>
  </si>
  <si>
    <t>10级熔岩龙</t>
  </si>
  <si>
    <t>1级铁棘龙</t>
    <phoneticPr fontId="6" type="noConversion"/>
  </si>
  <si>
    <t>2级铁棘龙</t>
  </si>
  <si>
    <t>3级铁棘龙</t>
  </si>
  <si>
    <t>4级铁棘龙</t>
  </si>
  <si>
    <t>5级铁棘龙</t>
  </si>
  <si>
    <t>6级铁棘龙</t>
  </si>
  <si>
    <t>7级铁棘龙</t>
  </si>
  <si>
    <t>8级铁棘龙</t>
  </si>
  <si>
    <t>9级铁棘龙</t>
  </si>
  <si>
    <t>10级铁棘龙</t>
  </si>
  <si>
    <t>1级虚空龙</t>
    <phoneticPr fontId="6" type="noConversion"/>
  </si>
  <si>
    <t>2级虚空龙</t>
  </si>
  <si>
    <t>3级虚空龙</t>
  </si>
  <si>
    <t>4级虚空龙</t>
  </si>
  <si>
    <t>5级虚空龙</t>
  </si>
  <si>
    <t>6级虚空龙</t>
  </si>
  <si>
    <t>7级虚空龙</t>
  </si>
  <si>
    <t>8级虚空龙</t>
  </si>
  <si>
    <t>9级虚空龙</t>
  </si>
  <si>
    <t>10级虚空龙</t>
  </si>
  <si>
    <t>1级火龙</t>
    <phoneticPr fontId="6" type="noConversion"/>
  </si>
  <si>
    <t>2级火龙</t>
  </si>
  <si>
    <t>3级火龙</t>
  </si>
  <si>
    <t>4级火龙</t>
  </si>
  <si>
    <t>5级火龙</t>
  </si>
  <si>
    <t>6级火龙</t>
  </si>
  <si>
    <t>7级火龙</t>
  </si>
  <si>
    <t>8级火龙</t>
  </si>
  <si>
    <t>9级火龙</t>
  </si>
  <si>
    <t>10级火龙</t>
  </si>
  <si>
    <t>1级电龙</t>
    <phoneticPr fontId="6" type="noConversion"/>
  </si>
  <si>
    <t>2级电龙</t>
  </si>
  <si>
    <t>3级电龙</t>
  </si>
  <si>
    <t>4级电龙</t>
  </si>
  <si>
    <t>5级电龙</t>
  </si>
  <si>
    <t>6级电龙</t>
  </si>
  <si>
    <t>7级电龙</t>
  </si>
  <si>
    <t>8级电龙</t>
  </si>
  <si>
    <t>9级电龙</t>
  </si>
  <si>
    <t>10级电龙</t>
  </si>
  <si>
    <t>1级疾风龙</t>
    <phoneticPr fontId="6" type="noConversion"/>
  </si>
  <si>
    <t>2级疾风龙</t>
  </si>
  <si>
    <t>3级疾风龙</t>
  </si>
  <si>
    <t>4级疾风龙</t>
  </si>
  <si>
    <t>5级疾风龙</t>
  </si>
  <si>
    <t>6级疾风龙</t>
  </si>
  <si>
    <t>7级疾风龙</t>
  </si>
  <si>
    <t>8级疾风龙</t>
  </si>
  <si>
    <t>9级疾风龙</t>
  </si>
  <si>
    <t>10级疾风龙</t>
  </si>
  <si>
    <t>1级幽冥龙</t>
    <phoneticPr fontId="6" type="noConversion"/>
  </si>
  <si>
    <t>2级幽冥龙</t>
  </si>
  <si>
    <t>3级幽冥龙</t>
  </si>
  <si>
    <t>4级幽冥龙</t>
  </si>
  <si>
    <t>5级幽冥龙</t>
  </si>
  <si>
    <t>6级幽冥龙</t>
  </si>
  <si>
    <t>7级幽冥龙</t>
  </si>
  <si>
    <t>8级幽冥龙</t>
  </si>
  <si>
    <t>9级幽冥龙</t>
  </si>
  <si>
    <t>10级幽冥龙</t>
  </si>
  <si>
    <t>1级冰龙</t>
    <phoneticPr fontId="6" type="noConversion"/>
  </si>
  <si>
    <t>2级冰龙</t>
  </si>
  <si>
    <t>3级冰龙</t>
  </si>
  <si>
    <t>4级冰龙</t>
  </si>
  <si>
    <t>5级冰龙</t>
  </si>
  <si>
    <t>6级冰龙</t>
  </si>
  <si>
    <t>7级冰龙</t>
  </si>
  <si>
    <t>8级冰龙</t>
  </si>
  <si>
    <t>9级冰龙</t>
  </si>
  <si>
    <t>10级冰龙</t>
  </si>
  <si>
    <t>1级毒龙</t>
    <phoneticPr fontId="6" type="noConversion"/>
  </si>
  <si>
    <t>2级毒龙</t>
  </si>
  <si>
    <t>3级毒龙</t>
  </si>
  <si>
    <t>4级毒龙</t>
  </si>
  <si>
    <t>5级毒龙</t>
  </si>
  <si>
    <t>6级毒龙</t>
  </si>
  <si>
    <t>7级毒龙</t>
  </si>
  <si>
    <t>8级毒龙</t>
  </si>
  <si>
    <t>9级毒龙</t>
  </si>
  <si>
    <t>10级毒龙</t>
  </si>
  <si>
    <t>1级风暴龙</t>
    <phoneticPr fontId="6" type="noConversion"/>
  </si>
  <si>
    <t>2级风暴龙</t>
  </si>
  <si>
    <t>3级风暴龙</t>
  </si>
  <si>
    <t>4级风暴龙</t>
  </si>
  <si>
    <t>5级风暴龙</t>
  </si>
  <si>
    <t>6级风暴龙</t>
  </si>
  <si>
    <t>7级风暴龙</t>
  </si>
  <si>
    <t>8级风暴龙</t>
  </si>
  <si>
    <t>9级风暴龙</t>
  </si>
  <si>
    <t>10级风暴龙</t>
  </si>
  <si>
    <t>1级幻心龙</t>
    <phoneticPr fontId="6" type="noConversion"/>
  </si>
  <si>
    <t>2级幻心龙</t>
  </si>
  <si>
    <t>3级幻心龙</t>
  </si>
  <si>
    <t>4级幻心龙</t>
  </si>
  <si>
    <t>5级幻心龙</t>
  </si>
  <si>
    <t>6级幻心龙</t>
  </si>
  <si>
    <t>7级幻心龙</t>
  </si>
  <si>
    <t>8级幻心龙</t>
  </si>
  <si>
    <t>9级幻心龙</t>
  </si>
  <si>
    <t>10级幻心龙</t>
  </si>
  <si>
    <t>1级圣盾龙</t>
    <phoneticPr fontId="6" type="noConversion"/>
  </si>
  <si>
    <t>2级圣盾龙</t>
  </si>
  <si>
    <t>3级圣盾龙</t>
  </si>
  <si>
    <t>4级圣盾龙</t>
  </si>
  <si>
    <t>5级圣盾龙</t>
  </si>
  <si>
    <t>6级圣盾龙</t>
  </si>
  <si>
    <t>7级圣盾龙</t>
  </si>
  <si>
    <t>8级圣盾龙</t>
  </si>
  <si>
    <t>9级圣盾龙</t>
  </si>
  <si>
    <t>10级圣盾龙</t>
  </si>
  <si>
    <t>1级奥术龙</t>
    <phoneticPr fontId="6" type="noConversion"/>
  </si>
  <si>
    <t>2级奥术龙</t>
  </si>
  <si>
    <t>3级奥术龙</t>
  </si>
  <si>
    <t>4级奥术龙</t>
  </si>
  <si>
    <t>5级奥术龙</t>
  </si>
  <si>
    <t>6级奥术龙</t>
  </si>
  <si>
    <t>7级奥术龙</t>
  </si>
  <si>
    <t>8级奥术龙</t>
  </si>
  <si>
    <t>9级奥术龙</t>
  </si>
  <si>
    <t>10级奥术龙</t>
  </si>
  <si>
    <t>1级潮汐龙</t>
    <phoneticPr fontId="6" type="noConversion"/>
  </si>
  <si>
    <t>2级潮汐龙</t>
  </si>
  <si>
    <t>3级潮汐龙</t>
  </si>
  <si>
    <t>4级潮汐龙</t>
  </si>
  <si>
    <t>5级潮汐龙</t>
  </si>
  <si>
    <t>6级潮汐龙</t>
  </si>
  <si>
    <t>7级潮汐龙</t>
  </si>
  <si>
    <t>8级潮汐龙</t>
  </si>
  <si>
    <t>9级潮汐龙</t>
  </si>
  <si>
    <t>10级潮汐龙</t>
  </si>
  <si>
    <t>1级远古树龙</t>
    <phoneticPr fontId="6" type="noConversion"/>
  </si>
  <si>
    <t>2级远古树龙</t>
  </si>
  <si>
    <t>3级远古树龙</t>
  </si>
  <si>
    <t>4级远古树龙</t>
  </si>
  <si>
    <t>5级远古树龙</t>
  </si>
  <si>
    <t>6级远古树龙</t>
  </si>
  <si>
    <t>7级远古树龙</t>
  </si>
  <si>
    <t>8级远古树龙</t>
  </si>
  <si>
    <t>9级远古树龙</t>
  </si>
  <si>
    <t>10级远古树龙</t>
  </si>
  <si>
    <t>使范围内的农作物受到祝福，生长成&lt;color=#EE4242&gt;巨型作物&lt;/color&gt;。
（作用于绿框范围内的作物，一个农田一年最多一次）</t>
    <phoneticPr fontId="6" type="noConversion"/>
  </si>
  <si>
    <t>龙魂石</t>
    <phoneticPr fontId="6" type="noConversion"/>
  </si>
  <si>
    <t>龙鳞</t>
    <phoneticPr fontId="6" type="noConversion"/>
  </si>
  <si>
    <t>龙晶</t>
    <phoneticPr fontId="6" type="noConversion"/>
  </si>
  <si>
    <t>龙髓</t>
    <phoneticPr fontId="6" type="noConversion"/>
  </si>
  <si>
    <t>龙蕊</t>
    <phoneticPr fontId="6" type="noConversion"/>
  </si>
  <si>
    <t>龙专属物品</t>
    <phoneticPr fontId="6" type="noConversion"/>
  </si>
  <si>
    <t>战斗技能</t>
    <phoneticPr fontId="6" type="noConversion"/>
  </si>
  <si>
    <t>联机专属物品</t>
    <phoneticPr fontId="6" type="noConversion"/>
  </si>
  <si>
    <t>联机专属物品</t>
    <phoneticPr fontId="6" type="noConversion"/>
  </si>
  <si>
    <t>智慧的结晶，可用将石头赋予生命。从枯萎的巨树上掉落，可在光明祭坛上召唤石头人</t>
    <phoneticPr fontId="6" type="noConversion"/>
  </si>
  <si>
    <t>红工蚁</t>
    <phoneticPr fontId="6" type="noConversion"/>
  </si>
  <si>
    <t>红兵蚁</t>
    <phoneticPr fontId="6" type="noConversion"/>
  </si>
  <si>
    <t>性格温顺的工蚁，没有攻击力，四处搜集物资。身体为红色。</t>
    <phoneticPr fontId="6" type="noConversion"/>
  </si>
  <si>
    <t>军蚁负责保卫蚁穴，受军蚁攻击后，可能中毒。身体为红色。</t>
    <phoneticPr fontId="6" type="noConversion"/>
  </si>
  <si>
    <t>ic_ant_worker_red</t>
    <phoneticPr fontId="6" type="noConversion"/>
  </si>
  <si>
    <t>1级红工蚁</t>
    <phoneticPr fontId="6" type="noConversion"/>
  </si>
  <si>
    <t>2级红工蚁</t>
  </si>
  <si>
    <t>3级红工蚁</t>
  </si>
  <si>
    <t>4级红工蚁</t>
  </si>
  <si>
    <t>5级红工蚁</t>
  </si>
  <si>
    <t>6级红工蚁</t>
  </si>
  <si>
    <t>7级红工蚁</t>
  </si>
  <si>
    <t>8级红工蚁</t>
  </si>
  <si>
    <t>9级红工蚁</t>
  </si>
  <si>
    <t>10级红工蚁</t>
  </si>
  <si>
    <t>1级红兵蚁</t>
    <phoneticPr fontId="6" type="noConversion"/>
  </si>
  <si>
    <t>2级红兵蚁</t>
  </si>
  <si>
    <t>3级红兵蚁</t>
  </si>
  <si>
    <t>4级红兵蚁</t>
  </si>
  <si>
    <t>5级红兵蚁</t>
  </si>
  <si>
    <t>6级红兵蚁</t>
  </si>
  <si>
    <t>7级红兵蚁</t>
  </si>
  <si>
    <t>8级红兵蚁</t>
  </si>
  <si>
    <t>9级红兵蚁</t>
  </si>
  <si>
    <t>10级红兵蚁</t>
  </si>
  <si>
    <t>ant_worker_red</t>
    <phoneticPr fontId="6" type="noConversion"/>
  </si>
  <si>
    <t>ic_ant_soldier_red</t>
    <phoneticPr fontId="6" type="noConversion"/>
  </si>
  <si>
    <t>ant_soldier_red</t>
    <phoneticPr fontId="6" type="noConversion"/>
  </si>
  <si>
    <t>红蚁穴</t>
    <phoneticPr fontId="6" type="noConversion"/>
  </si>
  <si>
    <t>ant_nest_red</t>
    <phoneticPr fontId="6" type="noConversion"/>
  </si>
  <si>
    <t>一种奇特的蚂蚁类生物的巢穴。身体为红色。</t>
    <phoneticPr fontId="6" type="noConversion"/>
  </si>
  <si>
    <t>令有些人着迷的食物，让人夏天夜晚兴奋得睡不着觉。也可用于饲养史莱姆。</t>
    <phoneticPr fontId="6" type="noConversion"/>
  </si>
  <si>
    <r>
      <t>ic</t>
    </r>
    <r>
      <rPr>
        <sz val="11"/>
        <color theme="1"/>
        <rFont val="宋体"/>
        <family val="3"/>
        <charset val="134"/>
        <scheme val="minor"/>
      </rPr>
      <t>_ant_worker_red</t>
    </r>
    <phoneticPr fontId="6" type="noConversion"/>
  </si>
  <si>
    <r>
      <t>i</t>
    </r>
    <r>
      <rPr>
        <sz val="11"/>
        <color theme="1"/>
        <rFont val="宋体"/>
        <family val="3"/>
        <charset val="134"/>
        <scheme val="minor"/>
      </rPr>
      <t>c_ant_soldier_red</t>
    </r>
    <phoneticPr fontId="6" type="noConversion"/>
  </si>
  <si>
    <t>ant_worker_red</t>
    <phoneticPr fontId="6" type="noConversion"/>
  </si>
  <si>
    <t>ant_soldier_red</t>
    <phoneticPr fontId="6" type="noConversion"/>
  </si>
  <si>
    <t>使用魔法驱动的冰窖，存入其中的食物，可永久保鲜。
每月需消耗蓝宝石，才能工作。
在实在找不到食物时，居民会取用冰窖中的食物。
冰窖因深藏地下，物资搬运比较费力，仅用于多余易腐败物资的应急存储。</t>
    <phoneticPr fontId="6" type="noConversion"/>
  </si>
  <si>
    <t>蚁胶</t>
  </si>
  <si>
    <t>蚁胶</t>
    <phoneticPr fontId="6" type="noConversion"/>
  </si>
  <si>
    <t>红蚂蚁掉落的一种神奇素材，可用于合成药物</t>
    <phoneticPr fontId="6" type="noConversion"/>
  </si>
  <si>
    <t>简单食物</t>
    <phoneticPr fontId="6" type="noConversion"/>
  </si>
  <si>
    <t>精致食物</t>
    <phoneticPr fontId="6" type="noConversion"/>
  </si>
  <si>
    <t>柴火</t>
    <phoneticPr fontId="6" type="noConversion"/>
  </si>
  <si>
    <t>黄昏森林</t>
    <phoneticPr fontId="6" type="noConversion"/>
  </si>
  <si>
    <t>滨海平原</t>
    <phoneticPr fontId="6" type="noConversion"/>
  </si>
  <si>
    <t>南部荒野</t>
    <phoneticPr fontId="6" type="noConversion"/>
  </si>
  <si>
    <t>帝国村庄</t>
    <phoneticPr fontId="6" type="noConversion"/>
  </si>
  <si>
    <t>帝国辖区内的一个村庄，可在此招募人口和请求物资。</t>
    <phoneticPr fontId="6" type="noConversion"/>
  </si>
  <si>
    <t>empire_village</t>
    <phoneticPr fontId="6" type="noConversion"/>
  </si>
  <si>
    <t>序号</t>
    <phoneticPr fontId="6" type="noConversion"/>
  </si>
  <si>
    <t>对领主附近的士兵，进行治疗。</t>
    <phoneticPr fontId="6" type="noConversion"/>
  </si>
  <si>
    <t>单次补充的燃料数量</t>
    <phoneticPr fontId="6" type="noConversion"/>
  </si>
  <si>
    <t>dragon3</t>
    <phoneticPr fontId="6" type="noConversion"/>
  </si>
  <si>
    <t>dragon4</t>
    <phoneticPr fontId="6" type="noConversion"/>
  </si>
  <si>
    <t>dragon7</t>
    <phoneticPr fontId="6" type="noConversion"/>
  </si>
  <si>
    <t>dragon13</t>
    <phoneticPr fontId="6" type="noConversion"/>
  </si>
  <si>
    <t>dragon14</t>
    <phoneticPr fontId="6" type="noConversion"/>
  </si>
  <si>
    <t>dragon15</t>
    <phoneticPr fontId="6" type="noConversion"/>
  </si>
  <si>
    <t>dragon16</t>
    <phoneticPr fontId="6" type="noConversion"/>
  </si>
  <si>
    <t>地脉震荡</t>
    <phoneticPr fontId="6" type="noConversion"/>
  </si>
  <si>
    <t>地火喷涌</t>
    <phoneticPr fontId="6" type="noConversion"/>
  </si>
  <si>
    <t>金属风暴</t>
    <phoneticPr fontId="6" type="noConversion"/>
  </si>
  <si>
    <t>湮灭波动</t>
    <phoneticPr fontId="6" type="noConversion"/>
  </si>
  <si>
    <t>烈焰龙息</t>
    <phoneticPr fontId="6" type="noConversion"/>
  </si>
  <si>
    <t xml:space="preserve">离子风暴 </t>
    <phoneticPr fontId="6" type="noConversion"/>
  </si>
  <si>
    <t>真空刃</t>
    <phoneticPr fontId="6" type="noConversion"/>
  </si>
  <si>
    <t>暗影叶息</t>
    <phoneticPr fontId="6" type="noConversion"/>
  </si>
  <si>
    <t>极塞吐息</t>
    <phoneticPr fontId="6" type="noConversion"/>
  </si>
  <si>
    <t>瘴气喷射</t>
    <phoneticPr fontId="6" type="noConversion"/>
  </si>
  <si>
    <t>裂空龙卷</t>
    <phoneticPr fontId="6" type="noConversion"/>
  </si>
  <si>
    <t>迷梦吐息</t>
    <phoneticPr fontId="6" type="noConversion"/>
  </si>
  <si>
    <t>圣光屏障</t>
    <phoneticPr fontId="6" type="noConversion"/>
  </si>
  <si>
    <t>秘法洪流</t>
    <phoneticPr fontId="6" type="noConversion"/>
  </si>
  <si>
    <t>涤荡之潮</t>
    <phoneticPr fontId="6" type="noConversion"/>
  </si>
  <si>
    <t>生命吐息</t>
    <phoneticPr fontId="6" type="noConversion"/>
  </si>
  <si>
    <t>岩穹庇护</t>
    <phoneticPr fontId="6" type="noConversion"/>
  </si>
  <si>
    <t>陨火天降</t>
    <phoneticPr fontId="6" type="noConversion"/>
  </si>
  <si>
    <t xml:space="preserve">铁穹屏障 </t>
    <phoneticPr fontId="6" type="noConversion"/>
  </si>
  <si>
    <t>陨星爆炎</t>
    <phoneticPr fontId="6" type="noConversion"/>
  </si>
  <si>
    <t>雷霆万钧</t>
    <phoneticPr fontId="6" type="noConversion"/>
  </si>
  <si>
    <t>血蚀之息</t>
    <phoneticPr fontId="6" type="noConversion"/>
  </si>
  <si>
    <t>凛条降临</t>
    <phoneticPr fontId="6" type="noConversion"/>
  </si>
  <si>
    <t>瘟疫龙息</t>
    <phoneticPr fontId="6" type="noConversion"/>
  </si>
  <si>
    <t>飓风枷锁</t>
    <phoneticPr fontId="6" type="noConversion"/>
  </si>
  <si>
    <t>心灵囚笼</t>
    <phoneticPr fontId="6" type="noConversion"/>
  </si>
  <si>
    <t>天宫之璧</t>
    <phoneticPr fontId="6" type="noConversion"/>
  </si>
  <si>
    <t>时空裂隙</t>
    <phoneticPr fontId="6" type="noConversion"/>
  </si>
  <si>
    <t>深海祈愿</t>
    <phoneticPr fontId="6" type="noConversion"/>
  </si>
  <si>
    <t>森罗复苏</t>
    <phoneticPr fontId="6" type="noConversion"/>
  </si>
  <si>
    <t>远古巨龙的生命结晶，可用于提升龙的生命力</t>
    <phoneticPr fontId="6" type="noConversion"/>
  </si>
  <si>
    <t>远古巨龙陨落时凝聚的毁灭之晶，仍炽热如初，可用于提升龙的攻击力</t>
    <phoneticPr fontId="6" type="noConversion"/>
  </si>
  <si>
    <t>远古巨龙掉落的鳞片，坚不可摧，可用于提升龙的防御</t>
    <phoneticPr fontId="6" type="noConversion"/>
  </si>
  <si>
    <t>蕴含巨龙之力的特殊石头，可用于提升龙的等级</t>
    <phoneticPr fontId="6" type="noConversion"/>
  </si>
  <si>
    <t>驭龙瓶</t>
    <phoneticPr fontId="6" type="noConversion"/>
  </si>
  <si>
    <t>用于在帝国秘境中捕获龙魂。</t>
    <phoneticPr fontId="6" type="noConversion"/>
  </si>
  <si>
    <t>ui_111005</t>
  </si>
  <si>
    <t>eteranl_temple_of_king</t>
    <phoneticPr fontId="6" type="noConversion"/>
  </si>
  <si>
    <t>国王的永恒圣殿</t>
  </si>
  <si>
    <t>国王的永恒圣殿</t>
    <phoneticPr fontId="6" type="noConversion"/>
  </si>
  <si>
    <t>王国最高权威的象征，蕴藏着驭龙之力。</t>
    <phoneticPr fontId="6" type="noConversion"/>
  </si>
  <si>
    <t>kingdom_treasure_box</t>
    <phoneticPr fontId="6" type="noConversion"/>
  </si>
  <si>
    <t>释放黑暗能量吸取生命，为自身回血</t>
  </si>
  <si>
    <t>吐出寒冰，将前方敌人冻结在原地</t>
  </si>
  <si>
    <t>国王之冠</t>
    <phoneticPr fontId="6" type="noConversion"/>
  </si>
  <si>
    <t>获得国王之冠后，可开启帝国模式，参与联机游戏。</t>
    <phoneticPr fontId="6" type="noConversion"/>
  </si>
  <si>
    <t>岩龙</t>
    <phoneticPr fontId="6" type="noConversion"/>
  </si>
  <si>
    <t>远古巨龙的骨髓，蕴含着驾驭魔法的奥秘，可用于提升龙的魔法强度</t>
    <phoneticPr fontId="6" type="noConversion"/>
  </si>
  <si>
    <t>木头做的墙，围成封闭区域，形成室内（&lt;color=#EE4242&gt;长或宽，有一边不超过20即可&lt;/color&gt;），可保暖。可阻挡一部分陆行怪物，但少数怪物会啃噬木墙。</t>
    <phoneticPr fontId="6" type="noConversion"/>
  </si>
  <si>
    <t>石头做的墙，围成封闭区域，形成室内（&lt;color=#EE4242&gt;长或宽，有一边不超过20即可&lt;/color&gt;），可保暖。可阻挡所有陆行怪物，但无法阻挡会飞行怪物。</t>
    <phoneticPr fontId="6" type="noConversion"/>
  </si>
  <si>
    <t>神圣压制</t>
    <phoneticPr fontId="6" type="noConversion"/>
  </si>
  <si>
    <t>黑暗诅咒</t>
    <phoneticPr fontId="6" type="noConversion"/>
  </si>
  <si>
    <t>神圣压制</t>
    <phoneticPr fontId="6" type="noConversion"/>
  </si>
  <si>
    <t>黑暗诅咒</t>
    <phoneticPr fontId="6" type="noConversion"/>
  </si>
  <si>
    <t>降下神圣之力，压制世界中怪物的成长。</t>
  </si>
  <si>
    <t>唤醒混沌魔力，助长怪物的强度与等级。</t>
  </si>
  <si>
    <t>黑洞撕裂</t>
    <phoneticPr fontId="6" type="noConversion"/>
  </si>
  <si>
    <t>制造黑洞，对位于黑洞范围的敌人，造成暴击伤害</t>
    <phoneticPr fontId="6" type="noConversion"/>
  </si>
  <si>
    <r>
      <rPr>
        <sz val="11"/>
        <color theme="1"/>
        <rFont val="宋体"/>
        <family val="3"/>
        <charset val="134"/>
        <scheme val="minor"/>
      </rPr>
      <t>424005</t>
    </r>
    <phoneticPr fontId="6" type="noConversion"/>
  </si>
  <si>
    <r>
      <rPr>
        <sz val="11"/>
        <color theme="1"/>
        <rFont val="宋体"/>
        <family val="3"/>
        <charset val="134"/>
        <scheme val="minor"/>
      </rPr>
      <t>424006</t>
    </r>
    <phoneticPr fontId="6" type="noConversion"/>
  </si>
  <si>
    <t>ui_424005</t>
    <phoneticPr fontId="6" type="noConversion"/>
  </si>
  <si>
    <t>ui_424006</t>
    <phoneticPr fontId="6" type="noConversion"/>
  </si>
  <si>
    <t>兵法书</t>
    <phoneticPr fontId="6" type="noConversion"/>
  </si>
  <si>
    <t>ui_424004</t>
    <phoneticPr fontId="6" type="noConversion"/>
  </si>
  <si>
    <t>424004</t>
    <phoneticPr fontId="6" type="noConversion"/>
  </si>
  <si>
    <t>ui_106007</t>
    <phoneticPr fontId="6" type="noConversion"/>
  </si>
  <si>
    <t>106007</t>
    <phoneticPr fontId="6" type="noConversion"/>
  </si>
  <si>
    <t>可发射魔法光球，对敌人造成其血量上限&lt;color=#4CB34C&gt;20-30%&lt;/color&gt;（最低&lt;color=#4CB34C&gt;60&lt;/color&gt;点，最高&lt;color=#4CB34C&gt;2000&lt;/color&gt;点）的伤害。</t>
    <phoneticPr fontId="6" type="noConversion"/>
  </si>
  <si>
    <t>can_carry_one_by_one_anytime#int</t>
    <phoneticPr fontId="6" type="noConversion"/>
  </si>
  <si>
    <t>不受搬运工最小起搬量的限制，任何时候都可以一个一个搬</t>
    <phoneticPr fontId="6" type="noConversion"/>
  </si>
  <si>
    <t>价格</t>
    <phoneticPr fontId="6" type="noConversion"/>
  </si>
  <si>
    <t>旋风突进</t>
    <phoneticPr fontId="6" type="noConversion"/>
  </si>
  <si>
    <t>旋风突进</t>
    <phoneticPr fontId="6" type="noConversion"/>
  </si>
  <si>
    <t>用于存储大量物资，包括食物，工具，衣服，材料等。</t>
    <phoneticPr fontId="6" type="noConversion"/>
  </si>
  <si>
    <t>搬运工&lt;color=#EE4242&gt;批量运输&lt;/color&gt;，陈列货架上，以方便周围居民取用。与大箱子和料堆被动接收物资不同，货架可&lt;color=#EE4242&gt;主动&lt;/color&gt;将物资调集到某处。</t>
    <phoneticPr fontId="6" type="noConversion"/>
  </si>
  <si>
    <t>生命护盾</t>
    <phoneticPr fontId="6" type="noConversion"/>
  </si>
  <si>
    <t>吐出奥术印记，提升敌人受到的法术伤害</t>
    <phoneticPr fontId="6" type="noConversion"/>
  </si>
  <si>
    <t>为己方单位提供岩石护盾，大幅提高防御力</t>
    <phoneticPr fontId="6" type="noConversion"/>
  </si>
  <si>
    <t>吐出生命波动，为己方单位提供治疗效果</t>
    <phoneticPr fontId="6" type="noConversion"/>
  </si>
  <si>
    <t>震击地面，迫使敌人转移仇恨，并削弱其物理攻击</t>
    <phoneticPr fontId="6" type="noConversion"/>
  </si>
  <si>
    <t>喷吐熔岩，对敌人造成伤害</t>
    <phoneticPr fontId="6" type="noConversion"/>
  </si>
  <si>
    <t>发射钢针攻击敌人，并对敌人造成破甲效果</t>
    <phoneticPr fontId="6" type="noConversion"/>
  </si>
  <si>
    <t>释放能量波，削弱敌人的魔法攻击力</t>
    <phoneticPr fontId="6" type="noConversion"/>
  </si>
  <si>
    <t>吐出高温火焰，灼烧敌人</t>
  </si>
  <si>
    <t>吐出离子风暴，命中敌人后，分裂出多个光球子弹</t>
    <phoneticPr fontId="6" type="noConversion"/>
  </si>
  <si>
    <t>吐出高速风刃，对敌人并造成巨大伤害</t>
    <phoneticPr fontId="6" type="noConversion"/>
  </si>
  <si>
    <t>释放剧毒雾气，并使敌人中毒持续掉血</t>
    <phoneticPr fontId="6" type="noConversion"/>
  </si>
  <si>
    <t>吐出龙卷风，使敌人移动缓慢</t>
    <phoneticPr fontId="6" type="noConversion"/>
  </si>
  <si>
    <t>释放幻术迷雾，使敌人临时暂停行动</t>
    <phoneticPr fontId="6" type="noConversion"/>
  </si>
  <si>
    <t>为己方单位增加生命护盾，吸收伤害</t>
    <phoneticPr fontId="6" type="noConversion"/>
  </si>
  <si>
    <t>吐出汹涌的水波，将敌人击退</t>
    <phoneticPr fontId="6" type="noConversion"/>
  </si>
  <si>
    <t>召唤熔岩雨覆盖地面，持续灼烧范围内敌人</t>
    <phoneticPr fontId="6" type="noConversion"/>
  </si>
  <si>
    <t>赋予己方单位反弹伤害的金属护甲</t>
    <phoneticPr fontId="6" type="noConversion"/>
  </si>
  <si>
    <t>召唤流星雨砸向敌人，造成范围爆炸伤害</t>
    <phoneticPr fontId="6" type="noConversion"/>
  </si>
  <si>
    <t>召唤雷云追踪敌人并释放雷电，造成持续伤害</t>
    <phoneticPr fontId="6" type="noConversion"/>
  </si>
  <si>
    <t>制造龙卷风冲击敌人，打断技能并造成伤害</t>
    <phoneticPr fontId="6" type="noConversion"/>
  </si>
  <si>
    <t>形成吸血法阵，持续削弱敌人并治疗自身</t>
    <phoneticPr fontId="6" type="noConversion"/>
  </si>
  <si>
    <t>召唤暴雪覆盖区域，冻结所有敌人</t>
    <phoneticPr fontId="6" type="noConversion"/>
  </si>
  <si>
    <t>腐蚀地面，对区域内敌人造成持续伤害，并降低敌人的护甲及魔法抗性</t>
    <phoneticPr fontId="6" type="noConversion"/>
  </si>
  <si>
    <t>召唤风墙横扫敌人，使其沉默或击退</t>
    <phoneticPr fontId="6" type="noConversion"/>
  </si>
  <si>
    <t>对敌人实施心灵控制</t>
    <phoneticPr fontId="6" type="noConversion"/>
  </si>
  <si>
    <t>清除全体友军的负面效果，并清除全体敌人的增益</t>
    <phoneticPr fontId="6" type="noConversion"/>
  </si>
  <si>
    <t>使所有己方单位，获得治疗效果</t>
    <phoneticPr fontId="6" type="noConversion"/>
  </si>
  <si>
    <t>使附近己方的龙和泰坦的技能冷却瞬间结束</t>
    <phoneticPr fontId="6" type="noConversion"/>
  </si>
  <si>
    <t>为附近己方单位施加无敌护盾，短时间免疫一切伤害</t>
    <phoneticPr fontId="6" type="noConversion"/>
  </si>
  <si>
    <t>怪物骚动</t>
    <phoneticPr fontId="6" type="noConversion"/>
  </si>
  <si>
    <t>边境立即刷新出一波双倍数量的怪物</t>
    <phoneticPr fontId="6" type="noConversion"/>
  </si>
  <si>
    <t>边境立即刷新出一波双倍数量的强盗</t>
    <phoneticPr fontId="6" type="noConversion"/>
  </si>
  <si>
    <t>黑暗指引</t>
    <phoneticPr fontId="6" type="noConversion"/>
  </si>
  <si>
    <t>龙之试炼柱</t>
    <phoneticPr fontId="6" type="noConversion"/>
  </si>
  <si>
    <t>在此可开启龙之试炼。每通过一场试炼，可获得龙魂或驯龙素材。</t>
    <phoneticPr fontId="6" type="noConversion"/>
  </si>
  <si>
    <r>
      <t>dra</t>
    </r>
    <r>
      <rPr>
        <sz val="11"/>
        <color theme="1"/>
        <rFont val="宋体"/>
        <family val="3"/>
        <charset val="134"/>
        <scheme val="minor"/>
      </rPr>
      <t>gon_trial_pillar</t>
    </r>
    <phoneticPr fontId="6" type="noConversion"/>
  </si>
  <si>
    <t>高效收纳</t>
    <phoneticPr fontId="6" type="noConversion"/>
  </si>
  <si>
    <t>ui_902152</t>
    <phoneticPr fontId="6" type="noConversion"/>
  </si>
  <si>
    <t>902152</t>
    <phoneticPr fontId="6" type="noConversion"/>
  </si>
  <si>
    <t>大箱子和料堆存储容量 x10</t>
    <phoneticPr fontId="6" type="noConversion"/>
  </si>
  <si>
    <t>货架</t>
    <phoneticPr fontId="6" type="noConversion"/>
  </si>
  <si>
    <t>虚空之手</t>
    <phoneticPr fontId="6" type="noConversion"/>
  </si>
  <si>
    <t>召唤小精灵时，每个精灵雕像旁边也会出现一个小精灵。</t>
    <phoneticPr fontId="6" type="noConversion"/>
  </si>
  <si>
    <t>使附近养鸡的牧场受到祝福，有可能产出&lt;color=#EE4242&gt;金蛋&lt;/color&gt;。
（作用于绿框内的鸡，每次下蛋时有概率产金蛋）</t>
    <phoneticPr fontId="6" type="noConversion"/>
  </si>
  <si>
    <t>使范围内的渔夫受到祝福，更容易捕获&lt;color=#EE4242&gt;大鱼&lt;/color&gt;。
（作用于绿框内的渔夫，每次钓鱼时有概率大鱼上钩）</t>
    <phoneticPr fontId="6" type="noConversion"/>
  </si>
  <si>
    <t>后勤兵</t>
    <phoneticPr fontId="6" type="noConversion"/>
  </si>
  <si>
    <t>上古之神，封印魔王的图腾之柱。
散发着神秘气息，蕴含着维系世界安宁的力量。
维护图腾柱可获得领主点数。
领主点数可用于提升领主光环，驭龙之力和王座的统兵上限。</t>
    <phoneticPr fontId="6" type="noConversion"/>
  </si>
  <si>
    <t>等级为1级的盾牌</t>
    <phoneticPr fontId="6" type="noConversion"/>
  </si>
  <si>
    <t>等级为2级的盾牌</t>
  </si>
  <si>
    <t>等级为3级的盾牌</t>
  </si>
  <si>
    <t>等级为4级的盾牌</t>
  </si>
  <si>
    <t>等级为5级的盾牌</t>
  </si>
  <si>
    <t>等级为6级的盾牌</t>
  </si>
  <si>
    <t>等级为7级的盾牌</t>
  </si>
  <si>
    <t>等级为8级的盾牌</t>
  </si>
  <si>
    <t>等级为9级的盾牌</t>
  </si>
  <si>
    <t>等级为1级的盔甲</t>
    <phoneticPr fontId="6" type="noConversion"/>
  </si>
  <si>
    <t>等级为2级的盔甲</t>
  </si>
  <si>
    <t>等级为3级的盔甲</t>
  </si>
  <si>
    <t>等级为4级的盔甲</t>
  </si>
  <si>
    <t>等级为5级的盔甲</t>
  </si>
  <si>
    <t>等级为6级的盔甲</t>
  </si>
  <si>
    <t>等级为7级的盔甲</t>
  </si>
  <si>
    <t>等级为8级的盔甲</t>
  </si>
  <si>
    <t>等级为9级的盔甲</t>
  </si>
  <si>
    <t>笋瓜</t>
    <phoneticPr fontId="6" type="noConversion"/>
  </si>
  <si>
    <t>笋瓜种子</t>
    <phoneticPr fontId="6" type="noConversion"/>
  </si>
  <si>
    <t>形似狼的种族，擅长战斗，是天生的士兵。除了肉，&lt;color=#EE4242&gt;坚决不吃其它食物（包括鱼虾蟹）&lt;/color&gt;，偏好烈酒，免疫肠胃炎。时常在黑暗的角落袭击羊人。亲人死亡后，会充满仇恨和战斗的欲望。</t>
    <phoneticPr fontId="9" type="noConversion"/>
  </si>
  <si>
    <t>要塞</t>
  </si>
  <si>
    <t>要塞</t>
    <phoneticPr fontId="6" type="noConversion"/>
  </si>
  <si>
    <t>战场据点</t>
    <phoneticPr fontId="6" type="noConversion"/>
  </si>
  <si>
    <t>远征营地</t>
  </si>
  <si>
    <t>远征营地</t>
    <phoneticPr fontId="6" type="noConversion"/>
  </si>
  <si>
    <t>fortress</t>
    <phoneticPr fontId="6" type="noConversion"/>
  </si>
  <si>
    <t>expedition_camp</t>
    <phoneticPr fontId="6" type="noConversion"/>
  </si>
  <si>
    <t>battlefield_stronghold</t>
    <phoneticPr fontId="6" type="noConversion"/>
  </si>
  <si>
    <t>扼守着帝国要路，帝国士兵在此无数次其击的敌人的进攻。</t>
  </si>
  <si>
    <t>为彻底消灭帝国境内的怪物，远征军深入怪物的领地，展开激烈的战斗。</t>
    <phoneticPr fontId="6" type="noConversion"/>
  </si>
  <si>
    <t>destroyed_battlefield_stronghold</t>
    <phoneticPr fontId="6" type="noConversion"/>
  </si>
  <si>
    <t>被敌人占领的战场据点</t>
    <phoneticPr fontId="6" type="noConversion"/>
  </si>
  <si>
    <t>被敌人占领的战场据点</t>
    <phoneticPr fontId="6" type="noConversion"/>
  </si>
  <si>
    <t>战场据点</t>
    <phoneticPr fontId="6" type="noConversion"/>
  </si>
  <si>
    <t>战场中重要的据点，已被敌人占领，战场形势开始恶化。
如果丢失所有据点，则你将输掉这场战争。</t>
    <phoneticPr fontId="6" type="noConversion"/>
  </si>
  <si>
    <t>战场中重要的据点，决定着整场战斗的胜负，是敌人进攻的主要目标。
如果丢失所有据点，则你将输掉这场战争。</t>
    <phoneticPr fontId="6" type="noConversion"/>
  </si>
  <si>
    <t>怪物分组</t>
    <phoneticPr fontId="6" type="noConversion"/>
  </si>
  <si>
    <t>极具药用价值，是提炼药水的上好材料。</t>
    <phoneticPr fontId="6" type="noConversion"/>
  </si>
  <si>
    <t>养颜丹</t>
    <phoneticPr fontId="6" type="noConversion"/>
  </si>
  <si>
    <t>狼人士兵，拥有超强的战斗力和信念，不可被魔法转化或控制。仅限狼人，狼人只吃肉（不吃鱼）。</t>
    <phoneticPr fontId="6" type="noConversion"/>
  </si>
  <si>
    <t>建造水井，居民可就近取水。
井水每日自动恢复。
靠得太近（&lt;color=#EE4242&gt;绿框重叠&lt;/color&gt;），会降低恢复速度。</t>
    <phoneticPr fontId="6" type="noConversion"/>
  </si>
  <si>
    <t>熏鱼</t>
    <phoneticPr fontId="6" type="noConversion"/>
  </si>
  <si>
    <t>熏肉</t>
    <phoneticPr fontId="6" type="noConversion"/>
  </si>
  <si>
    <t>熏制的鱼，可保存极长时间</t>
    <phoneticPr fontId="6" type="noConversion"/>
  </si>
  <si>
    <t>熏制的肉，可保存极长时间</t>
    <phoneticPr fontId="6" type="noConversion"/>
  </si>
  <si>
    <t>熏肉</t>
    <phoneticPr fontId="6" type="noConversion"/>
  </si>
  <si>
    <t>糕点</t>
    <phoneticPr fontId="6" type="noConversion"/>
  </si>
  <si>
    <t>零食</t>
    <phoneticPr fontId="6" type="noConversion"/>
  </si>
  <si>
    <t>ui_902153</t>
    <phoneticPr fontId="6" type="noConversion"/>
  </si>
  <si>
    <t>ui_902154</t>
  </si>
  <si>
    <t>ui_902155</t>
  </si>
  <si>
    <t>902153</t>
    <phoneticPr fontId="6" type="noConversion"/>
  </si>
  <si>
    <t>902154</t>
  </si>
  <si>
    <t>902155</t>
  </si>
  <si>
    <t>熏制鱼和肉，延长保持期</t>
    <phoneticPr fontId="6" type="noConversion"/>
  </si>
  <si>
    <t>制作饼干和蛋糕</t>
    <phoneticPr fontId="6" type="noConversion"/>
  </si>
  <si>
    <t>制作咖啡和巧克力</t>
    <phoneticPr fontId="6" type="noConversion"/>
  </si>
  <si>
    <t>ui_108009</t>
    <phoneticPr fontId="6" type="noConversion"/>
  </si>
  <si>
    <t>108009</t>
    <phoneticPr fontId="6" type="noConversion"/>
  </si>
  <si>
    <t>粮食作物，产量高，水份需求低，肥料需求高，生长缓慢，耐寒。</t>
    <phoneticPr fontId="6" type="noConversion"/>
  </si>
  <si>
    <t>ui_202102</t>
  </si>
  <si>
    <t>ui_202601</t>
  </si>
  <si>
    <t>ui_202302</t>
  </si>
  <si>
    <t>ui_202301</t>
  </si>
  <si>
    <t>ui_202303</t>
  </si>
  <si>
    <t>ui_202403</t>
  </si>
  <si>
    <t>ui_202405</t>
  </si>
  <si>
    <t>ui_202401</t>
  </si>
  <si>
    <t>ui_202502</t>
  </si>
  <si>
    <t>ui_202501</t>
  </si>
  <si>
    <t>糖</t>
  </si>
  <si>
    <t>养颜丹</t>
  </si>
  <si>
    <t>ui_421001</t>
    <phoneticPr fontId="6" type="noConversion"/>
  </si>
  <si>
    <t>ui_412003</t>
    <phoneticPr fontId="6" type="noConversion"/>
  </si>
  <si>
    <t>ui_418001</t>
    <phoneticPr fontId="6" type="noConversion"/>
  </si>
  <si>
    <t>ui_418002</t>
    <phoneticPr fontId="6" type="noConversion"/>
  </si>
  <si>
    <t>421001</t>
    <phoneticPr fontId="6" type="noConversion"/>
  </si>
  <si>
    <t>412003</t>
    <phoneticPr fontId="6" type="noConversion"/>
  </si>
  <si>
    <t>418001</t>
    <phoneticPr fontId="6" type="noConversion"/>
  </si>
  <si>
    <t>418002</t>
    <phoneticPr fontId="6" type="noConversion"/>
  </si>
  <si>
    <t>药茶</t>
    <phoneticPr fontId="6" type="noConversion"/>
  </si>
  <si>
    <t>蓝星花</t>
  </si>
  <si>
    <t>紫绒花</t>
  </si>
  <si>
    <t>红芯菊</t>
  </si>
  <si>
    <t>青铃花</t>
  </si>
  <si>
    <t>幻彩花</t>
  </si>
  <si>
    <t>晴雨花</t>
  </si>
  <si>
    <t>金盏花</t>
  </si>
  <si>
    <t>玫瑰姫</t>
  </si>
  <si>
    <t>荧光红蘑菇</t>
    <phoneticPr fontId="6" type="noConversion"/>
  </si>
  <si>
    <t>荧光蓝蘑菇</t>
    <phoneticPr fontId="6" type="noConversion"/>
  </si>
  <si>
    <t>荧光绿蘑菇</t>
    <phoneticPr fontId="6" type="noConversion"/>
  </si>
  <si>
    <t>夜晚会发红光的蘑菇，可使在附近睡觉的士兵，的攻击力+10%。</t>
    <phoneticPr fontId="6" type="noConversion"/>
  </si>
  <si>
    <t>夜晚会发蓝光的蘑菇，可使在附近睡觉的居民，每晚增寿命+1岁。</t>
    <phoneticPr fontId="6" type="noConversion"/>
  </si>
  <si>
    <t>光亮蘑菇</t>
    <phoneticPr fontId="6" type="noConversion"/>
  </si>
  <si>
    <t>夜晚会发光，明亮如灯。</t>
    <phoneticPr fontId="6" type="noConversion"/>
  </si>
  <si>
    <t>倾诉</t>
    <phoneticPr fontId="6" type="noConversion"/>
  </si>
  <si>
    <t>居民可找先知倾诉，提高幸福感。</t>
    <phoneticPr fontId="6" type="noConversion"/>
  </si>
  <si>
    <t>火盆</t>
    <phoneticPr fontId="6" type="noConversion"/>
  </si>
  <si>
    <t>可接收居民的排泄物作为制造肥料的原料。</t>
    <phoneticPr fontId="6" type="noConversion"/>
  </si>
  <si>
    <t>农田</t>
    <phoneticPr fontId="6" type="noConversion"/>
  </si>
  <si>
    <t>果园</t>
    <phoneticPr fontId="6" type="noConversion"/>
  </si>
  <si>
    <t>ui_105002</t>
    <phoneticPr fontId="6" type="noConversion"/>
  </si>
  <si>
    <t>105002</t>
    <phoneticPr fontId="6" type="noConversion"/>
  </si>
  <si>
    <t>石桥</t>
    <phoneticPr fontId="6" type="noConversion"/>
  </si>
  <si>
    <r>
      <t>bridge</t>
    </r>
    <r>
      <rPr>
        <sz val="11"/>
        <color theme="1"/>
        <rFont val="宋体"/>
        <family val="3"/>
        <charset val="134"/>
        <scheme val="minor"/>
      </rPr>
      <t>_stone</t>
    </r>
    <phoneticPr fontId="6" type="noConversion"/>
  </si>
  <si>
    <t>石头建造的桥。</t>
    <phoneticPr fontId="6" type="noConversion"/>
  </si>
  <si>
    <t>stone_wall</t>
    <phoneticPr fontId="6" type="noConversion"/>
  </si>
  <si>
    <t>石板路</t>
    <phoneticPr fontId="6" type="noConversion"/>
  </si>
  <si>
    <t>山路</t>
    <phoneticPr fontId="6" type="noConversion"/>
  </si>
  <si>
    <t>土路</t>
    <phoneticPr fontId="6" type="noConversion"/>
  </si>
  <si>
    <t>优良武器</t>
    <phoneticPr fontId="6" type="noConversion"/>
  </si>
  <si>
    <t>草药</t>
    <phoneticPr fontId="6" type="noConversion"/>
  </si>
  <si>
    <t>烈酒</t>
    <phoneticPr fontId="6" type="noConversion"/>
  </si>
  <si>
    <t>保暖衣</t>
    <phoneticPr fontId="6" type="noConversion"/>
  </si>
  <si>
    <t>秘银矿</t>
    <phoneticPr fontId="6" type="noConversion"/>
  </si>
  <si>
    <t>皮夹克</t>
    <phoneticPr fontId="6" type="noConversion"/>
  </si>
  <si>
    <t>龙虾</t>
    <phoneticPr fontId="6" type="noConversion"/>
  </si>
  <si>
    <t>卷心菜</t>
    <phoneticPr fontId="6" type="noConversion"/>
  </si>
  <si>
    <t>普通工具</t>
    <phoneticPr fontId="6" type="noConversion"/>
  </si>
  <si>
    <t>特殊武器</t>
    <phoneticPr fontId="6" type="noConversion"/>
  </si>
  <si>
    <t>百科全书</t>
    <phoneticPr fontId="6" type="noConversion"/>
  </si>
  <si>
    <t>902161</t>
    <phoneticPr fontId="6" type="noConversion"/>
  </si>
  <si>
    <t>ui_902161</t>
    <phoneticPr fontId="6" type="noConversion"/>
  </si>
  <si>
    <t>可总览科技树，提前查看全部科技信息。</t>
    <phoneticPr fontId="6" type="noConversion"/>
  </si>
  <si>
    <t>remark#str</t>
    <phoneticPr fontId="6" type="noConversion"/>
  </si>
  <si>
    <t>stuff_type#int</t>
    <phoneticPr fontId="6" type="noConversion"/>
  </si>
  <si>
    <t>类别</t>
    <phoneticPr fontId="6" type="noConversion"/>
  </si>
  <si>
    <t>!stuff_sub_type_name#str</t>
    <phoneticPr fontId="6" type="noConversion"/>
  </si>
  <si>
    <t>stuff_type#int</t>
    <phoneticPr fontId="6" type="noConversion"/>
  </si>
  <si>
    <t>!stuff_type_name#str</t>
    <phoneticPr fontId="6" type="noConversion"/>
  </si>
  <si>
    <t>!stuff_type_name#str</t>
    <phoneticPr fontId="6" type="noConversion"/>
  </si>
  <si>
    <t>制造台</t>
    <phoneticPr fontId="6" type="noConversion"/>
  </si>
  <si>
    <t>马车站</t>
    <phoneticPr fontId="6" type="noConversion"/>
  </si>
  <si>
    <t>夜晚会发绿光的蘑菇，可使在附近睡觉的居民，生育冷却时间减半。</t>
    <phoneticPr fontId="6" type="noConversion"/>
  </si>
  <si>
    <t>鲜花雕像</t>
    <phoneticPr fontId="6" type="noConversion"/>
  </si>
  <si>
    <t>向日葵</t>
  </si>
  <si>
    <t>郁金香</t>
  </si>
  <si>
    <t>常被人们视为希望的象征，能为欣赏它的居民带来好运。</t>
    <phoneticPr fontId="6" type="noConversion"/>
  </si>
  <si>
    <t>价值随市场波动的花卉，既象征繁荣，也伴随着风险。</t>
    <phoneticPr fontId="6" type="noConversion"/>
  </si>
  <si>
    <t>向日葵</t>
    <phoneticPr fontId="6" type="noConversion"/>
  </si>
  <si>
    <t>黄色郁金香</t>
    <phoneticPr fontId="6" type="noConversion"/>
  </si>
  <si>
    <t>红色郁金香</t>
    <phoneticPr fontId="6" type="noConversion"/>
  </si>
  <si>
    <t>紫色郁金香</t>
    <phoneticPr fontId="6" type="noConversion"/>
  </si>
  <si>
    <t>鲜花</t>
    <phoneticPr fontId="6" type="noConversion"/>
  </si>
  <si>
    <t>象征爱与亲密，常被赠予爱人。</t>
  </si>
  <si>
    <t>色彩明快，常见于市集，是最为常见的经济花卉。</t>
    <phoneticPr fontId="6" type="noConversion"/>
  </si>
  <si>
    <t>色泽醒目，常被追捧，具有较高的市场价值。</t>
    <phoneticPr fontId="6" type="noConversion"/>
  </si>
  <si>
    <t>颜色稀有而深沉，被视为珍贵之物，价值最高，也最容易引发投机。</t>
    <phoneticPr fontId="6" type="noConversion"/>
  </si>
  <si>
    <t>月季花</t>
    <phoneticPr fontId="6" type="noConversion"/>
  </si>
  <si>
    <t>一年四季都会盛开的花，深受居民喜爱。</t>
    <phoneticPr fontId="6" type="noConversion"/>
  </si>
  <si>
    <t>白玫瑰</t>
  </si>
  <si>
    <t>白玫瑰</t>
    <phoneticPr fontId="6" type="noConversion"/>
  </si>
  <si>
    <t>蓝玫瑰</t>
  </si>
  <si>
    <t>蓝玫瑰</t>
    <phoneticPr fontId="6" type="noConversion"/>
  </si>
  <si>
    <t>象征追思与告别，常用于悼念亲人。</t>
  </si>
  <si>
    <t>象征尊敬与信赖，常被赠予老师和医生。</t>
  </si>
  <si>
    <t>郁金香</t>
    <phoneticPr fontId="6" type="noConversion"/>
  </si>
  <si>
    <t>种子商人贸易船</t>
    <phoneticPr fontId="6" type="noConversion"/>
  </si>
  <si>
    <t>高级郁金香</t>
    <phoneticPr fontId="6" type="noConversion"/>
  </si>
  <si>
    <t>稀有郁金香</t>
    <phoneticPr fontId="6" type="noConversion"/>
  </si>
  <si>
    <t>升级后的花</t>
    <phoneticPr fontId="6" type="noConversion"/>
  </si>
  <si>
    <t>不可种的种子</t>
    <phoneticPr fontId="6" type="noConversion"/>
  </si>
  <si>
    <t>培育后品质提升1级的郁金香。</t>
    <phoneticPr fontId="6" type="noConversion"/>
  </si>
  <si>
    <t>培育后品质提升2级的郁金香。</t>
    <phoneticPr fontId="6" type="noConversion"/>
  </si>
  <si>
    <t>ui_705007</t>
    <phoneticPr fontId="6" type="noConversion"/>
  </si>
  <si>
    <t>705007</t>
    <phoneticPr fontId="6" type="noConversion"/>
  </si>
  <si>
    <t>可极大增加盆栽果实的产量，也可用于培育稀有郁金香。</t>
    <phoneticPr fontId="6" type="noConversion"/>
  </si>
  <si>
    <t>wooden_sign</t>
    <phoneticPr fontId="6" type="noConversion"/>
  </si>
  <si>
    <t>用于区域标识，其上可以写字。</t>
    <phoneticPr fontId="6" type="noConversion"/>
  </si>
  <si>
    <t>木牌</t>
    <phoneticPr fontId="6" type="noConversion"/>
  </si>
  <si>
    <t>红玫瑰</t>
    <phoneticPr fontId="6" type="noConversion"/>
  </si>
  <si>
    <t>红玫瑰</t>
    <phoneticPr fontId="6" type="noConversion"/>
  </si>
  <si>
    <t>萨满教</t>
    <phoneticPr fontId="6" type="noConversion"/>
  </si>
  <si>
    <t>萨满教思想</t>
    <phoneticPr fontId="6" type="noConversion"/>
  </si>
  <si>
    <t>ui_901004</t>
  </si>
  <si>
    <t>901001</t>
  </si>
  <si>
    <t>901002</t>
  </si>
  <si>
    <t>ui_901001</t>
    <phoneticPr fontId="6" type="noConversion"/>
  </si>
  <si>
    <t>ui_901002</t>
    <phoneticPr fontId="6" type="noConversion"/>
  </si>
  <si>
    <t>901004</t>
    <phoneticPr fontId="6" type="noConversion"/>
  </si>
  <si>
    <t>萨满教思想</t>
    <phoneticPr fontId="6" type="noConversion"/>
  </si>
  <si>
    <t>瞬间处决范围内的敌人士兵或怪物（对泰坦无效）。</t>
    <phoneticPr fontId="6" type="noConversion"/>
  </si>
  <si>
    <t>使我方士兵攻击力与移动速度翻倍，并立即恢复至满血。
狂热持续期间，若士兵再次生命值归零，则直接死亡。（持续 90 天）</t>
    <phoneticPr fontId="6" type="noConversion"/>
  </si>
  <si>
    <t>使指定范围内的居民饱食度提升 50。</t>
    <phoneticPr fontId="6" type="noConversion"/>
  </si>
  <si>
    <t>令强盗与野蛮人放下武器，转而归附于我方。</t>
    <phoneticPr fontId="6" type="noConversion"/>
  </si>
  <si>
    <t>使我方处于晕倒状态的士兵或居民，立即恢复健康。</t>
    <phoneticPr fontId="6" type="noConversion"/>
  </si>
  <si>
    <t>为我方士兵附加正气领域。
领域半径 3.5 格，对同等级的敌人士兵或怪物，每秒造成其最大生命值 2% 的伤害。</t>
    <phoneticPr fontId="6" type="noConversion"/>
  </si>
  <si>
    <t>召唤闪电，对敌人士兵或怪物造成伤害。</t>
    <phoneticPr fontId="6" type="noConversion"/>
  </si>
  <si>
    <t>召唤图腾兵协助战斗，60 天后消失。
解锁更高等级的武器与装备后，图腾兵的战斗力也将随之提升。</t>
    <phoneticPr fontId="6" type="noConversion"/>
  </si>
  <si>
    <t>根据居民总数，在指定的大箱子中放入一定数量的简单食物，用于应急。</t>
    <phoneticPr fontId="6" type="noConversion"/>
  </si>
  <si>
    <t>可执行以下操作：
绘制 &lt;color=#4CB34C&gt;危险区域&lt;/color&gt;，居民行动时将尽量避开
点击 &lt;color=#4CB34C&gt;树林、石头或铁矿&lt;/color&gt;，执行采集操作（&lt;color=#4CB34C&gt;不消耗信仰之力&lt;/color&gt;）
点击 &lt;color=#4CB34C&gt;敌人或怪物&lt;/color&gt;，对其造成伤害
点击地面上的 &lt;color=#4CB34C&gt;物品或尸体&lt;/color&gt;，将其拾取并送往最近的存储设施
点击 &lt;color=#4CB34C&gt;居民&lt;/color&gt;，将其拿起并放置到其他位置
点击 &lt;color=#4CB34C&gt;山地&lt;/color&gt;，将其改造为平地</t>
    <phoneticPr fontId="6" type="noConversion"/>
  </si>
  <si>
    <t>相信仁义道德，己所不欲勿施于人，主张修身养性，完善自我。</t>
    <phoneticPr fontId="6" type="noConversion"/>
  </si>
  <si>
    <t>相信神爱世人，信者得救，不信有罪，拥有为信仰而战斗的坚强信念。</t>
    <phoneticPr fontId="6" type="noConversion"/>
  </si>
  <si>
    <r>
      <rPr>
        <sz val="11"/>
        <color theme="1"/>
        <rFont val="宋体"/>
        <family val="3"/>
        <charset val="134"/>
        <scheme val="minor"/>
      </rPr>
      <t>dead_body_</t>
    </r>
    <r>
      <rPr>
        <sz val="11"/>
        <color theme="1"/>
        <rFont val="宋体"/>
        <family val="3"/>
        <charset val="134"/>
        <scheme val="minor"/>
      </rPr>
      <t>wildboar</t>
    </r>
    <phoneticPr fontId="6" type="noConversion"/>
  </si>
  <si>
    <t>dead_body_cow</t>
    <phoneticPr fontId="6" type="noConversion"/>
  </si>
  <si>
    <t>animal_cow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</si>
</sst>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宋体"/>
      <charset val="134"/>
      <scheme val="minor"/>
    </font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10"/>
      <color theme="1"/>
      <name val="Arial"/>
      <family val="2"/>
    </font>
    <font>
      <sz val="12"/>
      <color rgb="FF19191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  <font>
      <sz val="11"/>
      <color theme="1"/>
      <name val="宋体"/>
      <family val="2"/>
      <scheme val="minor"/>
    </font>
    <font>
      <sz val="9"/>
      <name val="宋体"/>
      <family val="2"/>
      <charset val="134"/>
      <scheme val="minor"/>
    </font>
    <font>
      <sz val="11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7">
    <xf numFmtId="0" fontId="0" fillId="0" borderId="0"/>
    <xf numFmtId="0" fontId="5" fillId="0" borderId="0"/>
    <xf numFmtId="0" fontId="5" fillId="0" borderId="0"/>
    <xf numFmtId="0" fontId="8" fillId="0" borderId="0"/>
    <xf numFmtId="0" fontId="5" fillId="0" borderId="0"/>
    <xf numFmtId="0" fontId="5" fillId="0" borderId="0"/>
    <xf numFmtId="0" fontId="2" fillId="0" borderId="0"/>
  </cellStyleXfs>
  <cellXfs count="56">
    <xf numFmtId="0" fontId="0" fillId="0" borderId="0" xfId="0"/>
    <xf numFmtId="0" fontId="0" fillId="2" borderId="0" xfId="0" applyFill="1"/>
    <xf numFmtId="49" fontId="0" fillId="0" borderId="0" xfId="0" applyNumberFormat="1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vertical="center"/>
    </xf>
    <xf numFmtId="0" fontId="0" fillId="3" borderId="1" xfId="0" applyFill="1" applyBorder="1"/>
    <xf numFmtId="49" fontId="0" fillId="0" borderId="1" xfId="0" applyNumberFormat="1" applyBorder="1"/>
    <xf numFmtId="0" fontId="3" fillId="2" borderId="1" xfId="0" applyFont="1" applyFill="1" applyBorder="1" applyAlignment="1">
      <alignment vertical="center" wrapText="1"/>
    </xf>
    <xf numFmtId="49" fontId="0" fillId="0" borderId="1" xfId="0" applyNumberFormat="1" applyBorder="1" applyAlignment="1">
      <alignment wrapText="1"/>
    </xf>
    <xf numFmtId="0" fontId="0" fillId="0" borderId="1" xfId="0" applyBorder="1" applyAlignment="1">
      <alignment wrapText="1"/>
    </xf>
    <xf numFmtId="0" fontId="0" fillId="4" borderId="1" xfId="0" applyFill="1" applyBorder="1"/>
    <xf numFmtId="0" fontId="0" fillId="5" borderId="1" xfId="0" applyFill="1" applyBorder="1"/>
    <xf numFmtId="0" fontId="0" fillId="2" borderId="2" xfId="0" applyFill="1" applyBorder="1"/>
    <xf numFmtId="0" fontId="0" fillId="6" borderId="1" xfId="0" applyFill="1" applyBorder="1"/>
    <xf numFmtId="0" fontId="0" fillId="0" borderId="3" xfId="0" applyBorder="1"/>
    <xf numFmtId="0" fontId="0" fillId="0" borderId="4" xfId="0" applyBorder="1"/>
    <xf numFmtId="0" fontId="0" fillId="2" borderId="3" xfId="0" applyFill="1" applyBorder="1"/>
    <xf numFmtId="0" fontId="0" fillId="4" borderId="1" xfId="0" applyFill="1" applyBorder="1" applyAlignment="1">
      <alignment horizontal="left"/>
    </xf>
    <xf numFmtId="0" fontId="0" fillId="2" borderId="1" xfId="0" applyFill="1" applyBorder="1" applyAlignment="1">
      <alignment vertical="center"/>
    </xf>
    <xf numFmtId="0" fontId="0" fillId="0" borderId="0" xfId="0" applyAlignment="1">
      <alignment vertical="center"/>
    </xf>
    <xf numFmtId="0" fontId="4" fillId="2" borderId="1" xfId="0" applyFont="1" applyFill="1" applyBorder="1"/>
    <xf numFmtId="0" fontId="4" fillId="0" borderId="1" xfId="0" applyFont="1" applyBorder="1"/>
    <xf numFmtId="0" fontId="0" fillId="7" borderId="1" xfId="0" applyFill="1" applyBorder="1"/>
    <xf numFmtId="49" fontId="0" fillId="2" borderId="1" xfId="0" applyNumberFormat="1" applyFill="1" applyBorder="1"/>
    <xf numFmtId="0" fontId="7" fillId="0" borderId="1" xfId="0" applyFont="1" applyBorder="1" applyAlignment="1">
      <alignment wrapText="1"/>
    </xf>
    <xf numFmtId="0" fontId="7" fillId="0" borderId="1" xfId="0" applyFont="1" applyBorder="1"/>
    <xf numFmtId="0" fontId="5" fillId="0" borderId="1" xfId="0" applyFont="1" applyBorder="1"/>
    <xf numFmtId="0" fontId="5" fillId="2" borderId="1" xfId="0" applyFont="1" applyFill="1" applyBorder="1"/>
    <xf numFmtId="0" fontId="8" fillId="0" borderId="1" xfId="3" applyBorder="1"/>
    <xf numFmtId="0" fontId="5" fillId="3" borderId="1" xfId="3" applyFont="1" applyFill="1" applyBorder="1"/>
    <xf numFmtId="0" fontId="5" fillId="0" borderId="3" xfId="0" applyFont="1" applyBorder="1"/>
    <xf numFmtId="0" fontId="5" fillId="0" borderId="1" xfId="0" applyFont="1" applyBorder="1" applyAlignment="1">
      <alignment wrapText="1"/>
    </xf>
    <xf numFmtId="0" fontId="2" fillId="0" borderId="1" xfId="6" applyBorder="1" applyAlignment="1">
      <alignment wrapText="1"/>
    </xf>
    <xf numFmtId="0" fontId="5" fillId="0" borderId="1" xfId="1" applyBorder="1" applyAlignment="1">
      <alignment wrapText="1"/>
    </xf>
    <xf numFmtId="0" fontId="0" fillId="0" borderId="5" xfId="0" applyBorder="1"/>
    <xf numFmtId="0" fontId="5" fillId="0" borderId="5" xfId="0" applyFont="1" applyBorder="1"/>
    <xf numFmtId="0" fontId="5" fillId="0" borderId="1" xfId="0" applyFont="1" applyBorder="1" applyAlignment="1">
      <alignment vertical="center"/>
    </xf>
    <xf numFmtId="0" fontId="0" fillId="0" borderId="1" xfId="0" applyBorder="1" applyAlignment="1">
      <alignment horizontal="left"/>
    </xf>
    <xf numFmtId="0" fontId="5" fillId="6" borderId="1" xfId="0" applyFont="1" applyFill="1" applyBorder="1"/>
    <xf numFmtId="0" fontId="5" fillId="4" borderId="1" xfId="0" applyFont="1" applyFill="1" applyBorder="1"/>
    <xf numFmtId="0" fontId="5" fillId="3" borderId="1" xfId="0" applyFont="1" applyFill="1" applyBorder="1"/>
    <xf numFmtId="0" fontId="5" fillId="7" borderId="1" xfId="0" applyFont="1" applyFill="1" applyBorder="1"/>
    <xf numFmtId="0" fontId="5" fillId="0" borderId="0" xfId="0" applyFont="1"/>
    <xf numFmtId="0" fontId="0" fillId="2" borderId="1" xfId="0" applyFill="1" applyBorder="1" applyAlignment="1">
      <alignment wrapText="1"/>
    </xf>
    <xf numFmtId="0" fontId="5" fillId="0" borderId="4" xfId="0" applyFont="1" applyBorder="1"/>
    <xf numFmtId="0" fontId="10" fillId="0" borderId="1" xfId="0" applyFont="1" applyBorder="1"/>
    <xf numFmtId="0" fontId="5" fillId="0" borderId="0" xfId="0" applyFont="1" applyAlignment="1">
      <alignment vertical="center" wrapText="1"/>
    </xf>
    <xf numFmtId="0" fontId="0" fillId="8" borderId="1" xfId="0" applyFill="1" applyBorder="1" applyAlignment="1">
      <alignment vertical="center"/>
    </xf>
    <xf numFmtId="0" fontId="0" fillId="8" borderId="1" xfId="0" applyFill="1" applyBorder="1"/>
    <xf numFmtId="0" fontId="5" fillId="8" borderId="1" xfId="0" applyFont="1" applyFill="1" applyBorder="1"/>
    <xf numFmtId="0" fontId="5" fillId="8" borderId="1" xfId="0" applyFont="1" applyFill="1" applyBorder="1" applyAlignment="1">
      <alignment vertical="center"/>
    </xf>
    <xf numFmtId="0" fontId="5" fillId="0" borderId="1" xfId="0" quotePrefix="1" applyFont="1" applyBorder="1"/>
    <xf numFmtId="0" fontId="0" fillId="0" borderId="1" xfId="0" quotePrefix="1" applyBorder="1"/>
    <xf numFmtId="49" fontId="0" fillId="0" borderId="5" xfId="0" applyNumberFormat="1" applyBorder="1"/>
    <xf numFmtId="0" fontId="5" fillId="2" borderId="1" xfId="0" applyFont="1" applyFill="1" applyBorder="1" applyAlignment="1">
      <alignment wrapText="1"/>
    </xf>
  </cellXfs>
  <cellStyles count="7">
    <cellStyle name="常规" xfId="0" builtinId="0"/>
    <cellStyle name="常规 2" xfId="1" xr:uid="{00000000-0005-0000-0000-000001000000}"/>
    <cellStyle name="常规 2 2" xfId="4" xr:uid="{00000000-0005-0000-0000-000002000000}"/>
    <cellStyle name="常规 2 3" xfId="5" xr:uid="{00000000-0005-0000-0000-000003000000}"/>
    <cellStyle name="常规 3" xfId="2" xr:uid="{00000000-0005-0000-0000-000004000000}"/>
    <cellStyle name="常规 4" xfId="3" xr:uid="{00000000-0005-0000-0000-000005000000}"/>
    <cellStyle name="常规 6" xfId="6" xr:uid="{00000000-0005-0000-0000-000006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Y622"/>
  <sheetViews>
    <sheetView tabSelected="1" topLeftCell="A255" workbookViewId="0">
      <selection activeCell="Q277" sqref="Q277"/>
    </sheetView>
  </sheetViews>
  <sheetFormatPr defaultRowHeight="13.5" x14ac:dyDescent="0.15"/>
  <cols>
    <col min="1" max="1" width="8.25" customWidth="1"/>
    <col min="2" max="2" width="11.75" customWidth="1"/>
    <col min="3" max="3" width="9.5" customWidth="1"/>
    <col min="4" max="4" width="10.875" customWidth="1"/>
    <col min="5" max="5" width="11.375" customWidth="1"/>
    <col min="6" max="6" width="4.125" customWidth="1"/>
    <col min="7" max="8" width="3.75" customWidth="1"/>
    <col min="9" max="9" width="3.375" customWidth="1"/>
    <col min="10" max="10" width="4.75" style="1" customWidth="1"/>
    <col min="11" max="11" width="5.375" customWidth="1"/>
    <col min="12" max="12" width="9.375" customWidth="1"/>
    <col min="13" max="13" width="5.5" customWidth="1"/>
    <col min="14" max="14" width="9" style="1" customWidth="1"/>
    <col min="15" max="15" width="9" customWidth="1"/>
    <col min="16" max="16" width="10.25" customWidth="1"/>
    <col min="17" max="17" width="18.25" customWidth="1"/>
    <col min="18" max="19" width="16.375" customWidth="1"/>
    <col min="20" max="20" width="6.25" customWidth="1"/>
    <col min="21" max="21" width="6.625" customWidth="1"/>
    <col min="22" max="22" width="4.25" customWidth="1"/>
    <col min="23" max="23" width="9.375" style="2" customWidth="1"/>
    <col min="25" max="25" width="59.125" customWidth="1"/>
  </cols>
  <sheetData>
    <row r="1" spans="1:25" ht="108" x14ac:dyDescent="0.15">
      <c r="A1" s="3" t="s">
        <v>0</v>
      </c>
      <c r="B1" s="27" t="s">
        <v>1857</v>
      </c>
      <c r="C1" s="3" t="s">
        <v>1</v>
      </c>
      <c r="D1" s="32" t="s">
        <v>3367</v>
      </c>
      <c r="E1" s="25" t="s">
        <v>1553</v>
      </c>
      <c r="F1" s="10" t="s">
        <v>2</v>
      </c>
      <c r="G1" s="10" t="s">
        <v>3</v>
      </c>
      <c r="H1" s="32" t="s">
        <v>2775</v>
      </c>
      <c r="I1" s="10" t="s">
        <v>4</v>
      </c>
      <c r="J1" s="44" t="s">
        <v>5</v>
      </c>
      <c r="K1" s="10" t="s">
        <v>6</v>
      </c>
      <c r="L1" s="10" t="s">
        <v>7</v>
      </c>
      <c r="M1" s="10" t="s">
        <v>8</v>
      </c>
      <c r="N1" s="44" t="s">
        <v>9</v>
      </c>
      <c r="O1" s="10" t="s">
        <v>10</v>
      </c>
      <c r="P1" s="10" t="s">
        <v>11</v>
      </c>
      <c r="Q1" s="10" t="s">
        <v>1619</v>
      </c>
      <c r="R1" s="3" t="s">
        <v>12</v>
      </c>
      <c r="S1" s="3" t="s">
        <v>12</v>
      </c>
      <c r="T1" s="3" t="s">
        <v>13</v>
      </c>
      <c r="U1" s="27" t="s">
        <v>2097</v>
      </c>
      <c r="V1" s="3" t="s">
        <v>14</v>
      </c>
      <c r="W1" s="7" t="s">
        <v>15</v>
      </c>
      <c r="X1" s="8" t="s">
        <v>16</v>
      </c>
      <c r="Y1" s="8" t="s">
        <v>16</v>
      </c>
    </row>
    <row r="2" spans="1:25" x14ac:dyDescent="0.15">
      <c r="A2" s="3" t="s">
        <v>17</v>
      </c>
      <c r="B2" s="3" t="s">
        <v>18</v>
      </c>
      <c r="C2" s="3" t="s">
        <v>19</v>
      </c>
      <c r="D2" s="27" t="s">
        <v>3366</v>
      </c>
      <c r="E2" s="26" t="s">
        <v>1551</v>
      </c>
      <c r="F2" s="3" t="s">
        <v>20</v>
      </c>
      <c r="G2" s="3" t="s">
        <v>21</v>
      </c>
      <c r="H2" s="27" t="s">
        <v>2774</v>
      </c>
      <c r="I2" s="3" t="s">
        <v>22</v>
      </c>
      <c r="J2" s="4" t="s">
        <v>23</v>
      </c>
      <c r="K2" s="27" t="s">
        <v>3551</v>
      </c>
      <c r="L2" s="27" t="s">
        <v>3552</v>
      </c>
      <c r="M2" s="3" t="s">
        <v>25</v>
      </c>
      <c r="N2" s="28" t="s">
        <v>3550</v>
      </c>
      <c r="O2" s="3" t="s">
        <v>27</v>
      </c>
      <c r="P2" s="27" t="s">
        <v>3547</v>
      </c>
      <c r="Q2" s="3" t="s">
        <v>29</v>
      </c>
      <c r="R2" s="3" t="s">
        <v>30</v>
      </c>
      <c r="S2" s="3" t="s">
        <v>31</v>
      </c>
      <c r="T2" s="3" t="s">
        <v>32</v>
      </c>
      <c r="U2" s="27" t="s">
        <v>2862</v>
      </c>
      <c r="V2" s="3" t="s">
        <v>34</v>
      </c>
      <c r="W2" s="7" t="s">
        <v>35</v>
      </c>
      <c r="X2" t="str">
        <f t="shared" ref="X2" si="0">CONCATENATE("stuff_name",X1,"#str")</f>
        <v>stuff_namezh-CN#str</v>
      </c>
      <c r="Y2" t="str">
        <f t="shared" ref="Y2" si="1">CONCATENATE("desc",Y1,"#str")</f>
        <v>desczh-CN#str</v>
      </c>
    </row>
    <row r="3" spans="1:25" x14ac:dyDescent="0.15">
      <c r="A3" s="3">
        <v>100001</v>
      </c>
      <c r="B3" s="27" t="s">
        <v>2098</v>
      </c>
      <c r="C3" s="3">
        <v>0</v>
      </c>
      <c r="D3" s="27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4">
        <v>0</v>
      </c>
      <c r="K3" s="3">
        <v>1</v>
      </c>
      <c r="L3" s="3" t="s">
        <v>36</v>
      </c>
      <c r="M3" s="3">
        <v>100</v>
      </c>
      <c r="N3" s="28" t="s">
        <v>2098</v>
      </c>
      <c r="O3" s="3">
        <v>0</v>
      </c>
      <c r="P3" s="3"/>
      <c r="Q3" s="27" t="s">
        <v>2796</v>
      </c>
      <c r="R3" s="3" t="str">
        <f t="shared" ref="R3:R35" si="2">CONCATENATE("ui_",A3,"")</f>
        <v>ui_100001</v>
      </c>
      <c r="S3" s="3" t="str">
        <f>CONCATENATE(Q3,"_0")</f>
        <v>initial_0</v>
      </c>
      <c r="T3" s="3">
        <v>1</v>
      </c>
      <c r="U3" s="3">
        <v>0</v>
      </c>
      <c r="V3" s="3">
        <v>1</v>
      </c>
      <c r="W3" s="7"/>
      <c r="X3" s="27" t="s">
        <v>2098</v>
      </c>
      <c r="Y3" s="27" t="s">
        <v>2099</v>
      </c>
    </row>
    <row r="4" spans="1:25" x14ac:dyDescent="0.15">
      <c r="A4" s="3">
        <v>100002</v>
      </c>
      <c r="B4" s="27" t="s">
        <v>3285</v>
      </c>
      <c r="C4" s="3">
        <v>0</v>
      </c>
      <c r="D4" s="27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4">
        <v>0</v>
      </c>
      <c r="K4" s="3">
        <v>1</v>
      </c>
      <c r="L4" s="3" t="s">
        <v>36</v>
      </c>
      <c r="M4" s="3">
        <v>100</v>
      </c>
      <c r="N4" s="28" t="s">
        <v>3285</v>
      </c>
      <c r="O4" s="3">
        <v>0</v>
      </c>
      <c r="P4" s="3"/>
      <c r="Q4" s="27" t="s">
        <v>3287</v>
      </c>
      <c r="R4" s="3" t="str">
        <f t="shared" si="2"/>
        <v>ui_100002</v>
      </c>
      <c r="S4" s="3" t="str">
        <f t="shared" ref="S4:S69" si="3">CONCATENATE(Q4,"_0")</f>
        <v>empire_village_0</v>
      </c>
      <c r="T4" s="3">
        <v>1</v>
      </c>
      <c r="U4" s="3">
        <v>0</v>
      </c>
      <c r="V4" s="3">
        <v>1</v>
      </c>
      <c r="W4" s="7"/>
      <c r="X4" s="27" t="s">
        <v>3285</v>
      </c>
      <c r="Y4" s="27" t="s">
        <v>3286</v>
      </c>
    </row>
    <row r="5" spans="1:25" x14ac:dyDescent="0.15">
      <c r="A5" s="3">
        <v>101001</v>
      </c>
      <c r="B5" s="5" t="s">
        <v>37</v>
      </c>
      <c r="C5" s="3">
        <v>0</v>
      </c>
      <c r="D5" s="27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4">
        <v>0</v>
      </c>
      <c r="K5" s="3">
        <v>1</v>
      </c>
      <c r="L5" s="3" t="s">
        <v>36</v>
      </c>
      <c r="M5" s="3">
        <v>101</v>
      </c>
      <c r="N5" s="4" t="s">
        <v>38</v>
      </c>
      <c r="O5" s="3">
        <v>1</v>
      </c>
      <c r="P5" s="3" t="s">
        <v>39</v>
      </c>
      <c r="Q5" s="3" t="s">
        <v>40</v>
      </c>
      <c r="R5" s="3" t="str">
        <f t="shared" si="2"/>
        <v>ui_101001</v>
      </c>
      <c r="S5" s="3" t="str">
        <f t="shared" si="3"/>
        <v>bed_0</v>
      </c>
      <c r="T5" s="3">
        <v>1</v>
      </c>
      <c r="U5" s="3">
        <v>0</v>
      </c>
      <c r="V5" s="3">
        <v>1</v>
      </c>
      <c r="W5" s="7"/>
      <c r="X5" s="3" t="s">
        <v>37</v>
      </c>
      <c r="Y5" s="27" t="s">
        <v>2779</v>
      </c>
    </row>
    <row r="6" spans="1:25" x14ac:dyDescent="0.15">
      <c r="A6" s="3">
        <v>101002</v>
      </c>
      <c r="B6" s="3" t="s">
        <v>41</v>
      </c>
      <c r="C6" s="3">
        <v>0</v>
      </c>
      <c r="D6" s="27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4">
        <v>0</v>
      </c>
      <c r="K6" s="3">
        <v>1</v>
      </c>
      <c r="L6" s="3" t="s">
        <v>36</v>
      </c>
      <c r="M6" s="3">
        <v>101</v>
      </c>
      <c r="N6" s="4" t="s">
        <v>38</v>
      </c>
      <c r="O6" s="3">
        <v>2</v>
      </c>
      <c r="P6" s="3" t="s">
        <v>39</v>
      </c>
      <c r="Q6" s="3" t="s">
        <v>42</v>
      </c>
      <c r="R6" s="3" t="str">
        <f t="shared" si="2"/>
        <v>ui_101002</v>
      </c>
      <c r="S6" s="3" t="str">
        <f t="shared" si="3"/>
        <v>double_bed_0</v>
      </c>
      <c r="T6" s="3">
        <v>1</v>
      </c>
      <c r="U6" s="3">
        <v>0</v>
      </c>
      <c r="V6" s="3">
        <v>1</v>
      </c>
      <c r="W6" s="7"/>
      <c r="X6" s="3" t="s">
        <v>41</v>
      </c>
      <c r="Y6" s="27" t="s">
        <v>2780</v>
      </c>
    </row>
    <row r="7" spans="1:25" x14ac:dyDescent="0.15">
      <c r="A7" s="3">
        <v>101003</v>
      </c>
      <c r="B7" s="27" t="s">
        <v>2735</v>
      </c>
      <c r="C7" s="3">
        <v>0</v>
      </c>
      <c r="D7" s="27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0</v>
      </c>
      <c r="K7" s="3">
        <v>1</v>
      </c>
      <c r="L7" s="3" t="s">
        <v>36</v>
      </c>
      <c r="M7" s="3">
        <v>101</v>
      </c>
      <c r="N7" s="4" t="s">
        <v>38</v>
      </c>
      <c r="O7" s="3">
        <v>2</v>
      </c>
      <c r="P7" s="3" t="s">
        <v>39</v>
      </c>
      <c r="Q7" s="3" t="s">
        <v>43</v>
      </c>
      <c r="R7" s="3" t="str">
        <f t="shared" si="2"/>
        <v>ui_101003</v>
      </c>
      <c r="S7" s="3" t="str">
        <f t="shared" si="3"/>
        <v>treasure_bed_0</v>
      </c>
      <c r="T7" s="3">
        <v>1</v>
      </c>
      <c r="U7" s="3">
        <v>0</v>
      </c>
      <c r="V7" s="3">
        <v>1</v>
      </c>
      <c r="W7" s="7"/>
      <c r="X7" s="27" t="s">
        <v>2096</v>
      </c>
      <c r="Y7" s="27" t="s">
        <v>2112</v>
      </c>
    </row>
    <row r="8" spans="1:25" x14ac:dyDescent="0.15">
      <c r="A8" s="3">
        <v>101004</v>
      </c>
      <c r="B8" s="27" t="s">
        <v>1875</v>
      </c>
      <c r="C8" s="3">
        <v>0</v>
      </c>
      <c r="D8" s="27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0</v>
      </c>
      <c r="K8" s="3">
        <v>1</v>
      </c>
      <c r="L8" s="3" t="s">
        <v>36</v>
      </c>
      <c r="M8" s="3">
        <v>101</v>
      </c>
      <c r="N8" s="4" t="s">
        <v>38</v>
      </c>
      <c r="O8" s="3">
        <v>20</v>
      </c>
      <c r="P8" s="3" t="s">
        <v>39</v>
      </c>
      <c r="Q8" s="27" t="s">
        <v>1878</v>
      </c>
      <c r="R8" s="3" t="str">
        <f t="shared" si="2"/>
        <v>ui_101004</v>
      </c>
      <c r="S8" s="3" t="str">
        <f t="shared" si="3"/>
        <v>burrow_0</v>
      </c>
      <c r="T8" s="3">
        <v>1</v>
      </c>
      <c r="U8" s="3">
        <v>0</v>
      </c>
      <c r="V8" s="3">
        <v>1</v>
      </c>
      <c r="W8" s="7"/>
      <c r="X8" s="27" t="s">
        <v>1876</v>
      </c>
      <c r="Y8" s="27" t="s">
        <v>1877</v>
      </c>
    </row>
    <row r="9" spans="1:25" x14ac:dyDescent="0.15">
      <c r="A9" s="3">
        <v>101005</v>
      </c>
      <c r="B9" s="37" t="s">
        <v>2117</v>
      </c>
      <c r="C9" s="3">
        <v>0</v>
      </c>
      <c r="D9" s="27">
        <v>0</v>
      </c>
      <c r="E9" s="3">
        <v>0</v>
      </c>
      <c r="F9" s="3">
        <v>0</v>
      </c>
      <c r="G9" s="3">
        <v>1</v>
      </c>
      <c r="H9" s="3">
        <v>0</v>
      </c>
      <c r="I9" s="3">
        <v>0</v>
      </c>
      <c r="J9" s="4">
        <v>0</v>
      </c>
      <c r="K9" s="3">
        <v>1</v>
      </c>
      <c r="L9" s="3" t="s">
        <v>36</v>
      </c>
      <c r="M9" s="3">
        <v>101</v>
      </c>
      <c r="N9" s="4" t="s">
        <v>38</v>
      </c>
      <c r="O9" s="3">
        <v>2</v>
      </c>
      <c r="P9" s="3" t="s">
        <v>39</v>
      </c>
      <c r="Q9" s="27" t="s">
        <v>2118</v>
      </c>
      <c r="R9" s="3" t="str">
        <f t="shared" si="2"/>
        <v>ui_101005</v>
      </c>
      <c r="S9" s="3" t="str">
        <f t="shared" si="3"/>
        <v>bunk_bed_0</v>
      </c>
      <c r="T9" s="3">
        <v>1</v>
      </c>
      <c r="U9" s="3">
        <v>0</v>
      </c>
      <c r="V9" s="3">
        <v>1</v>
      </c>
      <c r="W9" s="7"/>
      <c r="X9" s="37" t="s">
        <v>2117</v>
      </c>
      <c r="Y9" s="27" t="s">
        <v>2119</v>
      </c>
    </row>
    <row r="10" spans="1:25" x14ac:dyDescent="0.15">
      <c r="A10" s="3">
        <v>101006</v>
      </c>
      <c r="B10" s="27" t="s">
        <v>2732</v>
      </c>
      <c r="C10" s="3">
        <v>0</v>
      </c>
      <c r="D10" s="27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0</v>
      </c>
      <c r="K10" s="3">
        <v>1</v>
      </c>
      <c r="L10" s="3" t="s">
        <v>36</v>
      </c>
      <c r="M10" s="3">
        <v>101</v>
      </c>
      <c r="N10" s="4" t="s">
        <v>38</v>
      </c>
      <c r="O10" s="3">
        <v>1</v>
      </c>
      <c r="P10" s="3" t="s">
        <v>39</v>
      </c>
      <c r="Q10" s="27" t="s">
        <v>2733</v>
      </c>
      <c r="R10" s="3" t="str">
        <f t="shared" si="2"/>
        <v>ui_101006</v>
      </c>
      <c r="S10" s="3" t="str">
        <f t="shared" si="3"/>
        <v>small_treasure_bed_0</v>
      </c>
      <c r="T10" s="3">
        <v>1</v>
      </c>
      <c r="U10" s="3">
        <v>0</v>
      </c>
      <c r="V10" s="3">
        <v>1</v>
      </c>
      <c r="W10" s="7"/>
      <c r="X10" s="27" t="s">
        <v>2734</v>
      </c>
      <c r="Y10" s="27" t="s">
        <v>2112</v>
      </c>
    </row>
    <row r="11" spans="1:25" x14ac:dyDescent="0.15">
      <c r="A11" s="3">
        <v>102001</v>
      </c>
      <c r="B11" s="3" t="s">
        <v>3532</v>
      </c>
      <c r="C11" s="3">
        <v>0</v>
      </c>
      <c r="D11" s="27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0</v>
      </c>
      <c r="K11" s="3">
        <v>1</v>
      </c>
      <c r="L11" s="3" t="s">
        <v>36</v>
      </c>
      <c r="M11" s="3">
        <v>102</v>
      </c>
      <c r="N11" s="4" t="s">
        <v>45</v>
      </c>
      <c r="O11" s="3">
        <v>10</v>
      </c>
      <c r="P11" s="27" t="s">
        <v>2841</v>
      </c>
      <c r="Q11" s="3" t="s">
        <v>46</v>
      </c>
      <c r="R11" s="3" t="str">
        <f t="shared" si="2"/>
        <v>ui_102001</v>
      </c>
      <c r="S11" s="3" t="str">
        <f t="shared" si="3"/>
        <v>dirt_road_0</v>
      </c>
      <c r="T11" s="3">
        <v>1</v>
      </c>
      <c r="U11" s="3">
        <v>0</v>
      </c>
      <c r="V11" s="3">
        <v>1</v>
      </c>
      <c r="W11" s="7"/>
      <c r="X11" s="3" t="s">
        <v>44</v>
      </c>
      <c r="Y11" s="3" t="s">
        <v>47</v>
      </c>
    </row>
    <row r="12" spans="1:25" x14ac:dyDescent="0.15">
      <c r="A12" s="3">
        <v>102002</v>
      </c>
      <c r="B12" s="3" t="s">
        <v>3530</v>
      </c>
      <c r="C12" s="3">
        <v>0</v>
      </c>
      <c r="D12" s="27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0</v>
      </c>
      <c r="K12" s="3">
        <v>1</v>
      </c>
      <c r="L12" s="3" t="s">
        <v>36</v>
      </c>
      <c r="M12" s="3">
        <v>102</v>
      </c>
      <c r="N12" s="4" t="s">
        <v>45</v>
      </c>
      <c r="O12" s="3">
        <v>11</v>
      </c>
      <c r="P12" s="27" t="s">
        <v>2841</v>
      </c>
      <c r="Q12" s="3" t="s">
        <v>49</v>
      </c>
      <c r="R12" s="3" t="str">
        <f t="shared" si="2"/>
        <v>ui_102002</v>
      </c>
      <c r="S12" s="3" t="str">
        <f t="shared" si="3"/>
        <v>stone_road_0</v>
      </c>
      <c r="T12" s="3">
        <v>1</v>
      </c>
      <c r="U12" s="3">
        <v>0</v>
      </c>
      <c r="V12" s="3">
        <v>1</v>
      </c>
      <c r="W12" s="7"/>
      <c r="X12" s="3" t="s">
        <v>48</v>
      </c>
      <c r="Y12" s="3" t="s">
        <v>50</v>
      </c>
    </row>
    <row r="13" spans="1:25" x14ac:dyDescent="0.15">
      <c r="A13" s="3">
        <v>102003</v>
      </c>
      <c r="B13" s="3" t="s">
        <v>51</v>
      </c>
      <c r="C13" s="3">
        <v>0</v>
      </c>
      <c r="D13" s="27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0</v>
      </c>
      <c r="K13" s="3">
        <v>1</v>
      </c>
      <c r="L13" s="3" t="s">
        <v>36</v>
      </c>
      <c r="M13" s="3">
        <v>102</v>
      </c>
      <c r="N13" s="4" t="s">
        <v>45</v>
      </c>
      <c r="O13" s="3">
        <v>0</v>
      </c>
      <c r="P13" s="3"/>
      <c r="Q13" s="3" t="s">
        <v>52</v>
      </c>
      <c r="R13" s="3" t="str">
        <f t="shared" si="2"/>
        <v>ui_102003</v>
      </c>
      <c r="S13" s="3" t="str">
        <f t="shared" si="3"/>
        <v>bridge_0</v>
      </c>
      <c r="T13" s="3">
        <v>1</v>
      </c>
      <c r="U13" s="3">
        <v>0</v>
      </c>
      <c r="V13" s="3">
        <v>1</v>
      </c>
      <c r="W13" s="7"/>
      <c r="X13" s="3" t="s">
        <v>51</v>
      </c>
      <c r="Y13" s="3" t="s">
        <v>53</v>
      </c>
    </row>
    <row r="14" spans="1:25" x14ac:dyDescent="0.15">
      <c r="A14" s="3">
        <v>102004</v>
      </c>
      <c r="B14" s="3" t="s">
        <v>3531</v>
      </c>
      <c r="C14" s="3">
        <v>0</v>
      </c>
      <c r="D14" s="27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0</v>
      </c>
      <c r="K14" s="3">
        <v>1</v>
      </c>
      <c r="L14" s="3" t="s">
        <v>36</v>
      </c>
      <c r="M14" s="3">
        <v>102</v>
      </c>
      <c r="N14" s="4" t="s">
        <v>45</v>
      </c>
      <c r="O14" s="3">
        <v>0</v>
      </c>
      <c r="P14" s="3"/>
      <c r="Q14" s="3" t="s">
        <v>55</v>
      </c>
      <c r="R14" s="3" t="str">
        <f t="shared" si="2"/>
        <v>ui_102004</v>
      </c>
      <c r="S14" s="3" t="str">
        <f t="shared" si="3"/>
        <v>ladder_0</v>
      </c>
      <c r="T14" s="3">
        <v>1</v>
      </c>
      <c r="U14" s="3">
        <v>0</v>
      </c>
      <c r="V14" s="3">
        <v>1</v>
      </c>
      <c r="W14" s="7"/>
      <c r="X14" s="3" t="s">
        <v>54</v>
      </c>
      <c r="Y14" s="3" t="s">
        <v>56</v>
      </c>
    </row>
    <row r="15" spans="1:25" x14ac:dyDescent="0.15">
      <c r="A15" s="3">
        <v>102005</v>
      </c>
      <c r="B15" s="3" t="s">
        <v>57</v>
      </c>
      <c r="C15" s="3">
        <v>0</v>
      </c>
      <c r="D15" s="27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0</v>
      </c>
      <c r="K15" s="3">
        <v>1</v>
      </c>
      <c r="L15" s="3" t="s">
        <v>36</v>
      </c>
      <c r="M15" s="3">
        <v>102</v>
      </c>
      <c r="N15" s="4" t="s">
        <v>45</v>
      </c>
      <c r="O15" s="3">
        <v>0</v>
      </c>
      <c r="P15" s="3"/>
      <c r="Q15" s="3" t="s">
        <v>58</v>
      </c>
      <c r="R15" s="3" t="str">
        <f t="shared" si="2"/>
        <v>ui_102005</v>
      </c>
      <c r="S15" s="3" t="str">
        <f t="shared" si="3"/>
        <v>wood_wall_0</v>
      </c>
      <c r="T15" s="3">
        <v>1</v>
      </c>
      <c r="U15" s="3">
        <v>0</v>
      </c>
      <c r="V15" s="3">
        <v>1</v>
      </c>
      <c r="W15" s="7"/>
      <c r="X15" s="3" t="s">
        <v>57</v>
      </c>
      <c r="Y15" s="27" t="s">
        <v>3346</v>
      </c>
    </row>
    <row r="16" spans="1:25" x14ac:dyDescent="0.15">
      <c r="A16" s="3">
        <v>102006</v>
      </c>
      <c r="B16" s="3" t="s">
        <v>59</v>
      </c>
      <c r="C16" s="3">
        <v>0</v>
      </c>
      <c r="D16" s="27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0</v>
      </c>
      <c r="K16" s="3">
        <v>1</v>
      </c>
      <c r="L16" s="3" t="s">
        <v>36</v>
      </c>
      <c r="M16" s="3">
        <v>102</v>
      </c>
      <c r="N16" s="4" t="s">
        <v>45</v>
      </c>
      <c r="O16" s="3">
        <v>0</v>
      </c>
      <c r="P16" s="3"/>
      <c r="Q16" s="27" t="s">
        <v>3529</v>
      </c>
      <c r="R16" s="3" t="str">
        <f t="shared" si="2"/>
        <v>ui_102006</v>
      </c>
      <c r="S16" s="3" t="str">
        <f t="shared" si="3"/>
        <v>stone_wall_0</v>
      </c>
      <c r="T16" s="3">
        <v>1</v>
      </c>
      <c r="U16" s="3">
        <v>0</v>
      </c>
      <c r="V16" s="3">
        <v>1</v>
      </c>
      <c r="W16" s="7"/>
      <c r="X16" s="3" t="s">
        <v>59</v>
      </c>
      <c r="Y16" s="27" t="s">
        <v>3347</v>
      </c>
    </row>
    <row r="17" spans="1:25" x14ac:dyDescent="0.15">
      <c r="A17" s="3">
        <v>102007</v>
      </c>
      <c r="B17" s="3" t="s">
        <v>60</v>
      </c>
      <c r="C17" s="3">
        <v>0</v>
      </c>
      <c r="D17" s="27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0</v>
      </c>
      <c r="K17" s="3">
        <v>1</v>
      </c>
      <c r="L17" s="3" t="s">
        <v>36</v>
      </c>
      <c r="M17" s="3">
        <v>102</v>
      </c>
      <c r="N17" s="4" t="s">
        <v>45</v>
      </c>
      <c r="O17" s="3">
        <v>0</v>
      </c>
      <c r="P17" s="3"/>
      <c r="Q17" s="3" t="s">
        <v>61</v>
      </c>
      <c r="R17" s="3" t="str">
        <f t="shared" si="2"/>
        <v>ui_102007</v>
      </c>
      <c r="S17" s="3" t="str">
        <f t="shared" si="3"/>
        <v>door_0</v>
      </c>
      <c r="T17" s="3">
        <v>1</v>
      </c>
      <c r="U17" s="3">
        <v>0</v>
      </c>
      <c r="V17" s="3">
        <v>1</v>
      </c>
      <c r="W17" s="7"/>
      <c r="X17" s="3" t="s">
        <v>60</v>
      </c>
      <c r="Y17" s="27" t="s">
        <v>2778</v>
      </c>
    </row>
    <row r="18" spans="1:25" x14ac:dyDescent="0.15">
      <c r="A18" s="3">
        <v>102008</v>
      </c>
      <c r="B18" s="3" t="s">
        <v>62</v>
      </c>
      <c r="C18" s="3">
        <v>0</v>
      </c>
      <c r="D18" s="27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0</v>
      </c>
      <c r="K18" s="3">
        <v>1</v>
      </c>
      <c r="L18" s="3" t="s">
        <v>36</v>
      </c>
      <c r="M18" s="3">
        <v>102</v>
      </c>
      <c r="N18" s="4" t="s">
        <v>45</v>
      </c>
      <c r="O18" s="3">
        <v>0</v>
      </c>
      <c r="P18" s="3"/>
      <c r="Q18" s="3" t="s">
        <v>63</v>
      </c>
      <c r="R18" s="3" t="str">
        <f t="shared" si="2"/>
        <v>ui_102008</v>
      </c>
      <c r="S18" s="3" t="str">
        <f t="shared" si="3"/>
        <v>city_wall_0</v>
      </c>
      <c r="T18" s="3">
        <v>1</v>
      </c>
      <c r="U18" s="3">
        <v>0</v>
      </c>
      <c r="V18" s="3">
        <v>1</v>
      </c>
      <c r="W18" s="7"/>
      <c r="X18" s="3" t="s">
        <v>62</v>
      </c>
      <c r="Y18" s="27" t="s">
        <v>1768</v>
      </c>
    </row>
    <row r="19" spans="1:25" x14ac:dyDescent="0.15">
      <c r="A19" s="3">
        <v>102009</v>
      </c>
      <c r="B19" s="3" t="s">
        <v>64</v>
      </c>
      <c r="C19" s="3">
        <v>0</v>
      </c>
      <c r="D19" s="27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0</v>
      </c>
      <c r="K19" s="3">
        <v>1</v>
      </c>
      <c r="L19" s="3" t="s">
        <v>36</v>
      </c>
      <c r="M19" s="3">
        <v>102</v>
      </c>
      <c r="N19" s="4" t="s">
        <v>45</v>
      </c>
      <c r="O19" s="3">
        <v>0</v>
      </c>
      <c r="P19" s="3"/>
      <c r="Q19" s="3" t="s">
        <v>65</v>
      </c>
      <c r="R19" s="3" t="str">
        <f t="shared" si="2"/>
        <v>ui_102009</v>
      </c>
      <c r="S19" s="3" t="str">
        <f t="shared" si="3"/>
        <v>city_wall_door_0</v>
      </c>
      <c r="T19" s="3">
        <v>1</v>
      </c>
      <c r="U19" s="3">
        <v>0</v>
      </c>
      <c r="V19" s="3">
        <v>1</v>
      </c>
      <c r="W19" s="7"/>
      <c r="X19" s="3" t="s">
        <v>64</v>
      </c>
      <c r="Y19" s="27" t="s">
        <v>2998</v>
      </c>
    </row>
    <row r="20" spans="1:25" x14ac:dyDescent="0.15">
      <c r="A20" s="3">
        <v>102010</v>
      </c>
      <c r="B20" s="27" t="s">
        <v>1766</v>
      </c>
      <c r="C20" s="3">
        <v>0</v>
      </c>
      <c r="D20" s="27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0</v>
      </c>
      <c r="K20" s="3">
        <v>1</v>
      </c>
      <c r="L20" s="3" t="s">
        <v>36</v>
      </c>
      <c r="M20" s="3">
        <v>102</v>
      </c>
      <c r="N20" s="4" t="s">
        <v>45</v>
      </c>
      <c r="O20" s="3">
        <v>0</v>
      </c>
      <c r="P20" s="3"/>
      <c r="Q20" s="27" t="s">
        <v>1767</v>
      </c>
      <c r="R20" s="3" t="str">
        <f t="shared" si="2"/>
        <v>ui_102010</v>
      </c>
      <c r="S20" s="3" t="str">
        <f t="shared" si="3"/>
        <v>portal_0</v>
      </c>
      <c r="T20" s="3">
        <v>1</v>
      </c>
      <c r="U20" s="3">
        <v>0</v>
      </c>
      <c r="V20" s="3">
        <v>1</v>
      </c>
      <c r="W20" s="7"/>
      <c r="X20" s="27" t="s">
        <v>1766</v>
      </c>
      <c r="Y20" s="27" t="s">
        <v>1769</v>
      </c>
    </row>
    <row r="21" spans="1:25" x14ac:dyDescent="0.15">
      <c r="A21" s="3">
        <v>102011</v>
      </c>
      <c r="B21" s="27" t="s">
        <v>2952</v>
      </c>
      <c r="C21" s="3">
        <v>0</v>
      </c>
      <c r="D21" s="27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0</v>
      </c>
      <c r="K21" s="3">
        <v>1</v>
      </c>
      <c r="L21" s="3" t="s">
        <v>36</v>
      </c>
      <c r="M21" s="3">
        <v>102</v>
      </c>
      <c r="N21" s="4" t="s">
        <v>45</v>
      </c>
      <c r="O21" s="3">
        <v>0</v>
      </c>
      <c r="P21" s="3"/>
      <c r="Q21" s="27" t="s">
        <v>2953</v>
      </c>
      <c r="R21" s="3" t="str">
        <f t="shared" si="2"/>
        <v>ui_102011</v>
      </c>
      <c r="S21" s="3" t="str">
        <f t="shared" si="3"/>
        <v>metal_wall_0</v>
      </c>
      <c r="T21" s="3">
        <v>1</v>
      </c>
      <c r="U21" s="3">
        <v>0</v>
      </c>
      <c r="V21" s="3">
        <v>1</v>
      </c>
      <c r="W21" s="7"/>
      <c r="X21" s="27" t="s">
        <v>2952</v>
      </c>
      <c r="Y21" s="27" t="s">
        <v>2958</v>
      </c>
    </row>
    <row r="22" spans="1:25" x14ac:dyDescent="0.15">
      <c r="A22" s="3">
        <v>102012</v>
      </c>
      <c r="B22" s="27" t="s">
        <v>2956</v>
      </c>
      <c r="C22" s="3">
        <v>0</v>
      </c>
      <c r="D22" s="27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0</v>
      </c>
      <c r="K22" s="3">
        <v>1</v>
      </c>
      <c r="L22" s="3" t="s">
        <v>36</v>
      </c>
      <c r="M22" s="3">
        <v>102</v>
      </c>
      <c r="N22" s="4" t="s">
        <v>45</v>
      </c>
      <c r="O22" s="3">
        <v>0</v>
      </c>
      <c r="P22" s="3"/>
      <c r="Q22" s="27" t="s">
        <v>2957</v>
      </c>
      <c r="R22" s="3" t="str">
        <f t="shared" si="2"/>
        <v>ui_102012</v>
      </c>
      <c r="S22" s="3" t="str">
        <f t="shared" si="3"/>
        <v>iron_door_0</v>
      </c>
      <c r="T22" s="3">
        <v>1</v>
      </c>
      <c r="U22" s="3">
        <v>0</v>
      </c>
      <c r="V22" s="3">
        <v>1</v>
      </c>
      <c r="W22" s="7"/>
      <c r="X22" s="27" t="s">
        <v>2956</v>
      </c>
      <c r="Y22" s="27" t="s">
        <v>2959</v>
      </c>
    </row>
    <row r="23" spans="1:25" x14ac:dyDescent="0.15">
      <c r="A23" s="3">
        <v>102013</v>
      </c>
      <c r="B23" s="27" t="s">
        <v>3526</v>
      </c>
      <c r="C23" s="3">
        <v>0</v>
      </c>
      <c r="D23" s="27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0</v>
      </c>
      <c r="K23" s="3">
        <v>1</v>
      </c>
      <c r="L23" s="3" t="s">
        <v>36</v>
      </c>
      <c r="M23" s="3">
        <v>102</v>
      </c>
      <c r="N23" s="4" t="s">
        <v>45</v>
      </c>
      <c r="O23" s="3">
        <v>0</v>
      </c>
      <c r="P23" s="3"/>
      <c r="Q23" s="27" t="s">
        <v>3527</v>
      </c>
      <c r="R23" s="3" t="str">
        <f t="shared" ref="R23" si="4">CONCATENATE("ui_",A23,"")</f>
        <v>ui_102013</v>
      </c>
      <c r="S23" s="3" t="str">
        <f t="shared" ref="S23" si="5">CONCATENATE(Q23,"_0")</f>
        <v>bridge_stone_0</v>
      </c>
      <c r="T23" s="3">
        <v>1</v>
      </c>
      <c r="U23" s="3">
        <v>0</v>
      </c>
      <c r="V23" s="3">
        <v>1</v>
      </c>
      <c r="W23" s="7"/>
      <c r="X23" s="27" t="s">
        <v>3526</v>
      </c>
      <c r="Y23" s="27" t="s">
        <v>3528</v>
      </c>
    </row>
    <row r="24" spans="1:25" x14ac:dyDescent="0.15">
      <c r="A24" s="3">
        <v>103001</v>
      </c>
      <c r="B24" s="3" t="s">
        <v>66</v>
      </c>
      <c r="C24" s="3">
        <v>0</v>
      </c>
      <c r="D24" s="27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0</v>
      </c>
      <c r="K24" s="3">
        <v>1</v>
      </c>
      <c r="L24" s="3" t="s">
        <v>36</v>
      </c>
      <c r="M24" s="3">
        <v>103</v>
      </c>
      <c r="N24" s="4" t="s">
        <v>67</v>
      </c>
      <c r="O24" s="3">
        <v>0</v>
      </c>
      <c r="P24" s="3"/>
      <c r="Q24" s="3" t="s">
        <v>68</v>
      </c>
      <c r="R24" s="3" t="str">
        <f t="shared" si="2"/>
        <v>ui_103001</v>
      </c>
      <c r="S24" s="3" t="str">
        <f t="shared" si="3"/>
        <v>storage_barn_0</v>
      </c>
      <c r="T24" s="3">
        <v>1</v>
      </c>
      <c r="U24" s="3">
        <v>0</v>
      </c>
      <c r="V24" s="3">
        <v>1</v>
      </c>
      <c r="W24" s="7"/>
      <c r="X24" s="3" t="s">
        <v>66</v>
      </c>
      <c r="Y24" s="27" t="s">
        <v>3371</v>
      </c>
    </row>
    <row r="25" spans="1:25" x14ac:dyDescent="0.15">
      <c r="A25" s="3">
        <v>103002</v>
      </c>
      <c r="B25" s="3" t="s">
        <v>69</v>
      </c>
      <c r="C25" s="3">
        <v>0</v>
      </c>
      <c r="D25" s="27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0</v>
      </c>
      <c r="K25" s="3">
        <v>1</v>
      </c>
      <c r="L25" s="3" t="s">
        <v>36</v>
      </c>
      <c r="M25" s="3">
        <v>103</v>
      </c>
      <c r="N25" s="4" t="s">
        <v>67</v>
      </c>
      <c r="O25" s="3">
        <v>0</v>
      </c>
      <c r="P25" s="3"/>
      <c r="Q25" s="3" t="s">
        <v>70</v>
      </c>
      <c r="R25" s="3" t="str">
        <f t="shared" si="2"/>
        <v>ui_103002</v>
      </c>
      <c r="S25" s="3" t="str">
        <f t="shared" si="3"/>
        <v>stock_pile_0</v>
      </c>
      <c r="T25" s="3">
        <v>1</v>
      </c>
      <c r="U25" s="3">
        <v>0</v>
      </c>
      <c r="V25" s="3">
        <v>1</v>
      </c>
      <c r="W25" s="7"/>
      <c r="X25" s="3" t="s">
        <v>69</v>
      </c>
      <c r="Y25" s="27" t="s">
        <v>2100</v>
      </c>
    </row>
    <row r="26" spans="1:25" x14ac:dyDescent="0.15">
      <c r="A26" s="3">
        <v>103003</v>
      </c>
      <c r="B26" s="3" t="s">
        <v>71</v>
      </c>
      <c r="C26" s="3">
        <v>0</v>
      </c>
      <c r="D26" s="27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0</v>
      </c>
      <c r="K26" s="3">
        <v>1</v>
      </c>
      <c r="L26" s="3" t="s">
        <v>36</v>
      </c>
      <c r="M26" s="3">
        <v>103</v>
      </c>
      <c r="N26" s="4" t="s">
        <v>67</v>
      </c>
      <c r="O26" s="3">
        <v>2000</v>
      </c>
      <c r="P26" s="3" t="s">
        <v>72</v>
      </c>
      <c r="Q26" s="3" t="s">
        <v>73</v>
      </c>
      <c r="R26" s="3" t="str">
        <f t="shared" si="2"/>
        <v>ui_103003</v>
      </c>
      <c r="S26" s="3" t="str">
        <f t="shared" si="3"/>
        <v>distribution_center_0</v>
      </c>
      <c r="T26" s="3">
        <v>1</v>
      </c>
      <c r="U26" s="3">
        <v>0</v>
      </c>
      <c r="V26" s="3">
        <v>1</v>
      </c>
      <c r="W26" s="7"/>
      <c r="X26" s="27" t="s">
        <v>3414</v>
      </c>
      <c r="Y26" s="27" t="s">
        <v>3372</v>
      </c>
    </row>
    <row r="27" spans="1:25" x14ac:dyDescent="0.15">
      <c r="A27" s="3">
        <v>103004</v>
      </c>
      <c r="B27" s="3" t="s">
        <v>74</v>
      </c>
      <c r="C27" s="3">
        <v>0</v>
      </c>
      <c r="D27" s="27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0</v>
      </c>
      <c r="K27" s="3">
        <v>1</v>
      </c>
      <c r="L27" s="3" t="s">
        <v>36</v>
      </c>
      <c r="M27" s="3">
        <v>103</v>
      </c>
      <c r="N27" s="4" t="s">
        <v>67</v>
      </c>
      <c r="O27" s="3">
        <v>0</v>
      </c>
      <c r="P27" s="3"/>
      <c r="Q27" s="3" t="s">
        <v>75</v>
      </c>
      <c r="R27" s="3" t="str">
        <f t="shared" si="2"/>
        <v>ui_103004</v>
      </c>
      <c r="S27" s="3" t="str">
        <f t="shared" si="3"/>
        <v>trading_desk_0</v>
      </c>
      <c r="T27" s="3">
        <v>1</v>
      </c>
      <c r="U27" s="3">
        <v>0</v>
      </c>
      <c r="V27" s="3">
        <v>1</v>
      </c>
      <c r="W27" s="7"/>
      <c r="X27" s="3" t="s">
        <v>74</v>
      </c>
      <c r="Y27" s="27" t="s">
        <v>2787</v>
      </c>
    </row>
    <row r="28" spans="1:25" x14ac:dyDescent="0.15">
      <c r="A28" s="3">
        <v>103005</v>
      </c>
      <c r="B28" s="27" t="s">
        <v>2945</v>
      </c>
      <c r="C28" s="3">
        <v>0</v>
      </c>
      <c r="D28" s="27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0</v>
      </c>
      <c r="K28" s="3">
        <v>1</v>
      </c>
      <c r="L28" s="3" t="s">
        <v>36</v>
      </c>
      <c r="M28" s="3">
        <v>103</v>
      </c>
      <c r="N28" s="4" t="s">
        <v>67</v>
      </c>
      <c r="O28" s="3">
        <v>0</v>
      </c>
      <c r="P28" s="3"/>
      <c r="Q28" s="3" t="s">
        <v>77</v>
      </c>
      <c r="R28" s="3" t="str">
        <f t="shared" si="2"/>
        <v>ui_103005</v>
      </c>
      <c r="S28" s="3" t="str">
        <f t="shared" si="3"/>
        <v>trading_port_0</v>
      </c>
      <c r="T28" s="3">
        <v>1</v>
      </c>
      <c r="U28" s="3">
        <v>0</v>
      </c>
      <c r="V28" s="3">
        <v>1</v>
      </c>
      <c r="W28" s="7"/>
      <c r="X28" s="3" t="s">
        <v>76</v>
      </c>
      <c r="Y28" s="27" t="s">
        <v>2786</v>
      </c>
    </row>
    <row r="29" spans="1:25" x14ac:dyDescent="0.15">
      <c r="A29" s="3">
        <v>103006</v>
      </c>
      <c r="B29" s="3" t="s">
        <v>78</v>
      </c>
      <c r="C29" s="3">
        <v>0</v>
      </c>
      <c r="D29" s="27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0</v>
      </c>
      <c r="K29" s="3">
        <v>1</v>
      </c>
      <c r="L29" s="3" t="s">
        <v>36</v>
      </c>
      <c r="M29" s="3">
        <v>103</v>
      </c>
      <c r="N29" s="4" t="s">
        <v>67</v>
      </c>
      <c r="O29" s="3">
        <v>0</v>
      </c>
      <c r="P29" s="3"/>
      <c r="Q29" s="3" t="s">
        <v>79</v>
      </c>
      <c r="R29" s="3" t="str">
        <f t="shared" si="2"/>
        <v>ui_103006</v>
      </c>
      <c r="S29" s="3" t="str">
        <f t="shared" si="3"/>
        <v>road_sign_0</v>
      </c>
      <c r="T29" s="3">
        <v>1</v>
      </c>
      <c r="U29" s="3">
        <v>0</v>
      </c>
      <c r="V29" s="3">
        <v>1</v>
      </c>
      <c r="W29" s="7"/>
      <c r="X29" s="3" t="s">
        <v>78</v>
      </c>
      <c r="Y29" s="3" t="s">
        <v>80</v>
      </c>
    </row>
    <row r="30" spans="1:25" ht="67.5" x14ac:dyDescent="0.15">
      <c r="A30" s="3">
        <v>103007</v>
      </c>
      <c r="B30" s="27" t="s">
        <v>2115</v>
      </c>
      <c r="C30" s="3">
        <v>0</v>
      </c>
      <c r="D30" s="27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0</v>
      </c>
      <c r="K30" s="3">
        <v>1</v>
      </c>
      <c r="L30" s="3" t="s">
        <v>36</v>
      </c>
      <c r="M30" s="3">
        <v>103</v>
      </c>
      <c r="N30" s="4" t="s">
        <v>67</v>
      </c>
      <c r="O30" s="3">
        <v>30</v>
      </c>
      <c r="P30" s="27" t="s">
        <v>2120</v>
      </c>
      <c r="Q30" s="27" t="s">
        <v>2116</v>
      </c>
      <c r="R30" s="3" t="str">
        <f t="shared" si="2"/>
        <v>ui_103007</v>
      </c>
      <c r="S30" s="3" t="str">
        <f t="shared" si="3"/>
        <v>ice_cellar_0</v>
      </c>
      <c r="T30" s="3">
        <v>1</v>
      </c>
      <c r="U30" s="3">
        <v>0</v>
      </c>
      <c r="V30" s="3">
        <v>1</v>
      </c>
      <c r="W30" s="7"/>
      <c r="X30" s="27" t="s">
        <v>2115</v>
      </c>
      <c r="Y30" s="32" t="s">
        <v>3275</v>
      </c>
    </row>
    <row r="31" spans="1:25" x14ac:dyDescent="0.15">
      <c r="A31" s="3">
        <v>103008</v>
      </c>
      <c r="B31" s="3" t="s">
        <v>81</v>
      </c>
      <c r="C31" s="3">
        <v>0</v>
      </c>
      <c r="D31" s="27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0</v>
      </c>
      <c r="K31" s="3">
        <v>1</v>
      </c>
      <c r="L31" s="3" t="s">
        <v>36</v>
      </c>
      <c r="M31" s="3">
        <v>103</v>
      </c>
      <c r="N31" s="4" t="s">
        <v>67</v>
      </c>
      <c r="O31" s="3">
        <v>0</v>
      </c>
      <c r="P31" s="3"/>
      <c r="Q31" s="3" t="s">
        <v>82</v>
      </c>
      <c r="R31" s="3" t="str">
        <f t="shared" si="2"/>
        <v>ui_103008</v>
      </c>
      <c r="S31" s="3" t="str">
        <f t="shared" si="3"/>
        <v>turnover_box_0</v>
      </c>
      <c r="T31" s="3">
        <v>1</v>
      </c>
      <c r="U31" s="3">
        <v>0</v>
      </c>
      <c r="V31" s="3">
        <v>1</v>
      </c>
      <c r="W31" s="7"/>
      <c r="X31" s="3" t="s">
        <v>81</v>
      </c>
      <c r="Y31" s="27" t="s">
        <v>2793</v>
      </c>
    </row>
    <row r="32" spans="1:25" ht="67.5" x14ac:dyDescent="0.15">
      <c r="A32" s="3">
        <v>103009</v>
      </c>
      <c r="B32" s="27" t="s">
        <v>2115</v>
      </c>
      <c r="C32" s="3">
        <v>0</v>
      </c>
      <c r="D32" s="27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4">
        <v>0</v>
      </c>
      <c r="K32" s="3">
        <v>1</v>
      </c>
      <c r="L32" s="3" t="s">
        <v>36</v>
      </c>
      <c r="M32" s="3">
        <v>103</v>
      </c>
      <c r="N32" s="4" t="s">
        <v>67</v>
      </c>
      <c r="O32" s="3">
        <v>30</v>
      </c>
      <c r="P32" s="27" t="s">
        <v>2120</v>
      </c>
      <c r="Q32" s="27" t="s">
        <v>2808</v>
      </c>
      <c r="R32" s="3" t="str">
        <f t="shared" si="2"/>
        <v>ui_103009</v>
      </c>
      <c r="S32" s="3" t="str">
        <f t="shared" si="3"/>
        <v>ice_cellar2_0</v>
      </c>
      <c r="T32" s="3">
        <v>1</v>
      </c>
      <c r="U32" s="3">
        <v>0</v>
      </c>
      <c r="V32" s="3">
        <v>1</v>
      </c>
      <c r="W32" s="7"/>
      <c r="X32" s="27" t="s">
        <v>2115</v>
      </c>
      <c r="Y32" s="32" t="s">
        <v>3275</v>
      </c>
    </row>
    <row r="33" spans="1:25" x14ac:dyDescent="0.15">
      <c r="A33" s="3">
        <v>103012</v>
      </c>
      <c r="B33" s="27" t="s">
        <v>3555</v>
      </c>
      <c r="C33" s="3">
        <v>0</v>
      </c>
      <c r="D33" s="27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4">
        <v>0</v>
      </c>
      <c r="K33" s="3">
        <v>1</v>
      </c>
      <c r="L33" s="3" t="s">
        <v>36</v>
      </c>
      <c r="M33" s="3">
        <v>103</v>
      </c>
      <c r="N33" s="4" t="s">
        <v>67</v>
      </c>
      <c r="O33" s="3">
        <v>0</v>
      </c>
      <c r="P33" s="3"/>
      <c r="Q33" s="3" t="s">
        <v>84</v>
      </c>
      <c r="R33" s="3" t="str">
        <f t="shared" si="2"/>
        <v>ui_103012</v>
      </c>
      <c r="S33" s="3" t="str">
        <f t="shared" si="3"/>
        <v>wagon_station_0</v>
      </c>
      <c r="T33" s="3">
        <v>1</v>
      </c>
      <c r="U33" s="3">
        <v>0</v>
      </c>
      <c r="V33" s="3">
        <v>1</v>
      </c>
      <c r="W33" s="7"/>
      <c r="X33" s="3" t="s">
        <v>83</v>
      </c>
      <c r="Y33" s="3" t="s">
        <v>85</v>
      </c>
    </row>
    <row r="34" spans="1:25" x14ac:dyDescent="0.15">
      <c r="A34" s="3">
        <v>103013</v>
      </c>
      <c r="B34" s="3" t="s">
        <v>86</v>
      </c>
      <c r="C34" s="3">
        <v>0</v>
      </c>
      <c r="D34" s="27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4">
        <v>0</v>
      </c>
      <c r="K34" s="3">
        <v>1</v>
      </c>
      <c r="L34" s="3" t="s">
        <v>36</v>
      </c>
      <c r="M34" s="3">
        <v>103</v>
      </c>
      <c r="N34" s="4" t="s">
        <v>67</v>
      </c>
      <c r="O34" s="3">
        <v>0</v>
      </c>
      <c r="P34" s="3"/>
      <c r="Q34" s="3" t="s">
        <v>87</v>
      </c>
      <c r="R34" s="3" t="str">
        <f t="shared" si="2"/>
        <v>ui_103013</v>
      </c>
      <c r="S34" s="3" t="str">
        <f t="shared" si="3"/>
        <v>feeder_0</v>
      </c>
      <c r="T34" s="3">
        <v>1</v>
      </c>
      <c r="U34" s="3">
        <v>0</v>
      </c>
      <c r="V34" s="3">
        <v>1</v>
      </c>
      <c r="W34" s="7"/>
      <c r="X34" s="3" t="s">
        <v>86</v>
      </c>
      <c r="Y34" s="27" t="s">
        <v>1896</v>
      </c>
    </row>
    <row r="35" spans="1:25" x14ac:dyDescent="0.15">
      <c r="A35" s="3">
        <v>104001</v>
      </c>
      <c r="B35" s="3" t="s">
        <v>88</v>
      </c>
      <c r="C35" s="3">
        <v>0</v>
      </c>
      <c r="D35" s="27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0</v>
      </c>
      <c r="K35" s="3">
        <v>1</v>
      </c>
      <c r="L35" s="3" t="s">
        <v>36</v>
      </c>
      <c r="M35" s="3">
        <v>104</v>
      </c>
      <c r="N35" s="4" t="s">
        <v>89</v>
      </c>
      <c r="O35" s="3">
        <v>0</v>
      </c>
      <c r="P35" s="3"/>
      <c r="Q35" s="3" t="s">
        <v>90</v>
      </c>
      <c r="R35" s="3" t="str">
        <f t="shared" si="2"/>
        <v>ui_104001</v>
      </c>
      <c r="S35" s="3" t="str">
        <f t="shared" si="3"/>
        <v>well_0</v>
      </c>
      <c r="T35" s="3">
        <v>1</v>
      </c>
      <c r="U35" s="3">
        <v>0</v>
      </c>
      <c r="V35" s="3">
        <v>1</v>
      </c>
      <c r="W35" s="7"/>
      <c r="X35" s="3" t="s">
        <v>88</v>
      </c>
      <c r="Y35" s="27" t="s">
        <v>3462</v>
      </c>
    </row>
    <row r="36" spans="1:25" x14ac:dyDescent="0.15">
      <c r="A36" s="3">
        <v>104002</v>
      </c>
      <c r="B36" s="27" t="s">
        <v>1555</v>
      </c>
      <c r="C36" s="3">
        <v>0</v>
      </c>
      <c r="D36" s="27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4">
        <v>0</v>
      </c>
      <c r="K36" s="3">
        <v>1</v>
      </c>
      <c r="L36" s="3" t="s">
        <v>36</v>
      </c>
      <c r="M36" s="3">
        <v>104</v>
      </c>
      <c r="N36" s="4" t="s">
        <v>89</v>
      </c>
      <c r="O36" s="3">
        <v>0</v>
      </c>
      <c r="P36" s="3"/>
      <c r="Q36" s="3" t="s">
        <v>92</v>
      </c>
      <c r="R36" s="3" t="str">
        <f t="shared" ref="R36:R68" si="6">CONCATENATE("ui_",A36,"")</f>
        <v>ui_104002</v>
      </c>
      <c r="S36" s="3" t="str">
        <f t="shared" si="3"/>
        <v>teacher_desk_0</v>
      </c>
      <c r="T36" s="3">
        <v>1</v>
      </c>
      <c r="U36" s="3">
        <v>0</v>
      </c>
      <c r="V36" s="3">
        <v>1</v>
      </c>
      <c r="W36" s="7"/>
      <c r="X36" s="3" t="s">
        <v>91</v>
      </c>
      <c r="Y36" s="3" t="s">
        <v>93</v>
      </c>
    </row>
    <row r="37" spans="1:25" x14ac:dyDescent="0.15">
      <c r="A37" s="3">
        <v>104004</v>
      </c>
      <c r="B37" s="3" t="s">
        <v>94</v>
      </c>
      <c r="C37" s="3">
        <v>0</v>
      </c>
      <c r="D37" s="27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4">
        <v>0</v>
      </c>
      <c r="K37" s="3">
        <v>1</v>
      </c>
      <c r="L37" s="3" t="s">
        <v>36</v>
      </c>
      <c r="M37" s="3">
        <v>104</v>
      </c>
      <c r="N37" s="4" t="s">
        <v>89</v>
      </c>
      <c r="O37" s="3">
        <v>200</v>
      </c>
      <c r="P37" s="3" t="s">
        <v>95</v>
      </c>
      <c r="Q37" s="3" t="s">
        <v>96</v>
      </c>
      <c r="R37" s="3" t="str">
        <f t="shared" si="6"/>
        <v>ui_104004</v>
      </c>
      <c r="S37" s="3" t="str">
        <f t="shared" si="3"/>
        <v>sermon_desk_0</v>
      </c>
      <c r="T37" s="3">
        <v>1</v>
      </c>
      <c r="U37" s="3">
        <v>0</v>
      </c>
      <c r="V37" s="3">
        <v>1</v>
      </c>
      <c r="W37" s="7"/>
      <c r="X37" s="3" t="s">
        <v>94</v>
      </c>
      <c r="Y37" s="27" t="s">
        <v>2102</v>
      </c>
    </row>
    <row r="38" spans="1:25" ht="15" customHeight="1" x14ac:dyDescent="0.15">
      <c r="A38" s="3">
        <v>104005</v>
      </c>
      <c r="B38" s="3" t="s">
        <v>97</v>
      </c>
      <c r="C38" s="3">
        <v>0</v>
      </c>
      <c r="D38" s="27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4">
        <v>0</v>
      </c>
      <c r="K38" s="3">
        <v>1</v>
      </c>
      <c r="L38" s="3" t="s">
        <v>36</v>
      </c>
      <c r="M38" s="3">
        <v>104</v>
      </c>
      <c r="N38" s="4" t="s">
        <v>89</v>
      </c>
      <c r="O38" s="3">
        <v>10</v>
      </c>
      <c r="P38" s="3" t="s">
        <v>98</v>
      </c>
      <c r="Q38" s="3" t="s">
        <v>99</v>
      </c>
      <c r="R38" s="3" t="str">
        <f t="shared" si="6"/>
        <v>ui_104005</v>
      </c>
      <c r="S38" s="3" t="str">
        <f t="shared" si="3"/>
        <v>cemetery_0</v>
      </c>
      <c r="T38" s="3">
        <v>1</v>
      </c>
      <c r="U38" s="3">
        <v>0</v>
      </c>
      <c r="V38" s="3">
        <v>1</v>
      </c>
      <c r="W38" s="9"/>
      <c r="X38" s="3" t="s">
        <v>97</v>
      </c>
      <c r="Y38" s="32" t="s">
        <v>2108</v>
      </c>
    </row>
    <row r="39" spans="1:25" x14ac:dyDescent="0.15">
      <c r="A39" s="3">
        <v>104007</v>
      </c>
      <c r="B39" s="3" t="s">
        <v>100</v>
      </c>
      <c r="C39" s="3">
        <v>0</v>
      </c>
      <c r="D39" s="27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0</v>
      </c>
      <c r="K39" s="3">
        <v>1</v>
      </c>
      <c r="L39" s="3" t="s">
        <v>36</v>
      </c>
      <c r="M39" s="3">
        <v>104</v>
      </c>
      <c r="N39" s="4" t="s">
        <v>89</v>
      </c>
      <c r="O39" s="3">
        <v>0</v>
      </c>
      <c r="P39" s="3"/>
      <c r="Q39" s="3" t="s">
        <v>101</v>
      </c>
      <c r="R39" s="3" t="str">
        <f t="shared" si="6"/>
        <v>ui_104007</v>
      </c>
      <c r="S39" s="3" t="str">
        <f t="shared" si="3"/>
        <v>doctor_table_0</v>
      </c>
      <c r="T39" s="3">
        <v>1</v>
      </c>
      <c r="U39" s="3">
        <v>0</v>
      </c>
      <c r="V39" s="3">
        <v>1</v>
      </c>
      <c r="W39" s="7"/>
      <c r="X39" s="3" t="s">
        <v>100</v>
      </c>
      <c r="Y39" s="3" t="s">
        <v>102</v>
      </c>
    </row>
    <row r="40" spans="1:25" x14ac:dyDescent="0.15">
      <c r="A40" s="3">
        <v>104008</v>
      </c>
      <c r="B40" s="3" t="s">
        <v>103</v>
      </c>
      <c r="C40" s="3">
        <v>0</v>
      </c>
      <c r="D40" s="27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4">
        <v>0</v>
      </c>
      <c r="K40" s="3">
        <v>1</v>
      </c>
      <c r="L40" s="3" t="s">
        <v>36</v>
      </c>
      <c r="M40" s="3">
        <v>104</v>
      </c>
      <c r="N40" s="4" t="s">
        <v>89</v>
      </c>
      <c r="O40" s="3">
        <v>0</v>
      </c>
      <c r="P40" s="3"/>
      <c r="Q40" s="3" t="s">
        <v>104</v>
      </c>
      <c r="R40" s="3" t="str">
        <f t="shared" si="6"/>
        <v>ui_104008</v>
      </c>
      <c r="S40" s="3" t="str">
        <f t="shared" si="3"/>
        <v>medical_bed_0</v>
      </c>
      <c r="T40" s="3">
        <v>1</v>
      </c>
      <c r="U40" s="3">
        <v>0</v>
      </c>
      <c r="V40" s="3">
        <v>1</v>
      </c>
      <c r="W40" s="7"/>
      <c r="X40" s="3" t="s">
        <v>103</v>
      </c>
      <c r="Y40" s="3" t="s">
        <v>105</v>
      </c>
    </row>
    <row r="41" spans="1:25" x14ac:dyDescent="0.15">
      <c r="A41" s="3">
        <v>104011</v>
      </c>
      <c r="B41" s="3" t="s">
        <v>106</v>
      </c>
      <c r="C41" s="3">
        <v>0</v>
      </c>
      <c r="D41" s="27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4">
        <v>0</v>
      </c>
      <c r="K41" s="3">
        <v>1</v>
      </c>
      <c r="L41" s="3" t="s">
        <v>36</v>
      </c>
      <c r="M41" s="3">
        <v>104</v>
      </c>
      <c r="N41" s="4" t="s">
        <v>89</v>
      </c>
      <c r="O41" s="3">
        <v>40</v>
      </c>
      <c r="P41" s="3" t="s">
        <v>107</v>
      </c>
      <c r="Q41" s="3" t="s">
        <v>108</v>
      </c>
      <c r="R41" s="3" t="str">
        <f t="shared" si="6"/>
        <v>ui_104011</v>
      </c>
      <c r="S41" s="3" t="str">
        <f t="shared" si="3"/>
        <v>bonfire_0</v>
      </c>
      <c r="T41" s="3">
        <v>1</v>
      </c>
      <c r="U41" s="3">
        <v>0</v>
      </c>
      <c r="V41" s="3">
        <v>1</v>
      </c>
      <c r="W41" s="7"/>
      <c r="X41" s="3" t="s">
        <v>106</v>
      </c>
      <c r="Y41" s="27" t="s">
        <v>2109</v>
      </c>
    </row>
    <row r="42" spans="1:25" x14ac:dyDescent="0.15">
      <c r="A42" s="3">
        <v>104012</v>
      </c>
      <c r="B42" s="3" t="s">
        <v>109</v>
      </c>
      <c r="C42" s="3">
        <v>0</v>
      </c>
      <c r="D42" s="27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4">
        <v>0</v>
      </c>
      <c r="K42" s="3">
        <v>1</v>
      </c>
      <c r="L42" s="3" t="s">
        <v>36</v>
      </c>
      <c r="M42" s="3">
        <v>104</v>
      </c>
      <c r="N42" s="4" t="s">
        <v>89</v>
      </c>
      <c r="O42" s="3">
        <v>30</v>
      </c>
      <c r="P42" s="3" t="s">
        <v>107</v>
      </c>
      <c r="Q42" s="3" t="s">
        <v>110</v>
      </c>
      <c r="R42" s="3" t="str">
        <f t="shared" si="6"/>
        <v>ui_104012</v>
      </c>
      <c r="S42" s="3" t="str">
        <f t="shared" si="3"/>
        <v>torch_0</v>
      </c>
      <c r="T42" s="3">
        <v>1</v>
      </c>
      <c r="U42" s="3">
        <v>0</v>
      </c>
      <c r="V42" s="3">
        <v>1</v>
      </c>
      <c r="W42" s="7"/>
      <c r="X42" s="3" t="s">
        <v>109</v>
      </c>
      <c r="Y42" s="27" t="s">
        <v>2103</v>
      </c>
    </row>
    <row r="43" spans="1:25" x14ac:dyDescent="0.15">
      <c r="A43" s="3">
        <v>104013</v>
      </c>
      <c r="B43" s="27" t="s">
        <v>3520</v>
      </c>
      <c r="C43" s="3">
        <v>0</v>
      </c>
      <c r="D43" s="27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4">
        <v>0</v>
      </c>
      <c r="K43" s="3">
        <v>1</v>
      </c>
      <c r="L43" s="3" t="s">
        <v>36</v>
      </c>
      <c r="M43" s="3">
        <v>104</v>
      </c>
      <c r="N43" s="4" t="s">
        <v>89</v>
      </c>
      <c r="O43" s="3">
        <v>60</v>
      </c>
      <c r="P43" s="3" t="s">
        <v>107</v>
      </c>
      <c r="Q43" s="3" t="s">
        <v>112</v>
      </c>
      <c r="R43" s="3" t="str">
        <f t="shared" si="6"/>
        <v>ui_104013</v>
      </c>
      <c r="S43" s="3" t="str">
        <f t="shared" si="3"/>
        <v>brazier_0</v>
      </c>
      <c r="T43" s="3">
        <v>1</v>
      </c>
      <c r="U43" s="3">
        <v>0</v>
      </c>
      <c r="V43" s="3">
        <v>1</v>
      </c>
      <c r="W43" s="7"/>
      <c r="X43" s="3" t="s">
        <v>111</v>
      </c>
      <c r="Y43" s="27" t="s">
        <v>2104</v>
      </c>
    </row>
    <row r="44" spans="1:25" x14ac:dyDescent="0.15">
      <c r="A44" s="3">
        <v>104014</v>
      </c>
      <c r="B44" s="3" t="s">
        <v>113</v>
      </c>
      <c r="C44" s="3">
        <v>0</v>
      </c>
      <c r="D44" s="27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4">
        <v>0</v>
      </c>
      <c r="K44" s="3">
        <v>1</v>
      </c>
      <c r="L44" s="3" t="s">
        <v>36</v>
      </c>
      <c r="M44" s="3">
        <v>104</v>
      </c>
      <c r="N44" s="4" t="s">
        <v>89</v>
      </c>
      <c r="O44" s="3">
        <v>100</v>
      </c>
      <c r="P44" s="3" t="s">
        <v>107</v>
      </c>
      <c r="Q44" s="26" t="s">
        <v>1557</v>
      </c>
      <c r="R44" s="3" t="str">
        <f t="shared" si="6"/>
        <v>ui_104014</v>
      </c>
      <c r="S44" s="3" t="str">
        <f t="shared" si="3"/>
        <v>fireplace_0</v>
      </c>
      <c r="T44" s="3">
        <v>1</v>
      </c>
      <c r="U44" s="3">
        <v>0</v>
      </c>
      <c r="V44" s="3">
        <v>1</v>
      </c>
      <c r="W44" s="7"/>
      <c r="X44" s="3" t="s">
        <v>113</v>
      </c>
      <c r="Y44" s="27" t="s">
        <v>2107</v>
      </c>
    </row>
    <row r="45" spans="1:25" x14ac:dyDescent="0.15">
      <c r="A45" s="3">
        <v>104015</v>
      </c>
      <c r="B45" s="3" t="s">
        <v>114</v>
      </c>
      <c r="C45" s="3">
        <v>0</v>
      </c>
      <c r="D45" s="27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4">
        <v>0</v>
      </c>
      <c r="K45" s="3">
        <v>1</v>
      </c>
      <c r="L45" s="3" t="s">
        <v>36</v>
      </c>
      <c r="M45" s="3">
        <v>104</v>
      </c>
      <c r="N45" s="4" t="s">
        <v>89</v>
      </c>
      <c r="O45" s="3">
        <v>0</v>
      </c>
      <c r="P45" s="3"/>
      <c r="Q45" s="3" t="s">
        <v>115</v>
      </c>
      <c r="R45" s="3" t="str">
        <f t="shared" si="6"/>
        <v>ui_104015</v>
      </c>
      <c r="S45" s="3" t="str">
        <f t="shared" si="3"/>
        <v>chair2_0</v>
      </c>
      <c r="T45" s="3">
        <v>1</v>
      </c>
      <c r="U45" s="3">
        <v>0</v>
      </c>
      <c r="V45" s="3">
        <v>1</v>
      </c>
      <c r="W45" s="7"/>
      <c r="X45" s="3" t="s">
        <v>114</v>
      </c>
      <c r="Y45" s="3" t="s">
        <v>116</v>
      </c>
    </row>
    <row r="46" spans="1:25" x14ac:dyDescent="0.15">
      <c r="A46" s="3">
        <v>104016</v>
      </c>
      <c r="B46" s="3" t="s">
        <v>117</v>
      </c>
      <c r="C46" s="3">
        <v>0</v>
      </c>
      <c r="D46" s="27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4">
        <v>0</v>
      </c>
      <c r="K46" s="3">
        <v>1</v>
      </c>
      <c r="L46" s="3" t="s">
        <v>36</v>
      </c>
      <c r="M46" s="3">
        <v>104</v>
      </c>
      <c r="N46" s="4" t="s">
        <v>89</v>
      </c>
      <c r="O46" s="3">
        <v>0</v>
      </c>
      <c r="P46" s="3"/>
      <c r="Q46" s="3" t="s">
        <v>1887</v>
      </c>
      <c r="R46" s="3" t="str">
        <f t="shared" si="6"/>
        <v>ui_104016</v>
      </c>
      <c r="S46" s="3" t="str">
        <f t="shared" si="3"/>
        <v>dinner_table_0</v>
      </c>
      <c r="T46" s="3">
        <v>1</v>
      </c>
      <c r="U46" s="3">
        <v>0</v>
      </c>
      <c r="V46" s="3">
        <v>1</v>
      </c>
      <c r="W46" s="7"/>
      <c r="X46" s="3" t="s">
        <v>117</v>
      </c>
      <c r="Y46" s="27" t="s">
        <v>1889</v>
      </c>
    </row>
    <row r="47" spans="1:25" x14ac:dyDescent="0.15">
      <c r="A47" s="3">
        <v>104017</v>
      </c>
      <c r="B47" s="3" t="s">
        <v>118</v>
      </c>
      <c r="C47" s="3">
        <v>0</v>
      </c>
      <c r="D47" s="27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4">
        <v>0</v>
      </c>
      <c r="K47" s="3">
        <v>1</v>
      </c>
      <c r="L47" s="3" t="s">
        <v>36</v>
      </c>
      <c r="M47" s="3">
        <v>104</v>
      </c>
      <c r="N47" s="4" t="s">
        <v>89</v>
      </c>
      <c r="O47" s="3">
        <v>0</v>
      </c>
      <c r="P47" s="3"/>
      <c r="Q47" s="3" t="s">
        <v>119</v>
      </c>
      <c r="R47" s="3" t="str">
        <f t="shared" si="6"/>
        <v>ui_104017</v>
      </c>
      <c r="S47" s="3" t="str">
        <f t="shared" si="3"/>
        <v>research_table_0</v>
      </c>
      <c r="T47" s="3">
        <v>1</v>
      </c>
      <c r="U47" s="3">
        <v>0</v>
      </c>
      <c r="V47" s="3">
        <v>1</v>
      </c>
      <c r="W47" s="7"/>
      <c r="X47" s="3" t="s">
        <v>118</v>
      </c>
      <c r="Y47" s="3" t="s">
        <v>120</v>
      </c>
    </row>
    <row r="48" spans="1:25" x14ac:dyDescent="0.15">
      <c r="A48" s="3">
        <v>104018</v>
      </c>
      <c r="B48" s="27" t="s">
        <v>2920</v>
      </c>
      <c r="C48" s="3">
        <v>0</v>
      </c>
      <c r="D48" s="27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4">
        <v>0</v>
      </c>
      <c r="K48" s="3">
        <v>1</v>
      </c>
      <c r="L48" s="3" t="s">
        <v>36</v>
      </c>
      <c r="M48" s="3">
        <v>104</v>
      </c>
      <c r="N48" s="4" t="s">
        <v>89</v>
      </c>
      <c r="O48" s="3">
        <v>0</v>
      </c>
      <c r="P48" s="3"/>
      <c r="Q48" s="3" t="s">
        <v>121</v>
      </c>
      <c r="R48" s="3" t="str">
        <f t="shared" si="6"/>
        <v>ui_104018</v>
      </c>
      <c r="S48" s="3" t="str">
        <f t="shared" si="3"/>
        <v>flowerpot_0</v>
      </c>
      <c r="T48" s="3">
        <v>1</v>
      </c>
      <c r="U48" s="3">
        <v>0</v>
      </c>
      <c r="V48" s="3">
        <v>1</v>
      </c>
      <c r="W48" s="7"/>
      <c r="X48" s="27" t="s">
        <v>2920</v>
      </c>
      <c r="Y48" s="3" t="s">
        <v>122</v>
      </c>
    </row>
    <row r="49" spans="1:25" x14ac:dyDescent="0.15">
      <c r="A49" s="3">
        <v>104019</v>
      </c>
      <c r="B49" s="3" t="s">
        <v>123</v>
      </c>
      <c r="C49" s="3">
        <v>0</v>
      </c>
      <c r="D49" s="27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4">
        <v>0</v>
      </c>
      <c r="K49" s="3">
        <v>1</v>
      </c>
      <c r="L49" s="3" t="s">
        <v>36</v>
      </c>
      <c r="M49" s="3">
        <v>104</v>
      </c>
      <c r="N49" s="4" t="s">
        <v>89</v>
      </c>
      <c r="O49" s="3">
        <v>0</v>
      </c>
      <c r="P49" s="3"/>
      <c r="Q49" s="3" t="s">
        <v>124</v>
      </c>
      <c r="R49" s="3" t="str">
        <f t="shared" si="6"/>
        <v>ui_104019</v>
      </c>
      <c r="S49" s="3" t="str">
        <f t="shared" si="3"/>
        <v>front_desk_0</v>
      </c>
      <c r="T49" s="3">
        <v>1</v>
      </c>
      <c r="U49" s="3">
        <v>0</v>
      </c>
      <c r="V49" s="3">
        <v>1</v>
      </c>
      <c r="W49" s="7"/>
      <c r="X49" s="3" t="s">
        <v>123</v>
      </c>
      <c r="Y49" s="27" t="s">
        <v>2110</v>
      </c>
    </row>
    <row r="50" spans="1:25" x14ac:dyDescent="0.15">
      <c r="A50" s="3">
        <v>104020</v>
      </c>
      <c r="B50" s="27" t="s">
        <v>1799</v>
      </c>
      <c r="C50" s="3">
        <v>0</v>
      </c>
      <c r="D50" s="27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4">
        <v>0</v>
      </c>
      <c r="K50" s="3">
        <v>1</v>
      </c>
      <c r="L50" s="3" t="s">
        <v>36</v>
      </c>
      <c r="M50" s="3">
        <v>104</v>
      </c>
      <c r="N50" s="4" t="s">
        <v>89</v>
      </c>
      <c r="O50" s="3">
        <v>0</v>
      </c>
      <c r="P50" s="3"/>
      <c r="Q50" s="27" t="s">
        <v>1800</v>
      </c>
      <c r="R50" s="3" t="str">
        <f t="shared" si="6"/>
        <v>ui_104020</v>
      </c>
      <c r="S50" s="3" t="str">
        <f t="shared" si="3"/>
        <v>banquet_table_0</v>
      </c>
      <c r="T50" s="3">
        <v>1</v>
      </c>
      <c r="U50" s="3">
        <v>0</v>
      </c>
      <c r="V50" s="3">
        <v>1</v>
      </c>
      <c r="W50" s="7"/>
      <c r="X50" s="27" t="s">
        <v>1799</v>
      </c>
      <c r="Y50" s="27" t="s">
        <v>2113</v>
      </c>
    </row>
    <row r="51" spans="1:25" x14ac:dyDescent="0.15">
      <c r="A51" s="3">
        <v>104021</v>
      </c>
      <c r="B51" s="27" t="s">
        <v>1828</v>
      </c>
      <c r="C51" s="3">
        <v>0</v>
      </c>
      <c r="D51" s="27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4">
        <v>0</v>
      </c>
      <c r="K51" s="3">
        <v>1</v>
      </c>
      <c r="L51" s="3" t="s">
        <v>36</v>
      </c>
      <c r="M51" s="3">
        <v>104</v>
      </c>
      <c r="N51" s="4" t="s">
        <v>89</v>
      </c>
      <c r="O51" s="3">
        <v>0</v>
      </c>
      <c r="P51" s="3"/>
      <c r="Q51" s="27" t="s">
        <v>1829</v>
      </c>
      <c r="R51" s="3" t="str">
        <f t="shared" si="6"/>
        <v>ui_104021</v>
      </c>
      <c r="S51" s="3" t="str">
        <f t="shared" si="3"/>
        <v>toilet_0</v>
      </c>
      <c r="T51" s="3">
        <v>1</v>
      </c>
      <c r="U51" s="3">
        <v>0</v>
      </c>
      <c r="V51" s="3">
        <v>1</v>
      </c>
      <c r="W51" s="7"/>
      <c r="X51" s="27" t="s">
        <v>1830</v>
      </c>
      <c r="Y51" s="27" t="s">
        <v>3521</v>
      </c>
    </row>
    <row r="52" spans="1:25" x14ac:dyDescent="0.15">
      <c r="A52" s="3">
        <v>104022</v>
      </c>
      <c r="B52" s="27" t="s">
        <v>2093</v>
      </c>
      <c r="C52" s="3">
        <v>0</v>
      </c>
      <c r="D52" s="27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4">
        <v>0</v>
      </c>
      <c r="K52" s="3">
        <v>1</v>
      </c>
      <c r="L52" s="3" t="s">
        <v>36</v>
      </c>
      <c r="M52" s="3">
        <v>104</v>
      </c>
      <c r="N52" s="4" t="s">
        <v>89</v>
      </c>
      <c r="O52" s="3">
        <v>0</v>
      </c>
      <c r="P52" s="3"/>
      <c r="Q52" s="27" t="s">
        <v>2094</v>
      </c>
      <c r="R52" s="3" t="str">
        <f t="shared" si="6"/>
        <v>ui_104022</v>
      </c>
      <c r="S52" s="3" t="str">
        <f t="shared" si="3"/>
        <v>monument_0</v>
      </c>
      <c r="T52" s="3">
        <v>1</v>
      </c>
      <c r="U52" s="3">
        <v>0</v>
      </c>
      <c r="V52" s="3">
        <v>1</v>
      </c>
      <c r="W52" s="7"/>
      <c r="X52" s="27" t="s">
        <v>2093</v>
      </c>
      <c r="Y52" s="27" t="s">
        <v>2095</v>
      </c>
    </row>
    <row r="53" spans="1:25" x14ac:dyDescent="0.15">
      <c r="A53" s="3">
        <v>104023</v>
      </c>
      <c r="B53" s="27" t="s">
        <v>2843</v>
      </c>
      <c r="C53" s="3">
        <v>0</v>
      </c>
      <c r="D53" s="27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4">
        <v>0</v>
      </c>
      <c r="K53" s="3">
        <v>1</v>
      </c>
      <c r="L53" s="3" t="s">
        <v>36</v>
      </c>
      <c r="M53" s="3">
        <v>104</v>
      </c>
      <c r="N53" s="4" t="s">
        <v>89</v>
      </c>
      <c r="O53" s="3">
        <v>100</v>
      </c>
      <c r="P53" s="27" t="s">
        <v>2864</v>
      </c>
      <c r="Q53" s="27" t="s">
        <v>2847</v>
      </c>
      <c r="R53" s="3" t="str">
        <f t="shared" si="6"/>
        <v>ui_104023</v>
      </c>
      <c r="S53" s="3" t="str">
        <f t="shared" si="3"/>
        <v>poker_table_0</v>
      </c>
      <c r="T53" s="3">
        <v>1</v>
      </c>
      <c r="U53" s="3">
        <v>0</v>
      </c>
      <c r="V53" s="3">
        <v>1</v>
      </c>
      <c r="W53" s="7"/>
      <c r="X53" s="27" t="s">
        <v>2843</v>
      </c>
      <c r="Y53" s="27" t="s">
        <v>2857</v>
      </c>
    </row>
    <row r="54" spans="1:25" x14ac:dyDescent="0.15">
      <c r="A54" s="3">
        <v>104024</v>
      </c>
      <c r="B54" s="27" t="s">
        <v>2849</v>
      </c>
      <c r="C54" s="3">
        <v>0</v>
      </c>
      <c r="D54" s="27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4">
        <v>0</v>
      </c>
      <c r="K54" s="3">
        <v>1</v>
      </c>
      <c r="L54" s="3" t="s">
        <v>36</v>
      </c>
      <c r="M54" s="3">
        <v>104</v>
      </c>
      <c r="N54" s="4" t="s">
        <v>89</v>
      </c>
      <c r="O54" s="3">
        <v>500</v>
      </c>
      <c r="P54" s="27" t="s">
        <v>2864</v>
      </c>
      <c r="Q54" s="27" t="s">
        <v>2851</v>
      </c>
      <c r="R54" s="3" t="str">
        <f t="shared" si="6"/>
        <v>ui_104024</v>
      </c>
      <c r="S54" s="3" t="str">
        <f t="shared" si="3"/>
        <v>poker_table1_0</v>
      </c>
      <c r="T54" s="3">
        <v>1</v>
      </c>
      <c r="U54" s="3">
        <v>0</v>
      </c>
      <c r="V54" s="3">
        <v>1</v>
      </c>
      <c r="W54" s="7"/>
      <c r="X54" s="27" t="s">
        <v>2849</v>
      </c>
      <c r="Y54" s="27" t="s">
        <v>2858</v>
      </c>
    </row>
    <row r="55" spans="1:25" x14ac:dyDescent="0.15">
      <c r="A55" s="3">
        <v>104025</v>
      </c>
      <c r="B55" s="27" t="s">
        <v>2850</v>
      </c>
      <c r="C55" s="3">
        <v>0</v>
      </c>
      <c r="D55" s="27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4">
        <v>0</v>
      </c>
      <c r="K55" s="3">
        <v>1</v>
      </c>
      <c r="L55" s="3" t="s">
        <v>36</v>
      </c>
      <c r="M55" s="3">
        <v>104</v>
      </c>
      <c r="N55" s="4" t="s">
        <v>89</v>
      </c>
      <c r="O55" s="3">
        <v>1000</v>
      </c>
      <c r="P55" s="27" t="s">
        <v>2864</v>
      </c>
      <c r="Q55" s="27" t="s">
        <v>2852</v>
      </c>
      <c r="R55" s="3" t="str">
        <f t="shared" si="6"/>
        <v>ui_104025</v>
      </c>
      <c r="S55" s="3" t="str">
        <f t="shared" si="3"/>
        <v>poker_table2_0</v>
      </c>
      <c r="T55" s="3">
        <v>1</v>
      </c>
      <c r="U55" s="3">
        <v>0</v>
      </c>
      <c r="V55" s="3">
        <v>1</v>
      </c>
      <c r="W55" s="7"/>
      <c r="X55" s="27" t="s">
        <v>2850</v>
      </c>
      <c r="Y55" s="27" t="s">
        <v>2859</v>
      </c>
    </row>
    <row r="56" spans="1:25" x14ac:dyDescent="0.15">
      <c r="A56" s="3">
        <v>104026</v>
      </c>
      <c r="B56" s="27" t="s">
        <v>2844</v>
      </c>
      <c r="C56" s="3">
        <v>0</v>
      </c>
      <c r="D56" s="27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4">
        <v>0</v>
      </c>
      <c r="K56" s="3">
        <v>1</v>
      </c>
      <c r="L56" s="3" t="s">
        <v>36</v>
      </c>
      <c r="M56" s="3">
        <v>104</v>
      </c>
      <c r="N56" s="4" t="s">
        <v>89</v>
      </c>
      <c r="O56" s="3">
        <v>0</v>
      </c>
      <c r="P56" s="3"/>
      <c r="Q56" s="27" t="s">
        <v>2846</v>
      </c>
      <c r="R56" s="3" t="str">
        <f t="shared" si="6"/>
        <v>ui_104026</v>
      </c>
      <c r="S56" s="3" t="str">
        <f t="shared" si="3"/>
        <v>roulette_wheel_0</v>
      </c>
      <c r="T56" s="3">
        <v>1</v>
      </c>
      <c r="U56" s="3">
        <v>0</v>
      </c>
      <c r="V56" s="3">
        <v>1</v>
      </c>
      <c r="W56" s="7"/>
      <c r="X56" s="27" t="s">
        <v>2844</v>
      </c>
      <c r="Y56" s="27" t="s">
        <v>2867</v>
      </c>
    </row>
    <row r="57" spans="1:25" x14ac:dyDescent="0.15">
      <c r="A57" s="3">
        <v>104027</v>
      </c>
      <c r="B57" s="27" t="s">
        <v>2845</v>
      </c>
      <c r="C57" s="3">
        <v>0</v>
      </c>
      <c r="D57" s="27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4">
        <v>0</v>
      </c>
      <c r="K57" s="3">
        <v>1</v>
      </c>
      <c r="L57" s="3" t="s">
        <v>36</v>
      </c>
      <c r="M57" s="3">
        <v>104</v>
      </c>
      <c r="N57" s="4" t="s">
        <v>89</v>
      </c>
      <c r="O57" s="3">
        <v>500</v>
      </c>
      <c r="P57" s="3" t="s">
        <v>107</v>
      </c>
      <c r="Q57" s="27" t="s">
        <v>2848</v>
      </c>
      <c r="R57" s="3" t="str">
        <f t="shared" si="6"/>
        <v>ui_104027</v>
      </c>
      <c r="S57" s="3" t="str">
        <f t="shared" si="3"/>
        <v>public_bath_0</v>
      </c>
      <c r="T57" s="3">
        <v>1</v>
      </c>
      <c r="U57" s="3">
        <v>0</v>
      </c>
      <c r="V57" s="3">
        <v>1</v>
      </c>
      <c r="W57" s="7"/>
      <c r="X57" s="27" t="s">
        <v>2845</v>
      </c>
      <c r="Y57" s="27" t="s">
        <v>2860</v>
      </c>
    </row>
    <row r="58" spans="1:25" x14ac:dyDescent="0.15">
      <c r="A58" s="3">
        <v>104028</v>
      </c>
      <c r="B58" s="27" t="s">
        <v>2908</v>
      </c>
      <c r="C58" s="3">
        <v>0</v>
      </c>
      <c r="D58" s="27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4">
        <v>0</v>
      </c>
      <c r="K58" s="3">
        <v>1</v>
      </c>
      <c r="L58" s="3" t="s">
        <v>36</v>
      </c>
      <c r="M58" s="3">
        <v>104</v>
      </c>
      <c r="N58" s="4" t="s">
        <v>89</v>
      </c>
      <c r="O58" s="3">
        <v>0</v>
      </c>
      <c r="P58" s="3"/>
      <c r="Q58" s="27" t="s">
        <v>2911</v>
      </c>
      <c r="R58" s="3" t="str">
        <f t="shared" si="6"/>
        <v>ui_104028</v>
      </c>
      <c r="S58" s="3" t="str">
        <f t="shared" si="3"/>
        <v>flowerpot1_0</v>
      </c>
      <c r="T58" s="3">
        <v>1</v>
      </c>
      <c r="U58" s="3">
        <v>0</v>
      </c>
      <c r="V58" s="3">
        <v>1</v>
      </c>
      <c r="W58" s="7"/>
      <c r="X58" s="27" t="s">
        <v>2908</v>
      </c>
      <c r="Y58" s="27" t="s">
        <v>2914</v>
      </c>
    </row>
    <row r="59" spans="1:25" x14ac:dyDescent="0.15">
      <c r="A59" s="3">
        <v>104029</v>
      </c>
      <c r="B59" s="27" t="s">
        <v>2909</v>
      </c>
      <c r="C59" s="3">
        <v>0</v>
      </c>
      <c r="D59" s="27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4">
        <v>0</v>
      </c>
      <c r="K59" s="3">
        <v>1</v>
      </c>
      <c r="L59" s="3" t="s">
        <v>36</v>
      </c>
      <c r="M59" s="3">
        <v>104</v>
      </c>
      <c r="N59" s="4" t="s">
        <v>89</v>
      </c>
      <c r="O59" s="3">
        <v>0</v>
      </c>
      <c r="P59" s="3"/>
      <c r="Q59" s="27" t="s">
        <v>2912</v>
      </c>
      <c r="R59" s="3" t="str">
        <f t="shared" si="6"/>
        <v>ui_104029</v>
      </c>
      <c r="S59" s="3" t="str">
        <f t="shared" si="3"/>
        <v>flowerpot2_0</v>
      </c>
      <c r="T59" s="3">
        <v>1</v>
      </c>
      <c r="U59" s="3">
        <v>0</v>
      </c>
      <c r="V59" s="3">
        <v>1</v>
      </c>
      <c r="W59" s="7"/>
      <c r="X59" s="27" t="s">
        <v>2909</v>
      </c>
      <c r="Y59" s="27" t="s">
        <v>2915</v>
      </c>
    </row>
    <row r="60" spans="1:25" x14ac:dyDescent="0.15">
      <c r="A60" s="3">
        <v>104030</v>
      </c>
      <c r="B60" s="27" t="s">
        <v>2910</v>
      </c>
      <c r="C60" s="3">
        <v>0</v>
      </c>
      <c r="D60" s="27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4">
        <v>0</v>
      </c>
      <c r="K60" s="3">
        <v>1</v>
      </c>
      <c r="L60" s="3" t="s">
        <v>36</v>
      </c>
      <c r="M60" s="3">
        <v>104</v>
      </c>
      <c r="N60" s="4" t="s">
        <v>89</v>
      </c>
      <c r="O60" s="3">
        <v>0</v>
      </c>
      <c r="P60" s="3"/>
      <c r="Q60" s="27" t="s">
        <v>2913</v>
      </c>
      <c r="R60" s="3" t="str">
        <f t="shared" si="6"/>
        <v>ui_104030</v>
      </c>
      <c r="S60" s="3" t="str">
        <f t="shared" si="3"/>
        <v>flowerpot3_0</v>
      </c>
      <c r="T60" s="3">
        <v>1</v>
      </c>
      <c r="U60" s="3">
        <v>0</v>
      </c>
      <c r="V60" s="3">
        <v>1</v>
      </c>
      <c r="W60" s="7"/>
      <c r="X60" s="27" t="s">
        <v>2910</v>
      </c>
      <c r="Y60" s="27" t="s">
        <v>2916</v>
      </c>
    </row>
    <row r="61" spans="1:25" x14ac:dyDescent="0.15">
      <c r="A61" s="3">
        <v>104031</v>
      </c>
      <c r="B61" s="27" t="s">
        <v>3592</v>
      </c>
      <c r="C61" s="3">
        <v>0</v>
      </c>
      <c r="D61" s="27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4">
        <v>0</v>
      </c>
      <c r="K61" s="3">
        <v>1</v>
      </c>
      <c r="L61" s="3" t="s">
        <v>36</v>
      </c>
      <c r="M61" s="3">
        <v>104</v>
      </c>
      <c r="N61" s="4" t="s">
        <v>89</v>
      </c>
      <c r="O61" s="3">
        <v>0</v>
      </c>
      <c r="P61" s="3"/>
      <c r="Q61" s="27" t="s">
        <v>3590</v>
      </c>
      <c r="R61" s="3" t="str">
        <f t="shared" ref="R61" si="7">CONCATENATE("ui_",A61,"")</f>
        <v>ui_104031</v>
      </c>
      <c r="S61" s="3" t="str">
        <f t="shared" ref="S61" si="8">CONCATENATE(Q61,"_0")</f>
        <v>wooden_sign_0</v>
      </c>
      <c r="T61" s="3">
        <v>1</v>
      </c>
      <c r="U61" s="3">
        <v>0</v>
      </c>
      <c r="V61" s="3">
        <v>1</v>
      </c>
      <c r="W61" s="7"/>
      <c r="X61" s="27" t="s">
        <v>3592</v>
      </c>
      <c r="Y61" s="27" t="s">
        <v>3591</v>
      </c>
    </row>
    <row r="62" spans="1:25" x14ac:dyDescent="0.15">
      <c r="A62" s="3">
        <v>105001</v>
      </c>
      <c r="B62" s="3" t="s">
        <v>125</v>
      </c>
      <c r="C62" s="3">
        <v>0</v>
      </c>
      <c r="D62" s="27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4">
        <v>0</v>
      </c>
      <c r="K62" s="3">
        <v>1</v>
      </c>
      <c r="L62" s="3" t="s">
        <v>36</v>
      </c>
      <c r="M62" s="3">
        <v>105</v>
      </c>
      <c r="N62" s="4" t="s">
        <v>126</v>
      </c>
      <c r="O62" s="3">
        <v>0</v>
      </c>
      <c r="P62" s="3"/>
      <c r="Q62" s="3" t="s">
        <v>127</v>
      </c>
      <c r="R62" s="3" t="str">
        <f t="shared" si="6"/>
        <v>ui_105001</v>
      </c>
      <c r="S62" s="3" t="str">
        <f t="shared" si="3"/>
        <v>crop_field_0</v>
      </c>
      <c r="T62" s="3">
        <v>1</v>
      </c>
      <c r="U62" s="3">
        <v>0</v>
      </c>
      <c r="V62" s="3">
        <v>1</v>
      </c>
      <c r="W62" s="7"/>
      <c r="X62" s="3" t="s">
        <v>125</v>
      </c>
      <c r="Y62" s="3" t="s">
        <v>128</v>
      </c>
    </row>
    <row r="63" spans="1:25" x14ac:dyDescent="0.15">
      <c r="A63" s="3">
        <v>105002</v>
      </c>
      <c r="B63" s="3" t="s">
        <v>129</v>
      </c>
      <c r="C63" s="3">
        <v>0</v>
      </c>
      <c r="D63" s="27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4">
        <v>0</v>
      </c>
      <c r="K63" s="3">
        <v>1</v>
      </c>
      <c r="L63" s="3" t="s">
        <v>36</v>
      </c>
      <c r="M63" s="3">
        <v>105</v>
      </c>
      <c r="N63" s="4" t="s">
        <v>126</v>
      </c>
      <c r="O63" s="3">
        <v>0</v>
      </c>
      <c r="P63" s="3"/>
      <c r="Q63" s="3" t="s">
        <v>130</v>
      </c>
      <c r="R63" s="3" t="str">
        <f t="shared" si="6"/>
        <v>ui_105002</v>
      </c>
      <c r="S63" s="3" t="str">
        <f t="shared" si="3"/>
        <v>orchard_0</v>
      </c>
      <c r="T63" s="3">
        <v>1</v>
      </c>
      <c r="U63" s="3">
        <v>0</v>
      </c>
      <c r="V63" s="3">
        <v>1</v>
      </c>
      <c r="W63" s="7"/>
      <c r="X63" s="3" t="s">
        <v>129</v>
      </c>
      <c r="Y63" s="3" t="s">
        <v>131</v>
      </c>
    </row>
    <row r="64" spans="1:25" x14ac:dyDescent="0.15">
      <c r="A64" s="3">
        <v>105003</v>
      </c>
      <c r="B64" s="3" t="s">
        <v>132</v>
      </c>
      <c r="C64" s="3">
        <v>0</v>
      </c>
      <c r="D64" s="27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4">
        <v>0</v>
      </c>
      <c r="K64" s="3">
        <v>1</v>
      </c>
      <c r="L64" s="3" t="s">
        <v>36</v>
      </c>
      <c r="M64" s="3">
        <v>105</v>
      </c>
      <c r="N64" s="4" t="s">
        <v>126</v>
      </c>
      <c r="O64" s="3">
        <v>0</v>
      </c>
      <c r="P64" s="3"/>
      <c r="Q64" s="3" t="s">
        <v>133</v>
      </c>
      <c r="R64" s="3" t="str">
        <f t="shared" si="6"/>
        <v>ui_105003</v>
      </c>
      <c r="S64" s="3" t="str">
        <f t="shared" si="3"/>
        <v>pasture_0</v>
      </c>
      <c r="T64" s="3">
        <v>1</v>
      </c>
      <c r="U64" s="3">
        <v>0</v>
      </c>
      <c r="V64" s="3">
        <v>1</v>
      </c>
      <c r="W64" s="7"/>
      <c r="X64" s="3" t="s">
        <v>132</v>
      </c>
      <c r="Y64" s="3" t="s">
        <v>134</v>
      </c>
    </row>
    <row r="65" spans="1:25" x14ac:dyDescent="0.15">
      <c r="A65" s="3">
        <v>105004</v>
      </c>
      <c r="B65" s="3" t="s">
        <v>135</v>
      </c>
      <c r="C65" s="3">
        <v>0</v>
      </c>
      <c r="D65" s="27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4">
        <v>0</v>
      </c>
      <c r="K65" s="3">
        <v>1</v>
      </c>
      <c r="L65" s="3" t="s">
        <v>36</v>
      </c>
      <c r="M65" s="3">
        <v>105</v>
      </c>
      <c r="N65" s="4" t="s">
        <v>126</v>
      </c>
      <c r="O65" s="3">
        <v>30</v>
      </c>
      <c r="P65" s="3" t="s">
        <v>136</v>
      </c>
      <c r="Q65" s="3" t="s">
        <v>137</v>
      </c>
      <c r="R65" s="3" t="str">
        <f t="shared" si="6"/>
        <v>ui_105004</v>
      </c>
      <c r="S65" s="3" t="str">
        <f t="shared" si="3"/>
        <v>fishing_dock_0</v>
      </c>
      <c r="T65" s="3">
        <v>1</v>
      </c>
      <c r="U65" s="3">
        <v>0</v>
      </c>
      <c r="V65" s="3">
        <v>1</v>
      </c>
      <c r="W65" s="7"/>
      <c r="X65" s="3" t="s">
        <v>135</v>
      </c>
      <c r="Y65" s="3" t="s">
        <v>138</v>
      </c>
    </row>
    <row r="66" spans="1:25" x14ac:dyDescent="0.15">
      <c r="A66" s="3">
        <v>105005</v>
      </c>
      <c r="B66" s="3" t="s">
        <v>139</v>
      </c>
      <c r="C66" s="3">
        <v>0</v>
      </c>
      <c r="D66" s="27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4">
        <v>0</v>
      </c>
      <c r="K66" s="3">
        <v>1</v>
      </c>
      <c r="L66" s="3" t="s">
        <v>36</v>
      </c>
      <c r="M66" s="3">
        <v>105</v>
      </c>
      <c r="N66" s="4" t="s">
        <v>126</v>
      </c>
      <c r="O66" s="3">
        <v>0</v>
      </c>
      <c r="P66" s="3"/>
      <c r="Q66" s="3" t="s">
        <v>140</v>
      </c>
      <c r="R66" s="3" t="str">
        <f t="shared" si="6"/>
        <v>ui_105005</v>
      </c>
      <c r="S66" s="3" t="str">
        <f t="shared" si="3"/>
        <v>hunting_cabin_0</v>
      </c>
      <c r="T66" s="3">
        <v>1</v>
      </c>
      <c r="U66" s="3">
        <v>0</v>
      </c>
      <c r="V66" s="3">
        <v>1</v>
      </c>
      <c r="W66" s="7"/>
      <c r="X66" s="3" t="s">
        <v>139</v>
      </c>
      <c r="Y66" s="27" t="s">
        <v>2738</v>
      </c>
    </row>
    <row r="67" spans="1:25" x14ac:dyDescent="0.15">
      <c r="A67" s="3">
        <v>105006</v>
      </c>
      <c r="B67" s="3" t="s">
        <v>141</v>
      </c>
      <c r="C67" s="3">
        <v>0</v>
      </c>
      <c r="D67" s="27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4">
        <v>0</v>
      </c>
      <c r="K67" s="3">
        <v>1</v>
      </c>
      <c r="L67" s="3" t="s">
        <v>36</v>
      </c>
      <c r="M67" s="3">
        <v>105</v>
      </c>
      <c r="N67" s="4" t="s">
        <v>126</v>
      </c>
      <c r="O67" s="3">
        <v>0</v>
      </c>
      <c r="P67" s="3"/>
      <c r="Q67" s="3" t="s">
        <v>142</v>
      </c>
      <c r="R67" s="3" t="str">
        <f t="shared" si="6"/>
        <v>ui_105006</v>
      </c>
      <c r="S67" s="3" t="str">
        <f t="shared" si="3"/>
        <v>gatherers_hut_0</v>
      </c>
      <c r="T67" s="3">
        <v>1</v>
      </c>
      <c r="U67" s="3">
        <v>0</v>
      </c>
      <c r="V67" s="3">
        <v>1</v>
      </c>
      <c r="W67" s="7"/>
      <c r="X67" s="3" t="s">
        <v>141</v>
      </c>
      <c r="Y67" s="3" t="s">
        <v>143</v>
      </c>
    </row>
    <row r="68" spans="1:25" x14ac:dyDescent="0.15">
      <c r="A68" s="3">
        <v>105007</v>
      </c>
      <c r="B68" s="3" t="s">
        <v>144</v>
      </c>
      <c r="C68" s="3">
        <v>0</v>
      </c>
      <c r="D68" s="27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4">
        <v>0</v>
      </c>
      <c r="K68" s="3">
        <v>1</v>
      </c>
      <c r="L68" s="3" t="s">
        <v>36</v>
      </c>
      <c r="M68" s="3">
        <v>105</v>
      </c>
      <c r="N68" s="4" t="s">
        <v>126</v>
      </c>
      <c r="O68" s="3">
        <v>0</v>
      </c>
      <c r="P68" s="3"/>
      <c r="Q68" s="3" t="s">
        <v>145</v>
      </c>
      <c r="R68" s="3" t="str">
        <f t="shared" si="6"/>
        <v>ui_105007</v>
      </c>
      <c r="S68" s="3" t="str">
        <f t="shared" si="3"/>
        <v>wood_cutter_0</v>
      </c>
      <c r="T68" s="3">
        <v>1</v>
      </c>
      <c r="U68" s="3">
        <v>0</v>
      </c>
      <c r="V68" s="3">
        <v>1</v>
      </c>
      <c r="W68" s="7"/>
      <c r="X68" s="3" t="s">
        <v>144</v>
      </c>
      <c r="Y68" s="27" t="s">
        <v>2101</v>
      </c>
    </row>
    <row r="69" spans="1:25" x14ac:dyDescent="0.15">
      <c r="A69" s="3">
        <v>105008</v>
      </c>
      <c r="B69" s="3" t="s">
        <v>146</v>
      </c>
      <c r="C69" s="3">
        <v>0</v>
      </c>
      <c r="D69" s="27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4">
        <v>0</v>
      </c>
      <c r="K69" s="3">
        <v>1</v>
      </c>
      <c r="L69" s="3" t="s">
        <v>36</v>
      </c>
      <c r="M69" s="3">
        <v>105</v>
      </c>
      <c r="N69" s="4" t="s">
        <v>126</v>
      </c>
      <c r="O69" s="3">
        <v>0</v>
      </c>
      <c r="P69" s="3"/>
      <c r="Q69" s="3" t="s">
        <v>147</v>
      </c>
      <c r="R69" s="3" t="str">
        <f t="shared" ref="R69:R100" si="9">CONCATENATE("ui_",A69,"")</f>
        <v>ui_105008</v>
      </c>
      <c r="S69" s="3" t="str">
        <f t="shared" si="3"/>
        <v>forester_lodge_0</v>
      </c>
      <c r="T69" s="3">
        <v>1</v>
      </c>
      <c r="U69" s="3">
        <v>0</v>
      </c>
      <c r="V69" s="3">
        <v>1</v>
      </c>
      <c r="W69" s="7"/>
      <c r="X69" s="3" t="s">
        <v>146</v>
      </c>
      <c r="Y69" s="27" t="s">
        <v>2105</v>
      </c>
    </row>
    <row r="70" spans="1:25" x14ac:dyDescent="0.15">
      <c r="A70" s="3">
        <v>105009</v>
      </c>
      <c r="B70" s="3" t="s">
        <v>148</v>
      </c>
      <c r="C70" s="3">
        <v>0</v>
      </c>
      <c r="D70" s="27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4">
        <v>0</v>
      </c>
      <c r="K70" s="3">
        <v>1</v>
      </c>
      <c r="L70" s="3" t="s">
        <v>36</v>
      </c>
      <c r="M70" s="3">
        <v>105</v>
      </c>
      <c r="N70" s="4" t="s">
        <v>126</v>
      </c>
      <c r="O70" s="3">
        <v>0</v>
      </c>
      <c r="P70" s="3"/>
      <c r="Q70" s="3" t="s">
        <v>149</v>
      </c>
      <c r="R70" s="3" t="str">
        <f t="shared" si="9"/>
        <v>ui_105009</v>
      </c>
      <c r="S70" s="3" t="str">
        <f t="shared" ref="S70:S138" si="10">CONCATENATE(Q70,"_0")</f>
        <v>herbalist_0</v>
      </c>
      <c r="T70" s="3">
        <v>1</v>
      </c>
      <c r="U70" s="3">
        <v>0</v>
      </c>
      <c r="V70" s="3">
        <v>1</v>
      </c>
      <c r="W70" s="7"/>
      <c r="X70" s="3" t="s">
        <v>148</v>
      </c>
      <c r="Y70" s="27" t="s">
        <v>150</v>
      </c>
    </row>
    <row r="71" spans="1:25" x14ac:dyDescent="0.15">
      <c r="A71" s="3">
        <v>105010</v>
      </c>
      <c r="B71" s="27" t="s">
        <v>3554</v>
      </c>
      <c r="C71" s="3">
        <v>0</v>
      </c>
      <c r="D71" s="27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4">
        <v>0</v>
      </c>
      <c r="K71" s="3">
        <v>1</v>
      </c>
      <c r="L71" s="3" t="s">
        <v>36</v>
      </c>
      <c r="M71" s="3">
        <v>105</v>
      </c>
      <c r="N71" s="4" t="s">
        <v>126</v>
      </c>
      <c r="O71" s="3">
        <v>0</v>
      </c>
      <c r="P71" s="3"/>
      <c r="Q71" s="3" t="s">
        <v>1888</v>
      </c>
      <c r="R71" s="3" t="str">
        <f t="shared" si="9"/>
        <v>ui_105010</v>
      </c>
      <c r="S71" s="3" t="str">
        <f t="shared" si="10"/>
        <v>workbench_0</v>
      </c>
      <c r="T71" s="3">
        <v>1</v>
      </c>
      <c r="U71" s="3">
        <v>0</v>
      </c>
      <c r="V71" s="3">
        <v>1</v>
      </c>
      <c r="W71" s="7"/>
      <c r="X71" s="3" t="s">
        <v>151</v>
      </c>
      <c r="Y71" s="3" t="s">
        <v>152</v>
      </c>
    </row>
    <row r="72" spans="1:25" x14ac:dyDescent="0.15">
      <c r="A72" s="3">
        <v>105011</v>
      </c>
      <c r="B72" s="3" t="s">
        <v>153</v>
      </c>
      <c r="C72" s="3">
        <v>0</v>
      </c>
      <c r="D72" s="27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4">
        <v>0</v>
      </c>
      <c r="K72" s="3">
        <v>1</v>
      </c>
      <c r="L72" s="3" t="s">
        <v>36</v>
      </c>
      <c r="M72" s="3">
        <v>105</v>
      </c>
      <c r="N72" s="4" t="s">
        <v>126</v>
      </c>
      <c r="O72" s="3">
        <v>0</v>
      </c>
      <c r="P72" s="3"/>
      <c r="Q72" s="27" t="s">
        <v>2794</v>
      </c>
      <c r="R72" s="3" t="str">
        <f t="shared" si="9"/>
        <v>ui_105011</v>
      </c>
      <c r="S72" s="3" t="str">
        <f t="shared" si="10"/>
        <v>tailor_0</v>
      </c>
      <c r="T72" s="3">
        <v>1</v>
      </c>
      <c r="U72" s="3">
        <v>0</v>
      </c>
      <c r="V72" s="3">
        <v>1</v>
      </c>
      <c r="W72" s="7"/>
      <c r="X72" s="3" t="s">
        <v>153</v>
      </c>
      <c r="Y72" s="3" t="s">
        <v>154</v>
      </c>
    </row>
    <row r="73" spans="1:25" x14ac:dyDescent="0.15">
      <c r="A73" s="3">
        <v>105012</v>
      </c>
      <c r="B73" s="27" t="s">
        <v>2617</v>
      </c>
      <c r="C73" s="3">
        <v>0</v>
      </c>
      <c r="D73" s="27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4">
        <v>0</v>
      </c>
      <c r="K73" s="3">
        <v>1</v>
      </c>
      <c r="L73" s="3" t="s">
        <v>36</v>
      </c>
      <c r="M73" s="3">
        <v>105</v>
      </c>
      <c r="N73" s="4" t="s">
        <v>126</v>
      </c>
      <c r="O73" s="3">
        <v>0</v>
      </c>
      <c r="P73" s="3"/>
      <c r="Q73" s="3" t="s">
        <v>156</v>
      </c>
      <c r="R73" s="3" t="str">
        <f t="shared" si="9"/>
        <v>ui_105012</v>
      </c>
      <c r="S73" s="3" t="str">
        <f t="shared" si="10"/>
        <v>tavern_0</v>
      </c>
      <c r="T73" s="3">
        <v>1</v>
      </c>
      <c r="U73" s="3">
        <v>0</v>
      </c>
      <c r="V73" s="3">
        <v>1</v>
      </c>
      <c r="W73" s="7"/>
      <c r="X73" s="3" t="s">
        <v>155</v>
      </c>
      <c r="Y73" s="3" t="s">
        <v>157</v>
      </c>
    </row>
    <row r="74" spans="1:25" x14ac:dyDescent="0.15">
      <c r="A74" s="3">
        <v>105013</v>
      </c>
      <c r="B74" s="3" t="s">
        <v>158</v>
      </c>
      <c r="C74" s="3">
        <v>0</v>
      </c>
      <c r="D74" s="27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4">
        <v>0</v>
      </c>
      <c r="K74" s="3">
        <v>1</v>
      </c>
      <c r="L74" s="3" t="s">
        <v>36</v>
      </c>
      <c r="M74" s="3">
        <v>105</v>
      </c>
      <c r="N74" s="4" t="s">
        <v>126</v>
      </c>
      <c r="O74" s="3">
        <v>200</v>
      </c>
      <c r="P74" s="3" t="s">
        <v>136</v>
      </c>
      <c r="Q74" s="3" t="s">
        <v>159</v>
      </c>
      <c r="R74" s="3" t="str">
        <f t="shared" si="9"/>
        <v>ui_105013</v>
      </c>
      <c r="S74" s="3" t="str">
        <f t="shared" si="10"/>
        <v>mine_0</v>
      </c>
      <c r="T74" s="3">
        <v>1</v>
      </c>
      <c r="U74" s="3">
        <v>0</v>
      </c>
      <c r="V74" s="3">
        <v>1</v>
      </c>
      <c r="W74" s="7"/>
      <c r="X74" s="3" t="s">
        <v>158</v>
      </c>
      <c r="Y74" s="27" t="s">
        <v>2126</v>
      </c>
    </row>
    <row r="75" spans="1:25" x14ac:dyDescent="0.15">
      <c r="A75" s="3">
        <v>105014</v>
      </c>
      <c r="B75" s="3" t="s">
        <v>160</v>
      </c>
      <c r="C75" s="3">
        <v>0</v>
      </c>
      <c r="D75" s="27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4">
        <v>0</v>
      </c>
      <c r="K75" s="3">
        <v>1</v>
      </c>
      <c r="L75" s="3" t="s">
        <v>36</v>
      </c>
      <c r="M75" s="3">
        <v>105</v>
      </c>
      <c r="N75" s="4" t="s">
        <v>126</v>
      </c>
      <c r="O75" s="3">
        <v>15000</v>
      </c>
      <c r="P75" s="3" t="s">
        <v>161</v>
      </c>
      <c r="Q75" s="3" t="s">
        <v>162</v>
      </c>
      <c r="R75" s="3" t="str">
        <f t="shared" si="9"/>
        <v>ui_105014</v>
      </c>
      <c r="S75" s="3" t="str">
        <f t="shared" si="10"/>
        <v>quarry_0</v>
      </c>
      <c r="T75" s="3">
        <v>1</v>
      </c>
      <c r="U75" s="3">
        <v>0</v>
      </c>
      <c r="V75" s="3">
        <v>1</v>
      </c>
      <c r="W75" s="7"/>
      <c r="X75" s="3" t="s">
        <v>160</v>
      </c>
      <c r="Y75" s="27" t="s">
        <v>2127</v>
      </c>
    </row>
    <row r="76" spans="1:25" x14ac:dyDescent="0.15">
      <c r="A76" s="3">
        <v>105015</v>
      </c>
      <c r="B76" s="3" t="s">
        <v>163</v>
      </c>
      <c r="C76" s="3">
        <v>0</v>
      </c>
      <c r="D76" s="27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4">
        <v>0</v>
      </c>
      <c r="K76" s="3">
        <v>1</v>
      </c>
      <c r="L76" s="3" t="s">
        <v>36</v>
      </c>
      <c r="M76" s="3">
        <v>105</v>
      </c>
      <c r="N76" s="4" t="s">
        <v>126</v>
      </c>
      <c r="O76" s="3">
        <v>0</v>
      </c>
      <c r="P76" s="3"/>
      <c r="Q76" s="3" t="s">
        <v>164</v>
      </c>
      <c r="R76" s="3" t="str">
        <f t="shared" si="9"/>
        <v>ui_105015</v>
      </c>
      <c r="S76" s="3" t="str">
        <f t="shared" si="10"/>
        <v>compost_0</v>
      </c>
      <c r="T76" s="3">
        <v>1</v>
      </c>
      <c r="U76" s="3">
        <v>0</v>
      </c>
      <c r="V76" s="3">
        <v>1</v>
      </c>
      <c r="W76" s="7"/>
      <c r="X76" s="3" t="s">
        <v>163</v>
      </c>
      <c r="Y76" s="3" t="s">
        <v>165</v>
      </c>
    </row>
    <row r="77" spans="1:25" x14ac:dyDescent="0.15">
      <c r="A77" s="3">
        <v>105016</v>
      </c>
      <c r="B77" s="3" t="s">
        <v>166</v>
      </c>
      <c r="C77" s="3">
        <v>0</v>
      </c>
      <c r="D77" s="27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4">
        <v>0</v>
      </c>
      <c r="K77" s="3">
        <v>1</v>
      </c>
      <c r="L77" s="3" t="s">
        <v>36</v>
      </c>
      <c r="M77" s="3">
        <v>105</v>
      </c>
      <c r="N77" s="4" t="s">
        <v>126</v>
      </c>
      <c r="O77" s="3">
        <v>10</v>
      </c>
      <c r="P77" s="3" t="s">
        <v>167</v>
      </c>
      <c r="Q77" s="3" t="s">
        <v>168</v>
      </c>
      <c r="R77" s="3" t="str">
        <f t="shared" si="9"/>
        <v>ui_105016</v>
      </c>
      <c r="S77" s="3" t="str">
        <f t="shared" si="10"/>
        <v>cook_table_0</v>
      </c>
      <c r="T77" s="3">
        <v>1</v>
      </c>
      <c r="U77" s="3">
        <v>0</v>
      </c>
      <c r="V77" s="3">
        <v>1</v>
      </c>
      <c r="W77" s="7"/>
      <c r="X77" s="3" t="s">
        <v>166</v>
      </c>
      <c r="Y77" s="3" t="s">
        <v>169</v>
      </c>
    </row>
    <row r="78" spans="1:25" x14ac:dyDescent="0.15">
      <c r="A78" s="3">
        <v>105017</v>
      </c>
      <c r="B78" s="3" t="s">
        <v>170</v>
      </c>
      <c r="C78" s="3">
        <v>0</v>
      </c>
      <c r="D78" s="27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4">
        <v>0</v>
      </c>
      <c r="K78" s="3">
        <v>1</v>
      </c>
      <c r="L78" s="3" t="s">
        <v>36</v>
      </c>
      <c r="M78" s="3">
        <v>105</v>
      </c>
      <c r="N78" s="4" t="s">
        <v>126</v>
      </c>
      <c r="O78" s="3">
        <v>0</v>
      </c>
      <c r="P78" s="3"/>
      <c r="Q78" s="3" t="s">
        <v>171</v>
      </c>
      <c r="R78" s="3" t="str">
        <f t="shared" si="9"/>
        <v>ui_105017</v>
      </c>
      <c r="S78" s="3" t="str">
        <f t="shared" si="10"/>
        <v>trap_0</v>
      </c>
      <c r="T78" s="3">
        <v>1</v>
      </c>
      <c r="U78" s="3">
        <v>0</v>
      </c>
      <c r="V78" s="3">
        <v>1</v>
      </c>
      <c r="W78" s="7"/>
      <c r="X78" s="3" t="s">
        <v>170</v>
      </c>
      <c r="Y78" s="3" t="s">
        <v>172</v>
      </c>
    </row>
    <row r="79" spans="1:25" x14ac:dyDescent="0.15">
      <c r="A79" s="3">
        <v>105018</v>
      </c>
      <c r="B79" s="3" t="s">
        <v>173</v>
      </c>
      <c r="C79" s="3">
        <v>0</v>
      </c>
      <c r="D79" s="27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4">
        <v>0</v>
      </c>
      <c r="K79" s="3">
        <v>1</v>
      </c>
      <c r="L79" s="3" t="s">
        <v>36</v>
      </c>
      <c r="M79" s="3">
        <v>105</v>
      </c>
      <c r="N79" s="4" t="s">
        <v>126</v>
      </c>
      <c r="O79" s="3">
        <v>0</v>
      </c>
      <c r="P79" s="3"/>
      <c r="Q79" s="3" t="s">
        <v>174</v>
      </c>
      <c r="R79" s="3" t="str">
        <f t="shared" si="9"/>
        <v>ui_105018</v>
      </c>
      <c r="S79" s="3" t="str">
        <f t="shared" si="10"/>
        <v>crab_pot_0</v>
      </c>
      <c r="T79" s="3">
        <v>1</v>
      </c>
      <c r="U79" s="3">
        <v>0</v>
      </c>
      <c r="V79" s="3">
        <v>1</v>
      </c>
      <c r="W79" s="7"/>
      <c r="X79" s="3" t="s">
        <v>173</v>
      </c>
      <c r="Y79" s="3" t="s">
        <v>175</v>
      </c>
    </row>
    <row r="80" spans="1:25" x14ac:dyDescent="0.15">
      <c r="A80" s="3">
        <v>105019</v>
      </c>
      <c r="B80" s="41" t="s">
        <v>2618</v>
      </c>
      <c r="C80" s="3">
        <v>0</v>
      </c>
      <c r="D80" s="27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4">
        <v>0</v>
      </c>
      <c r="K80" s="3">
        <v>1</v>
      </c>
      <c r="L80" s="3" t="s">
        <v>36</v>
      </c>
      <c r="M80" s="3">
        <v>105</v>
      </c>
      <c r="N80" s="4" t="s">
        <v>126</v>
      </c>
      <c r="O80" s="3">
        <v>0</v>
      </c>
      <c r="P80" s="3"/>
      <c r="Q80" s="3" t="s">
        <v>177</v>
      </c>
      <c r="R80" s="3" t="str">
        <f t="shared" si="9"/>
        <v>ui_105019</v>
      </c>
      <c r="S80" s="3" t="str">
        <f t="shared" si="10"/>
        <v>water_point_0</v>
      </c>
      <c r="T80" s="3">
        <v>1</v>
      </c>
      <c r="U80" s="3">
        <v>0</v>
      </c>
      <c r="V80" s="3">
        <v>1</v>
      </c>
      <c r="W80" s="7"/>
      <c r="X80" s="3" t="s">
        <v>176</v>
      </c>
      <c r="Y80" s="3" t="s">
        <v>178</v>
      </c>
    </row>
    <row r="81" spans="1:25" x14ac:dyDescent="0.15">
      <c r="A81" s="3">
        <v>105020</v>
      </c>
      <c r="B81" s="6" t="s">
        <v>179</v>
      </c>
      <c r="C81" s="3">
        <v>0</v>
      </c>
      <c r="D81" s="27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4">
        <v>0</v>
      </c>
      <c r="K81" s="3">
        <v>1</v>
      </c>
      <c r="L81" s="3" t="s">
        <v>36</v>
      </c>
      <c r="M81" s="3">
        <v>105</v>
      </c>
      <c r="N81" s="4" t="s">
        <v>126</v>
      </c>
      <c r="O81" s="3">
        <v>50</v>
      </c>
      <c r="P81" s="3"/>
      <c r="Q81" s="3" t="s">
        <v>180</v>
      </c>
      <c r="R81" s="3" t="str">
        <f t="shared" si="9"/>
        <v>ui_105020</v>
      </c>
      <c r="S81" s="3" t="str">
        <f t="shared" si="10"/>
        <v>quarry_point_0</v>
      </c>
      <c r="T81" s="3">
        <v>1</v>
      </c>
      <c r="U81" s="3">
        <v>0</v>
      </c>
      <c r="V81" s="3">
        <v>1</v>
      </c>
      <c r="W81" s="7"/>
      <c r="X81" s="3" t="s">
        <v>179</v>
      </c>
      <c r="Y81" s="3" t="s">
        <v>181</v>
      </c>
    </row>
    <row r="82" spans="1:25" x14ac:dyDescent="0.15">
      <c r="A82" s="3">
        <v>105021</v>
      </c>
      <c r="B82" s="6" t="s">
        <v>182</v>
      </c>
      <c r="C82" s="3">
        <v>0</v>
      </c>
      <c r="D82" s="27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4">
        <v>0</v>
      </c>
      <c r="K82" s="3">
        <v>1</v>
      </c>
      <c r="L82" s="3" t="s">
        <v>36</v>
      </c>
      <c r="M82" s="3">
        <v>105</v>
      </c>
      <c r="N82" s="4" t="s">
        <v>126</v>
      </c>
      <c r="O82" s="3">
        <v>100</v>
      </c>
      <c r="P82" s="3"/>
      <c r="Q82" s="3" t="s">
        <v>183</v>
      </c>
      <c r="R82" s="3" t="str">
        <f t="shared" si="9"/>
        <v>ui_105021</v>
      </c>
      <c r="S82" s="3" t="str">
        <f t="shared" si="10"/>
        <v>trenching_point_0</v>
      </c>
      <c r="T82" s="3">
        <v>1</v>
      </c>
      <c r="U82" s="3">
        <v>0</v>
      </c>
      <c r="V82" s="3">
        <v>1</v>
      </c>
      <c r="W82" s="7"/>
      <c r="X82" s="3" t="s">
        <v>182</v>
      </c>
      <c r="Y82" s="3" t="s">
        <v>184</v>
      </c>
    </row>
    <row r="83" spans="1:25" x14ac:dyDescent="0.15">
      <c r="A83" s="3">
        <v>105022</v>
      </c>
      <c r="B83" s="6" t="s">
        <v>185</v>
      </c>
      <c r="C83" s="3">
        <v>0</v>
      </c>
      <c r="D83" s="27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4">
        <v>0</v>
      </c>
      <c r="K83" s="3">
        <v>1</v>
      </c>
      <c r="L83" s="3" t="s">
        <v>36</v>
      </c>
      <c r="M83" s="3">
        <v>105</v>
      </c>
      <c r="N83" s="4" t="s">
        <v>126</v>
      </c>
      <c r="O83" s="3">
        <v>100</v>
      </c>
      <c r="P83" s="3"/>
      <c r="Q83" s="3" t="s">
        <v>186</v>
      </c>
      <c r="R83" s="3" t="str">
        <f t="shared" si="9"/>
        <v>ui_105022</v>
      </c>
      <c r="S83" s="3" t="str">
        <f t="shared" si="10"/>
        <v>landmaking_point_0</v>
      </c>
      <c r="T83" s="3">
        <v>1</v>
      </c>
      <c r="U83" s="3">
        <v>0</v>
      </c>
      <c r="V83" s="3">
        <v>1</v>
      </c>
      <c r="W83" s="7"/>
      <c r="X83" s="3" t="s">
        <v>185</v>
      </c>
      <c r="Y83" s="3" t="s">
        <v>187</v>
      </c>
    </row>
    <row r="84" spans="1:25" x14ac:dyDescent="0.15">
      <c r="A84" s="3">
        <v>105023</v>
      </c>
      <c r="B84" s="3" t="s">
        <v>188</v>
      </c>
      <c r="C84" s="3">
        <v>0</v>
      </c>
      <c r="D84" s="27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4">
        <v>0</v>
      </c>
      <c r="K84" s="3">
        <v>1</v>
      </c>
      <c r="L84" s="3" t="s">
        <v>36</v>
      </c>
      <c r="M84" s="3">
        <v>105</v>
      </c>
      <c r="N84" s="4" t="s">
        <v>126</v>
      </c>
      <c r="O84" s="3">
        <v>12</v>
      </c>
      <c r="P84" s="3" t="s">
        <v>189</v>
      </c>
      <c r="Q84" s="3" t="s">
        <v>190</v>
      </c>
      <c r="R84" s="3" t="str">
        <f t="shared" si="9"/>
        <v>ui_105023</v>
      </c>
      <c r="S84" s="3" t="str">
        <f t="shared" si="10"/>
        <v>hive_0</v>
      </c>
      <c r="T84" s="3">
        <v>1</v>
      </c>
      <c r="U84" s="3">
        <v>0</v>
      </c>
      <c r="V84" s="3">
        <v>1</v>
      </c>
      <c r="W84" s="7"/>
      <c r="X84" s="3" t="s">
        <v>188</v>
      </c>
      <c r="Y84" s="27" t="s">
        <v>2106</v>
      </c>
    </row>
    <row r="85" spans="1:25" x14ac:dyDescent="0.15">
      <c r="A85" s="3">
        <v>105024</v>
      </c>
      <c r="B85" s="3" t="s">
        <v>191</v>
      </c>
      <c r="C85" s="3">
        <v>0</v>
      </c>
      <c r="D85" s="27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4">
        <v>0</v>
      </c>
      <c r="K85" s="3">
        <v>1</v>
      </c>
      <c r="L85" s="3" t="s">
        <v>36</v>
      </c>
      <c r="M85" s="3">
        <v>105</v>
      </c>
      <c r="N85" s="4" t="s">
        <v>126</v>
      </c>
      <c r="O85" s="3">
        <v>0</v>
      </c>
      <c r="P85" s="3"/>
      <c r="Q85" s="3" t="s">
        <v>192</v>
      </c>
      <c r="R85" s="3" t="str">
        <f t="shared" si="9"/>
        <v>ui_105024</v>
      </c>
      <c r="S85" s="3" t="str">
        <f t="shared" si="10"/>
        <v>statue_0</v>
      </c>
      <c r="T85" s="3">
        <v>1</v>
      </c>
      <c r="U85" s="3">
        <v>0</v>
      </c>
      <c r="V85" s="3">
        <v>1</v>
      </c>
      <c r="W85" s="7"/>
      <c r="X85" s="3" t="s">
        <v>191</v>
      </c>
      <c r="Y85" s="3" t="s">
        <v>193</v>
      </c>
    </row>
    <row r="86" spans="1:25" x14ac:dyDescent="0.15">
      <c r="A86" s="3">
        <v>105025</v>
      </c>
      <c r="B86" s="3" t="s">
        <v>1624</v>
      </c>
      <c r="C86" s="3">
        <v>0</v>
      </c>
      <c r="D86" s="27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4">
        <v>0</v>
      </c>
      <c r="K86" s="3">
        <v>1</v>
      </c>
      <c r="L86" s="3" t="s">
        <v>36</v>
      </c>
      <c r="M86" s="3">
        <v>105</v>
      </c>
      <c r="N86" s="4" t="s">
        <v>126</v>
      </c>
      <c r="O86" s="3">
        <v>10</v>
      </c>
      <c r="P86" s="27" t="s">
        <v>3290</v>
      </c>
      <c r="Q86" s="3" t="s">
        <v>1625</v>
      </c>
      <c r="R86" s="3" t="str">
        <f t="shared" si="9"/>
        <v>ui_105025</v>
      </c>
      <c r="S86" s="3" t="str">
        <f t="shared" si="10"/>
        <v>cauldron_0</v>
      </c>
      <c r="T86" s="3">
        <v>1</v>
      </c>
      <c r="U86" s="3">
        <v>0</v>
      </c>
      <c r="V86" s="3">
        <v>1</v>
      </c>
      <c r="W86" s="7"/>
      <c r="X86" s="3" t="s">
        <v>194</v>
      </c>
      <c r="Y86" s="3" t="s">
        <v>195</v>
      </c>
    </row>
    <row r="87" spans="1:25" x14ac:dyDescent="0.15">
      <c r="A87" s="3">
        <v>105026</v>
      </c>
      <c r="B87" s="3" t="s">
        <v>196</v>
      </c>
      <c r="C87" s="3">
        <v>0</v>
      </c>
      <c r="D87" s="27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4">
        <v>0</v>
      </c>
      <c r="K87" s="3">
        <v>1</v>
      </c>
      <c r="L87" s="3" t="s">
        <v>36</v>
      </c>
      <c r="M87" s="3">
        <v>105</v>
      </c>
      <c r="N87" s="4" t="s">
        <v>126</v>
      </c>
      <c r="O87" s="3">
        <v>0</v>
      </c>
      <c r="P87" s="3"/>
      <c r="Q87" s="3" t="s">
        <v>197</v>
      </c>
      <c r="R87" s="3" t="str">
        <f t="shared" si="9"/>
        <v>ui_105026</v>
      </c>
      <c r="S87" s="3" t="str">
        <f t="shared" si="10"/>
        <v>dock_0</v>
      </c>
      <c r="T87" s="3">
        <v>1</v>
      </c>
      <c r="U87" s="3">
        <v>0</v>
      </c>
      <c r="V87" s="3">
        <v>1</v>
      </c>
      <c r="W87" s="7"/>
      <c r="X87" s="3" t="s">
        <v>196</v>
      </c>
      <c r="Y87" s="3" t="s">
        <v>198</v>
      </c>
    </row>
    <row r="88" spans="1:25" x14ac:dyDescent="0.15">
      <c r="A88" s="3">
        <v>105027</v>
      </c>
      <c r="B88" s="6" t="s">
        <v>199</v>
      </c>
      <c r="C88" s="3">
        <v>0</v>
      </c>
      <c r="D88" s="27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4">
        <v>0</v>
      </c>
      <c r="K88" s="3">
        <v>1</v>
      </c>
      <c r="L88" s="3" t="s">
        <v>36</v>
      </c>
      <c r="M88" s="3">
        <v>105</v>
      </c>
      <c r="N88" s="4" t="s">
        <v>126</v>
      </c>
      <c r="O88" s="3">
        <v>0</v>
      </c>
      <c r="P88" s="3"/>
      <c r="Q88" s="3" t="s">
        <v>200</v>
      </c>
      <c r="R88" s="3" t="str">
        <f t="shared" si="9"/>
        <v>ui_105027</v>
      </c>
      <c r="S88" s="3" t="str">
        <f t="shared" si="10"/>
        <v>estuary_0</v>
      </c>
      <c r="T88" s="3">
        <v>1</v>
      </c>
      <c r="U88" s="3">
        <v>0</v>
      </c>
      <c r="V88" s="3">
        <v>1</v>
      </c>
      <c r="W88" s="7"/>
      <c r="X88" s="3" t="s">
        <v>199</v>
      </c>
      <c r="Y88" s="3" t="s">
        <v>201</v>
      </c>
    </row>
    <row r="89" spans="1:25" x14ac:dyDescent="0.15">
      <c r="A89" s="3">
        <v>105028</v>
      </c>
      <c r="B89" s="26" t="s">
        <v>1554</v>
      </c>
      <c r="C89" s="3">
        <v>0</v>
      </c>
      <c r="D89" s="27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4">
        <v>0</v>
      </c>
      <c r="K89" s="3">
        <v>1</v>
      </c>
      <c r="L89" s="3" t="s">
        <v>36</v>
      </c>
      <c r="M89" s="3">
        <v>105</v>
      </c>
      <c r="N89" s="4" t="s">
        <v>126</v>
      </c>
      <c r="O89" s="3">
        <v>50</v>
      </c>
      <c r="P89" s="27" t="s">
        <v>3290</v>
      </c>
      <c r="Q89" s="3" t="s">
        <v>203</v>
      </c>
      <c r="R89" s="3" t="str">
        <f t="shared" si="9"/>
        <v>ui_105028</v>
      </c>
      <c r="S89" s="3" t="str">
        <f t="shared" si="10"/>
        <v>furnace_0</v>
      </c>
      <c r="T89" s="3">
        <v>1</v>
      </c>
      <c r="U89" s="3">
        <v>0</v>
      </c>
      <c r="V89" s="3">
        <v>1</v>
      </c>
      <c r="W89" s="7"/>
      <c r="X89" s="3" t="s">
        <v>202</v>
      </c>
      <c r="Y89" s="3" t="s">
        <v>204</v>
      </c>
    </row>
    <row r="90" spans="1:25" x14ac:dyDescent="0.15">
      <c r="A90" s="3">
        <v>105029</v>
      </c>
      <c r="B90" s="27" t="s">
        <v>1879</v>
      </c>
      <c r="C90" s="3">
        <v>0</v>
      </c>
      <c r="D90" s="27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0</v>
      </c>
      <c r="K90" s="3">
        <v>1</v>
      </c>
      <c r="L90" s="3" t="s">
        <v>36</v>
      </c>
      <c r="M90" s="3">
        <v>105</v>
      </c>
      <c r="N90" s="4" t="s">
        <v>126</v>
      </c>
      <c r="O90" s="3"/>
      <c r="P90" s="3"/>
      <c r="Q90" s="27" t="s">
        <v>1880</v>
      </c>
      <c r="R90" s="3" t="str">
        <f t="shared" si="9"/>
        <v>ui_105029</v>
      </c>
      <c r="S90" s="3" t="str">
        <f t="shared" si="10"/>
        <v>mill_0</v>
      </c>
      <c r="T90" s="3">
        <v>1</v>
      </c>
      <c r="U90" s="3">
        <v>0</v>
      </c>
      <c r="V90" s="3">
        <v>1</v>
      </c>
      <c r="W90" s="7"/>
      <c r="X90" s="27" t="s">
        <v>1879</v>
      </c>
      <c r="Y90" s="27" t="s">
        <v>1881</v>
      </c>
    </row>
    <row r="91" spans="1:25" x14ac:dyDescent="0.15">
      <c r="A91" s="3">
        <v>105030</v>
      </c>
      <c r="B91" s="27" t="s">
        <v>1900</v>
      </c>
      <c r="C91" s="3">
        <v>0</v>
      </c>
      <c r="D91" s="27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4">
        <v>0</v>
      </c>
      <c r="K91" s="3">
        <v>1</v>
      </c>
      <c r="L91" s="3" t="s">
        <v>36</v>
      </c>
      <c r="M91" s="3">
        <v>105</v>
      </c>
      <c r="N91" s="4" t="s">
        <v>126</v>
      </c>
      <c r="O91" s="3"/>
      <c r="P91" s="3"/>
      <c r="Q91" s="27" t="s">
        <v>1901</v>
      </c>
      <c r="R91" s="3" t="str">
        <f t="shared" si="9"/>
        <v>ui_105030</v>
      </c>
      <c r="S91" s="3" t="str">
        <f t="shared" si="10"/>
        <v>mushroom_box_0</v>
      </c>
      <c r="T91" s="3">
        <v>1</v>
      </c>
      <c r="U91" s="3">
        <v>0</v>
      </c>
      <c r="V91" s="3">
        <v>1</v>
      </c>
      <c r="W91" s="7"/>
      <c r="X91" s="27" t="s">
        <v>1900</v>
      </c>
      <c r="Y91" s="27" t="s">
        <v>1902</v>
      </c>
    </row>
    <row r="92" spans="1:25" x14ac:dyDescent="0.15">
      <c r="A92" s="3">
        <v>105031</v>
      </c>
      <c r="B92" s="27" t="s">
        <v>2739</v>
      </c>
      <c r="C92" s="3">
        <v>0</v>
      </c>
      <c r="D92" s="27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4">
        <v>0</v>
      </c>
      <c r="K92" s="3">
        <v>1</v>
      </c>
      <c r="L92" s="3" t="s">
        <v>36</v>
      </c>
      <c r="M92" s="3">
        <v>105</v>
      </c>
      <c r="N92" s="4" t="s">
        <v>126</v>
      </c>
      <c r="O92" s="3"/>
      <c r="P92" s="3"/>
      <c r="Q92" s="27" t="s">
        <v>2740</v>
      </c>
      <c r="R92" s="3" t="str">
        <f t="shared" si="9"/>
        <v>ui_105031</v>
      </c>
      <c r="S92" s="3" t="str">
        <f t="shared" si="10"/>
        <v>resource_collection_point_0</v>
      </c>
      <c r="T92" s="3">
        <v>1</v>
      </c>
      <c r="U92" s="3">
        <v>0</v>
      </c>
      <c r="V92" s="3">
        <v>1</v>
      </c>
      <c r="W92" s="7"/>
      <c r="X92" s="27" t="s">
        <v>2739</v>
      </c>
      <c r="Y92" s="27" t="s">
        <v>2741</v>
      </c>
    </row>
    <row r="93" spans="1:25" x14ac:dyDescent="0.15">
      <c r="A93" s="3">
        <v>105032</v>
      </c>
      <c r="B93" s="27" t="s">
        <v>1879</v>
      </c>
      <c r="C93" s="3">
        <v>0</v>
      </c>
      <c r="D93" s="27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4">
        <v>0</v>
      </c>
      <c r="K93" s="3">
        <v>1</v>
      </c>
      <c r="L93" s="3" t="s">
        <v>36</v>
      </c>
      <c r="M93" s="3">
        <v>105</v>
      </c>
      <c r="N93" s="4" t="s">
        <v>126</v>
      </c>
      <c r="O93" s="3"/>
      <c r="P93" s="3"/>
      <c r="Q93" s="27" t="s">
        <v>2788</v>
      </c>
      <c r="R93" s="3" t="str">
        <f t="shared" si="9"/>
        <v>ui_105032</v>
      </c>
      <c r="S93" s="3" t="str">
        <f t="shared" si="10"/>
        <v>mill2_0</v>
      </c>
      <c r="T93" s="3">
        <v>1</v>
      </c>
      <c r="U93" s="3">
        <v>0</v>
      </c>
      <c r="V93" s="3">
        <v>1</v>
      </c>
      <c r="W93" s="7"/>
      <c r="X93" s="27" t="s">
        <v>1879</v>
      </c>
      <c r="Y93" s="27" t="s">
        <v>1881</v>
      </c>
    </row>
    <row r="94" spans="1:25" x14ac:dyDescent="0.15">
      <c r="A94" s="3">
        <v>106001</v>
      </c>
      <c r="B94" s="11" t="s">
        <v>205</v>
      </c>
      <c r="C94" s="3">
        <v>0</v>
      </c>
      <c r="D94" s="27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4">
        <v>0</v>
      </c>
      <c r="K94" s="3">
        <v>1</v>
      </c>
      <c r="L94" s="3" t="s">
        <v>36</v>
      </c>
      <c r="M94" s="3">
        <v>106</v>
      </c>
      <c r="N94" s="3" t="s">
        <v>206</v>
      </c>
      <c r="O94" s="3">
        <v>100</v>
      </c>
      <c r="P94" s="3"/>
      <c r="Q94" s="3" t="s">
        <v>207</v>
      </c>
      <c r="R94" s="3" t="str">
        <f t="shared" si="9"/>
        <v>ui_106001</v>
      </c>
      <c r="S94" s="3" t="str">
        <f t="shared" si="10"/>
        <v>barracks_0</v>
      </c>
      <c r="T94" s="3">
        <v>1</v>
      </c>
      <c r="U94" s="3">
        <v>0</v>
      </c>
      <c r="V94" s="3">
        <v>1</v>
      </c>
      <c r="W94" s="7"/>
      <c r="X94" s="3" t="s">
        <v>205</v>
      </c>
      <c r="Y94" s="3" t="s">
        <v>208</v>
      </c>
    </row>
    <row r="95" spans="1:25" x14ac:dyDescent="0.15">
      <c r="A95" s="3">
        <v>106002</v>
      </c>
      <c r="B95" s="11" t="s">
        <v>209</v>
      </c>
      <c r="C95" s="3">
        <v>0</v>
      </c>
      <c r="D95" s="27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4">
        <v>0</v>
      </c>
      <c r="K95" s="3">
        <v>1</v>
      </c>
      <c r="L95" s="3" t="s">
        <v>36</v>
      </c>
      <c r="M95" s="3">
        <v>106</v>
      </c>
      <c r="N95" s="3" t="s">
        <v>206</v>
      </c>
      <c r="O95" s="3">
        <v>2</v>
      </c>
      <c r="P95" s="27" t="s">
        <v>2085</v>
      </c>
      <c r="Q95" s="3" t="s">
        <v>210</v>
      </c>
      <c r="R95" s="3" t="str">
        <f t="shared" si="9"/>
        <v>ui_106002</v>
      </c>
      <c r="S95" s="3" t="str">
        <f t="shared" si="10"/>
        <v>prison_0</v>
      </c>
      <c r="T95" s="3">
        <v>1</v>
      </c>
      <c r="U95" s="3">
        <v>0</v>
      </c>
      <c r="V95" s="3">
        <v>1</v>
      </c>
      <c r="W95" s="7"/>
      <c r="X95" s="3" t="s">
        <v>209</v>
      </c>
      <c r="Y95" s="3" t="s">
        <v>211</v>
      </c>
    </row>
    <row r="96" spans="1:25" x14ac:dyDescent="0.15">
      <c r="A96" s="3">
        <v>106003</v>
      </c>
      <c r="B96" s="11" t="s">
        <v>212</v>
      </c>
      <c r="C96" s="3">
        <v>0</v>
      </c>
      <c r="D96" s="27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4">
        <v>0</v>
      </c>
      <c r="K96" s="3">
        <v>1</v>
      </c>
      <c r="L96" s="3" t="s">
        <v>36</v>
      </c>
      <c r="M96" s="3">
        <v>106</v>
      </c>
      <c r="N96" s="3" t="s">
        <v>206</v>
      </c>
      <c r="O96" s="3">
        <v>0</v>
      </c>
      <c r="P96" s="3"/>
      <c r="Q96" s="3" t="s">
        <v>213</v>
      </c>
      <c r="R96" s="3" t="str">
        <f t="shared" si="9"/>
        <v>ui_106003</v>
      </c>
      <c r="S96" s="3" t="str">
        <f t="shared" si="10"/>
        <v>cannon_0</v>
      </c>
      <c r="T96" s="3">
        <v>1</v>
      </c>
      <c r="U96" s="3">
        <v>0</v>
      </c>
      <c r="V96" s="3">
        <v>1</v>
      </c>
      <c r="W96" s="7"/>
      <c r="X96" s="3" t="s">
        <v>212</v>
      </c>
      <c r="Y96" s="3" t="s">
        <v>214</v>
      </c>
    </row>
    <row r="97" spans="1:25" x14ac:dyDescent="0.15">
      <c r="A97" s="3">
        <v>106004</v>
      </c>
      <c r="B97" s="40" t="s">
        <v>1897</v>
      </c>
      <c r="C97" s="3">
        <v>0</v>
      </c>
      <c r="D97" s="27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4">
        <v>0</v>
      </c>
      <c r="K97" s="3">
        <v>1</v>
      </c>
      <c r="L97" s="3" t="s">
        <v>36</v>
      </c>
      <c r="M97" s="3">
        <v>106</v>
      </c>
      <c r="N97" s="3" t="s">
        <v>206</v>
      </c>
      <c r="O97" s="3">
        <v>100</v>
      </c>
      <c r="P97" s="3"/>
      <c r="Q97" s="27" t="s">
        <v>1898</v>
      </c>
      <c r="R97" s="3" t="str">
        <f t="shared" si="9"/>
        <v>ui_106004</v>
      </c>
      <c r="S97" s="3" t="str">
        <f t="shared" si="10"/>
        <v>barracks_small_0</v>
      </c>
      <c r="T97" s="3">
        <v>1</v>
      </c>
      <c r="U97" s="3">
        <v>0</v>
      </c>
      <c r="V97" s="3">
        <v>1</v>
      </c>
      <c r="W97" s="7"/>
      <c r="X97" s="27" t="s">
        <v>1897</v>
      </c>
      <c r="Y97" s="27" t="s">
        <v>1899</v>
      </c>
    </row>
    <row r="98" spans="1:25" x14ac:dyDescent="0.15">
      <c r="A98" s="3">
        <v>106005</v>
      </c>
      <c r="B98" s="40" t="s">
        <v>2121</v>
      </c>
      <c r="C98" s="3">
        <v>0</v>
      </c>
      <c r="D98" s="27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4">
        <v>0</v>
      </c>
      <c r="K98" s="3">
        <v>1</v>
      </c>
      <c r="L98" s="3" t="s">
        <v>36</v>
      </c>
      <c r="M98" s="3">
        <v>106</v>
      </c>
      <c r="N98" s="3" t="s">
        <v>206</v>
      </c>
      <c r="O98" s="3">
        <v>100</v>
      </c>
      <c r="P98" s="3"/>
      <c r="Q98" s="27" t="s">
        <v>2122</v>
      </c>
      <c r="R98" s="3" t="str">
        <f t="shared" si="9"/>
        <v>ui_106005</v>
      </c>
      <c r="S98" s="3" t="str">
        <f t="shared" si="10"/>
        <v>throne_0</v>
      </c>
      <c r="T98" s="3">
        <v>1</v>
      </c>
      <c r="U98" s="3">
        <v>0</v>
      </c>
      <c r="V98" s="3">
        <v>1</v>
      </c>
      <c r="W98" s="7"/>
      <c r="X98" s="27" t="s">
        <v>2121</v>
      </c>
      <c r="Y98" s="27" t="s">
        <v>2123</v>
      </c>
    </row>
    <row r="99" spans="1:25" x14ac:dyDescent="0.15">
      <c r="A99" s="3">
        <v>106006</v>
      </c>
      <c r="B99" s="40" t="s">
        <v>2571</v>
      </c>
      <c r="C99" s="3">
        <v>0</v>
      </c>
      <c r="D99" s="27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4">
        <v>0</v>
      </c>
      <c r="K99" s="3">
        <v>1</v>
      </c>
      <c r="L99" s="3" t="s">
        <v>36</v>
      </c>
      <c r="M99" s="3">
        <v>106</v>
      </c>
      <c r="N99" s="3" t="s">
        <v>206</v>
      </c>
      <c r="O99" s="3">
        <v>903919</v>
      </c>
      <c r="P99" s="27" t="s">
        <v>2573</v>
      </c>
      <c r="Q99" s="27" t="s">
        <v>2576</v>
      </c>
      <c r="R99" s="3" t="str">
        <f t="shared" si="9"/>
        <v>ui_106006</v>
      </c>
      <c r="S99" s="3" t="str">
        <f t="shared" si="10"/>
        <v>landmine_0</v>
      </c>
      <c r="T99" s="3">
        <v>1</v>
      </c>
      <c r="U99" s="3">
        <v>0</v>
      </c>
      <c r="V99" s="3">
        <v>1</v>
      </c>
      <c r="W99" s="7"/>
      <c r="X99" s="27" t="s">
        <v>2571</v>
      </c>
      <c r="Y99" s="27" t="s">
        <v>2572</v>
      </c>
    </row>
    <row r="100" spans="1:25" x14ac:dyDescent="0.15">
      <c r="A100" s="3">
        <v>106007</v>
      </c>
      <c r="B100" s="40" t="s">
        <v>2736</v>
      </c>
      <c r="C100" s="3">
        <v>0</v>
      </c>
      <c r="D100" s="27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4">
        <v>0</v>
      </c>
      <c r="K100" s="3">
        <v>1</v>
      </c>
      <c r="L100" s="3" t="s">
        <v>36</v>
      </c>
      <c r="M100" s="3">
        <v>106</v>
      </c>
      <c r="N100" s="3" t="s">
        <v>206</v>
      </c>
      <c r="O100" s="3"/>
      <c r="P100" s="27"/>
      <c r="Q100" s="27" t="s">
        <v>2737</v>
      </c>
      <c r="R100" s="3" t="str">
        <f t="shared" si="9"/>
        <v>ui_106007</v>
      </c>
      <c r="S100" s="3" t="str">
        <f t="shared" si="10"/>
        <v>crystal_ball_0</v>
      </c>
      <c r="T100" s="3">
        <v>1</v>
      </c>
      <c r="U100" s="3">
        <v>0</v>
      </c>
      <c r="V100" s="3">
        <v>1</v>
      </c>
      <c r="W100" s="7"/>
      <c r="X100" s="27" t="s">
        <v>2736</v>
      </c>
      <c r="Y100" s="27" t="s">
        <v>2961</v>
      </c>
    </row>
    <row r="101" spans="1:25" x14ac:dyDescent="0.15">
      <c r="A101" s="3">
        <v>106008</v>
      </c>
      <c r="B101" s="40" t="s">
        <v>2869</v>
      </c>
      <c r="C101" s="3">
        <v>0</v>
      </c>
      <c r="D101" s="27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4">
        <v>0</v>
      </c>
      <c r="K101" s="3">
        <v>1</v>
      </c>
      <c r="L101" s="3" t="s">
        <v>36</v>
      </c>
      <c r="M101" s="3">
        <v>106</v>
      </c>
      <c r="N101" s="3" t="s">
        <v>206</v>
      </c>
      <c r="O101" s="3">
        <v>100</v>
      </c>
      <c r="P101" s="3"/>
      <c r="Q101" s="27" t="s">
        <v>2870</v>
      </c>
      <c r="R101" s="3" t="str">
        <f t="shared" ref="R101:R116" si="11">CONCATENATE("ui_",A101,"")</f>
        <v>ui_106008</v>
      </c>
      <c r="S101" s="3" t="str">
        <f t="shared" si="10"/>
        <v>training_ground_0</v>
      </c>
      <c r="T101" s="3">
        <v>1</v>
      </c>
      <c r="U101" s="3">
        <v>0</v>
      </c>
      <c r="V101" s="3">
        <v>1</v>
      </c>
      <c r="W101" s="7"/>
      <c r="X101" s="27" t="s">
        <v>2869</v>
      </c>
      <c r="Y101" s="27" t="s">
        <v>2871</v>
      </c>
    </row>
    <row r="102" spans="1:25" x14ac:dyDescent="0.15">
      <c r="A102" s="3">
        <v>107001</v>
      </c>
      <c r="B102" s="3" t="s">
        <v>215</v>
      </c>
      <c r="C102" s="3">
        <v>0</v>
      </c>
      <c r="D102" s="27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12">
        <v>8</v>
      </c>
      <c r="K102" s="3">
        <v>1</v>
      </c>
      <c r="L102" s="3" t="s">
        <v>36</v>
      </c>
      <c r="M102" s="3">
        <v>107</v>
      </c>
      <c r="N102" s="4" t="s">
        <v>216</v>
      </c>
      <c r="O102" s="3">
        <v>0</v>
      </c>
      <c r="P102" s="3"/>
      <c r="Q102" s="3" t="s">
        <v>217</v>
      </c>
      <c r="R102" s="3" t="str">
        <f t="shared" si="11"/>
        <v>ui_107001</v>
      </c>
      <c r="S102" s="3" t="str">
        <f t="shared" si="10"/>
        <v>mine_abandoned_0</v>
      </c>
      <c r="T102" s="3">
        <v>1</v>
      </c>
      <c r="U102" s="3">
        <v>0</v>
      </c>
      <c r="V102" s="3">
        <v>1</v>
      </c>
      <c r="W102" s="7"/>
      <c r="X102" s="3" t="s">
        <v>215</v>
      </c>
      <c r="Y102" s="3" t="s">
        <v>218</v>
      </c>
    </row>
    <row r="103" spans="1:25" x14ac:dyDescent="0.15">
      <c r="A103" s="3">
        <v>107003</v>
      </c>
      <c r="B103" s="3" t="s">
        <v>219</v>
      </c>
      <c r="C103" s="3">
        <v>0</v>
      </c>
      <c r="D103" s="27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12">
        <v>10</v>
      </c>
      <c r="K103" s="3">
        <v>1</v>
      </c>
      <c r="L103" s="3" t="s">
        <v>36</v>
      </c>
      <c r="M103" s="3">
        <v>107</v>
      </c>
      <c r="N103" s="4" t="s">
        <v>216</v>
      </c>
      <c r="O103" s="3">
        <v>0</v>
      </c>
      <c r="P103" s="3"/>
      <c r="Q103" s="3" t="s">
        <v>220</v>
      </c>
      <c r="R103" s="3" t="str">
        <f t="shared" si="11"/>
        <v>ui_107003</v>
      </c>
      <c r="S103" s="3" t="str">
        <f t="shared" si="10"/>
        <v>tombstone_single_0</v>
      </c>
      <c r="T103" s="3">
        <v>1</v>
      </c>
      <c r="U103" s="3">
        <v>0</v>
      </c>
      <c r="V103" s="3">
        <v>1</v>
      </c>
      <c r="W103" s="7"/>
      <c r="X103" s="3" t="s">
        <v>219</v>
      </c>
      <c r="Y103" s="3" t="s">
        <v>221</v>
      </c>
    </row>
    <row r="104" spans="1:25" x14ac:dyDescent="0.15">
      <c r="A104" s="3">
        <v>107004</v>
      </c>
      <c r="B104" s="13" t="s">
        <v>222</v>
      </c>
      <c r="C104" s="3">
        <v>0</v>
      </c>
      <c r="D104" s="27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12">
        <v>1</v>
      </c>
      <c r="K104" s="3">
        <v>1</v>
      </c>
      <c r="L104" s="3" t="s">
        <v>36</v>
      </c>
      <c r="M104" s="3">
        <v>107</v>
      </c>
      <c r="N104" s="3" t="s">
        <v>223</v>
      </c>
      <c r="O104" s="3">
        <v>0</v>
      </c>
      <c r="P104" s="3"/>
      <c r="Q104" s="3" t="s">
        <v>224</v>
      </c>
      <c r="R104" s="3" t="str">
        <f t="shared" si="11"/>
        <v>ui_107004</v>
      </c>
      <c r="S104" s="3" t="str">
        <f t="shared" si="10"/>
        <v>barracks_bandit_0</v>
      </c>
      <c r="T104" s="3">
        <v>1</v>
      </c>
      <c r="U104" s="3">
        <v>0</v>
      </c>
      <c r="V104" s="3">
        <v>1</v>
      </c>
      <c r="W104" s="7"/>
      <c r="X104" s="3" t="s">
        <v>222</v>
      </c>
      <c r="Y104" s="3" t="s">
        <v>225</v>
      </c>
    </row>
    <row r="105" spans="1:25" x14ac:dyDescent="0.15">
      <c r="A105" s="3">
        <v>107005</v>
      </c>
      <c r="B105" s="13" t="s">
        <v>205</v>
      </c>
      <c r="C105" s="3">
        <v>0</v>
      </c>
      <c r="D105" s="27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12">
        <v>2</v>
      </c>
      <c r="K105" s="3">
        <v>1</v>
      </c>
      <c r="L105" s="3" t="s">
        <v>36</v>
      </c>
      <c r="M105" s="3">
        <v>107</v>
      </c>
      <c r="N105" s="3" t="s">
        <v>223</v>
      </c>
      <c r="O105" s="3">
        <v>0</v>
      </c>
      <c r="P105" s="3"/>
      <c r="Q105" s="3" t="s">
        <v>226</v>
      </c>
      <c r="R105" s="3" t="str">
        <f t="shared" si="11"/>
        <v>ui_107005</v>
      </c>
      <c r="S105" s="3" t="str">
        <f t="shared" si="10"/>
        <v>barracks_enemy_0</v>
      </c>
      <c r="T105" s="3">
        <v>1</v>
      </c>
      <c r="U105" s="3">
        <v>0</v>
      </c>
      <c r="V105" s="3">
        <v>1</v>
      </c>
      <c r="W105" s="7"/>
      <c r="X105" s="3" t="s">
        <v>205</v>
      </c>
      <c r="Y105" s="27" t="s">
        <v>2111</v>
      </c>
    </row>
    <row r="106" spans="1:25" x14ac:dyDescent="0.15">
      <c r="A106" s="3">
        <v>108001</v>
      </c>
      <c r="B106" s="3" t="s">
        <v>227</v>
      </c>
      <c r="C106" s="3">
        <v>0</v>
      </c>
      <c r="D106" s="27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12">
        <v>3</v>
      </c>
      <c r="K106" s="3">
        <v>1</v>
      </c>
      <c r="L106" s="3" t="s">
        <v>36</v>
      </c>
      <c r="M106" s="3">
        <v>108</v>
      </c>
      <c r="N106" s="3" t="s">
        <v>228</v>
      </c>
      <c r="O106" s="3">
        <v>5</v>
      </c>
      <c r="P106" s="27" t="s">
        <v>1598</v>
      </c>
      <c r="Q106" s="3" t="s">
        <v>229</v>
      </c>
      <c r="R106" s="3" t="str">
        <f t="shared" si="11"/>
        <v>ui_108001</v>
      </c>
      <c r="S106" s="3" t="str">
        <f t="shared" si="10"/>
        <v>ancient_tomb_0</v>
      </c>
      <c r="T106" s="3">
        <v>1</v>
      </c>
      <c r="U106" s="3">
        <v>0</v>
      </c>
      <c r="V106" s="3">
        <v>1</v>
      </c>
      <c r="W106" s="7"/>
      <c r="X106" s="3" t="s">
        <v>227</v>
      </c>
      <c r="Y106" s="3" t="s">
        <v>230</v>
      </c>
    </row>
    <row r="107" spans="1:25" x14ac:dyDescent="0.15">
      <c r="A107" s="3">
        <v>108002</v>
      </c>
      <c r="B107" s="3" t="s">
        <v>231</v>
      </c>
      <c r="C107" s="3">
        <v>0</v>
      </c>
      <c r="D107" s="27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12">
        <v>4</v>
      </c>
      <c r="K107" s="3">
        <v>1</v>
      </c>
      <c r="L107" s="3" t="s">
        <v>36</v>
      </c>
      <c r="M107" s="3">
        <v>108</v>
      </c>
      <c r="N107" s="3" t="s">
        <v>228</v>
      </c>
      <c r="O107" s="3">
        <v>0</v>
      </c>
      <c r="P107" s="3"/>
      <c r="Q107" s="3" t="s">
        <v>232</v>
      </c>
      <c r="R107" s="3" t="str">
        <f t="shared" si="11"/>
        <v>ui_108002</v>
      </c>
      <c r="S107" s="3" t="str">
        <f t="shared" si="10"/>
        <v>wild_hive_0</v>
      </c>
      <c r="T107" s="3">
        <v>1</v>
      </c>
      <c r="U107" s="3">
        <v>0</v>
      </c>
      <c r="V107" s="3">
        <v>1</v>
      </c>
      <c r="W107" s="7"/>
      <c r="X107" s="3" t="s">
        <v>231</v>
      </c>
      <c r="Y107" s="3" t="s">
        <v>233</v>
      </c>
    </row>
    <row r="108" spans="1:25" x14ac:dyDescent="0.15">
      <c r="A108" s="3">
        <v>108003</v>
      </c>
      <c r="B108" s="3" t="s">
        <v>234</v>
      </c>
      <c r="C108" s="3">
        <v>0</v>
      </c>
      <c r="D108" s="27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12">
        <v>5</v>
      </c>
      <c r="K108" s="3">
        <v>1</v>
      </c>
      <c r="L108" s="3" t="s">
        <v>36</v>
      </c>
      <c r="M108" s="3">
        <v>108</v>
      </c>
      <c r="N108" s="3" t="s">
        <v>228</v>
      </c>
      <c r="O108" s="3">
        <v>0</v>
      </c>
      <c r="P108" s="3"/>
      <c r="Q108" s="3" t="s">
        <v>235</v>
      </c>
      <c r="R108" s="3" t="str">
        <f t="shared" si="11"/>
        <v>ui_108003</v>
      </c>
      <c r="S108" s="3" t="str">
        <f t="shared" si="10"/>
        <v>pyramid_0</v>
      </c>
      <c r="T108" s="3">
        <v>1</v>
      </c>
      <c r="U108" s="3">
        <v>0</v>
      </c>
      <c r="V108" s="3">
        <v>1</v>
      </c>
      <c r="W108" s="7"/>
      <c r="X108" s="3" t="s">
        <v>234</v>
      </c>
      <c r="Y108" s="27" t="s">
        <v>1884</v>
      </c>
    </row>
    <row r="109" spans="1:25" x14ac:dyDescent="0.15">
      <c r="A109" s="3">
        <v>108004</v>
      </c>
      <c r="B109" s="3" t="s">
        <v>236</v>
      </c>
      <c r="C109" s="3">
        <v>0</v>
      </c>
      <c r="D109" s="27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12">
        <v>6</v>
      </c>
      <c r="K109" s="3">
        <v>1</v>
      </c>
      <c r="L109" s="3" t="s">
        <v>36</v>
      </c>
      <c r="M109" s="3">
        <v>108</v>
      </c>
      <c r="N109" s="3" t="s">
        <v>228</v>
      </c>
      <c r="O109" s="3">
        <v>0</v>
      </c>
      <c r="P109" s="3"/>
      <c r="Q109" s="3" t="s">
        <v>237</v>
      </c>
      <c r="R109" s="3" t="str">
        <f t="shared" si="11"/>
        <v>ui_108004</v>
      </c>
      <c r="S109" s="3" t="str">
        <f t="shared" si="10"/>
        <v>mushroom_0</v>
      </c>
      <c r="T109" s="3">
        <v>1</v>
      </c>
      <c r="U109" s="3">
        <v>0</v>
      </c>
      <c r="V109" s="3">
        <v>1</v>
      </c>
      <c r="W109" s="9"/>
      <c r="X109" s="3" t="s">
        <v>236</v>
      </c>
      <c r="Y109" s="3" t="s">
        <v>238</v>
      </c>
    </row>
    <row r="110" spans="1:25" x14ac:dyDescent="0.15">
      <c r="A110" s="3">
        <v>108005</v>
      </c>
      <c r="B110" s="3" t="s">
        <v>239</v>
      </c>
      <c r="C110" s="3">
        <v>0</v>
      </c>
      <c r="D110" s="27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12">
        <v>7</v>
      </c>
      <c r="K110" s="3">
        <v>1</v>
      </c>
      <c r="L110" s="3" t="s">
        <v>36</v>
      </c>
      <c r="M110" s="3">
        <v>108</v>
      </c>
      <c r="N110" s="3" t="s">
        <v>228</v>
      </c>
      <c r="O110" s="3">
        <v>0</v>
      </c>
      <c r="P110" s="3"/>
      <c r="Q110" s="3" t="s">
        <v>240</v>
      </c>
      <c r="R110" s="3" t="str">
        <f t="shared" si="11"/>
        <v>ui_108005</v>
      </c>
      <c r="S110" s="3" t="str">
        <f t="shared" si="10"/>
        <v>big_tree_0</v>
      </c>
      <c r="T110" s="3">
        <v>1</v>
      </c>
      <c r="U110" s="3">
        <v>0</v>
      </c>
      <c r="V110" s="3">
        <v>1</v>
      </c>
      <c r="W110" s="9"/>
      <c r="X110" s="3" t="s">
        <v>239</v>
      </c>
      <c r="Y110" s="3" t="s">
        <v>241</v>
      </c>
    </row>
    <row r="111" spans="1:25" x14ac:dyDescent="0.15">
      <c r="A111" s="3">
        <v>108006</v>
      </c>
      <c r="B111" s="3" t="s">
        <v>242</v>
      </c>
      <c r="C111" s="3">
        <v>0</v>
      </c>
      <c r="D111" s="27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12">
        <v>9</v>
      </c>
      <c r="K111" s="3">
        <v>1</v>
      </c>
      <c r="L111" s="3" t="s">
        <v>36</v>
      </c>
      <c r="M111" s="3">
        <v>108</v>
      </c>
      <c r="N111" s="3" t="s">
        <v>228</v>
      </c>
      <c r="O111" s="3">
        <v>0</v>
      </c>
      <c r="P111" s="3"/>
      <c r="Q111" s="3" t="s">
        <v>243</v>
      </c>
      <c r="R111" s="3" t="str">
        <f t="shared" si="11"/>
        <v>ui_108006</v>
      </c>
      <c r="S111" s="3" t="str">
        <f t="shared" si="10"/>
        <v>monster_egg_0</v>
      </c>
      <c r="T111" s="3">
        <v>1</v>
      </c>
      <c r="U111" s="3">
        <v>0</v>
      </c>
      <c r="V111" s="3">
        <v>1</v>
      </c>
      <c r="W111" s="7"/>
      <c r="X111" s="3" t="s">
        <v>242</v>
      </c>
      <c r="Y111" s="3" t="s">
        <v>244</v>
      </c>
    </row>
    <row r="112" spans="1:25" x14ac:dyDescent="0.15">
      <c r="A112" s="3">
        <v>108007</v>
      </c>
      <c r="B112" s="3" t="s">
        <v>245</v>
      </c>
      <c r="C112" s="3">
        <v>0</v>
      </c>
      <c r="D112" s="27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12">
        <v>8</v>
      </c>
      <c r="K112" s="3">
        <v>1</v>
      </c>
      <c r="L112" s="3" t="s">
        <v>36</v>
      </c>
      <c r="M112" s="3">
        <v>108</v>
      </c>
      <c r="N112" s="3" t="s">
        <v>228</v>
      </c>
      <c r="O112" s="3">
        <v>0</v>
      </c>
      <c r="P112" s="3"/>
      <c r="Q112" s="3" t="s">
        <v>246</v>
      </c>
      <c r="R112" s="3" t="str">
        <f t="shared" si="11"/>
        <v>ui_108007</v>
      </c>
      <c r="S112" s="3" t="str">
        <f t="shared" si="10"/>
        <v>wreck_remains_0</v>
      </c>
      <c r="T112" s="3">
        <v>1</v>
      </c>
      <c r="U112" s="3">
        <v>0</v>
      </c>
      <c r="V112" s="3">
        <v>1</v>
      </c>
      <c r="W112" s="9"/>
      <c r="X112" s="27" t="s">
        <v>1606</v>
      </c>
      <c r="Y112" s="27" t="s">
        <v>2613</v>
      </c>
    </row>
    <row r="113" spans="1:25" x14ac:dyDescent="0.15">
      <c r="A113" s="3">
        <v>108008</v>
      </c>
      <c r="B113" s="27" t="s">
        <v>2048</v>
      </c>
      <c r="C113" s="3">
        <v>0</v>
      </c>
      <c r="D113" s="27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12">
        <v>8</v>
      </c>
      <c r="K113" s="3">
        <v>1</v>
      </c>
      <c r="L113" s="3" t="s">
        <v>36</v>
      </c>
      <c r="M113" s="3">
        <v>108</v>
      </c>
      <c r="N113" s="3" t="s">
        <v>228</v>
      </c>
      <c r="O113" s="3">
        <v>0</v>
      </c>
      <c r="P113" s="3"/>
      <c r="Q113" s="27" t="s">
        <v>2049</v>
      </c>
      <c r="R113" s="3" t="str">
        <f t="shared" si="11"/>
        <v>ui_108008</v>
      </c>
      <c r="S113" s="3" t="str">
        <f t="shared" si="10"/>
        <v>ant_nest_0</v>
      </c>
      <c r="T113" s="3">
        <v>1</v>
      </c>
      <c r="U113" s="3">
        <v>0</v>
      </c>
      <c r="V113" s="3">
        <v>1</v>
      </c>
      <c r="W113" s="9"/>
      <c r="X113" s="27" t="s">
        <v>2048</v>
      </c>
      <c r="Y113" s="27" t="s">
        <v>2050</v>
      </c>
    </row>
    <row r="114" spans="1:25" x14ac:dyDescent="0.15">
      <c r="A114" s="3">
        <v>108009</v>
      </c>
      <c r="B114" s="27" t="s">
        <v>2091</v>
      </c>
      <c r="C114" s="3">
        <v>0</v>
      </c>
      <c r="D114" s="27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12">
        <v>8</v>
      </c>
      <c r="K114" s="3">
        <v>1</v>
      </c>
      <c r="L114" s="3" t="s">
        <v>36</v>
      </c>
      <c r="M114" s="3">
        <v>108</v>
      </c>
      <c r="N114" s="3" t="s">
        <v>228</v>
      </c>
      <c r="O114" s="3">
        <v>0</v>
      </c>
      <c r="P114" s="3"/>
      <c r="Q114" s="27" t="s">
        <v>2092</v>
      </c>
      <c r="R114" s="3" t="str">
        <f t="shared" si="11"/>
        <v>ui_108009</v>
      </c>
      <c r="S114" s="3" t="str">
        <f t="shared" si="10"/>
        <v>totem_pillar_0</v>
      </c>
      <c r="T114" s="3">
        <v>1</v>
      </c>
      <c r="U114" s="3">
        <v>0</v>
      </c>
      <c r="V114" s="3">
        <v>1</v>
      </c>
      <c r="W114" s="9"/>
      <c r="X114" s="27" t="s">
        <v>2091</v>
      </c>
      <c r="Y114" s="27" t="s">
        <v>3420</v>
      </c>
    </row>
    <row r="115" spans="1:25" x14ac:dyDescent="0.15">
      <c r="A115" s="3">
        <v>108010</v>
      </c>
      <c r="B115" s="3" t="s">
        <v>94</v>
      </c>
      <c r="C115" s="3">
        <v>0</v>
      </c>
      <c r="D115" s="27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4">
        <v>0</v>
      </c>
      <c r="K115" s="3">
        <v>1</v>
      </c>
      <c r="L115" s="3" t="s">
        <v>36</v>
      </c>
      <c r="M115" s="3">
        <v>108</v>
      </c>
      <c r="N115" s="3" t="s">
        <v>228</v>
      </c>
      <c r="O115" s="3">
        <v>0</v>
      </c>
      <c r="P115" s="3"/>
      <c r="Q115" s="27" t="s">
        <v>2960</v>
      </c>
      <c r="R115" s="3" t="str">
        <f t="shared" si="11"/>
        <v>ui_108010</v>
      </c>
      <c r="S115" s="3" t="str">
        <f t="shared" si="10"/>
        <v>sermon_desk_of_other_territory_0</v>
      </c>
      <c r="T115" s="3">
        <v>1</v>
      </c>
      <c r="U115" s="3">
        <v>0</v>
      </c>
      <c r="V115" s="3">
        <v>1</v>
      </c>
      <c r="W115" s="7"/>
      <c r="X115" s="3" t="s">
        <v>94</v>
      </c>
      <c r="Y115" s="27" t="s">
        <v>2102</v>
      </c>
    </row>
    <row r="116" spans="1:25" x14ac:dyDescent="0.15">
      <c r="A116" s="3">
        <v>108011</v>
      </c>
      <c r="B116" s="27" t="s">
        <v>3267</v>
      </c>
      <c r="C116" s="3">
        <v>0</v>
      </c>
      <c r="D116" s="27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12">
        <v>8</v>
      </c>
      <c r="K116" s="3">
        <v>1</v>
      </c>
      <c r="L116" s="3" t="s">
        <v>36</v>
      </c>
      <c r="M116" s="3">
        <v>108</v>
      </c>
      <c r="N116" s="3" t="s">
        <v>228</v>
      </c>
      <c r="O116" s="3">
        <v>0</v>
      </c>
      <c r="P116" s="3"/>
      <c r="Q116" s="27" t="s">
        <v>3268</v>
      </c>
      <c r="R116" s="3" t="str">
        <f t="shared" si="11"/>
        <v>ui_108011</v>
      </c>
      <c r="S116" s="3" t="str">
        <f t="shared" si="10"/>
        <v>ant_nest_red_0</v>
      </c>
      <c r="T116" s="3">
        <v>1</v>
      </c>
      <c r="U116" s="3">
        <v>0</v>
      </c>
      <c r="V116" s="3">
        <v>1</v>
      </c>
      <c r="W116" s="9"/>
      <c r="X116" s="27" t="s">
        <v>3267</v>
      </c>
      <c r="Y116" s="27" t="s">
        <v>3269</v>
      </c>
    </row>
    <row r="117" spans="1:25" x14ac:dyDescent="0.15">
      <c r="A117" s="3">
        <v>108012</v>
      </c>
      <c r="B117" s="27" t="s">
        <v>3337</v>
      </c>
      <c r="C117" s="3">
        <v>0</v>
      </c>
      <c r="D117" s="27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12">
        <v>9</v>
      </c>
      <c r="K117" s="3">
        <v>1</v>
      </c>
      <c r="L117" s="3" t="s">
        <v>36</v>
      </c>
      <c r="M117" s="3">
        <v>108</v>
      </c>
      <c r="N117" s="3" t="s">
        <v>228</v>
      </c>
      <c r="O117" s="3"/>
      <c r="P117" s="3"/>
      <c r="Q117" s="27" t="s">
        <v>3335</v>
      </c>
      <c r="R117" s="3" t="s">
        <v>3334</v>
      </c>
      <c r="S117" s="3" t="str">
        <f t="shared" si="10"/>
        <v>eteranl_temple_of_king_0</v>
      </c>
      <c r="T117" s="3">
        <v>1</v>
      </c>
      <c r="U117" s="3">
        <v>0</v>
      </c>
      <c r="V117" s="3">
        <v>1</v>
      </c>
      <c r="W117" s="7"/>
      <c r="X117" s="27" t="s">
        <v>3336</v>
      </c>
      <c r="Y117" s="27" t="s">
        <v>3338</v>
      </c>
    </row>
    <row r="118" spans="1:25" x14ac:dyDescent="0.15">
      <c r="A118" s="3">
        <v>109005</v>
      </c>
      <c r="B118" s="3" t="s">
        <v>247</v>
      </c>
      <c r="C118" s="3">
        <v>0</v>
      </c>
      <c r="D118" s="27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4">
        <v>0</v>
      </c>
      <c r="K118" s="3">
        <v>1</v>
      </c>
      <c r="L118" s="3" t="s">
        <v>36</v>
      </c>
      <c r="M118" s="3">
        <v>109</v>
      </c>
      <c r="N118" s="4" t="s">
        <v>248</v>
      </c>
      <c r="O118" s="3">
        <v>0</v>
      </c>
      <c r="P118" s="3"/>
      <c r="Q118" s="27" t="s">
        <v>3339</v>
      </c>
      <c r="R118" s="3" t="str">
        <f t="shared" ref="R118:R188" si="12">CONCATENATE("ui_",A118,"")</f>
        <v>ui_109005</v>
      </c>
      <c r="S118" s="3" t="str">
        <f t="shared" si="10"/>
        <v>kingdom_treasure_box_0</v>
      </c>
      <c r="T118" s="3">
        <v>1</v>
      </c>
      <c r="U118" s="3">
        <v>0</v>
      </c>
      <c r="V118" s="3">
        <v>1</v>
      </c>
      <c r="W118" s="7"/>
      <c r="X118" s="3" t="s">
        <v>247</v>
      </c>
      <c r="Y118" s="27" t="s">
        <v>2965</v>
      </c>
    </row>
    <row r="119" spans="1:25" x14ac:dyDescent="0.15">
      <c r="A119" s="3">
        <v>110001</v>
      </c>
      <c r="B119" s="11" t="s">
        <v>249</v>
      </c>
      <c r="C119" s="3">
        <v>0</v>
      </c>
      <c r="D119" s="27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4">
        <v>0</v>
      </c>
      <c r="K119" s="3">
        <v>1</v>
      </c>
      <c r="L119" s="3" t="s">
        <v>36</v>
      </c>
      <c r="M119" s="3">
        <v>110</v>
      </c>
      <c r="N119" s="4" t="s">
        <v>250</v>
      </c>
      <c r="O119" s="3">
        <v>0</v>
      </c>
      <c r="P119" s="3"/>
      <c r="Q119" s="3" t="s">
        <v>251</v>
      </c>
      <c r="R119" s="3" t="str">
        <f t="shared" si="12"/>
        <v>ui_110001</v>
      </c>
      <c r="S119" s="3" t="str">
        <f>CONCATENATE(Q119,"_0")</f>
        <v>castle1_0</v>
      </c>
      <c r="T119" s="3">
        <v>1</v>
      </c>
      <c r="U119" s="3">
        <v>0</v>
      </c>
      <c r="V119" s="3">
        <v>1</v>
      </c>
      <c r="W119" s="7"/>
      <c r="X119" s="3" t="str">
        <f t="shared" ref="X119:X125" si="13">B119</f>
        <v>小城堡</v>
      </c>
      <c r="Y119" s="3" t="s">
        <v>252</v>
      </c>
    </row>
    <row r="120" spans="1:25" x14ac:dyDescent="0.15">
      <c r="A120" s="3">
        <v>110002</v>
      </c>
      <c r="B120" s="11" t="s">
        <v>253</v>
      </c>
      <c r="C120" s="3">
        <v>0</v>
      </c>
      <c r="D120" s="27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4">
        <v>0</v>
      </c>
      <c r="K120" s="3">
        <v>1</v>
      </c>
      <c r="L120" s="3" t="s">
        <v>36</v>
      </c>
      <c r="M120" s="3">
        <v>110</v>
      </c>
      <c r="N120" s="4" t="s">
        <v>250</v>
      </c>
      <c r="O120" s="3">
        <v>0</v>
      </c>
      <c r="P120" s="3"/>
      <c r="Q120" s="3" t="s">
        <v>254</v>
      </c>
      <c r="R120" s="3" t="str">
        <f t="shared" si="12"/>
        <v>ui_110002</v>
      </c>
      <c r="S120" s="3" t="str">
        <f t="shared" si="10"/>
        <v>castle2_0</v>
      </c>
      <c r="T120" s="3">
        <v>1</v>
      </c>
      <c r="U120" s="3">
        <v>0</v>
      </c>
      <c r="V120" s="3">
        <v>1</v>
      </c>
      <c r="W120" s="7"/>
      <c r="X120" s="3" t="str">
        <f t="shared" si="13"/>
        <v>大城堡</v>
      </c>
      <c r="Y120" s="3" t="s">
        <v>252</v>
      </c>
    </row>
    <row r="121" spans="1:25" x14ac:dyDescent="0.15">
      <c r="A121" s="3">
        <v>110003</v>
      </c>
      <c r="B121" s="11" t="s">
        <v>255</v>
      </c>
      <c r="C121" s="3">
        <v>0</v>
      </c>
      <c r="D121" s="27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4">
        <v>0</v>
      </c>
      <c r="K121" s="3">
        <v>1</v>
      </c>
      <c r="L121" s="3" t="s">
        <v>36</v>
      </c>
      <c r="M121" s="3">
        <v>110</v>
      </c>
      <c r="N121" s="4" t="s">
        <v>250</v>
      </c>
      <c r="O121" s="3">
        <v>0</v>
      </c>
      <c r="P121" s="3"/>
      <c r="Q121" s="3" t="s">
        <v>256</v>
      </c>
      <c r="R121" s="3" t="str">
        <f t="shared" si="12"/>
        <v>ui_110003</v>
      </c>
      <c r="S121" s="3" t="str">
        <f t="shared" si="10"/>
        <v>village2_0</v>
      </c>
      <c r="T121" s="3">
        <v>1</v>
      </c>
      <c r="U121" s="3">
        <v>0</v>
      </c>
      <c r="V121" s="3">
        <v>1</v>
      </c>
      <c r="W121" s="7"/>
      <c r="X121" s="3" t="str">
        <f t="shared" si="13"/>
        <v>小村庄</v>
      </c>
      <c r="Y121" s="3" t="s">
        <v>252</v>
      </c>
    </row>
    <row r="122" spans="1:25" x14ac:dyDescent="0.15">
      <c r="A122" s="3">
        <v>110004</v>
      </c>
      <c r="B122" s="11" t="s">
        <v>257</v>
      </c>
      <c r="C122" s="3">
        <v>0</v>
      </c>
      <c r="D122" s="27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4">
        <v>0</v>
      </c>
      <c r="K122" s="3">
        <v>1</v>
      </c>
      <c r="L122" s="3" t="s">
        <v>36</v>
      </c>
      <c r="M122" s="3">
        <v>110</v>
      </c>
      <c r="N122" s="4" t="s">
        <v>250</v>
      </c>
      <c r="O122" s="3">
        <v>0</v>
      </c>
      <c r="P122" s="3"/>
      <c r="Q122" s="3" t="s">
        <v>258</v>
      </c>
      <c r="R122" s="3" t="str">
        <f t="shared" si="12"/>
        <v>ui_110004</v>
      </c>
      <c r="S122" s="3" t="str">
        <f t="shared" si="10"/>
        <v>village3_0</v>
      </c>
      <c r="T122" s="3">
        <v>1</v>
      </c>
      <c r="U122" s="3">
        <v>0</v>
      </c>
      <c r="V122" s="3">
        <v>1</v>
      </c>
      <c r="W122" s="7"/>
      <c r="X122" s="3" t="str">
        <f t="shared" si="13"/>
        <v>大村庄</v>
      </c>
      <c r="Y122" s="3" t="s">
        <v>252</v>
      </c>
    </row>
    <row r="123" spans="1:25" x14ac:dyDescent="0.15">
      <c r="A123" s="3">
        <v>110005</v>
      </c>
      <c r="B123" s="11" t="s">
        <v>259</v>
      </c>
      <c r="C123" s="3">
        <v>0</v>
      </c>
      <c r="D123" s="27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4">
        <v>0</v>
      </c>
      <c r="K123" s="3">
        <v>1</v>
      </c>
      <c r="L123" s="3" t="s">
        <v>36</v>
      </c>
      <c r="M123" s="3">
        <v>110</v>
      </c>
      <c r="N123" s="4" t="s">
        <v>250</v>
      </c>
      <c r="O123" s="3">
        <v>0</v>
      </c>
      <c r="P123" s="3"/>
      <c r="Q123" s="3" t="s">
        <v>260</v>
      </c>
      <c r="R123" s="3" t="str">
        <f t="shared" si="12"/>
        <v>ui_110005</v>
      </c>
      <c r="S123" s="3" t="str">
        <f t="shared" si="10"/>
        <v>village1_0</v>
      </c>
      <c r="T123" s="3">
        <v>1</v>
      </c>
      <c r="U123" s="3">
        <v>0</v>
      </c>
      <c r="V123" s="3">
        <v>1</v>
      </c>
      <c r="W123" s="7"/>
      <c r="X123" s="3" t="str">
        <f t="shared" si="13"/>
        <v>渔村</v>
      </c>
      <c r="Y123" s="3" t="s">
        <v>252</v>
      </c>
    </row>
    <row r="124" spans="1:25" x14ac:dyDescent="0.15">
      <c r="A124" s="3">
        <v>110006</v>
      </c>
      <c r="B124" s="11" t="s">
        <v>261</v>
      </c>
      <c r="C124" s="3">
        <v>0</v>
      </c>
      <c r="D124" s="27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4">
        <v>0</v>
      </c>
      <c r="K124" s="3">
        <v>1</v>
      </c>
      <c r="L124" s="3" t="s">
        <v>36</v>
      </c>
      <c r="M124" s="3">
        <v>110</v>
      </c>
      <c r="N124" s="4" t="s">
        <v>250</v>
      </c>
      <c r="O124" s="3">
        <v>0</v>
      </c>
      <c r="P124" s="3"/>
      <c r="Q124" s="3" t="s">
        <v>262</v>
      </c>
      <c r="R124" s="3" t="str">
        <f t="shared" si="12"/>
        <v>ui_110006</v>
      </c>
      <c r="S124" s="3" t="str">
        <f t="shared" si="10"/>
        <v>tribe1_0</v>
      </c>
      <c r="T124" s="3">
        <v>1</v>
      </c>
      <c r="U124" s="3">
        <v>0</v>
      </c>
      <c r="V124" s="3">
        <v>1</v>
      </c>
      <c r="W124" s="7"/>
      <c r="X124" s="3" t="str">
        <f t="shared" si="13"/>
        <v>小部落</v>
      </c>
      <c r="Y124" s="3" t="s">
        <v>252</v>
      </c>
    </row>
    <row r="125" spans="1:25" x14ac:dyDescent="0.15">
      <c r="A125" s="3">
        <v>110007</v>
      </c>
      <c r="B125" s="11" t="s">
        <v>263</v>
      </c>
      <c r="C125" s="3">
        <v>0</v>
      </c>
      <c r="D125" s="27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4">
        <v>0</v>
      </c>
      <c r="K125" s="3">
        <v>1</v>
      </c>
      <c r="L125" s="3" t="s">
        <v>36</v>
      </c>
      <c r="M125" s="3">
        <v>110</v>
      </c>
      <c r="N125" s="4" t="s">
        <v>250</v>
      </c>
      <c r="O125" s="3">
        <v>0</v>
      </c>
      <c r="P125" s="3"/>
      <c r="Q125" s="3" t="s">
        <v>264</v>
      </c>
      <c r="R125" s="3" t="str">
        <f t="shared" si="12"/>
        <v>ui_110007</v>
      </c>
      <c r="S125" s="3" t="str">
        <f t="shared" si="10"/>
        <v>tribe2_0</v>
      </c>
      <c r="T125" s="3">
        <v>1</v>
      </c>
      <c r="U125" s="3">
        <v>0</v>
      </c>
      <c r="V125" s="3">
        <v>1</v>
      </c>
      <c r="W125" s="7"/>
      <c r="X125" s="3" t="str">
        <f t="shared" si="13"/>
        <v>大部落</v>
      </c>
      <c r="Y125" s="3" t="s">
        <v>252</v>
      </c>
    </row>
    <row r="126" spans="1:25" x14ac:dyDescent="0.15">
      <c r="A126" s="3">
        <v>110008</v>
      </c>
      <c r="B126" s="40" t="s">
        <v>3407</v>
      </c>
      <c r="C126" s="3">
        <v>0</v>
      </c>
      <c r="D126" s="27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4">
        <v>0</v>
      </c>
      <c r="K126" s="3">
        <v>1</v>
      </c>
      <c r="L126" s="3" t="s">
        <v>36</v>
      </c>
      <c r="M126" s="3">
        <v>110</v>
      </c>
      <c r="N126" s="4" t="s">
        <v>250</v>
      </c>
      <c r="O126" s="3">
        <v>0</v>
      </c>
      <c r="P126" s="3"/>
      <c r="Q126" s="27" t="s">
        <v>3409</v>
      </c>
      <c r="R126" s="3" t="str">
        <f t="shared" ref="R126:R128" si="14">CONCATENATE("ui_",A126,"")</f>
        <v>ui_110008</v>
      </c>
      <c r="S126" s="3" t="str">
        <f t="shared" ref="S126" si="15">CONCATENATE(Q126,"_0")</f>
        <v>dragon_trial_pillar_0</v>
      </c>
      <c r="T126" s="3">
        <v>1</v>
      </c>
      <c r="U126" s="3">
        <v>0</v>
      </c>
      <c r="V126" s="3">
        <v>1</v>
      </c>
      <c r="W126" s="7"/>
      <c r="X126" s="3" t="str">
        <f t="shared" ref="X126" si="16">B126</f>
        <v>龙之试炼柱</v>
      </c>
      <c r="Y126" s="27" t="s">
        <v>3408</v>
      </c>
    </row>
    <row r="127" spans="1:25" x14ac:dyDescent="0.15">
      <c r="A127" s="3">
        <v>110009</v>
      </c>
      <c r="B127" s="40" t="s">
        <v>3443</v>
      </c>
      <c r="C127" s="3">
        <v>0</v>
      </c>
      <c r="D127" s="27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4">
        <v>0</v>
      </c>
      <c r="K127" s="3">
        <v>1</v>
      </c>
      <c r="L127" s="3" t="s">
        <v>36</v>
      </c>
      <c r="M127" s="3">
        <v>110</v>
      </c>
      <c r="N127" s="4" t="s">
        <v>250</v>
      </c>
      <c r="O127" s="3">
        <v>0</v>
      </c>
      <c r="P127" s="3"/>
      <c r="Q127" s="27" t="s">
        <v>3447</v>
      </c>
      <c r="R127" s="3" t="str">
        <f t="shared" si="12"/>
        <v>ui_110009</v>
      </c>
      <c r="S127" s="3" t="str">
        <f t="shared" ref="S127" si="17">CONCATENATE(Q127,"_0")</f>
        <v>fortress_0</v>
      </c>
      <c r="T127" s="3">
        <v>1</v>
      </c>
      <c r="U127" s="3">
        <v>0</v>
      </c>
      <c r="V127" s="3">
        <v>1</v>
      </c>
      <c r="W127" s="7"/>
      <c r="X127" s="3" t="s">
        <v>3442</v>
      </c>
      <c r="Y127" s="27" t="s">
        <v>3450</v>
      </c>
    </row>
    <row r="128" spans="1:25" x14ac:dyDescent="0.15">
      <c r="A128" s="3">
        <v>110010</v>
      </c>
      <c r="B128" s="40" t="s">
        <v>3444</v>
      </c>
      <c r="C128" s="3">
        <v>0</v>
      </c>
      <c r="D128" s="27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4">
        <v>0</v>
      </c>
      <c r="K128" s="3">
        <v>1</v>
      </c>
      <c r="L128" s="3" t="s">
        <v>36</v>
      </c>
      <c r="M128" s="3">
        <v>110</v>
      </c>
      <c r="N128" s="4" t="s">
        <v>250</v>
      </c>
      <c r="O128" s="3">
        <v>0</v>
      </c>
      <c r="P128" s="3"/>
      <c r="Q128" s="27" t="s">
        <v>3449</v>
      </c>
      <c r="R128" s="3" t="str">
        <f t="shared" si="14"/>
        <v>ui_110010</v>
      </c>
      <c r="S128" s="3" t="str">
        <f t="shared" ref="S128" si="18">CONCATENATE(Q128,"_0")</f>
        <v>battlefield_stronghold_0</v>
      </c>
      <c r="T128" s="3">
        <v>1</v>
      </c>
      <c r="U128" s="3">
        <v>0</v>
      </c>
      <c r="V128" s="3">
        <v>1</v>
      </c>
      <c r="W128" s="7"/>
      <c r="X128" s="27" t="s">
        <v>3455</v>
      </c>
      <c r="Y128" s="27" t="s">
        <v>3457</v>
      </c>
    </row>
    <row r="129" spans="1:25" x14ac:dyDescent="0.15">
      <c r="A129" s="3">
        <v>110011</v>
      </c>
      <c r="B129" s="40" t="s">
        <v>3446</v>
      </c>
      <c r="C129" s="3">
        <v>0</v>
      </c>
      <c r="D129" s="27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4">
        <v>0</v>
      </c>
      <c r="K129" s="3">
        <v>1</v>
      </c>
      <c r="L129" s="3" t="s">
        <v>36</v>
      </c>
      <c r="M129" s="3">
        <v>110</v>
      </c>
      <c r="N129" s="4" t="s">
        <v>250</v>
      </c>
      <c r="O129" s="3">
        <v>0</v>
      </c>
      <c r="P129" s="3"/>
      <c r="Q129" s="27" t="s">
        <v>3448</v>
      </c>
      <c r="R129" s="3" t="str">
        <f t="shared" si="12"/>
        <v>ui_110011</v>
      </c>
      <c r="S129" s="3" t="str">
        <f t="shared" ref="S129:S130" si="19">CONCATENATE(Q129,"_0")</f>
        <v>expedition_camp_0</v>
      </c>
      <c r="T129" s="3">
        <v>1</v>
      </c>
      <c r="U129" s="3">
        <v>0</v>
      </c>
      <c r="V129" s="3">
        <v>1</v>
      </c>
      <c r="W129" s="7"/>
      <c r="X129" s="3" t="s">
        <v>3445</v>
      </c>
      <c r="Y129" s="27" t="s">
        <v>3451</v>
      </c>
    </row>
    <row r="130" spans="1:25" x14ac:dyDescent="0.15">
      <c r="A130" s="3">
        <v>110012</v>
      </c>
      <c r="B130" s="40" t="s">
        <v>3453</v>
      </c>
      <c r="C130" s="3">
        <v>0</v>
      </c>
      <c r="D130" s="27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4">
        <v>0</v>
      </c>
      <c r="K130" s="3">
        <v>1</v>
      </c>
      <c r="L130" s="3" t="s">
        <v>36</v>
      </c>
      <c r="M130" s="3">
        <v>110</v>
      </c>
      <c r="N130" s="4" t="s">
        <v>250</v>
      </c>
      <c r="O130" s="3">
        <v>0</v>
      </c>
      <c r="P130" s="3"/>
      <c r="Q130" s="27" t="s">
        <v>3452</v>
      </c>
      <c r="R130" s="3" t="str">
        <f t="shared" si="12"/>
        <v>ui_110012</v>
      </c>
      <c r="S130" s="3" t="str">
        <f t="shared" si="19"/>
        <v>destroyed_battlefield_stronghold_0</v>
      </c>
      <c r="T130" s="3">
        <v>1</v>
      </c>
      <c r="U130" s="3">
        <v>0</v>
      </c>
      <c r="V130" s="3">
        <v>1</v>
      </c>
      <c r="W130" s="7"/>
      <c r="X130" s="27" t="s">
        <v>3454</v>
      </c>
      <c r="Y130" s="27" t="s">
        <v>3456</v>
      </c>
    </row>
    <row r="131" spans="1:25" x14ac:dyDescent="0.15">
      <c r="A131" s="3">
        <v>111001</v>
      </c>
      <c r="B131" s="27" t="s">
        <v>1564</v>
      </c>
      <c r="C131" s="3">
        <v>0</v>
      </c>
      <c r="D131" s="27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12">
        <v>9</v>
      </c>
      <c r="K131" s="3">
        <v>1</v>
      </c>
      <c r="L131" s="3" t="s">
        <v>36</v>
      </c>
      <c r="M131" s="3">
        <v>111</v>
      </c>
      <c r="N131" s="3" t="s">
        <v>265</v>
      </c>
      <c r="O131" s="3">
        <v>0.25</v>
      </c>
      <c r="P131" s="27" t="s">
        <v>2792</v>
      </c>
      <c r="Q131" s="3" t="s">
        <v>266</v>
      </c>
      <c r="R131" s="3" t="str">
        <f t="shared" si="12"/>
        <v>ui_111001</v>
      </c>
      <c r="S131" s="3" t="str">
        <f t="shared" si="10"/>
        <v>obelisk_0</v>
      </c>
      <c r="T131" s="3">
        <v>1</v>
      </c>
      <c r="U131" s="3">
        <v>0</v>
      </c>
      <c r="V131" s="3">
        <v>1</v>
      </c>
      <c r="W131" s="7"/>
      <c r="X131" s="27" t="s">
        <v>1564</v>
      </c>
      <c r="Y131" s="27" t="s">
        <v>1862</v>
      </c>
    </row>
    <row r="132" spans="1:25" x14ac:dyDescent="0.15">
      <c r="A132" s="3">
        <v>111002</v>
      </c>
      <c r="B132" s="27" t="s">
        <v>1558</v>
      </c>
      <c r="C132" s="3">
        <v>0</v>
      </c>
      <c r="D132" s="27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12">
        <v>9</v>
      </c>
      <c r="K132" s="3">
        <v>1</v>
      </c>
      <c r="L132" s="3" t="s">
        <v>36</v>
      </c>
      <c r="M132" s="3">
        <v>111</v>
      </c>
      <c r="N132" s="3" t="s">
        <v>265</v>
      </c>
      <c r="P132" s="3"/>
      <c r="Q132" s="3" t="s">
        <v>267</v>
      </c>
      <c r="R132" s="3" t="str">
        <f t="shared" si="12"/>
        <v>ui_111002</v>
      </c>
      <c r="S132" s="3" t="str">
        <f t="shared" si="10"/>
        <v>titan_hand_0</v>
      </c>
      <c r="T132" s="3">
        <v>1</v>
      </c>
      <c r="U132" s="3">
        <v>0</v>
      </c>
      <c r="V132" s="3">
        <v>1</v>
      </c>
      <c r="W132" s="7"/>
      <c r="X132" s="27" t="s">
        <v>1558</v>
      </c>
      <c r="Y132" s="27" t="s">
        <v>1559</v>
      </c>
    </row>
    <row r="133" spans="1:25" x14ac:dyDescent="0.15">
      <c r="A133" s="3">
        <v>111003</v>
      </c>
      <c r="B133" s="27" t="s">
        <v>1937</v>
      </c>
      <c r="C133" s="3">
        <v>0</v>
      </c>
      <c r="D133" s="27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12">
        <v>9</v>
      </c>
      <c r="K133" s="3">
        <v>1</v>
      </c>
      <c r="L133" s="3" t="s">
        <v>36</v>
      </c>
      <c r="M133" s="3">
        <v>111</v>
      </c>
      <c r="N133" s="3" t="s">
        <v>265</v>
      </c>
      <c r="O133" s="3">
        <v>4</v>
      </c>
      <c r="P133" s="3" t="s">
        <v>1957</v>
      </c>
      <c r="Q133" s="3" t="s">
        <v>1941</v>
      </c>
      <c r="R133" s="3" t="str">
        <f t="shared" si="12"/>
        <v>ui_111003</v>
      </c>
      <c r="S133" s="3" t="str">
        <f t="shared" si="10"/>
        <v>altar_light_0</v>
      </c>
      <c r="T133" s="3">
        <v>1</v>
      </c>
      <c r="U133" s="3">
        <v>0</v>
      </c>
      <c r="V133" s="3">
        <v>1</v>
      </c>
      <c r="W133" s="7"/>
      <c r="X133" s="27" t="s">
        <v>1937</v>
      </c>
      <c r="Y133" s="27" t="s">
        <v>1942</v>
      </c>
    </row>
    <row r="134" spans="1:25" x14ac:dyDescent="0.15">
      <c r="A134" s="3">
        <v>111004</v>
      </c>
      <c r="B134" s="27" t="s">
        <v>1939</v>
      </c>
      <c r="C134" s="3">
        <v>0</v>
      </c>
      <c r="D134" s="27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12">
        <v>9</v>
      </c>
      <c r="K134" s="3">
        <v>1</v>
      </c>
      <c r="L134" s="3" t="s">
        <v>36</v>
      </c>
      <c r="M134" s="3">
        <v>111</v>
      </c>
      <c r="N134" s="3" t="s">
        <v>265</v>
      </c>
      <c r="O134" s="3">
        <v>13</v>
      </c>
      <c r="P134" s="3" t="s">
        <v>1957</v>
      </c>
      <c r="Q134" s="3" t="s">
        <v>1940</v>
      </c>
      <c r="R134" s="3" t="str">
        <f t="shared" si="12"/>
        <v>ui_111004</v>
      </c>
      <c r="S134" s="3" t="str">
        <f t="shared" si="10"/>
        <v>altar_dark_0</v>
      </c>
      <c r="T134" s="3">
        <v>1</v>
      </c>
      <c r="U134" s="3">
        <v>0</v>
      </c>
      <c r="V134" s="3">
        <v>1</v>
      </c>
      <c r="W134" s="7"/>
      <c r="X134" s="27" t="s">
        <v>1939</v>
      </c>
      <c r="Y134" s="27" t="s">
        <v>1943</v>
      </c>
    </row>
    <row r="135" spans="1:25" x14ac:dyDescent="0.15">
      <c r="A135" s="3">
        <v>111005</v>
      </c>
      <c r="B135" s="27" t="s">
        <v>2994</v>
      </c>
      <c r="C135" s="3">
        <v>0</v>
      </c>
      <c r="D135" s="27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12">
        <v>9</v>
      </c>
      <c r="K135" s="3">
        <v>1</v>
      </c>
      <c r="L135" s="3" t="s">
        <v>36</v>
      </c>
      <c r="M135" s="3">
        <v>111</v>
      </c>
      <c r="N135" s="3" t="s">
        <v>265</v>
      </c>
      <c r="O135" s="3"/>
      <c r="P135" s="3"/>
      <c r="Q135" s="27" t="s">
        <v>2995</v>
      </c>
      <c r="R135" s="3" t="str">
        <f t="shared" si="12"/>
        <v>ui_111005</v>
      </c>
      <c r="S135" s="3" t="str">
        <f t="shared" si="10"/>
        <v>eteranl_temple_0</v>
      </c>
      <c r="T135" s="3">
        <v>1</v>
      </c>
      <c r="U135" s="3">
        <v>0</v>
      </c>
      <c r="V135" s="3">
        <v>1</v>
      </c>
      <c r="W135" s="7"/>
      <c r="X135" s="27" t="s">
        <v>2994</v>
      </c>
      <c r="Y135" s="27" t="s">
        <v>3338</v>
      </c>
    </row>
    <row r="136" spans="1:25" x14ac:dyDescent="0.15">
      <c r="A136" s="3">
        <v>112001</v>
      </c>
      <c r="B136" s="40" t="s">
        <v>2686</v>
      </c>
      <c r="C136" s="3">
        <v>0</v>
      </c>
      <c r="D136" s="27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4">
        <v>0</v>
      </c>
      <c r="K136" s="3">
        <v>1</v>
      </c>
      <c r="L136" s="3" t="s">
        <v>36</v>
      </c>
      <c r="M136" s="3">
        <v>112</v>
      </c>
      <c r="N136" s="28" t="s">
        <v>2686</v>
      </c>
      <c r="O136" s="3">
        <v>0</v>
      </c>
      <c r="P136" s="3"/>
      <c r="Q136" s="27" t="s">
        <v>2687</v>
      </c>
      <c r="R136" s="3" t="str">
        <f t="shared" si="12"/>
        <v>ui_112001</v>
      </c>
      <c r="S136" s="3" t="str">
        <f t="shared" si="10"/>
        <v>flag_0</v>
      </c>
      <c r="T136" s="3">
        <v>1</v>
      </c>
      <c r="U136" s="3">
        <v>0</v>
      </c>
      <c r="V136" s="3">
        <v>1</v>
      </c>
      <c r="W136" s="7"/>
      <c r="X136" s="3" t="str">
        <f>B136</f>
        <v>旗帜</v>
      </c>
      <c r="Y136" s="3" t="s">
        <v>252</v>
      </c>
    </row>
    <row r="137" spans="1:25" ht="27" x14ac:dyDescent="0.15">
      <c r="A137" s="3">
        <v>113001</v>
      </c>
      <c r="B137" s="28" t="s">
        <v>2819</v>
      </c>
      <c r="C137" s="3">
        <v>0</v>
      </c>
      <c r="D137" s="27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4">
        <v>0</v>
      </c>
      <c r="K137" s="3">
        <v>1</v>
      </c>
      <c r="L137" s="3" t="s">
        <v>36</v>
      </c>
      <c r="M137" s="3">
        <v>113</v>
      </c>
      <c r="N137" s="4" t="s">
        <v>45</v>
      </c>
      <c r="O137" s="3">
        <v>13</v>
      </c>
      <c r="P137" s="27" t="s">
        <v>2825</v>
      </c>
      <c r="Q137" s="27" t="s">
        <v>2826</v>
      </c>
      <c r="R137" s="3" t="str">
        <f t="shared" si="12"/>
        <v>ui_113001</v>
      </c>
      <c r="S137" s="3" t="str">
        <f t="shared" si="10"/>
        <v>floorboard_0</v>
      </c>
      <c r="T137" s="3">
        <v>1</v>
      </c>
      <c r="U137" s="3">
        <v>0</v>
      </c>
      <c r="V137" s="3">
        <v>1</v>
      </c>
      <c r="W137" s="7"/>
      <c r="X137" s="28" t="s">
        <v>2819</v>
      </c>
      <c r="Y137" s="32" t="s">
        <v>2971</v>
      </c>
    </row>
    <row r="138" spans="1:25" ht="27" x14ac:dyDescent="0.15">
      <c r="A138" s="3">
        <v>113002</v>
      </c>
      <c r="B138" s="28" t="s">
        <v>2821</v>
      </c>
      <c r="C138" s="3">
        <v>0</v>
      </c>
      <c r="D138" s="27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4">
        <v>0</v>
      </c>
      <c r="K138" s="3">
        <v>1</v>
      </c>
      <c r="L138" s="3" t="s">
        <v>36</v>
      </c>
      <c r="M138" s="3">
        <v>113</v>
      </c>
      <c r="N138" s="4" t="s">
        <v>45</v>
      </c>
      <c r="O138" s="3">
        <v>14</v>
      </c>
      <c r="P138" s="27" t="s">
        <v>2825</v>
      </c>
      <c r="Q138" s="27" t="s">
        <v>2827</v>
      </c>
      <c r="R138" s="3" t="str">
        <f t="shared" si="12"/>
        <v>ui_113002</v>
      </c>
      <c r="S138" s="3" t="str">
        <f t="shared" si="10"/>
        <v>stone_floor_0</v>
      </c>
      <c r="T138" s="3">
        <v>1</v>
      </c>
      <c r="U138" s="3">
        <v>0</v>
      </c>
      <c r="V138" s="3">
        <v>1</v>
      </c>
      <c r="W138" s="7"/>
      <c r="X138" s="28" t="s">
        <v>2821</v>
      </c>
      <c r="Y138" s="32" t="s">
        <v>2972</v>
      </c>
    </row>
    <row r="139" spans="1:25" ht="27" x14ac:dyDescent="0.15">
      <c r="A139" s="3">
        <v>113003</v>
      </c>
      <c r="B139" s="28" t="s">
        <v>2822</v>
      </c>
      <c r="C139" s="3">
        <v>0</v>
      </c>
      <c r="D139" s="27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4">
        <v>0</v>
      </c>
      <c r="K139" s="3">
        <v>1</v>
      </c>
      <c r="L139" s="3" t="s">
        <v>36</v>
      </c>
      <c r="M139" s="3">
        <v>113</v>
      </c>
      <c r="N139" s="4" t="s">
        <v>45</v>
      </c>
      <c r="O139" s="3">
        <v>15</v>
      </c>
      <c r="P139" s="27" t="s">
        <v>2825</v>
      </c>
      <c r="Q139" s="27" t="s">
        <v>2828</v>
      </c>
      <c r="R139" s="3" t="str">
        <f t="shared" si="12"/>
        <v>ui_113003</v>
      </c>
      <c r="S139" s="3" t="str">
        <f t="shared" ref="S139:S141" si="20">CONCATENATE(Q139,"_0")</f>
        <v>iron_floor_0</v>
      </c>
      <c r="T139" s="3">
        <v>1</v>
      </c>
      <c r="U139" s="3">
        <v>0</v>
      </c>
      <c r="V139" s="3">
        <v>1</v>
      </c>
      <c r="W139" s="7"/>
      <c r="X139" s="28" t="s">
        <v>2822</v>
      </c>
      <c r="Y139" s="32" t="s">
        <v>2973</v>
      </c>
    </row>
    <row r="140" spans="1:25" ht="27" x14ac:dyDescent="0.15">
      <c r="A140" s="3">
        <v>113004</v>
      </c>
      <c r="B140" s="28" t="s">
        <v>2823</v>
      </c>
      <c r="C140" s="3">
        <v>0</v>
      </c>
      <c r="D140" s="27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0</v>
      </c>
      <c r="K140" s="3">
        <v>1</v>
      </c>
      <c r="L140" s="3" t="s">
        <v>36</v>
      </c>
      <c r="M140" s="3">
        <v>113</v>
      </c>
      <c r="N140" s="4" t="s">
        <v>45</v>
      </c>
      <c r="O140" s="3">
        <v>16</v>
      </c>
      <c r="P140" s="27" t="s">
        <v>2825</v>
      </c>
      <c r="Q140" s="27" t="s">
        <v>2829</v>
      </c>
      <c r="R140" s="3" t="str">
        <f t="shared" si="12"/>
        <v>ui_113004</v>
      </c>
      <c r="S140" s="3" t="str">
        <f t="shared" si="20"/>
        <v>silver_floor_0</v>
      </c>
      <c r="T140" s="3">
        <v>1</v>
      </c>
      <c r="U140" s="3">
        <v>0</v>
      </c>
      <c r="V140" s="3">
        <v>1</v>
      </c>
      <c r="W140" s="7"/>
      <c r="X140" s="28" t="s">
        <v>2823</v>
      </c>
      <c r="Y140" s="32" t="s">
        <v>2974</v>
      </c>
    </row>
    <row r="141" spans="1:25" ht="27" x14ac:dyDescent="0.15">
      <c r="A141" s="3">
        <v>113005</v>
      </c>
      <c r="B141" s="28" t="s">
        <v>2824</v>
      </c>
      <c r="C141" s="3">
        <v>0</v>
      </c>
      <c r="D141" s="27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4">
        <v>0</v>
      </c>
      <c r="K141" s="3">
        <v>1</v>
      </c>
      <c r="L141" s="3" t="s">
        <v>36</v>
      </c>
      <c r="M141" s="3">
        <v>113</v>
      </c>
      <c r="N141" s="4" t="s">
        <v>45</v>
      </c>
      <c r="O141" s="3">
        <v>17</v>
      </c>
      <c r="P141" s="27" t="s">
        <v>2825</v>
      </c>
      <c r="Q141" s="27" t="s">
        <v>2830</v>
      </c>
      <c r="R141" s="3" t="str">
        <f t="shared" si="12"/>
        <v>ui_113005</v>
      </c>
      <c r="S141" s="3" t="str">
        <f t="shared" si="20"/>
        <v>golden_floor_0</v>
      </c>
      <c r="T141" s="3">
        <v>1</v>
      </c>
      <c r="U141" s="3">
        <v>0</v>
      </c>
      <c r="V141" s="3">
        <v>1</v>
      </c>
      <c r="W141" s="7"/>
      <c r="X141" s="28" t="s">
        <v>2824</v>
      </c>
      <c r="Y141" s="32" t="s">
        <v>2975</v>
      </c>
    </row>
    <row r="142" spans="1:25" x14ac:dyDescent="0.15">
      <c r="A142" s="6">
        <v>301001</v>
      </c>
      <c r="B142" s="6" t="s">
        <v>268</v>
      </c>
      <c r="C142" s="6">
        <v>1</v>
      </c>
      <c r="D142" s="27">
        <v>0</v>
      </c>
      <c r="E142" s="3">
        <v>1</v>
      </c>
      <c r="F142" s="3">
        <v>3</v>
      </c>
      <c r="G142" s="3">
        <v>0</v>
      </c>
      <c r="H142" s="3">
        <v>1</v>
      </c>
      <c r="I142" s="3">
        <v>0</v>
      </c>
      <c r="J142" s="4">
        <v>2001</v>
      </c>
      <c r="K142" s="6">
        <v>3</v>
      </c>
      <c r="L142" s="6" t="s">
        <v>269</v>
      </c>
      <c r="M142" s="6">
        <v>301</v>
      </c>
      <c r="N142" s="4" t="s">
        <v>270</v>
      </c>
      <c r="O142" s="6">
        <v>1</v>
      </c>
      <c r="P142" s="6" t="s">
        <v>271</v>
      </c>
      <c r="Q142" s="6" t="s">
        <v>272</v>
      </c>
      <c r="R142" s="3" t="str">
        <f t="shared" si="12"/>
        <v>ui_301001</v>
      </c>
      <c r="S142" s="3" t="str">
        <f t="shared" ref="S142:S188" si="21">CONCATENATE(A142,"")</f>
        <v>301001</v>
      </c>
      <c r="T142" s="6">
        <v>1</v>
      </c>
      <c r="U142" s="3">
        <v>0</v>
      </c>
      <c r="V142" s="6">
        <v>100</v>
      </c>
      <c r="W142" s="7"/>
      <c r="X142" s="3" t="s">
        <v>268</v>
      </c>
      <c r="Y142" s="3" t="s">
        <v>273</v>
      </c>
    </row>
    <row r="143" spans="1:25" x14ac:dyDescent="0.15">
      <c r="A143" s="3">
        <v>301002</v>
      </c>
      <c r="B143" s="27" t="s">
        <v>3540</v>
      </c>
      <c r="C143" s="6">
        <v>1</v>
      </c>
      <c r="D143" s="27">
        <v>0</v>
      </c>
      <c r="E143" s="3">
        <v>1</v>
      </c>
      <c r="F143" s="3">
        <v>3</v>
      </c>
      <c r="G143" s="3">
        <v>0</v>
      </c>
      <c r="H143" s="3">
        <v>1</v>
      </c>
      <c r="I143" s="3">
        <v>0</v>
      </c>
      <c r="J143" s="4">
        <v>2002</v>
      </c>
      <c r="K143" s="3">
        <v>3</v>
      </c>
      <c r="L143" s="3" t="s">
        <v>269</v>
      </c>
      <c r="M143" s="3">
        <v>301</v>
      </c>
      <c r="N143" s="4" t="s">
        <v>270</v>
      </c>
      <c r="O143" s="3">
        <v>1</v>
      </c>
      <c r="P143" s="3" t="s">
        <v>271</v>
      </c>
      <c r="Q143" s="3" t="s">
        <v>272</v>
      </c>
      <c r="R143" s="3" t="str">
        <f t="shared" si="12"/>
        <v>ui_301002</v>
      </c>
      <c r="S143" s="3" t="str">
        <f t="shared" si="21"/>
        <v>301002</v>
      </c>
      <c r="T143" s="3">
        <v>1</v>
      </c>
      <c r="U143" s="3">
        <v>0</v>
      </c>
      <c r="V143" s="6">
        <v>100</v>
      </c>
      <c r="W143" s="7"/>
      <c r="X143" s="3" t="s">
        <v>274</v>
      </c>
      <c r="Y143" s="3" t="s">
        <v>273</v>
      </c>
    </row>
    <row r="144" spans="1:25" x14ac:dyDescent="0.15">
      <c r="A144" s="3">
        <v>301003</v>
      </c>
      <c r="B144" s="3" t="s">
        <v>275</v>
      </c>
      <c r="C144" s="6">
        <v>1</v>
      </c>
      <c r="D144" s="27">
        <v>0</v>
      </c>
      <c r="E144" s="3">
        <v>1</v>
      </c>
      <c r="F144" s="3">
        <v>3</v>
      </c>
      <c r="G144" s="3">
        <v>0</v>
      </c>
      <c r="H144" s="3">
        <v>1</v>
      </c>
      <c r="I144" s="3">
        <v>0</v>
      </c>
      <c r="J144" s="4">
        <v>2003</v>
      </c>
      <c r="K144" s="3">
        <v>3</v>
      </c>
      <c r="L144" s="3" t="s">
        <v>269</v>
      </c>
      <c r="M144" s="3">
        <v>301</v>
      </c>
      <c r="N144" s="4" t="s">
        <v>270</v>
      </c>
      <c r="O144" s="3">
        <v>1</v>
      </c>
      <c r="P144" s="3" t="s">
        <v>271</v>
      </c>
      <c r="Q144" s="3" t="s">
        <v>272</v>
      </c>
      <c r="R144" s="3" t="str">
        <f t="shared" si="12"/>
        <v>ui_301003</v>
      </c>
      <c r="S144" s="3" t="str">
        <f t="shared" si="21"/>
        <v>301003</v>
      </c>
      <c r="T144" s="3">
        <v>1</v>
      </c>
      <c r="U144" s="3">
        <v>0</v>
      </c>
      <c r="V144" s="6">
        <v>100</v>
      </c>
      <c r="W144" s="7"/>
      <c r="X144" s="3" t="s">
        <v>275</v>
      </c>
      <c r="Y144" s="3" t="s">
        <v>273</v>
      </c>
    </row>
    <row r="145" spans="1:25" x14ac:dyDescent="0.15">
      <c r="A145" s="3">
        <v>301004</v>
      </c>
      <c r="B145" s="3" t="s">
        <v>276</v>
      </c>
      <c r="C145" s="6">
        <v>1</v>
      </c>
      <c r="D145" s="27">
        <v>0</v>
      </c>
      <c r="E145" s="3">
        <v>1</v>
      </c>
      <c r="F145" s="3">
        <v>3</v>
      </c>
      <c r="G145" s="3">
        <v>0</v>
      </c>
      <c r="H145" s="3">
        <v>1</v>
      </c>
      <c r="I145" s="3">
        <v>0</v>
      </c>
      <c r="J145" s="4">
        <v>2004</v>
      </c>
      <c r="K145" s="3">
        <v>3</v>
      </c>
      <c r="L145" s="3" t="s">
        <v>269</v>
      </c>
      <c r="M145" s="3">
        <v>301</v>
      </c>
      <c r="N145" s="4" t="s">
        <v>270</v>
      </c>
      <c r="O145" s="3">
        <v>1</v>
      </c>
      <c r="P145" s="3" t="s">
        <v>271</v>
      </c>
      <c r="Q145" s="3" t="s">
        <v>272</v>
      </c>
      <c r="R145" s="3" t="str">
        <f t="shared" si="12"/>
        <v>ui_301004</v>
      </c>
      <c r="S145" s="3" t="str">
        <f t="shared" si="21"/>
        <v>301004</v>
      </c>
      <c r="T145" s="3">
        <v>1</v>
      </c>
      <c r="U145" s="3">
        <v>0</v>
      </c>
      <c r="V145" s="6">
        <v>100</v>
      </c>
      <c r="W145" s="7"/>
      <c r="X145" s="3" t="s">
        <v>276</v>
      </c>
      <c r="Y145" s="3" t="s">
        <v>273</v>
      </c>
    </row>
    <row r="146" spans="1:25" x14ac:dyDescent="0.15">
      <c r="A146" s="3">
        <v>301005</v>
      </c>
      <c r="B146" s="3" t="s">
        <v>3439</v>
      </c>
      <c r="C146" s="6">
        <v>1</v>
      </c>
      <c r="D146" s="27">
        <v>0</v>
      </c>
      <c r="E146" s="3">
        <v>1</v>
      </c>
      <c r="F146" s="3">
        <v>3</v>
      </c>
      <c r="G146" s="3">
        <v>0</v>
      </c>
      <c r="H146" s="3">
        <v>1</v>
      </c>
      <c r="I146" s="3">
        <v>0</v>
      </c>
      <c r="J146" s="4">
        <v>2005</v>
      </c>
      <c r="K146" s="3">
        <v>3</v>
      </c>
      <c r="L146" s="3" t="s">
        <v>269</v>
      </c>
      <c r="M146" s="3">
        <v>301</v>
      </c>
      <c r="N146" s="4" t="s">
        <v>270</v>
      </c>
      <c r="O146" s="3">
        <v>1</v>
      </c>
      <c r="P146" s="3" t="s">
        <v>271</v>
      </c>
      <c r="Q146" s="3" t="s">
        <v>272</v>
      </c>
      <c r="R146" s="3" t="str">
        <f t="shared" si="12"/>
        <v>ui_301005</v>
      </c>
      <c r="S146" s="3" t="str">
        <f t="shared" si="21"/>
        <v>301005</v>
      </c>
      <c r="T146" s="3">
        <v>1</v>
      </c>
      <c r="U146" s="3">
        <v>0</v>
      </c>
      <c r="V146" s="6">
        <v>100</v>
      </c>
      <c r="W146" s="7"/>
      <c r="X146" s="3" t="s">
        <v>277</v>
      </c>
      <c r="Y146" s="3" t="s">
        <v>273</v>
      </c>
    </row>
    <row r="147" spans="1:25" x14ac:dyDescent="0.15">
      <c r="A147" s="3">
        <v>301006</v>
      </c>
      <c r="B147" s="3" t="s">
        <v>278</v>
      </c>
      <c r="C147" s="6">
        <v>1</v>
      </c>
      <c r="D147" s="27">
        <v>0</v>
      </c>
      <c r="E147" s="3">
        <v>1</v>
      </c>
      <c r="F147" s="3">
        <v>3</v>
      </c>
      <c r="G147" s="3">
        <v>0</v>
      </c>
      <c r="H147" s="3">
        <v>1</v>
      </c>
      <c r="I147" s="3">
        <v>0</v>
      </c>
      <c r="J147" s="4">
        <v>2006</v>
      </c>
      <c r="K147" s="3">
        <v>3</v>
      </c>
      <c r="L147" s="3" t="s">
        <v>269</v>
      </c>
      <c r="M147" s="3">
        <v>301</v>
      </c>
      <c r="N147" s="4" t="s">
        <v>279</v>
      </c>
      <c r="O147" s="3">
        <v>1</v>
      </c>
      <c r="P147" s="3" t="s">
        <v>271</v>
      </c>
      <c r="Q147" s="3" t="s">
        <v>272</v>
      </c>
      <c r="R147" s="3" t="str">
        <f t="shared" si="12"/>
        <v>ui_301006</v>
      </c>
      <c r="S147" s="3" t="str">
        <f t="shared" si="21"/>
        <v>301006</v>
      </c>
      <c r="T147" s="3">
        <v>1</v>
      </c>
      <c r="U147" s="3">
        <v>0</v>
      </c>
      <c r="V147" s="6">
        <v>100</v>
      </c>
      <c r="W147" s="7"/>
      <c r="X147" s="3" t="s">
        <v>278</v>
      </c>
      <c r="Y147" s="3" t="s">
        <v>280</v>
      </c>
    </row>
    <row r="148" spans="1:25" x14ac:dyDescent="0.15">
      <c r="A148" s="3">
        <v>301007</v>
      </c>
      <c r="B148" s="3" t="s">
        <v>281</v>
      </c>
      <c r="C148" s="6">
        <v>1</v>
      </c>
      <c r="D148" s="27">
        <v>0</v>
      </c>
      <c r="E148" s="3">
        <v>1</v>
      </c>
      <c r="F148" s="3">
        <v>3</v>
      </c>
      <c r="G148" s="3">
        <v>0</v>
      </c>
      <c r="H148" s="3">
        <v>1</v>
      </c>
      <c r="I148" s="3">
        <v>0</v>
      </c>
      <c r="J148" s="4">
        <v>2007</v>
      </c>
      <c r="K148" s="3">
        <v>3</v>
      </c>
      <c r="L148" s="3" t="s">
        <v>269</v>
      </c>
      <c r="M148" s="3">
        <v>301</v>
      </c>
      <c r="N148" s="4" t="s">
        <v>279</v>
      </c>
      <c r="O148" s="3">
        <v>1</v>
      </c>
      <c r="P148" s="3" t="s">
        <v>271</v>
      </c>
      <c r="Q148" s="3" t="s">
        <v>272</v>
      </c>
      <c r="R148" s="3" t="str">
        <f t="shared" si="12"/>
        <v>ui_301007</v>
      </c>
      <c r="S148" s="3" t="str">
        <f t="shared" si="21"/>
        <v>301007</v>
      </c>
      <c r="T148" s="3">
        <v>1</v>
      </c>
      <c r="U148" s="3">
        <v>0</v>
      </c>
      <c r="V148" s="6">
        <v>100</v>
      </c>
      <c r="W148" s="7"/>
      <c r="X148" s="3" t="s">
        <v>281</v>
      </c>
      <c r="Y148" s="3" t="s">
        <v>280</v>
      </c>
    </row>
    <row r="149" spans="1:25" x14ac:dyDescent="0.15">
      <c r="A149" s="3">
        <v>302001</v>
      </c>
      <c r="B149" s="3" t="s">
        <v>282</v>
      </c>
      <c r="C149" s="6">
        <v>1</v>
      </c>
      <c r="D149" s="27">
        <v>0</v>
      </c>
      <c r="E149" s="3">
        <v>1</v>
      </c>
      <c r="F149" s="3">
        <v>4</v>
      </c>
      <c r="G149" s="3">
        <v>0</v>
      </c>
      <c r="H149" s="3">
        <v>1</v>
      </c>
      <c r="I149" s="3">
        <v>0</v>
      </c>
      <c r="J149" s="4">
        <v>2008</v>
      </c>
      <c r="K149" s="3">
        <v>3</v>
      </c>
      <c r="L149" s="3" t="s">
        <v>269</v>
      </c>
      <c r="M149" s="3">
        <v>302</v>
      </c>
      <c r="N149" s="4" t="s">
        <v>1620</v>
      </c>
      <c r="O149" s="3">
        <v>1</v>
      </c>
      <c r="P149" s="3" t="s">
        <v>271</v>
      </c>
      <c r="Q149" s="3" t="s">
        <v>272</v>
      </c>
      <c r="R149" s="3" t="str">
        <f t="shared" si="12"/>
        <v>ui_302001</v>
      </c>
      <c r="S149" s="3" t="str">
        <f t="shared" si="21"/>
        <v>302001</v>
      </c>
      <c r="T149" s="3">
        <v>1</v>
      </c>
      <c r="U149" s="3">
        <v>0</v>
      </c>
      <c r="V149" s="6">
        <v>100</v>
      </c>
      <c r="W149" s="7"/>
      <c r="X149" s="3" t="s">
        <v>282</v>
      </c>
      <c r="Y149" s="3" t="s">
        <v>284</v>
      </c>
    </row>
    <row r="150" spans="1:25" x14ac:dyDescent="0.15">
      <c r="A150" s="3">
        <v>302002</v>
      </c>
      <c r="B150" s="3" t="s">
        <v>285</v>
      </c>
      <c r="C150" s="6">
        <v>1</v>
      </c>
      <c r="D150" s="27">
        <v>0</v>
      </c>
      <c r="E150" s="3">
        <v>1</v>
      </c>
      <c r="F150" s="3">
        <v>4</v>
      </c>
      <c r="G150" s="3">
        <v>0</v>
      </c>
      <c r="H150" s="3">
        <v>1</v>
      </c>
      <c r="I150" s="3">
        <v>0</v>
      </c>
      <c r="J150" s="4">
        <v>2009</v>
      </c>
      <c r="K150" s="3">
        <v>3</v>
      </c>
      <c r="L150" s="3" t="s">
        <v>269</v>
      </c>
      <c r="M150" s="3">
        <v>302</v>
      </c>
      <c r="N150" s="4" t="s">
        <v>283</v>
      </c>
      <c r="O150" s="3">
        <v>1</v>
      </c>
      <c r="P150" s="3" t="s">
        <v>271</v>
      </c>
      <c r="Q150" s="3" t="s">
        <v>272</v>
      </c>
      <c r="R150" s="3" t="str">
        <f t="shared" si="12"/>
        <v>ui_302002</v>
      </c>
      <c r="S150" s="3" t="str">
        <f t="shared" si="21"/>
        <v>302002</v>
      </c>
      <c r="T150" s="3">
        <v>1</v>
      </c>
      <c r="U150" s="3">
        <v>0</v>
      </c>
      <c r="V150" s="6">
        <v>100</v>
      </c>
      <c r="W150" s="7"/>
      <c r="X150" s="3" t="s">
        <v>285</v>
      </c>
      <c r="Y150" s="3" t="s">
        <v>284</v>
      </c>
    </row>
    <row r="151" spans="1:25" x14ac:dyDescent="0.15">
      <c r="A151" s="3">
        <v>302003</v>
      </c>
      <c r="B151" s="3" t="s">
        <v>286</v>
      </c>
      <c r="C151" s="6">
        <v>1</v>
      </c>
      <c r="D151" s="27">
        <v>0</v>
      </c>
      <c r="E151" s="3">
        <v>1</v>
      </c>
      <c r="F151" s="3">
        <v>4</v>
      </c>
      <c r="G151" s="3">
        <v>0</v>
      </c>
      <c r="H151" s="3">
        <v>1</v>
      </c>
      <c r="I151" s="3">
        <v>0</v>
      </c>
      <c r="J151" s="4">
        <v>2010</v>
      </c>
      <c r="K151" s="3">
        <v>3</v>
      </c>
      <c r="L151" s="3" t="s">
        <v>269</v>
      </c>
      <c r="M151" s="3">
        <v>302</v>
      </c>
      <c r="N151" s="4" t="s">
        <v>283</v>
      </c>
      <c r="O151" s="3">
        <v>1</v>
      </c>
      <c r="P151" s="3" t="s">
        <v>271</v>
      </c>
      <c r="Q151" s="3" t="s">
        <v>272</v>
      </c>
      <c r="R151" s="3" t="str">
        <f t="shared" si="12"/>
        <v>ui_302003</v>
      </c>
      <c r="S151" s="3" t="str">
        <f t="shared" si="21"/>
        <v>302003</v>
      </c>
      <c r="T151" s="3">
        <v>1</v>
      </c>
      <c r="U151" s="3">
        <v>0</v>
      </c>
      <c r="V151" s="6">
        <v>100</v>
      </c>
      <c r="W151" s="7"/>
      <c r="X151" s="3" t="s">
        <v>286</v>
      </c>
      <c r="Y151" s="3" t="s">
        <v>284</v>
      </c>
    </row>
    <row r="152" spans="1:25" x14ac:dyDescent="0.15">
      <c r="A152" s="3">
        <v>302004</v>
      </c>
      <c r="B152" s="3" t="s">
        <v>287</v>
      </c>
      <c r="C152" s="6">
        <v>1</v>
      </c>
      <c r="D152" s="27">
        <v>0</v>
      </c>
      <c r="E152" s="3">
        <v>1</v>
      </c>
      <c r="F152" s="3">
        <v>4</v>
      </c>
      <c r="G152" s="3">
        <v>0</v>
      </c>
      <c r="H152" s="3">
        <v>1</v>
      </c>
      <c r="I152" s="3">
        <v>0</v>
      </c>
      <c r="J152" s="4">
        <v>2011</v>
      </c>
      <c r="K152" s="3">
        <v>3</v>
      </c>
      <c r="L152" s="3" t="s">
        <v>269</v>
      </c>
      <c r="M152" s="3">
        <v>302</v>
      </c>
      <c r="N152" s="4" t="s">
        <v>288</v>
      </c>
      <c r="O152" s="3">
        <v>1</v>
      </c>
      <c r="P152" s="3" t="s">
        <v>271</v>
      </c>
      <c r="Q152" s="3" t="s">
        <v>272</v>
      </c>
      <c r="R152" s="3" t="str">
        <f t="shared" si="12"/>
        <v>ui_302004</v>
      </c>
      <c r="S152" s="3" t="str">
        <f t="shared" si="21"/>
        <v>302004</v>
      </c>
      <c r="T152" s="3">
        <v>1</v>
      </c>
      <c r="U152" s="3">
        <v>0</v>
      </c>
      <c r="V152" s="6">
        <v>100</v>
      </c>
      <c r="W152" s="7"/>
      <c r="X152" s="3" t="s">
        <v>287</v>
      </c>
      <c r="Y152" s="3" t="s">
        <v>289</v>
      </c>
    </row>
    <row r="153" spans="1:25" x14ac:dyDescent="0.15">
      <c r="A153" s="3">
        <v>303001</v>
      </c>
      <c r="B153" s="3" t="s">
        <v>290</v>
      </c>
      <c r="C153" s="6">
        <v>1</v>
      </c>
      <c r="D153" s="27">
        <v>0</v>
      </c>
      <c r="E153" s="3">
        <v>1</v>
      </c>
      <c r="F153" s="3">
        <v>3</v>
      </c>
      <c r="G153" s="3">
        <v>0</v>
      </c>
      <c r="H153" s="3">
        <v>1</v>
      </c>
      <c r="I153" s="3">
        <v>0</v>
      </c>
      <c r="J153" s="4">
        <v>2012</v>
      </c>
      <c r="K153" s="3">
        <v>3</v>
      </c>
      <c r="L153" s="3" t="s">
        <v>269</v>
      </c>
      <c r="M153" s="3">
        <v>303</v>
      </c>
      <c r="N153" s="4" t="s">
        <v>291</v>
      </c>
      <c r="O153" s="3">
        <v>1</v>
      </c>
      <c r="P153" s="3" t="s">
        <v>271</v>
      </c>
      <c r="Q153" s="3" t="s">
        <v>272</v>
      </c>
      <c r="R153" s="3" t="str">
        <f t="shared" si="12"/>
        <v>ui_303001</v>
      </c>
      <c r="S153" s="3" t="str">
        <f t="shared" si="21"/>
        <v>303001</v>
      </c>
      <c r="T153" s="3">
        <v>1</v>
      </c>
      <c r="U153" s="3">
        <v>0</v>
      </c>
      <c r="V153" s="6">
        <v>100</v>
      </c>
      <c r="W153" s="7"/>
      <c r="X153" s="3" t="s">
        <v>290</v>
      </c>
      <c r="Y153" s="3" t="s">
        <v>292</v>
      </c>
    </row>
    <row r="154" spans="1:25" x14ac:dyDescent="0.15">
      <c r="A154" s="3">
        <v>303002</v>
      </c>
      <c r="B154" s="3" t="s">
        <v>293</v>
      </c>
      <c r="C154" s="6">
        <v>1</v>
      </c>
      <c r="D154" s="27">
        <v>0</v>
      </c>
      <c r="E154" s="3">
        <v>1</v>
      </c>
      <c r="F154" s="3">
        <v>3</v>
      </c>
      <c r="G154" s="3">
        <v>0</v>
      </c>
      <c r="H154" s="3">
        <v>1</v>
      </c>
      <c r="I154" s="3">
        <v>0</v>
      </c>
      <c r="J154" s="4">
        <v>2013</v>
      </c>
      <c r="K154" s="3">
        <v>3</v>
      </c>
      <c r="L154" s="3" t="s">
        <v>269</v>
      </c>
      <c r="M154" s="3">
        <v>303</v>
      </c>
      <c r="N154" s="4" t="s">
        <v>291</v>
      </c>
      <c r="O154" s="3">
        <v>1</v>
      </c>
      <c r="P154" s="3" t="s">
        <v>271</v>
      </c>
      <c r="Q154" s="3" t="s">
        <v>272</v>
      </c>
      <c r="R154" s="3" t="str">
        <f t="shared" si="12"/>
        <v>ui_303002</v>
      </c>
      <c r="S154" s="3" t="str">
        <f t="shared" si="21"/>
        <v>303002</v>
      </c>
      <c r="T154" s="3">
        <v>1</v>
      </c>
      <c r="U154" s="3">
        <v>0</v>
      </c>
      <c r="V154" s="6">
        <v>100</v>
      </c>
      <c r="W154" s="7"/>
      <c r="X154" s="3" t="s">
        <v>293</v>
      </c>
      <c r="Y154" s="3" t="s">
        <v>294</v>
      </c>
    </row>
    <row r="155" spans="1:25" x14ac:dyDescent="0.15">
      <c r="A155" s="3">
        <v>303004</v>
      </c>
      <c r="B155" s="3" t="s">
        <v>295</v>
      </c>
      <c r="C155" s="6">
        <v>1</v>
      </c>
      <c r="D155" s="27">
        <v>0</v>
      </c>
      <c r="E155" s="3">
        <v>1</v>
      </c>
      <c r="F155" s="3">
        <v>3</v>
      </c>
      <c r="G155" s="3">
        <v>0</v>
      </c>
      <c r="H155" s="3">
        <v>1</v>
      </c>
      <c r="I155" s="3">
        <v>0</v>
      </c>
      <c r="J155" s="4">
        <v>2014</v>
      </c>
      <c r="K155" s="3">
        <v>3</v>
      </c>
      <c r="L155" s="3" t="s">
        <v>269</v>
      </c>
      <c r="M155" s="3">
        <v>303</v>
      </c>
      <c r="N155" s="4" t="s">
        <v>291</v>
      </c>
      <c r="O155" s="3">
        <v>1</v>
      </c>
      <c r="P155" s="3" t="s">
        <v>271</v>
      </c>
      <c r="Q155" s="3" t="s">
        <v>272</v>
      </c>
      <c r="R155" s="3" t="str">
        <f t="shared" si="12"/>
        <v>ui_303004</v>
      </c>
      <c r="S155" s="3" t="str">
        <f t="shared" si="21"/>
        <v>303004</v>
      </c>
      <c r="T155" s="3">
        <v>1</v>
      </c>
      <c r="U155" s="3">
        <v>0</v>
      </c>
      <c r="V155" s="6">
        <v>100</v>
      </c>
      <c r="W155" s="7"/>
      <c r="X155" s="3" t="s">
        <v>295</v>
      </c>
      <c r="Y155" s="3" t="s">
        <v>296</v>
      </c>
    </row>
    <row r="156" spans="1:25" x14ac:dyDescent="0.15">
      <c r="A156" s="3">
        <v>303006</v>
      </c>
      <c r="B156" s="3" t="s">
        <v>297</v>
      </c>
      <c r="C156" s="6">
        <v>1</v>
      </c>
      <c r="D156" s="27">
        <v>0</v>
      </c>
      <c r="E156" s="3">
        <v>1</v>
      </c>
      <c r="F156" s="3">
        <v>3</v>
      </c>
      <c r="G156" s="3">
        <v>0</v>
      </c>
      <c r="H156" s="3">
        <v>1</v>
      </c>
      <c r="I156" s="3">
        <v>0</v>
      </c>
      <c r="J156" s="4">
        <v>2015</v>
      </c>
      <c r="K156" s="3">
        <v>3</v>
      </c>
      <c r="L156" s="3" t="s">
        <v>269</v>
      </c>
      <c r="M156" s="3">
        <v>303</v>
      </c>
      <c r="N156" s="4" t="s">
        <v>291</v>
      </c>
      <c r="O156" s="3">
        <v>1</v>
      </c>
      <c r="P156" s="3" t="s">
        <v>271</v>
      </c>
      <c r="Q156" s="3" t="s">
        <v>272</v>
      </c>
      <c r="R156" s="3" t="str">
        <f t="shared" si="12"/>
        <v>ui_303006</v>
      </c>
      <c r="S156" s="3" t="str">
        <f t="shared" si="21"/>
        <v>303006</v>
      </c>
      <c r="T156" s="3">
        <v>1</v>
      </c>
      <c r="U156" s="3">
        <v>0</v>
      </c>
      <c r="V156" s="6">
        <v>100</v>
      </c>
      <c r="W156" s="7"/>
      <c r="X156" s="3" t="s">
        <v>297</v>
      </c>
      <c r="Y156" s="3" t="s">
        <v>298</v>
      </c>
    </row>
    <row r="157" spans="1:25" x14ac:dyDescent="0.15">
      <c r="A157" s="3">
        <v>303007</v>
      </c>
      <c r="B157" s="3" t="s">
        <v>299</v>
      </c>
      <c r="C157" s="6">
        <v>1</v>
      </c>
      <c r="D157" s="27">
        <v>0</v>
      </c>
      <c r="E157" s="3">
        <v>1</v>
      </c>
      <c r="F157" s="3">
        <v>10</v>
      </c>
      <c r="G157" s="3">
        <v>0</v>
      </c>
      <c r="H157" s="3">
        <v>1</v>
      </c>
      <c r="I157" s="3">
        <v>0</v>
      </c>
      <c r="J157" s="4">
        <v>2016</v>
      </c>
      <c r="K157" s="3">
        <v>3</v>
      </c>
      <c r="L157" s="3" t="s">
        <v>269</v>
      </c>
      <c r="M157" s="3">
        <v>303</v>
      </c>
      <c r="N157" s="4" t="s">
        <v>291</v>
      </c>
      <c r="O157" s="3">
        <v>1</v>
      </c>
      <c r="P157" s="3" t="s">
        <v>271</v>
      </c>
      <c r="Q157" s="3" t="s">
        <v>272</v>
      </c>
      <c r="R157" s="3" t="str">
        <f t="shared" si="12"/>
        <v>ui_303007</v>
      </c>
      <c r="S157" s="3" t="str">
        <f t="shared" si="21"/>
        <v>303007</v>
      </c>
      <c r="T157" s="3">
        <v>1</v>
      </c>
      <c r="U157" s="3">
        <v>0</v>
      </c>
      <c r="V157" s="6">
        <v>100</v>
      </c>
      <c r="W157" s="7"/>
      <c r="X157" s="3" t="s">
        <v>299</v>
      </c>
      <c r="Y157" s="3" t="s">
        <v>300</v>
      </c>
    </row>
    <row r="158" spans="1:25" x14ac:dyDescent="0.15">
      <c r="A158" s="3">
        <v>303009</v>
      </c>
      <c r="B158" s="3" t="s">
        <v>301</v>
      </c>
      <c r="C158" s="6">
        <v>1</v>
      </c>
      <c r="D158" s="27">
        <v>0</v>
      </c>
      <c r="E158" s="3">
        <v>1</v>
      </c>
      <c r="F158" s="3">
        <v>3</v>
      </c>
      <c r="G158" s="3">
        <v>0</v>
      </c>
      <c r="H158" s="3">
        <v>1</v>
      </c>
      <c r="I158" s="3">
        <v>0</v>
      </c>
      <c r="J158" s="4">
        <v>2017</v>
      </c>
      <c r="K158" s="3">
        <v>3</v>
      </c>
      <c r="L158" s="3" t="s">
        <v>269</v>
      </c>
      <c r="M158" s="3">
        <v>303</v>
      </c>
      <c r="N158" s="4" t="s">
        <v>302</v>
      </c>
      <c r="O158" s="3">
        <v>1</v>
      </c>
      <c r="P158" s="3" t="s">
        <v>271</v>
      </c>
      <c r="Q158" s="3" t="s">
        <v>272</v>
      </c>
      <c r="R158" s="3" t="str">
        <f t="shared" si="12"/>
        <v>ui_303009</v>
      </c>
      <c r="S158" s="3" t="str">
        <f t="shared" si="21"/>
        <v>303009</v>
      </c>
      <c r="T158" s="3">
        <v>1</v>
      </c>
      <c r="U158" s="3">
        <v>0</v>
      </c>
      <c r="V158" s="6">
        <v>100</v>
      </c>
      <c r="W158" s="7"/>
      <c r="X158" s="3" t="s">
        <v>301</v>
      </c>
      <c r="Y158" s="3" t="s">
        <v>303</v>
      </c>
    </row>
    <row r="159" spans="1:25" x14ac:dyDescent="0.15">
      <c r="A159" s="3">
        <v>304001</v>
      </c>
      <c r="B159" s="27" t="s">
        <v>2157</v>
      </c>
      <c r="C159" s="3">
        <v>2</v>
      </c>
      <c r="D159" s="27">
        <v>0</v>
      </c>
      <c r="E159" s="3">
        <v>1</v>
      </c>
      <c r="F159" s="3">
        <v>2</v>
      </c>
      <c r="G159" s="3">
        <v>0</v>
      </c>
      <c r="H159" s="3">
        <v>1</v>
      </c>
      <c r="I159" s="3">
        <v>0</v>
      </c>
      <c r="J159" s="4">
        <v>22</v>
      </c>
      <c r="K159" s="3">
        <v>3</v>
      </c>
      <c r="L159" s="3" t="s">
        <v>269</v>
      </c>
      <c r="M159" s="3">
        <v>304</v>
      </c>
      <c r="N159" s="4" t="s">
        <v>1621</v>
      </c>
      <c r="O159" s="3">
        <v>1</v>
      </c>
      <c r="P159" s="3" t="s">
        <v>271</v>
      </c>
      <c r="Q159" s="3" t="s">
        <v>272</v>
      </c>
      <c r="R159" s="3" t="str">
        <f t="shared" si="12"/>
        <v>ui_304001</v>
      </c>
      <c r="S159" s="3" t="str">
        <f t="shared" si="21"/>
        <v>304001</v>
      </c>
      <c r="T159" s="3">
        <v>1</v>
      </c>
      <c r="U159" s="3">
        <v>0</v>
      </c>
      <c r="V159" s="6">
        <v>100</v>
      </c>
      <c r="W159" s="7"/>
      <c r="X159" s="3" t="s">
        <v>304</v>
      </c>
      <c r="Y159" s="3" t="s">
        <v>306</v>
      </c>
    </row>
    <row r="160" spans="1:25" x14ac:dyDescent="0.15">
      <c r="A160" s="3">
        <v>304002</v>
      </c>
      <c r="B160" s="3" t="s">
        <v>307</v>
      </c>
      <c r="C160" s="3">
        <v>2</v>
      </c>
      <c r="D160" s="27">
        <v>0</v>
      </c>
      <c r="E160" s="3">
        <v>1</v>
      </c>
      <c r="F160" s="3">
        <v>2</v>
      </c>
      <c r="G160" s="3">
        <v>0</v>
      </c>
      <c r="H160" s="3">
        <v>1</v>
      </c>
      <c r="I160" s="3">
        <v>0</v>
      </c>
      <c r="J160" s="4">
        <v>23</v>
      </c>
      <c r="K160" s="3">
        <v>3</v>
      </c>
      <c r="L160" s="3" t="s">
        <v>269</v>
      </c>
      <c r="M160" s="3">
        <v>304</v>
      </c>
      <c r="N160" s="4" t="s">
        <v>305</v>
      </c>
      <c r="O160" s="3">
        <v>1</v>
      </c>
      <c r="P160" s="3" t="s">
        <v>271</v>
      </c>
      <c r="Q160" s="3" t="s">
        <v>272</v>
      </c>
      <c r="R160" s="3" t="str">
        <f t="shared" si="12"/>
        <v>ui_304002</v>
      </c>
      <c r="S160" s="3" t="str">
        <f t="shared" si="21"/>
        <v>304002</v>
      </c>
      <c r="T160" s="3">
        <v>1</v>
      </c>
      <c r="U160" s="3">
        <v>0</v>
      </c>
      <c r="V160" s="6">
        <v>100</v>
      </c>
      <c r="W160" s="7"/>
      <c r="X160" s="3" t="s">
        <v>307</v>
      </c>
      <c r="Y160" s="27" t="s">
        <v>2842</v>
      </c>
    </row>
    <row r="161" spans="1:25" x14ac:dyDescent="0.15">
      <c r="A161" s="3">
        <v>304005</v>
      </c>
      <c r="B161" s="3" t="s">
        <v>308</v>
      </c>
      <c r="C161" s="3">
        <v>2</v>
      </c>
      <c r="D161" s="27">
        <v>0</v>
      </c>
      <c r="E161" s="3">
        <v>1</v>
      </c>
      <c r="F161" s="3">
        <v>2</v>
      </c>
      <c r="G161" s="3">
        <v>0</v>
      </c>
      <c r="H161" s="3">
        <v>1</v>
      </c>
      <c r="I161" s="3">
        <v>0</v>
      </c>
      <c r="J161" s="4">
        <v>24</v>
      </c>
      <c r="K161" s="3">
        <v>3</v>
      </c>
      <c r="L161" s="3" t="s">
        <v>269</v>
      </c>
      <c r="M161" s="3">
        <v>304</v>
      </c>
      <c r="N161" s="4" t="s">
        <v>305</v>
      </c>
      <c r="O161" s="3">
        <v>1</v>
      </c>
      <c r="P161" s="3" t="s">
        <v>271</v>
      </c>
      <c r="Q161" s="3" t="s">
        <v>272</v>
      </c>
      <c r="R161" s="3" t="str">
        <f t="shared" si="12"/>
        <v>ui_304005</v>
      </c>
      <c r="S161" s="3" t="str">
        <f t="shared" si="21"/>
        <v>304005</v>
      </c>
      <c r="T161" s="3">
        <v>1</v>
      </c>
      <c r="U161" s="3">
        <v>0</v>
      </c>
      <c r="V161" s="6">
        <v>100</v>
      </c>
      <c r="W161" s="7"/>
      <c r="X161" s="3" t="s">
        <v>308</v>
      </c>
      <c r="Y161" s="3" t="s">
        <v>1892</v>
      </c>
    </row>
    <row r="162" spans="1:25" x14ac:dyDescent="0.15">
      <c r="A162" s="3">
        <v>304007</v>
      </c>
      <c r="B162" s="3" t="s">
        <v>309</v>
      </c>
      <c r="C162" s="3">
        <v>2</v>
      </c>
      <c r="D162" s="27">
        <v>0</v>
      </c>
      <c r="E162" s="3">
        <v>1</v>
      </c>
      <c r="F162" s="3">
        <v>2</v>
      </c>
      <c r="G162" s="3">
        <v>0</v>
      </c>
      <c r="H162" s="3">
        <v>1</v>
      </c>
      <c r="I162" s="3">
        <v>0</v>
      </c>
      <c r="J162" s="4">
        <v>25</v>
      </c>
      <c r="K162" s="3">
        <v>3</v>
      </c>
      <c r="L162" s="3" t="s">
        <v>269</v>
      </c>
      <c r="M162" s="3">
        <v>304</v>
      </c>
      <c r="N162" s="4" t="s">
        <v>305</v>
      </c>
      <c r="O162" s="3">
        <v>1</v>
      </c>
      <c r="P162" s="3" t="s">
        <v>271</v>
      </c>
      <c r="Q162" s="3" t="s">
        <v>272</v>
      </c>
      <c r="R162" s="3" t="str">
        <f t="shared" si="12"/>
        <v>ui_304007</v>
      </c>
      <c r="S162" s="3" t="str">
        <f t="shared" si="21"/>
        <v>304007</v>
      </c>
      <c r="T162" s="3">
        <v>1</v>
      </c>
      <c r="U162" s="3">
        <v>0</v>
      </c>
      <c r="V162" s="6">
        <v>100</v>
      </c>
      <c r="W162" s="7"/>
      <c r="X162" s="3" t="s">
        <v>309</v>
      </c>
      <c r="Y162" s="3" t="s">
        <v>310</v>
      </c>
    </row>
    <row r="163" spans="1:25" x14ac:dyDescent="0.15">
      <c r="A163" s="3">
        <v>304008</v>
      </c>
      <c r="B163" s="27" t="s">
        <v>3539</v>
      </c>
      <c r="C163" s="3">
        <v>2</v>
      </c>
      <c r="D163" s="27">
        <v>0</v>
      </c>
      <c r="E163" s="3">
        <v>1</v>
      </c>
      <c r="F163" s="3">
        <v>2</v>
      </c>
      <c r="G163" s="3">
        <v>0</v>
      </c>
      <c r="H163" s="3">
        <v>1</v>
      </c>
      <c r="I163" s="3">
        <v>0</v>
      </c>
      <c r="J163" s="4">
        <v>26</v>
      </c>
      <c r="K163" s="3">
        <v>3</v>
      </c>
      <c r="L163" s="3" t="s">
        <v>269</v>
      </c>
      <c r="M163" s="3">
        <v>304</v>
      </c>
      <c r="N163" s="4" t="s">
        <v>305</v>
      </c>
      <c r="O163" s="3">
        <v>1</v>
      </c>
      <c r="P163" s="3" t="s">
        <v>271</v>
      </c>
      <c r="Q163" s="3" t="s">
        <v>272</v>
      </c>
      <c r="R163" s="3" t="str">
        <f t="shared" si="12"/>
        <v>ui_304008</v>
      </c>
      <c r="S163" s="3" t="str">
        <f t="shared" si="21"/>
        <v>304008</v>
      </c>
      <c r="T163" s="3">
        <v>1</v>
      </c>
      <c r="U163" s="3">
        <v>0</v>
      </c>
      <c r="V163" s="6">
        <v>100</v>
      </c>
      <c r="W163" s="7"/>
      <c r="X163" s="3" t="s">
        <v>311</v>
      </c>
      <c r="Y163" s="3" t="s">
        <v>310</v>
      </c>
    </row>
    <row r="164" spans="1:25" x14ac:dyDescent="0.15">
      <c r="A164" s="3">
        <v>304009</v>
      </c>
      <c r="B164" s="27" t="s">
        <v>3463</v>
      </c>
      <c r="C164" s="3">
        <v>2</v>
      </c>
      <c r="D164" s="27">
        <v>0</v>
      </c>
      <c r="E164" s="3">
        <v>1</v>
      </c>
      <c r="F164" s="3">
        <v>10</v>
      </c>
      <c r="G164" s="3">
        <v>0</v>
      </c>
      <c r="H164" s="3">
        <v>1</v>
      </c>
      <c r="I164" s="3">
        <v>0</v>
      </c>
      <c r="J164" s="4">
        <v>22</v>
      </c>
      <c r="K164" s="3">
        <v>3</v>
      </c>
      <c r="L164" s="3" t="s">
        <v>269</v>
      </c>
      <c r="M164" s="3">
        <v>304</v>
      </c>
      <c r="N164" s="4" t="s">
        <v>1621</v>
      </c>
      <c r="O164" s="3">
        <v>1</v>
      </c>
      <c r="P164" s="3" t="s">
        <v>271</v>
      </c>
      <c r="Q164" s="3" t="s">
        <v>272</v>
      </c>
      <c r="R164" s="3" t="str">
        <f t="shared" ref="R164:R165" si="22">CONCATENATE("ui_",A164,"")</f>
        <v>ui_304009</v>
      </c>
      <c r="S164" s="3" t="str">
        <f t="shared" ref="S164:S165" si="23">CONCATENATE(A164,"")</f>
        <v>304009</v>
      </c>
      <c r="T164" s="3">
        <v>1</v>
      </c>
      <c r="U164" s="3">
        <v>0</v>
      </c>
      <c r="V164" s="6">
        <v>100</v>
      </c>
      <c r="W164" s="7"/>
      <c r="X164" s="27" t="s">
        <v>3463</v>
      </c>
      <c r="Y164" s="27" t="s">
        <v>3465</v>
      </c>
    </row>
    <row r="165" spans="1:25" x14ac:dyDescent="0.15">
      <c r="A165" s="3">
        <v>304010</v>
      </c>
      <c r="B165" s="27" t="s">
        <v>3464</v>
      </c>
      <c r="C165" s="3">
        <v>2</v>
      </c>
      <c r="D165" s="27">
        <v>0</v>
      </c>
      <c r="E165" s="3">
        <v>1</v>
      </c>
      <c r="F165" s="3">
        <v>10</v>
      </c>
      <c r="G165" s="3">
        <v>0</v>
      </c>
      <c r="H165" s="3">
        <v>1</v>
      </c>
      <c r="I165" s="3">
        <v>0</v>
      </c>
      <c r="J165" s="4">
        <v>23</v>
      </c>
      <c r="K165" s="3">
        <v>3</v>
      </c>
      <c r="L165" s="3" t="s">
        <v>269</v>
      </c>
      <c r="M165" s="3">
        <v>304</v>
      </c>
      <c r="N165" s="4" t="s">
        <v>305</v>
      </c>
      <c r="O165" s="3">
        <v>1</v>
      </c>
      <c r="P165" s="3" t="s">
        <v>271</v>
      </c>
      <c r="Q165" s="3" t="s">
        <v>272</v>
      </c>
      <c r="R165" s="3" t="str">
        <f t="shared" si="22"/>
        <v>ui_304010</v>
      </c>
      <c r="S165" s="3" t="str">
        <f t="shared" si="23"/>
        <v>304010</v>
      </c>
      <c r="T165" s="3">
        <v>1</v>
      </c>
      <c r="U165" s="3">
        <v>0</v>
      </c>
      <c r="V165" s="6">
        <v>100</v>
      </c>
      <c r="W165" s="7"/>
      <c r="X165" s="27" t="s">
        <v>3464</v>
      </c>
      <c r="Y165" s="27" t="s">
        <v>3466</v>
      </c>
    </row>
    <row r="166" spans="1:25" x14ac:dyDescent="0.15">
      <c r="A166" s="3">
        <v>305001</v>
      </c>
      <c r="B166" s="39" t="s">
        <v>3279</v>
      </c>
      <c r="C166" s="3">
        <v>2</v>
      </c>
      <c r="D166" s="27">
        <v>0</v>
      </c>
      <c r="E166" s="3">
        <v>1</v>
      </c>
      <c r="F166" s="3">
        <v>5</v>
      </c>
      <c r="G166" s="3">
        <v>0</v>
      </c>
      <c r="H166" s="3">
        <v>1</v>
      </c>
      <c r="I166" s="3">
        <v>0</v>
      </c>
      <c r="J166" s="4">
        <v>1</v>
      </c>
      <c r="K166" s="3">
        <v>3</v>
      </c>
      <c r="L166" s="3" t="s">
        <v>269</v>
      </c>
      <c r="M166" s="3">
        <v>305</v>
      </c>
      <c r="N166" s="4" t="s">
        <v>313</v>
      </c>
      <c r="O166" s="3">
        <v>1</v>
      </c>
      <c r="P166" s="3" t="s">
        <v>271</v>
      </c>
      <c r="Q166" s="3" t="s">
        <v>272</v>
      </c>
      <c r="R166" s="3" t="str">
        <f t="shared" si="12"/>
        <v>ui_305001</v>
      </c>
      <c r="S166" s="3" t="str">
        <f t="shared" si="21"/>
        <v>305001</v>
      </c>
      <c r="T166" s="3">
        <v>1</v>
      </c>
      <c r="U166" s="3">
        <v>1</v>
      </c>
      <c r="V166" s="6">
        <v>100</v>
      </c>
      <c r="W166" s="7"/>
      <c r="X166" s="3" t="s">
        <v>312</v>
      </c>
      <c r="Y166" s="3" t="s">
        <v>314</v>
      </c>
    </row>
    <row r="167" spans="1:25" x14ac:dyDescent="0.15">
      <c r="A167" s="3">
        <v>305002</v>
      </c>
      <c r="B167" s="39" t="s">
        <v>3280</v>
      </c>
      <c r="C167" s="3">
        <v>4</v>
      </c>
      <c r="D167" s="27">
        <v>0</v>
      </c>
      <c r="E167" s="3">
        <v>1</v>
      </c>
      <c r="F167" s="3">
        <v>5</v>
      </c>
      <c r="G167" s="3">
        <v>0</v>
      </c>
      <c r="H167" s="3">
        <v>1</v>
      </c>
      <c r="I167" s="3">
        <v>0</v>
      </c>
      <c r="J167" s="4">
        <v>2</v>
      </c>
      <c r="K167" s="3">
        <v>3</v>
      </c>
      <c r="L167" s="3" t="s">
        <v>269</v>
      </c>
      <c r="M167" s="3">
        <v>305</v>
      </c>
      <c r="N167" s="4" t="s">
        <v>313</v>
      </c>
      <c r="O167" s="3">
        <v>1</v>
      </c>
      <c r="P167" s="3" t="s">
        <v>271</v>
      </c>
      <c r="Q167" s="3" t="s">
        <v>272</v>
      </c>
      <c r="R167" s="3" t="str">
        <f t="shared" si="12"/>
        <v>ui_305002</v>
      </c>
      <c r="S167" s="3" t="str">
        <f t="shared" si="21"/>
        <v>305002</v>
      </c>
      <c r="T167" s="3">
        <v>1</v>
      </c>
      <c r="U167" s="3">
        <v>1</v>
      </c>
      <c r="V167" s="6">
        <v>100</v>
      </c>
      <c r="W167" s="7"/>
      <c r="X167" s="3" t="s">
        <v>315</v>
      </c>
      <c r="Y167" s="3" t="s">
        <v>316</v>
      </c>
    </row>
    <row r="168" spans="1:25" x14ac:dyDescent="0.15">
      <c r="A168" s="3">
        <v>305003</v>
      </c>
      <c r="B168" s="14" t="s">
        <v>317</v>
      </c>
      <c r="C168" s="3">
        <v>2</v>
      </c>
      <c r="D168" s="27">
        <v>0</v>
      </c>
      <c r="E168" s="3">
        <v>1</v>
      </c>
      <c r="F168" s="3">
        <v>5</v>
      </c>
      <c r="G168" s="3">
        <v>0</v>
      </c>
      <c r="H168" s="3">
        <v>1</v>
      </c>
      <c r="I168" s="3">
        <v>0</v>
      </c>
      <c r="J168" s="4">
        <v>3</v>
      </c>
      <c r="K168" s="3">
        <v>3</v>
      </c>
      <c r="L168" s="3" t="s">
        <v>269</v>
      </c>
      <c r="M168" s="3">
        <v>305</v>
      </c>
      <c r="N168" s="4" t="s">
        <v>313</v>
      </c>
      <c r="O168" s="3">
        <v>1</v>
      </c>
      <c r="P168" s="3" t="s">
        <v>271</v>
      </c>
      <c r="Q168" s="3" t="s">
        <v>272</v>
      </c>
      <c r="R168" s="3" t="str">
        <f t="shared" si="12"/>
        <v>ui_305003</v>
      </c>
      <c r="S168" s="3" t="str">
        <f t="shared" si="21"/>
        <v>305003</v>
      </c>
      <c r="T168" s="3">
        <v>1</v>
      </c>
      <c r="U168" s="3">
        <v>1</v>
      </c>
      <c r="V168" s="6">
        <v>100</v>
      </c>
      <c r="W168" s="7"/>
      <c r="X168" s="3" t="s">
        <v>317</v>
      </c>
      <c r="Y168" s="27" t="s">
        <v>3270</v>
      </c>
    </row>
    <row r="169" spans="1:25" x14ac:dyDescent="0.15">
      <c r="A169" s="3">
        <v>305004</v>
      </c>
      <c r="B169" s="14" t="s">
        <v>1607</v>
      </c>
      <c r="C169" s="3">
        <v>1</v>
      </c>
      <c r="D169" s="27">
        <v>0</v>
      </c>
      <c r="E169" s="3">
        <v>1</v>
      </c>
      <c r="F169" s="3">
        <v>5</v>
      </c>
      <c r="G169" s="3">
        <v>0</v>
      </c>
      <c r="H169" s="3">
        <v>1</v>
      </c>
      <c r="I169" s="3">
        <v>0</v>
      </c>
      <c r="J169" s="4">
        <v>4</v>
      </c>
      <c r="K169" s="3">
        <v>3</v>
      </c>
      <c r="L169" s="3" t="s">
        <v>269</v>
      </c>
      <c r="M169" s="3">
        <v>305</v>
      </c>
      <c r="N169" s="4" t="s">
        <v>313</v>
      </c>
      <c r="O169" s="3">
        <v>1</v>
      </c>
      <c r="P169" s="3" t="s">
        <v>271</v>
      </c>
      <c r="Q169" s="3" t="s">
        <v>272</v>
      </c>
      <c r="R169" s="3" t="str">
        <f t="shared" si="12"/>
        <v>ui_305004</v>
      </c>
      <c r="S169" s="3" t="str">
        <f t="shared" si="21"/>
        <v>305004</v>
      </c>
      <c r="T169" s="3">
        <v>1</v>
      </c>
      <c r="U169" s="3">
        <v>1</v>
      </c>
      <c r="V169" s="6">
        <v>100</v>
      </c>
      <c r="W169" s="7"/>
      <c r="X169" s="3" t="s">
        <v>318</v>
      </c>
      <c r="Y169" s="3" t="s">
        <v>319</v>
      </c>
    </row>
    <row r="170" spans="1:25" x14ac:dyDescent="0.15">
      <c r="A170" s="3">
        <v>305005</v>
      </c>
      <c r="B170" s="39" t="s">
        <v>1870</v>
      </c>
      <c r="C170" s="3">
        <v>5</v>
      </c>
      <c r="D170" s="27">
        <v>0</v>
      </c>
      <c r="E170" s="3">
        <v>1</v>
      </c>
      <c r="F170" s="3">
        <v>10</v>
      </c>
      <c r="G170" s="3">
        <v>0</v>
      </c>
      <c r="H170" s="3">
        <v>1</v>
      </c>
      <c r="I170" s="3">
        <v>0</v>
      </c>
      <c r="J170" s="4">
        <v>21</v>
      </c>
      <c r="K170" s="3">
        <v>3</v>
      </c>
      <c r="L170" s="3" t="s">
        <v>269</v>
      </c>
      <c r="M170" s="3">
        <v>305</v>
      </c>
      <c r="N170" s="4" t="s">
        <v>313</v>
      </c>
      <c r="O170" s="3">
        <v>1</v>
      </c>
      <c r="P170" s="3" t="s">
        <v>271</v>
      </c>
      <c r="Q170" s="3" t="s">
        <v>272</v>
      </c>
      <c r="R170" s="3" t="str">
        <f t="shared" si="12"/>
        <v>ui_305005</v>
      </c>
      <c r="S170" s="3" t="str">
        <f t="shared" si="21"/>
        <v>305005</v>
      </c>
      <c r="T170" s="3">
        <v>0.5</v>
      </c>
      <c r="U170" s="3">
        <v>1</v>
      </c>
      <c r="V170" s="3">
        <v>1</v>
      </c>
      <c r="W170" s="7"/>
      <c r="X170" s="27" t="s">
        <v>1870</v>
      </c>
      <c r="Y170" s="27" t="s">
        <v>2723</v>
      </c>
    </row>
    <row r="171" spans="1:25" x14ac:dyDescent="0.15">
      <c r="A171" s="3">
        <v>305006</v>
      </c>
      <c r="B171" s="39" t="s">
        <v>1871</v>
      </c>
      <c r="C171" s="3">
        <v>10</v>
      </c>
      <c r="D171" s="27">
        <v>0</v>
      </c>
      <c r="E171" s="3">
        <v>1</v>
      </c>
      <c r="F171" s="3">
        <v>5</v>
      </c>
      <c r="G171" s="3">
        <v>0</v>
      </c>
      <c r="H171" s="3">
        <v>1</v>
      </c>
      <c r="I171" s="3">
        <v>0</v>
      </c>
      <c r="J171" s="4">
        <v>21</v>
      </c>
      <c r="K171" s="3">
        <v>3</v>
      </c>
      <c r="L171" s="3" t="s">
        <v>269</v>
      </c>
      <c r="M171" s="3">
        <v>305</v>
      </c>
      <c r="N171" s="4" t="s">
        <v>313</v>
      </c>
      <c r="O171" s="3">
        <v>1</v>
      </c>
      <c r="P171" s="3" t="s">
        <v>271</v>
      </c>
      <c r="Q171" s="3" t="s">
        <v>272</v>
      </c>
      <c r="R171" s="3" t="str">
        <f t="shared" si="12"/>
        <v>ui_305006</v>
      </c>
      <c r="S171" s="3" t="str">
        <f t="shared" si="21"/>
        <v>305006</v>
      </c>
      <c r="T171" s="3">
        <v>1</v>
      </c>
      <c r="U171" s="3">
        <v>1</v>
      </c>
      <c r="V171" s="3">
        <v>1</v>
      </c>
      <c r="W171" s="7"/>
      <c r="X171" s="3" t="s">
        <v>1871</v>
      </c>
      <c r="Y171" s="27" t="s">
        <v>1882</v>
      </c>
    </row>
    <row r="172" spans="1:25" x14ac:dyDescent="0.15">
      <c r="A172" s="3">
        <v>306001</v>
      </c>
      <c r="B172" s="27" t="s">
        <v>1552</v>
      </c>
      <c r="C172" s="3">
        <v>3</v>
      </c>
      <c r="D172" s="27">
        <v>0</v>
      </c>
      <c r="E172" s="3">
        <v>0</v>
      </c>
      <c r="F172" s="3">
        <v>10</v>
      </c>
      <c r="G172" s="3">
        <v>0</v>
      </c>
      <c r="H172" s="3">
        <v>1</v>
      </c>
      <c r="I172" s="3">
        <v>0</v>
      </c>
      <c r="J172" s="4">
        <v>5</v>
      </c>
      <c r="K172" s="3">
        <v>3</v>
      </c>
      <c r="L172" s="3" t="s">
        <v>269</v>
      </c>
      <c r="M172" s="3">
        <v>306</v>
      </c>
      <c r="N172" s="4" t="s">
        <v>320</v>
      </c>
      <c r="O172" s="3">
        <v>1</v>
      </c>
      <c r="P172" s="3" t="s">
        <v>271</v>
      </c>
      <c r="Q172" s="3" t="s">
        <v>272</v>
      </c>
      <c r="R172" s="3" t="str">
        <f t="shared" si="12"/>
        <v>ui_306001</v>
      </c>
      <c r="S172" s="3" t="str">
        <f t="shared" si="21"/>
        <v>306001</v>
      </c>
      <c r="T172" s="3">
        <v>1</v>
      </c>
      <c r="U172" s="3">
        <v>1</v>
      </c>
      <c r="V172" s="6">
        <v>100</v>
      </c>
      <c r="W172" s="7"/>
      <c r="X172" s="3" t="s">
        <v>320</v>
      </c>
      <c r="Y172" s="3" t="s">
        <v>321</v>
      </c>
    </row>
    <row r="173" spans="1:25" x14ac:dyDescent="0.15">
      <c r="A173" s="3">
        <v>401001</v>
      </c>
      <c r="B173" s="39" t="s">
        <v>3535</v>
      </c>
      <c r="C173" s="3">
        <v>5</v>
      </c>
      <c r="D173" s="27">
        <v>0</v>
      </c>
      <c r="E173" s="3">
        <v>0</v>
      </c>
      <c r="F173" s="3">
        <v>0</v>
      </c>
      <c r="G173" s="3">
        <v>0</v>
      </c>
      <c r="H173" s="3">
        <v>1</v>
      </c>
      <c r="I173" s="3">
        <v>0</v>
      </c>
      <c r="J173" s="4">
        <v>6</v>
      </c>
      <c r="K173" s="3">
        <v>4</v>
      </c>
      <c r="L173" s="3" t="s">
        <v>323</v>
      </c>
      <c r="M173" s="3">
        <v>401</v>
      </c>
      <c r="N173" s="4" t="s">
        <v>324</v>
      </c>
      <c r="O173" s="3">
        <v>0</v>
      </c>
      <c r="P173" s="3"/>
      <c r="Q173" s="3" t="s">
        <v>272</v>
      </c>
      <c r="R173" s="3" t="str">
        <f t="shared" si="12"/>
        <v>ui_401001</v>
      </c>
      <c r="S173" s="3" t="str">
        <f t="shared" si="21"/>
        <v>401001</v>
      </c>
      <c r="T173" s="3">
        <v>1</v>
      </c>
      <c r="U173" s="3">
        <v>0</v>
      </c>
      <c r="V173" s="6">
        <v>100</v>
      </c>
      <c r="W173" s="7"/>
      <c r="X173" s="3" t="s">
        <v>322</v>
      </c>
      <c r="Y173" s="3" t="s">
        <v>325</v>
      </c>
    </row>
    <row r="174" spans="1:25" x14ac:dyDescent="0.15">
      <c r="A174" s="3">
        <v>401002</v>
      </c>
      <c r="B174" s="14" t="s">
        <v>326</v>
      </c>
      <c r="C174" s="3">
        <v>5</v>
      </c>
      <c r="D174" s="27">
        <v>0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4">
        <v>7</v>
      </c>
      <c r="K174" s="3">
        <v>4</v>
      </c>
      <c r="L174" s="3" t="s">
        <v>323</v>
      </c>
      <c r="M174" s="3">
        <v>401</v>
      </c>
      <c r="N174" s="4" t="s">
        <v>324</v>
      </c>
      <c r="O174" s="3">
        <v>0</v>
      </c>
      <c r="P174" s="3"/>
      <c r="Q174" s="3" t="s">
        <v>272</v>
      </c>
      <c r="R174" s="3" t="str">
        <f t="shared" si="12"/>
        <v>ui_401002</v>
      </c>
      <c r="S174" s="3" t="str">
        <f t="shared" si="21"/>
        <v>401002</v>
      </c>
      <c r="T174" s="3">
        <v>1</v>
      </c>
      <c r="U174" s="3">
        <v>0</v>
      </c>
      <c r="V174" s="6">
        <v>100</v>
      </c>
      <c r="W174" s="7"/>
      <c r="X174" s="3" t="s">
        <v>326</v>
      </c>
      <c r="Y174" s="3" t="s">
        <v>325</v>
      </c>
    </row>
    <row r="175" spans="1:25" x14ac:dyDescent="0.15">
      <c r="A175" s="3">
        <v>401003</v>
      </c>
      <c r="B175" s="39" t="s">
        <v>2976</v>
      </c>
      <c r="C175" s="3">
        <v>6</v>
      </c>
      <c r="D175" s="27">
        <v>0</v>
      </c>
      <c r="E175" s="3">
        <v>0</v>
      </c>
      <c r="F175" s="3">
        <v>0</v>
      </c>
      <c r="G175" s="3">
        <v>0</v>
      </c>
      <c r="H175" s="3">
        <v>1</v>
      </c>
      <c r="I175" s="3">
        <v>0</v>
      </c>
      <c r="J175" s="4">
        <v>7</v>
      </c>
      <c r="K175" s="3">
        <v>4</v>
      </c>
      <c r="L175" s="3" t="s">
        <v>323</v>
      </c>
      <c r="M175" s="3">
        <v>401</v>
      </c>
      <c r="N175" s="4" t="s">
        <v>324</v>
      </c>
      <c r="O175" s="3">
        <v>0</v>
      </c>
      <c r="P175" s="3"/>
      <c r="Q175" s="3" t="s">
        <v>272</v>
      </c>
      <c r="R175" s="3" t="str">
        <f t="shared" si="12"/>
        <v>ui_401003</v>
      </c>
      <c r="S175" s="3" t="str">
        <f t="shared" si="21"/>
        <v>401003</v>
      </c>
      <c r="T175" s="3">
        <v>1</v>
      </c>
      <c r="U175" s="3">
        <v>0</v>
      </c>
      <c r="V175" s="6">
        <v>100</v>
      </c>
      <c r="W175" s="7"/>
      <c r="X175" s="27" t="s">
        <v>2976</v>
      </c>
      <c r="Y175" s="27" t="s">
        <v>2977</v>
      </c>
    </row>
    <row r="176" spans="1:25" x14ac:dyDescent="0.15">
      <c r="A176" s="6">
        <v>402001</v>
      </c>
      <c r="B176" s="41" t="s">
        <v>3281</v>
      </c>
      <c r="C176" s="3">
        <v>1</v>
      </c>
      <c r="D176" s="27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4">
        <v>8</v>
      </c>
      <c r="K176" s="6">
        <v>4</v>
      </c>
      <c r="L176" s="6" t="s">
        <v>323</v>
      </c>
      <c r="M176" s="6">
        <v>402</v>
      </c>
      <c r="N176" s="4" t="s">
        <v>328</v>
      </c>
      <c r="O176" s="6">
        <v>1</v>
      </c>
      <c r="P176" s="6" t="s">
        <v>329</v>
      </c>
      <c r="Q176" s="6" t="s">
        <v>272</v>
      </c>
      <c r="R176" s="3" t="str">
        <f t="shared" si="12"/>
        <v>ui_402001</v>
      </c>
      <c r="S176" s="3" t="str">
        <f t="shared" si="21"/>
        <v>402001</v>
      </c>
      <c r="T176" s="3">
        <v>1</v>
      </c>
      <c r="U176" s="3">
        <v>0</v>
      </c>
      <c r="V176" s="6">
        <v>100</v>
      </c>
      <c r="W176" s="7"/>
      <c r="X176" s="3" t="s">
        <v>327</v>
      </c>
      <c r="Y176" s="3" t="s">
        <v>330</v>
      </c>
    </row>
    <row r="177" spans="1:25" x14ac:dyDescent="0.15">
      <c r="A177" s="3">
        <v>403001</v>
      </c>
      <c r="B177" s="27" t="s">
        <v>3541</v>
      </c>
      <c r="C177" s="3">
        <v>12</v>
      </c>
      <c r="D177" s="27">
        <v>0</v>
      </c>
      <c r="E177" s="3">
        <v>2</v>
      </c>
      <c r="F177" s="3">
        <v>0</v>
      </c>
      <c r="G177" s="3">
        <v>0</v>
      </c>
      <c r="H177" s="3">
        <v>1</v>
      </c>
      <c r="I177" s="3">
        <v>0</v>
      </c>
      <c r="J177" s="4">
        <v>9</v>
      </c>
      <c r="K177" s="3">
        <v>4</v>
      </c>
      <c r="L177" s="3" t="s">
        <v>323</v>
      </c>
      <c r="M177" s="3">
        <v>403</v>
      </c>
      <c r="N177" s="4" t="s">
        <v>332</v>
      </c>
      <c r="O177" s="3">
        <v>2</v>
      </c>
      <c r="P177" s="3" t="s">
        <v>333</v>
      </c>
      <c r="Q177" s="3" t="s">
        <v>272</v>
      </c>
      <c r="R177" s="3" t="str">
        <f t="shared" si="12"/>
        <v>ui_403001</v>
      </c>
      <c r="S177" s="3" t="str">
        <f t="shared" si="21"/>
        <v>403001</v>
      </c>
      <c r="T177" s="3">
        <v>5</v>
      </c>
      <c r="U177" s="3">
        <v>0</v>
      </c>
      <c r="V177" s="6">
        <v>100</v>
      </c>
      <c r="W177" s="7"/>
      <c r="X177" s="3" t="s">
        <v>331</v>
      </c>
      <c r="Y177" s="3" t="s">
        <v>334</v>
      </c>
    </row>
    <row r="178" spans="1:25" x14ac:dyDescent="0.15">
      <c r="A178" s="3">
        <v>403002</v>
      </c>
      <c r="B178" s="27" t="s">
        <v>3020</v>
      </c>
      <c r="C178" s="3">
        <v>25</v>
      </c>
      <c r="D178" s="27">
        <v>0</v>
      </c>
      <c r="E178" s="3">
        <v>2</v>
      </c>
      <c r="F178" s="3">
        <v>0</v>
      </c>
      <c r="G178" s="3">
        <v>0</v>
      </c>
      <c r="H178" s="3">
        <v>1</v>
      </c>
      <c r="I178" s="3">
        <v>0</v>
      </c>
      <c r="J178" s="4">
        <v>10</v>
      </c>
      <c r="K178" s="3">
        <v>4</v>
      </c>
      <c r="L178" s="3" t="s">
        <v>323</v>
      </c>
      <c r="M178" s="3">
        <v>403</v>
      </c>
      <c r="N178" s="4" t="s">
        <v>332</v>
      </c>
      <c r="O178" s="3">
        <v>3</v>
      </c>
      <c r="P178" s="3" t="s">
        <v>333</v>
      </c>
      <c r="Q178" s="3" t="s">
        <v>272</v>
      </c>
      <c r="R178" s="3" t="str">
        <f t="shared" si="12"/>
        <v>ui_403002</v>
      </c>
      <c r="S178" s="3" t="str">
        <f t="shared" si="21"/>
        <v>403002</v>
      </c>
      <c r="T178" s="3">
        <v>5</v>
      </c>
      <c r="U178" s="3">
        <v>0</v>
      </c>
      <c r="V178" s="6">
        <v>100</v>
      </c>
      <c r="W178" s="7"/>
      <c r="X178" s="3" t="s">
        <v>335</v>
      </c>
      <c r="Y178" s="3" t="s">
        <v>336</v>
      </c>
    </row>
    <row r="179" spans="1:25" x14ac:dyDescent="0.15">
      <c r="A179" s="3">
        <v>403003</v>
      </c>
      <c r="B179" s="14" t="s">
        <v>337</v>
      </c>
      <c r="C179" s="3">
        <v>6</v>
      </c>
      <c r="D179" s="27">
        <v>0</v>
      </c>
      <c r="E179" s="3">
        <v>2</v>
      </c>
      <c r="F179" s="3">
        <v>0</v>
      </c>
      <c r="G179" s="3">
        <v>0</v>
      </c>
      <c r="H179" s="3">
        <v>1</v>
      </c>
      <c r="I179" s="3">
        <v>0</v>
      </c>
      <c r="J179" s="4">
        <v>11</v>
      </c>
      <c r="K179" s="3">
        <v>4</v>
      </c>
      <c r="L179" s="3" t="s">
        <v>323</v>
      </c>
      <c r="M179" s="3">
        <v>403</v>
      </c>
      <c r="N179" s="4" t="s">
        <v>332</v>
      </c>
      <c r="O179" s="3">
        <v>1.5</v>
      </c>
      <c r="P179" s="3" t="s">
        <v>333</v>
      </c>
      <c r="Q179" s="3" t="s">
        <v>272</v>
      </c>
      <c r="R179" s="3" t="str">
        <f t="shared" si="12"/>
        <v>ui_403003</v>
      </c>
      <c r="S179" s="3" t="str">
        <f t="shared" si="21"/>
        <v>403003</v>
      </c>
      <c r="T179" s="3">
        <v>5</v>
      </c>
      <c r="U179" s="3">
        <v>0</v>
      </c>
      <c r="V179" s="6">
        <v>100</v>
      </c>
      <c r="W179" s="7"/>
      <c r="X179" s="3" t="s">
        <v>337</v>
      </c>
      <c r="Y179" s="3" t="s">
        <v>338</v>
      </c>
    </row>
    <row r="180" spans="1:25" x14ac:dyDescent="0.15">
      <c r="A180" s="3">
        <v>404001</v>
      </c>
      <c r="B180" s="27" t="s">
        <v>3538</v>
      </c>
      <c r="C180" s="3">
        <v>5</v>
      </c>
      <c r="D180" s="27">
        <v>0</v>
      </c>
      <c r="E180" s="3">
        <v>1</v>
      </c>
      <c r="F180" s="3">
        <v>0</v>
      </c>
      <c r="G180" s="3">
        <v>0</v>
      </c>
      <c r="H180" s="3">
        <v>1</v>
      </c>
      <c r="I180" s="3">
        <v>0</v>
      </c>
      <c r="J180" s="4">
        <v>12</v>
      </c>
      <c r="K180" s="3">
        <v>4</v>
      </c>
      <c r="L180" s="3" t="s">
        <v>323</v>
      </c>
      <c r="M180" s="3">
        <v>404</v>
      </c>
      <c r="N180" s="4" t="s">
        <v>340</v>
      </c>
      <c r="O180" s="3">
        <v>0.8</v>
      </c>
      <c r="P180" s="27" t="s">
        <v>2781</v>
      </c>
      <c r="Q180" s="3" t="s">
        <v>272</v>
      </c>
      <c r="R180" s="3" t="str">
        <f t="shared" si="12"/>
        <v>ui_404001</v>
      </c>
      <c r="S180" s="3" t="str">
        <f t="shared" si="21"/>
        <v>404001</v>
      </c>
      <c r="T180" s="3">
        <v>5</v>
      </c>
      <c r="U180" s="3">
        <v>0</v>
      </c>
      <c r="V180" s="6">
        <v>100</v>
      </c>
      <c r="W180" s="7"/>
      <c r="X180" s="3" t="s">
        <v>339</v>
      </c>
      <c r="Y180" s="3" t="s">
        <v>342</v>
      </c>
    </row>
    <row r="181" spans="1:25" x14ac:dyDescent="0.15">
      <c r="A181" s="3">
        <v>404002</v>
      </c>
      <c r="B181" s="3" t="s">
        <v>343</v>
      </c>
      <c r="C181" s="3">
        <v>5</v>
      </c>
      <c r="D181" s="27">
        <v>0</v>
      </c>
      <c r="E181" s="3">
        <v>1</v>
      </c>
      <c r="F181" s="3">
        <v>0</v>
      </c>
      <c r="G181" s="3">
        <v>0</v>
      </c>
      <c r="H181" s="3">
        <v>1</v>
      </c>
      <c r="I181" s="3">
        <v>0</v>
      </c>
      <c r="J181" s="4">
        <v>13</v>
      </c>
      <c r="K181" s="3">
        <v>4</v>
      </c>
      <c r="L181" s="3" t="s">
        <v>323</v>
      </c>
      <c r="M181" s="3">
        <v>404</v>
      </c>
      <c r="N181" s="4" t="s">
        <v>340</v>
      </c>
      <c r="O181" s="3">
        <v>0.7</v>
      </c>
      <c r="P181" s="3" t="s">
        <v>341</v>
      </c>
      <c r="Q181" s="3" t="s">
        <v>272</v>
      </c>
      <c r="R181" s="3" t="str">
        <f t="shared" si="12"/>
        <v>ui_404002</v>
      </c>
      <c r="S181" s="3" t="str">
        <f t="shared" si="21"/>
        <v>404002</v>
      </c>
      <c r="T181" s="3">
        <v>5</v>
      </c>
      <c r="U181" s="3">
        <v>0</v>
      </c>
      <c r="V181" s="6">
        <v>100</v>
      </c>
      <c r="W181" s="7"/>
      <c r="X181" s="3" t="s">
        <v>343</v>
      </c>
      <c r="Y181" s="3" t="s">
        <v>344</v>
      </c>
    </row>
    <row r="182" spans="1:25" ht="17.25" customHeight="1" x14ac:dyDescent="0.15">
      <c r="A182" s="3">
        <v>404003</v>
      </c>
      <c r="B182" s="27" t="s">
        <v>3536</v>
      </c>
      <c r="C182" s="3">
        <v>10</v>
      </c>
      <c r="D182" s="27">
        <v>0</v>
      </c>
      <c r="E182" s="3">
        <v>1</v>
      </c>
      <c r="F182" s="3">
        <v>0</v>
      </c>
      <c r="G182" s="3">
        <v>0</v>
      </c>
      <c r="H182" s="3">
        <v>1</v>
      </c>
      <c r="I182" s="3">
        <v>0</v>
      </c>
      <c r="J182" s="4">
        <v>14</v>
      </c>
      <c r="K182" s="3">
        <v>4</v>
      </c>
      <c r="L182" s="3" t="s">
        <v>323</v>
      </c>
      <c r="M182" s="3">
        <v>404</v>
      </c>
      <c r="N182" s="4" t="s">
        <v>340</v>
      </c>
      <c r="O182" s="3">
        <v>0.5</v>
      </c>
      <c r="P182" s="3" t="s">
        <v>341</v>
      </c>
      <c r="Q182" s="3" t="s">
        <v>272</v>
      </c>
      <c r="R182" s="3" t="str">
        <f t="shared" si="12"/>
        <v>ui_404003</v>
      </c>
      <c r="S182" s="3" t="str">
        <f t="shared" si="21"/>
        <v>404003</v>
      </c>
      <c r="T182" s="3">
        <v>5</v>
      </c>
      <c r="U182" s="3">
        <v>0</v>
      </c>
      <c r="V182" s="6">
        <v>100</v>
      </c>
      <c r="W182" s="7"/>
      <c r="X182" s="3" t="s">
        <v>345</v>
      </c>
      <c r="Y182" s="3" t="s">
        <v>346</v>
      </c>
    </row>
    <row r="183" spans="1:25" x14ac:dyDescent="0.15">
      <c r="A183" s="14">
        <v>409003</v>
      </c>
      <c r="B183" s="14" t="s">
        <v>347</v>
      </c>
      <c r="C183" s="3">
        <v>180</v>
      </c>
      <c r="D183" s="27">
        <v>0</v>
      </c>
      <c r="E183" s="3">
        <v>2</v>
      </c>
      <c r="F183" s="3">
        <v>0</v>
      </c>
      <c r="G183" s="3">
        <v>1</v>
      </c>
      <c r="H183" s="3">
        <v>0</v>
      </c>
      <c r="I183" s="3">
        <v>0</v>
      </c>
      <c r="J183" s="4">
        <v>15</v>
      </c>
      <c r="K183" s="3">
        <v>4</v>
      </c>
      <c r="L183" s="3" t="s">
        <v>323</v>
      </c>
      <c r="M183" s="3">
        <v>409</v>
      </c>
      <c r="N183" s="4" t="s">
        <v>347</v>
      </c>
      <c r="O183" s="3">
        <v>0</v>
      </c>
      <c r="P183" s="3"/>
      <c r="Q183" s="3" t="s">
        <v>348</v>
      </c>
      <c r="R183" s="3" t="str">
        <f t="shared" si="12"/>
        <v>ui_409003</v>
      </c>
      <c r="S183" s="3" t="str">
        <f t="shared" si="21"/>
        <v>409003</v>
      </c>
      <c r="T183" s="3">
        <v>50</v>
      </c>
      <c r="U183" s="3">
        <v>1</v>
      </c>
      <c r="V183" s="3">
        <v>1</v>
      </c>
      <c r="W183" s="7"/>
      <c r="X183" s="3" t="s">
        <v>347</v>
      </c>
      <c r="Y183" s="3" t="s">
        <v>252</v>
      </c>
    </row>
    <row r="184" spans="1:25" x14ac:dyDescent="0.15">
      <c r="A184" s="3">
        <v>410001</v>
      </c>
      <c r="B184" s="27" t="s">
        <v>1613</v>
      </c>
      <c r="C184" s="3">
        <v>99999999</v>
      </c>
      <c r="D184" s="27">
        <v>1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4">
        <v>16</v>
      </c>
      <c r="K184" s="3">
        <v>4</v>
      </c>
      <c r="L184" s="3" t="s">
        <v>323</v>
      </c>
      <c r="M184" s="3">
        <v>410</v>
      </c>
      <c r="N184" s="4" t="s">
        <v>350</v>
      </c>
      <c r="O184" s="3">
        <v>203023</v>
      </c>
      <c r="P184" s="3" t="s">
        <v>351</v>
      </c>
      <c r="Q184" s="3" t="s">
        <v>352</v>
      </c>
      <c r="R184" s="3" t="str">
        <f t="shared" si="12"/>
        <v>ui_410001</v>
      </c>
      <c r="S184" s="3" t="str">
        <f t="shared" si="21"/>
        <v>410001</v>
      </c>
      <c r="T184" s="3">
        <v>1</v>
      </c>
      <c r="U184" s="3">
        <v>1</v>
      </c>
      <c r="V184" s="3">
        <v>1</v>
      </c>
      <c r="W184" s="7"/>
      <c r="X184" s="3" t="s">
        <v>349</v>
      </c>
      <c r="Y184" s="27" t="s">
        <v>1561</v>
      </c>
    </row>
    <row r="185" spans="1:25" x14ac:dyDescent="0.15">
      <c r="A185" s="3">
        <v>410002</v>
      </c>
      <c r="B185" s="3" t="s">
        <v>353</v>
      </c>
      <c r="C185" s="3">
        <v>99999999</v>
      </c>
      <c r="D185" s="27">
        <v>1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4">
        <v>17</v>
      </c>
      <c r="K185" s="3">
        <v>4</v>
      </c>
      <c r="L185" s="3" t="s">
        <v>323</v>
      </c>
      <c r="M185" s="3">
        <v>410</v>
      </c>
      <c r="N185" s="4" t="s">
        <v>350</v>
      </c>
      <c r="O185" s="3">
        <v>203024</v>
      </c>
      <c r="P185" s="3" t="s">
        <v>351</v>
      </c>
      <c r="Q185" s="3" t="s">
        <v>352</v>
      </c>
      <c r="R185" s="3" t="str">
        <f t="shared" si="12"/>
        <v>ui_410002</v>
      </c>
      <c r="S185" s="3" t="str">
        <f t="shared" si="21"/>
        <v>410002</v>
      </c>
      <c r="T185" s="3">
        <v>1</v>
      </c>
      <c r="U185" s="3">
        <v>1</v>
      </c>
      <c r="V185" s="3">
        <v>1</v>
      </c>
      <c r="W185" s="7"/>
      <c r="X185" s="3" t="s">
        <v>353</v>
      </c>
      <c r="Y185" s="27" t="s">
        <v>1560</v>
      </c>
    </row>
    <row r="186" spans="1:25" x14ac:dyDescent="0.15">
      <c r="A186" s="3">
        <v>410003</v>
      </c>
      <c r="B186" s="3" t="s">
        <v>354</v>
      </c>
      <c r="C186" s="3">
        <v>99999999</v>
      </c>
      <c r="D186" s="27">
        <v>1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4">
        <v>18</v>
      </c>
      <c r="K186" s="3">
        <v>4</v>
      </c>
      <c r="L186" s="3" t="s">
        <v>323</v>
      </c>
      <c r="M186" s="3">
        <v>410</v>
      </c>
      <c r="N186" s="4" t="s">
        <v>350</v>
      </c>
      <c r="O186" s="3">
        <v>203025</v>
      </c>
      <c r="P186" s="3" t="s">
        <v>351</v>
      </c>
      <c r="Q186" s="3" t="s">
        <v>352</v>
      </c>
      <c r="R186" s="3" t="str">
        <f t="shared" si="12"/>
        <v>ui_410003</v>
      </c>
      <c r="S186" s="3" t="str">
        <f t="shared" si="21"/>
        <v>410003</v>
      </c>
      <c r="T186" s="3">
        <v>1</v>
      </c>
      <c r="U186" s="3">
        <v>1</v>
      </c>
      <c r="V186" s="3">
        <v>1</v>
      </c>
      <c r="W186" s="7"/>
      <c r="X186" s="3" t="s">
        <v>354</v>
      </c>
      <c r="Y186" s="27" t="s">
        <v>1562</v>
      </c>
    </row>
    <row r="187" spans="1:25" x14ac:dyDescent="0.15">
      <c r="A187" s="3">
        <v>410004</v>
      </c>
      <c r="B187" s="3" t="s">
        <v>1623</v>
      </c>
      <c r="C187" s="3">
        <v>99999999</v>
      </c>
      <c r="D187" s="27">
        <v>1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4">
        <v>19</v>
      </c>
      <c r="K187" s="3">
        <v>4</v>
      </c>
      <c r="L187" s="3" t="s">
        <v>323</v>
      </c>
      <c r="M187" s="3">
        <v>410</v>
      </c>
      <c r="N187" s="4" t="s">
        <v>350</v>
      </c>
      <c r="O187" s="3">
        <v>203026</v>
      </c>
      <c r="P187" s="3" t="s">
        <v>351</v>
      </c>
      <c r="Q187" s="3" t="s">
        <v>352</v>
      </c>
      <c r="R187" s="3" t="str">
        <f t="shared" si="12"/>
        <v>ui_410004</v>
      </c>
      <c r="S187" s="3" t="str">
        <f t="shared" si="21"/>
        <v>410004</v>
      </c>
      <c r="T187" s="3">
        <v>1</v>
      </c>
      <c r="U187" s="3">
        <v>1</v>
      </c>
      <c r="V187" s="3">
        <v>1</v>
      </c>
      <c r="W187" s="7"/>
      <c r="X187" s="3" t="s">
        <v>355</v>
      </c>
      <c r="Y187" s="27" t="s">
        <v>1563</v>
      </c>
    </row>
    <row r="188" spans="1:25" x14ac:dyDescent="0.15">
      <c r="A188" s="14">
        <v>412001</v>
      </c>
      <c r="B188" s="39" t="s">
        <v>1612</v>
      </c>
      <c r="C188" s="3">
        <v>10</v>
      </c>
      <c r="D188" s="27">
        <v>0</v>
      </c>
      <c r="E188" s="3">
        <v>1</v>
      </c>
      <c r="F188" s="3">
        <v>10</v>
      </c>
      <c r="G188" s="3">
        <v>0</v>
      </c>
      <c r="H188" s="3">
        <v>1</v>
      </c>
      <c r="I188" s="3">
        <v>0</v>
      </c>
      <c r="J188" s="4">
        <v>21</v>
      </c>
      <c r="K188" s="3">
        <v>4</v>
      </c>
      <c r="L188" s="3" t="s">
        <v>323</v>
      </c>
      <c r="M188" s="3">
        <v>412</v>
      </c>
      <c r="N188" s="4" t="s">
        <v>357</v>
      </c>
      <c r="O188" s="3">
        <v>0</v>
      </c>
      <c r="P188" s="3"/>
      <c r="Q188" s="3" t="s">
        <v>272</v>
      </c>
      <c r="R188" s="3" t="str">
        <f t="shared" si="12"/>
        <v>ui_412001</v>
      </c>
      <c r="S188" s="3" t="str">
        <f t="shared" si="21"/>
        <v>412001</v>
      </c>
      <c r="T188" s="3">
        <v>1</v>
      </c>
      <c r="U188" s="3">
        <v>1</v>
      </c>
      <c r="V188" s="3">
        <v>100</v>
      </c>
      <c r="W188" s="7"/>
      <c r="X188" s="3" t="s">
        <v>356</v>
      </c>
      <c r="Y188" s="3" t="s">
        <v>358</v>
      </c>
    </row>
    <row r="189" spans="1:25" x14ac:dyDescent="0.15">
      <c r="A189" s="14">
        <v>412002</v>
      </c>
      <c r="B189" s="14" t="s">
        <v>359</v>
      </c>
      <c r="C189" s="3">
        <v>10</v>
      </c>
      <c r="D189" s="27">
        <v>0</v>
      </c>
      <c r="E189" s="3">
        <v>1</v>
      </c>
      <c r="F189" s="3">
        <v>10</v>
      </c>
      <c r="G189" s="3">
        <v>0</v>
      </c>
      <c r="H189" s="3">
        <v>1</v>
      </c>
      <c r="I189" s="3">
        <v>0</v>
      </c>
      <c r="J189" s="4">
        <v>21</v>
      </c>
      <c r="K189" s="3">
        <v>4</v>
      </c>
      <c r="L189" s="3" t="s">
        <v>323</v>
      </c>
      <c r="M189" s="3">
        <v>412</v>
      </c>
      <c r="N189" s="4" t="s">
        <v>357</v>
      </c>
      <c r="O189" s="3">
        <v>0</v>
      </c>
      <c r="P189" s="3"/>
      <c r="Q189" s="3" t="s">
        <v>272</v>
      </c>
      <c r="R189" s="3" t="str">
        <f t="shared" ref="R189:R252" si="24">CONCATENATE("ui_",A189,"")</f>
        <v>ui_412002</v>
      </c>
      <c r="S189" s="3" t="str">
        <f t="shared" ref="S189:S252" si="25">CONCATENATE(A189,"")</f>
        <v>412002</v>
      </c>
      <c r="T189" s="3">
        <v>1</v>
      </c>
      <c r="U189" s="3">
        <v>1</v>
      </c>
      <c r="V189" s="3">
        <v>100</v>
      </c>
      <c r="W189" s="7"/>
      <c r="X189" s="3" t="s">
        <v>359</v>
      </c>
      <c r="Y189" s="3" t="s">
        <v>1610</v>
      </c>
    </row>
    <row r="190" spans="1:25" x14ac:dyDescent="0.15">
      <c r="A190" s="14">
        <v>412003</v>
      </c>
      <c r="B190" s="14" t="s">
        <v>1608</v>
      </c>
      <c r="C190" s="3">
        <v>10</v>
      </c>
      <c r="D190" s="27">
        <v>0</v>
      </c>
      <c r="E190" s="3">
        <v>1</v>
      </c>
      <c r="F190" s="3">
        <v>10</v>
      </c>
      <c r="G190" s="3">
        <v>0</v>
      </c>
      <c r="H190" s="3">
        <v>1</v>
      </c>
      <c r="I190" s="3">
        <v>0</v>
      </c>
      <c r="J190" s="4">
        <v>21</v>
      </c>
      <c r="K190" s="3">
        <v>4</v>
      </c>
      <c r="L190" s="3" t="s">
        <v>323</v>
      </c>
      <c r="M190" s="3">
        <v>412</v>
      </c>
      <c r="N190" s="4" t="s">
        <v>1609</v>
      </c>
      <c r="O190" s="3">
        <v>0</v>
      </c>
      <c r="P190" s="3"/>
      <c r="Q190" s="3" t="s">
        <v>272</v>
      </c>
      <c r="R190" s="3" t="str">
        <f t="shared" si="24"/>
        <v>ui_412003</v>
      </c>
      <c r="S190" s="3" t="str">
        <f t="shared" si="25"/>
        <v>412003</v>
      </c>
      <c r="T190" s="3">
        <v>1</v>
      </c>
      <c r="U190" s="3">
        <v>1</v>
      </c>
      <c r="V190" s="3">
        <v>100</v>
      </c>
      <c r="W190" s="7"/>
      <c r="X190" s="3" t="s">
        <v>1608</v>
      </c>
      <c r="Y190" s="27" t="s">
        <v>1904</v>
      </c>
    </row>
    <row r="191" spans="1:25" x14ac:dyDescent="0.15">
      <c r="A191" s="3">
        <v>413001</v>
      </c>
      <c r="B191" s="4" t="s">
        <v>360</v>
      </c>
      <c r="C191" s="6">
        <v>10</v>
      </c>
      <c r="D191" s="27">
        <v>1</v>
      </c>
      <c r="E191" s="3">
        <v>2</v>
      </c>
      <c r="F191" s="3">
        <v>0</v>
      </c>
      <c r="G191" s="3">
        <v>0</v>
      </c>
      <c r="H191" s="3">
        <v>0</v>
      </c>
      <c r="I191" s="3">
        <v>0</v>
      </c>
      <c r="J191" s="4">
        <v>3101</v>
      </c>
      <c r="K191" s="3">
        <v>4</v>
      </c>
      <c r="L191" s="3" t="s">
        <v>323</v>
      </c>
      <c r="M191" s="3">
        <v>413</v>
      </c>
      <c r="N191" s="4" t="s">
        <v>361</v>
      </c>
      <c r="O191" s="3">
        <v>1</v>
      </c>
      <c r="P191" s="3" t="s">
        <v>362</v>
      </c>
      <c r="Q191" s="3" t="s">
        <v>272</v>
      </c>
      <c r="R191" s="3" t="str">
        <f t="shared" si="24"/>
        <v>ui_413001</v>
      </c>
      <c r="S191" s="3" t="str">
        <f t="shared" si="25"/>
        <v>413001</v>
      </c>
      <c r="T191" s="3">
        <v>10</v>
      </c>
      <c r="U191" s="3">
        <v>0</v>
      </c>
      <c r="V191" s="6">
        <v>10</v>
      </c>
      <c r="W191" s="7"/>
      <c r="X191" s="3" t="s">
        <v>360</v>
      </c>
      <c r="Y191" s="27" t="s">
        <v>2805</v>
      </c>
    </row>
    <row r="192" spans="1:25" x14ac:dyDescent="0.15">
      <c r="A192" s="3">
        <v>413002</v>
      </c>
      <c r="B192" s="4" t="s">
        <v>363</v>
      </c>
      <c r="C192" s="6">
        <v>50</v>
      </c>
      <c r="D192" s="27">
        <v>1</v>
      </c>
      <c r="E192" s="3">
        <v>2</v>
      </c>
      <c r="F192" s="3">
        <v>0</v>
      </c>
      <c r="G192" s="3">
        <v>0</v>
      </c>
      <c r="H192" s="3">
        <v>0</v>
      </c>
      <c r="I192" s="3">
        <v>0</v>
      </c>
      <c r="J192" s="4">
        <v>3102</v>
      </c>
      <c r="K192" s="3">
        <v>4</v>
      </c>
      <c r="L192" s="3" t="s">
        <v>323</v>
      </c>
      <c r="M192" s="3">
        <v>413</v>
      </c>
      <c r="N192" s="4" t="s">
        <v>361</v>
      </c>
      <c r="O192" s="3">
        <v>2</v>
      </c>
      <c r="P192" s="3" t="s">
        <v>362</v>
      </c>
      <c r="Q192" s="3" t="s">
        <v>272</v>
      </c>
      <c r="R192" s="3" t="str">
        <f t="shared" si="24"/>
        <v>ui_413002</v>
      </c>
      <c r="S192" s="3" t="str">
        <f t="shared" si="25"/>
        <v>413002</v>
      </c>
      <c r="T192" s="3">
        <v>10</v>
      </c>
      <c r="U192" s="3">
        <v>0</v>
      </c>
      <c r="V192" s="6">
        <v>10</v>
      </c>
      <c r="W192" s="7"/>
      <c r="X192" s="3" t="s">
        <v>363</v>
      </c>
      <c r="Y192" s="3" t="s">
        <v>2797</v>
      </c>
    </row>
    <row r="193" spans="1:25" x14ac:dyDescent="0.15">
      <c r="A193" s="3">
        <v>413003</v>
      </c>
      <c r="B193" s="4" t="s">
        <v>364</v>
      </c>
      <c r="C193" s="6">
        <v>150</v>
      </c>
      <c r="D193" s="27">
        <v>1</v>
      </c>
      <c r="E193" s="3">
        <v>2</v>
      </c>
      <c r="F193" s="3">
        <v>0</v>
      </c>
      <c r="G193" s="3">
        <v>0</v>
      </c>
      <c r="H193" s="3">
        <v>0</v>
      </c>
      <c r="I193" s="3">
        <v>0</v>
      </c>
      <c r="J193" s="4">
        <v>3103</v>
      </c>
      <c r="K193" s="3">
        <v>4</v>
      </c>
      <c r="L193" s="3" t="s">
        <v>323</v>
      </c>
      <c r="M193" s="3">
        <v>413</v>
      </c>
      <c r="N193" s="4" t="s">
        <v>361</v>
      </c>
      <c r="O193" s="3">
        <v>3</v>
      </c>
      <c r="P193" s="3" t="s">
        <v>362</v>
      </c>
      <c r="Q193" s="3" t="s">
        <v>272</v>
      </c>
      <c r="R193" s="3" t="str">
        <f t="shared" si="24"/>
        <v>ui_413003</v>
      </c>
      <c r="S193" s="3" t="str">
        <f t="shared" si="25"/>
        <v>413003</v>
      </c>
      <c r="T193" s="3">
        <v>10</v>
      </c>
      <c r="U193" s="3">
        <v>0</v>
      </c>
      <c r="V193" s="6">
        <v>10</v>
      </c>
      <c r="W193" s="7"/>
      <c r="X193" s="3" t="s">
        <v>364</v>
      </c>
      <c r="Y193" s="3" t="s">
        <v>2798</v>
      </c>
    </row>
    <row r="194" spans="1:25" x14ac:dyDescent="0.15">
      <c r="A194" s="3">
        <v>413004</v>
      </c>
      <c r="B194" s="4" t="s">
        <v>365</v>
      </c>
      <c r="C194" s="6">
        <v>400</v>
      </c>
      <c r="D194" s="27">
        <v>1</v>
      </c>
      <c r="E194" s="3">
        <v>2</v>
      </c>
      <c r="F194" s="3">
        <v>0</v>
      </c>
      <c r="G194" s="3">
        <v>0</v>
      </c>
      <c r="H194" s="3">
        <v>0</v>
      </c>
      <c r="I194" s="3">
        <v>0</v>
      </c>
      <c r="J194" s="4">
        <v>3104</v>
      </c>
      <c r="K194" s="3">
        <v>4</v>
      </c>
      <c r="L194" s="3" t="s">
        <v>323</v>
      </c>
      <c r="M194" s="3">
        <v>413</v>
      </c>
      <c r="N194" s="4" t="s">
        <v>361</v>
      </c>
      <c r="O194" s="3">
        <v>4</v>
      </c>
      <c r="P194" s="3" t="s">
        <v>362</v>
      </c>
      <c r="Q194" s="3" t="s">
        <v>272</v>
      </c>
      <c r="R194" s="3" t="str">
        <f t="shared" si="24"/>
        <v>ui_413004</v>
      </c>
      <c r="S194" s="3" t="str">
        <f t="shared" si="25"/>
        <v>413004</v>
      </c>
      <c r="T194" s="3">
        <v>10</v>
      </c>
      <c r="U194" s="3">
        <v>0</v>
      </c>
      <c r="V194" s="6">
        <v>10</v>
      </c>
      <c r="W194" s="7"/>
      <c r="X194" s="3" t="s">
        <v>365</v>
      </c>
      <c r="Y194" s="3" t="s">
        <v>2799</v>
      </c>
    </row>
    <row r="195" spans="1:25" x14ac:dyDescent="0.15">
      <c r="A195" s="3">
        <v>413005</v>
      </c>
      <c r="B195" s="4" t="s">
        <v>366</v>
      </c>
      <c r="C195" s="6">
        <v>2000</v>
      </c>
      <c r="D195" s="27">
        <v>1</v>
      </c>
      <c r="E195" s="3">
        <v>2</v>
      </c>
      <c r="F195" s="3">
        <v>0</v>
      </c>
      <c r="G195" s="3">
        <v>0</v>
      </c>
      <c r="H195" s="3">
        <v>0</v>
      </c>
      <c r="I195" s="3">
        <v>0</v>
      </c>
      <c r="J195" s="4">
        <v>3105</v>
      </c>
      <c r="K195" s="3">
        <v>4</v>
      </c>
      <c r="L195" s="3" t="s">
        <v>323</v>
      </c>
      <c r="M195" s="3">
        <v>413</v>
      </c>
      <c r="N195" s="4" t="s">
        <v>361</v>
      </c>
      <c r="O195" s="3">
        <v>5</v>
      </c>
      <c r="P195" s="3" t="s">
        <v>362</v>
      </c>
      <c r="Q195" s="3" t="s">
        <v>272</v>
      </c>
      <c r="R195" s="3" t="str">
        <f t="shared" si="24"/>
        <v>ui_413005</v>
      </c>
      <c r="S195" s="3" t="str">
        <f t="shared" si="25"/>
        <v>413005</v>
      </c>
      <c r="T195" s="3">
        <v>10</v>
      </c>
      <c r="U195" s="3">
        <v>0</v>
      </c>
      <c r="V195" s="6">
        <v>10</v>
      </c>
      <c r="W195" s="7"/>
      <c r="X195" s="3" t="s">
        <v>366</v>
      </c>
      <c r="Y195" s="3" t="s">
        <v>2800</v>
      </c>
    </row>
    <row r="196" spans="1:25" x14ac:dyDescent="0.15">
      <c r="A196" s="3">
        <v>413006</v>
      </c>
      <c r="B196" s="28" t="s">
        <v>3542</v>
      </c>
      <c r="C196" s="6">
        <v>4500</v>
      </c>
      <c r="D196" s="27">
        <v>1</v>
      </c>
      <c r="E196" s="3">
        <v>2</v>
      </c>
      <c r="F196" s="3">
        <v>0</v>
      </c>
      <c r="G196" s="3">
        <v>0</v>
      </c>
      <c r="H196" s="3">
        <v>0</v>
      </c>
      <c r="I196" s="3">
        <v>0</v>
      </c>
      <c r="J196" s="4">
        <v>3106</v>
      </c>
      <c r="K196" s="3">
        <v>4</v>
      </c>
      <c r="L196" s="3" t="s">
        <v>323</v>
      </c>
      <c r="M196" s="3">
        <v>413</v>
      </c>
      <c r="N196" s="4" t="s">
        <v>361</v>
      </c>
      <c r="O196" s="3">
        <v>6</v>
      </c>
      <c r="P196" s="3" t="s">
        <v>362</v>
      </c>
      <c r="Q196" s="3" t="s">
        <v>272</v>
      </c>
      <c r="R196" s="3" t="str">
        <f t="shared" si="24"/>
        <v>ui_413006</v>
      </c>
      <c r="S196" s="3" t="str">
        <f t="shared" si="25"/>
        <v>413006</v>
      </c>
      <c r="T196" s="3">
        <v>10</v>
      </c>
      <c r="U196" s="3">
        <v>0</v>
      </c>
      <c r="V196" s="6">
        <v>10</v>
      </c>
      <c r="W196" s="7"/>
      <c r="X196" s="3" t="s">
        <v>367</v>
      </c>
      <c r="Y196" s="3" t="s">
        <v>2801</v>
      </c>
    </row>
    <row r="197" spans="1:25" x14ac:dyDescent="0.15">
      <c r="A197" s="3">
        <v>413007</v>
      </c>
      <c r="B197" s="4" t="s">
        <v>368</v>
      </c>
      <c r="C197" s="6">
        <v>15000</v>
      </c>
      <c r="D197" s="27">
        <v>1</v>
      </c>
      <c r="E197" s="3">
        <v>2</v>
      </c>
      <c r="F197" s="3">
        <v>0</v>
      </c>
      <c r="G197" s="3">
        <v>0</v>
      </c>
      <c r="H197" s="3">
        <v>0</v>
      </c>
      <c r="I197" s="3">
        <v>0</v>
      </c>
      <c r="J197" s="4">
        <v>3107</v>
      </c>
      <c r="K197" s="3">
        <v>4</v>
      </c>
      <c r="L197" s="3" t="s">
        <v>323</v>
      </c>
      <c r="M197" s="3">
        <v>413</v>
      </c>
      <c r="N197" s="4" t="s">
        <v>361</v>
      </c>
      <c r="O197" s="3">
        <v>7</v>
      </c>
      <c r="P197" s="3" t="s">
        <v>362</v>
      </c>
      <c r="Q197" s="3" t="s">
        <v>272</v>
      </c>
      <c r="R197" s="3" t="str">
        <f t="shared" si="24"/>
        <v>ui_413007</v>
      </c>
      <c r="S197" s="3" t="str">
        <f t="shared" si="25"/>
        <v>413007</v>
      </c>
      <c r="T197" s="3">
        <v>10</v>
      </c>
      <c r="U197" s="3">
        <v>0</v>
      </c>
      <c r="V197" s="6">
        <v>10</v>
      </c>
      <c r="W197" s="7"/>
      <c r="X197" s="3" t="s">
        <v>368</v>
      </c>
      <c r="Y197" s="3" t="s">
        <v>2802</v>
      </c>
    </row>
    <row r="198" spans="1:25" x14ac:dyDescent="0.15">
      <c r="A198" s="3">
        <v>413008</v>
      </c>
      <c r="B198" s="4" t="s">
        <v>369</v>
      </c>
      <c r="C198" s="6">
        <v>40000</v>
      </c>
      <c r="D198" s="27">
        <v>1</v>
      </c>
      <c r="E198" s="3">
        <v>2</v>
      </c>
      <c r="F198" s="3">
        <v>0</v>
      </c>
      <c r="G198" s="3">
        <v>0</v>
      </c>
      <c r="H198" s="3">
        <v>0</v>
      </c>
      <c r="I198" s="3">
        <v>0</v>
      </c>
      <c r="J198" s="4">
        <v>3108</v>
      </c>
      <c r="K198" s="3">
        <v>4</v>
      </c>
      <c r="L198" s="3" t="s">
        <v>323</v>
      </c>
      <c r="M198" s="3">
        <v>413</v>
      </c>
      <c r="N198" s="4" t="s">
        <v>361</v>
      </c>
      <c r="O198" s="3">
        <v>8</v>
      </c>
      <c r="P198" s="3" t="s">
        <v>362</v>
      </c>
      <c r="Q198" s="3" t="s">
        <v>272</v>
      </c>
      <c r="R198" s="3" t="str">
        <f t="shared" si="24"/>
        <v>ui_413008</v>
      </c>
      <c r="S198" s="3" t="str">
        <f t="shared" si="25"/>
        <v>413008</v>
      </c>
      <c r="T198" s="3">
        <v>10</v>
      </c>
      <c r="U198" s="3">
        <v>0</v>
      </c>
      <c r="V198" s="6">
        <v>10</v>
      </c>
      <c r="W198" s="7"/>
      <c r="X198" s="3" t="s">
        <v>369</v>
      </c>
      <c r="Y198" s="3" t="s">
        <v>2803</v>
      </c>
    </row>
    <row r="199" spans="1:25" x14ac:dyDescent="0.15">
      <c r="A199" s="3">
        <v>413009</v>
      </c>
      <c r="B199" s="4" t="s">
        <v>370</v>
      </c>
      <c r="C199" s="6">
        <v>88888</v>
      </c>
      <c r="D199" s="27">
        <v>1</v>
      </c>
      <c r="E199" s="3">
        <v>2</v>
      </c>
      <c r="F199" s="3">
        <v>0</v>
      </c>
      <c r="G199" s="3">
        <v>0</v>
      </c>
      <c r="H199" s="3">
        <v>0</v>
      </c>
      <c r="I199" s="3">
        <v>0</v>
      </c>
      <c r="J199" s="4">
        <v>3109</v>
      </c>
      <c r="K199" s="3">
        <v>4</v>
      </c>
      <c r="L199" s="3" t="s">
        <v>323</v>
      </c>
      <c r="M199" s="3">
        <v>413</v>
      </c>
      <c r="N199" s="4" t="s">
        <v>361</v>
      </c>
      <c r="O199" s="3">
        <v>9</v>
      </c>
      <c r="P199" s="3" t="s">
        <v>362</v>
      </c>
      <c r="Q199" s="3" t="s">
        <v>272</v>
      </c>
      <c r="R199" s="3" t="str">
        <f t="shared" si="24"/>
        <v>ui_413009</v>
      </c>
      <c r="S199" s="3" t="str">
        <f t="shared" si="25"/>
        <v>413009</v>
      </c>
      <c r="T199" s="3">
        <v>10</v>
      </c>
      <c r="U199" s="3">
        <v>0</v>
      </c>
      <c r="V199" s="6">
        <v>10</v>
      </c>
      <c r="W199" s="7"/>
      <c r="X199" s="3" t="s">
        <v>370</v>
      </c>
      <c r="Y199" s="3" t="s">
        <v>2804</v>
      </c>
    </row>
    <row r="200" spans="1:25" x14ac:dyDescent="0.15">
      <c r="A200" s="3">
        <v>414001</v>
      </c>
      <c r="B200" s="4" t="s">
        <v>371</v>
      </c>
      <c r="C200" s="6">
        <v>10</v>
      </c>
      <c r="D200" s="27">
        <v>1</v>
      </c>
      <c r="E200" s="3">
        <v>2</v>
      </c>
      <c r="F200" s="3">
        <v>0</v>
      </c>
      <c r="G200" s="3">
        <v>0</v>
      </c>
      <c r="H200" s="3">
        <v>0</v>
      </c>
      <c r="I200" s="3">
        <v>0</v>
      </c>
      <c r="J200" s="4">
        <v>3110</v>
      </c>
      <c r="K200" s="3">
        <v>4</v>
      </c>
      <c r="L200" s="3" t="s">
        <v>323</v>
      </c>
      <c r="M200" s="3">
        <v>414</v>
      </c>
      <c r="N200" s="4" t="s">
        <v>372</v>
      </c>
      <c r="O200" s="3">
        <v>1</v>
      </c>
      <c r="P200" s="3" t="s">
        <v>362</v>
      </c>
      <c r="Q200" s="3" t="s">
        <v>272</v>
      </c>
      <c r="R200" s="3" t="str">
        <f t="shared" si="24"/>
        <v>ui_414001</v>
      </c>
      <c r="S200" s="3" t="str">
        <f t="shared" si="25"/>
        <v>414001</v>
      </c>
      <c r="T200" s="3">
        <v>10</v>
      </c>
      <c r="U200" s="3">
        <v>0</v>
      </c>
      <c r="V200" s="6">
        <v>10</v>
      </c>
      <c r="W200" s="7"/>
      <c r="X200" s="3" t="s">
        <v>371</v>
      </c>
      <c r="Y200" s="27" t="s">
        <v>3421</v>
      </c>
    </row>
    <row r="201" spans="1:25" x14ac:dyDescent="0.15">
      <c r="A201" s="3">
        <v>414002</v>
      </c>
      <c r="B201" s="4" t="s">
        <v>373</v>
      </c>
      <c r="C201" s="6">
        <v>50</v>
      </c>
      <c r="D201" s="27">
        <v>1</v>
      </c>
      <c r="E201" s="3">
        <v>2</v>
      </c>
      <c r="F201" s="3">
        <v>0</v>
      </c>
      <c r="G201" s="3">
        <v>0</v>
      </c>
      <c r="H201" s="3">
        <v>0</v>
      </c>
      <c r="I201" s="3">
        <v>0</v>
      </c>
      <c r="J201" s="4">
        <v>3111</v>
      </c>
      <c r="K201" s="3">
        <v>4</v>
      </c>
      <c r="L201" s="3" t="s">
        <v>323</v>
      </c>
      <c r="M201" s="3">
        <v>414</v>
      </c>
      <c r="N201" s="4" t="s">
        <v>372</v>
      </c>
      <c r="O201" s="3">
        <v>2</v>
      </c>
      <c r="P201" s="3" t="s">
        <v>362</v>
      </c>
      <c r="Q201" s="3" t="s">
        <v>272</v>
      </c>
      <c r="R201" s="3" t="str">
        <f t="shared" si="24"/>
        <v>ui_414002</v>
      </c>
      <c r="S201" s="3" t="str">
        <f t="shared" si="25"/>
        <v>414002</v>
      </c>
      <c r="T201" s="3">
        <v>10</v>
      </c>
      <c r="U201" s="3">
        <v>0</v>
      </c>
      <c r="V201" s="6">
        <v>10</v>
      </c>
      <c r="W201" s="7"/>
      <c r="X201" s="3" t="s">
        <v>373</v>
      </c>
      <c r="Y201" s="27" t="s">
        <v>3422</v>
      </c>
    </row>
    <row r="202" spans="1:25" x14ac:dyDescent="0.15">
      <c r="A202" s="3">
        <v>414003</v>
      </c>
      <c r="B202" s="4" t="s">
        <v>374</v>
      </c>
      <c r="C202" s="6">
        <v>150</v>
      </c>
      <c r="D202" s="27">
        <v>1</v>
      </c>
      <c r="E202" s="3">
        <v>2</v>
      </c>
      <c r="F202" s="3">
        <v>0</v>
      </c>
      <c r="G202" s="3">
        <v>0</v>
      </c>
      <c r="H202" s="3">
        <v>0</v>
      </c>
      <c r="I202" s="3">
        <v>0</v>
      </c>
      <c r="J202" s="4">
        <v>3112</v>
      </c>
      <c r="K202" s="3">
        <v>4</v>
      </c>
      <c r="L202" s="3" t="s">
        <v>323</v>
      </c>
      <c r="M202" s="3">
        <v>414</v>
      </c>
      <c r="N202" s="4" t="s">
        <v>372</v>
      </c>
      <c r="O202" s="3">
        <v>3</v>
      </c>
      <c r="P202" s="3" t="s">
        <v>362</v>
      </c>
      <c r="Q202" s="3" t="s">
        <v>272</v>
      </c>
      <c r="R202" s="3" t="str">
        <f t="shared" si="24"/>
        <v>ui_414003</v>
      </c>
      <c r="S202" s="3" t="str">
        <f t="shared" si="25"/>
        <v>414003</v>
      </c>
      <c r="T202" s="3">
        <v>10</v>
      </c>
      <c r="U202" s="3">
        <v>0</v>
      </c>
      <c r="V202" s="6">
        <v>10</v>
      </c>
      <c r="W202" s="7"/>
      <c r="X202" s="3" t="s">
        <v>374</v>
      </c>
      <c r="Y202" s="27" t="s">
        <v>3423</v>
      </c>
    </row>
    <row r="203" spans="1:25" x14ac:dyDescent="0.15">
      <c r="A203" s="3">
        <v>414004</v>
      </c>
      <c r="B203" s="4" t="s">
        <v>375</v>
      </c>
      <c r="C203" s="6">
        <v>400</v>
      </c>
      <c r="D203" s="27">
        <v>1</v>
      </c>
      <c r="E203" s="3">
        <v>2</v>
      </c>
      <c r="F203" s="3">
        <v>0</v>
      </c>
      <c r="G203" s="3">
        <v>0</v>
      </c>
      <c r="H203" s="3">
        <v>0</v>
      </c>
      <c r="I203" s="3">
        <v>0</v>
      </c>
      <c r="J203" s="4">
        <v>3113</v>
      </c>
      <c r="K203" s="3">
        <v>4</v>
      </c>
      <c r="L203" s="3" t="s">
        <v>323</v>
      </c>
      <c r="M203" s="3">
        <v>414</v>
      </c>
      <c r="N203" s="4" t="s">
        <v>372</v>
      </c>
      <c r="O203" s="3">
        <v>4</v>
      </c>
      <c r="P203" s="3" t="s">
        <v>362</v>
      </c>
      <c r="Q203" s="3" t="s">
        <v>272</v>
      </c>
      <c r="R203" s="3" t="str">
        <f t="shared" si="24"/>
        <v>ui_414004</v>
      </c>
      <c r="S203" s="3" t="str">
        <f t="shared" si="25"/>
        <v>414004</v>
      </c>
      <c r="T203" s="3">
        <v>10</v>
      </c>
      <c r="U203" s="3">
        <v>0</v>
      </c>
      <c r="V203" s="6">
        <v>10</v>
      </c>
      <c r="W203" s="7"/>
      <c r="X203" s="3" t="s">
        <v>375</v>
      </c>
      <c r="Y203" s="27" t="s">
        <v>3424</v>
      </c>
    </row>
    <row r="204" spans="1:25" x14ac:dyDescent="0.15">
      <c r="A204" s="3">
        <v>414005</v>
      </c>
      <c r="B204" s="4" t="s">
        <v>376</v>
      </c>
      <c r="C204" s="6">
        <v>2000</v>
      </c>
      <c r="D204" s="27">
        <v>1</v>
      </c>
      <c r="E204" s="3">
        <v>2</v>
      </c>
      <c r="F204" s="3">
        <v>0</v>
      </c>
      <c r="G204" s="3">
        <v>0</v>
      </c>
      <c r="H204" s="3">
        <v>0</v>
      </c>
      <c r="I204" s="3">
        <v>0</v>
      </c>
      <c r="J204" s="4">
        <v>3114</v>
      </c>
      <c r="K204" s="3">
        <v>4</v>
      </c>
      <c r="L204" s="3" t="s">
        <v>323</v>
      </c>
      <c r="M204" s="3">
        <v>414</v>
      </c>
      <c r="N204" s="4" t="s">
        <v>372</v>
      </c>
      <c r="O204" s="3">
        <v>5</v>
      </c>
      <c r="P204" s="3" t="s">
        <v>362</v>
      </c>
      <c r="Q204" s="3" t="s">
        <v>272</v>
      </c>
      <c r="R204" s="3" t="str">
        <f t="shared" si="24"/>
        <v>ui_414005</v>
      </c>
      <c r="S204" s="3" t="str">
        <f t="shared" si="25"/>
        <v>414005</v>
      </c>
      <c r="T204" s="3">
        <v>10</v>
      </c>
      <c r="U204" s="3">
        <v>0</v>
      </c>
      <c r="V204" s="6">
        <v>10</v>
      </c>
      <c r="W204" s="7"/>
      <c r="X204" s="3" t="s">
        <v>376</v>
      </c>
      <c r="Y204" s="27" t="s">
        <v>3425</v>
      </c>
    </row>
    <row r="205" spans="1:25" x14ac:dyDescent="0.15">
      <c r="A205" s="3">
        <v>414006</v>
      </c>
      <c r="B205" s="4" t="s">
        <v>377</v>
      </c>
      <c r="C205" s="6">
        <v>4500</v>
      </c>
      <c r="D205" s="27">
        <v>1</v>
      </c>
      <c r="E205" s="3">
        <v>2</v>
      </c>
      <c r="F205" s="3">
        <v>0</v>
      </c>
      <c r="G205" s="3">
        <v>0</v>
      </c>
      <c r="H205" s="3">
        <v>0</v>
      </c>
      <c r="I205" s="3">
        <v>0</v>
      </c>
      <c r="J205" s="4">
        <v>3115</v>
      </c>
      <c r="K205" s="3">
        <v>4</v>
      </c>
      <c r="L205" s="3" t="s">
        <v>323</v>
      </c>
      <c r="M205" s="3">
        <v>414</v>
      </c>
      <c r="N205" s="4" t="s">
        <v>372</v>
      </c>
      <c r="O205" s="3">
        <v>6</v>
      </c>
      <c r="P205" s="3" t="s">
        <v>362</v>
      </c>
      <c r="Q205" s="3" t="s">
        <v>272</v>
      </c>
      <c r="R205" s="3" t="str">
        <f t="shared" si="24"/>
        <v>ui_414006</v>
      </c>
      <c r="S205" s="3" t="str">
        <f t="shared" si="25"/>
        <v>414006</v>
      </c>
      <c r="T205" s="3">
        <v>10</v>
      </c>
      <c r="U205" s="3">
        <v>0</v>
      </c>
      <c r="V205" s="6">
        <v>10</v>
      </c>
      <c r="W205" s="7"/>
      <c r="X205" s="3" t="s">
        <v>377</v>
      </c>
      <c r="Y205" s="27" t="s">
        <v>3426</v>
      </c>
    </row>
    <row r="206" spans="1:25" x14ac:dyDescent="0.15">
      <c r="A206" s="3">
        <v>414007</v>
      </c>
      <c r="B206" s="4" t="s">
        <v>378</v>
      </c>
      <c r="C206" s="6">
        <v>15000</v>
      </c>
      <c r="D206" s="27">
        <v>1</v>
      </c>
      <c r="E206" s="3">
        <v>2</v>
      </c>
      <c r="F206" s="3">
        <v>0</v>
      </c>
      <c r="G206" s="3">
        <v>0</v>
      </c>
      <c r="H206" s="3">
        <v>0</v>
      </c>
      <c r="I206" s="3">
        <v>0</v>
      </c>
      <c r="J206" s="4">
        <v>3116</v>
      </c>
      <c r="K206" s="3">
        <v>4</v>
      </c>
      <c r="L206" s="3" t="s">
        <v>323</v>
      </c>
      <c r="M206" s="3">
        <v>414</v>
      </c>
      <c r="N206" s="4" t="s">
        <v>372</v>
      </c>
      <c r="O206" s="3">
        <v>7</v>
      </c>
      <c r="P206" s="3" t="s">
        <v>362</v>
      </c>
      <c r="Q206" s="3" t="s">
        <v>272</v>
      </c>
      <c r="R206" s="3" t="str">
        <f t="shared" si="24"/>
        <v>ui_414007</v>
      </c>
      <c r="S206" s="3" t="str">
        <f t="shared" si="25"/>
        <v>414007</v>
      </c>
      <c r="T206" s="3">
        <v>10</v>
      </c>
      <c r="U206" s="3">
        <v>0</v>
      </c>
      <c r="V206" s="6">
        <v>10</v>
      </c>
      <c r="W206" s="7"/>
      <c r="X206" s="3" t="s">
        <v>378</v>
      </c>
      <c r="Y206" s="27" t="s">
        <v>3427</v>
      </c>
    </row>
    <row r="207" spans="1:25" x14ac:dyDescent="0.15">
      <c r="A207" s="3">
        <v>414008</v>
      </c>
      <c r="B207" s="4" t="s">
        <v>379</v>
      </c>
      <c r="C207" s="6">
        <v>40000</v>
      </c>
      <c r="D207" s="27">
        <v>1</v>
      </c>
      <c r="E207" s="3">
        <v>2</v>
      </c>
      <c r="F207" s="3">
        <v>0</v>
      </c>
      <c r="G207" s="3">
        <v>0</v>
      </c>
      <c r="H207" s="3">
        <v>0</v>
      </c>
      <c r="I207" s="3">
        <v>0</v>
      </c>
      <c r="J207" s="4">
        <v>3117</v>
      </c>
      <c r="K207" s="3">
        <v>4</v>
      </c>
      <c r="L207" s="3" t="s">
        <v>323</v>
      </c>
      <c r="M207" s="3">
        <v>414</v>
      </c>
      <c r="N207" s="4" t="s">
        <v>372</v>
      </c>
      <c r="O207" s="3">
        <v>8</v>
      </c>
      <c r="P207" s="3" t="s">
        <v>362</v>
      </c>
      <c r="Q207" s="3" t="s">
        <v>272</v>
      </c>
      <c r="R207" s="3" t="str">
        <f t="shared" si="24"/>
        <v>ui_414008</v>
      </c>
      <c r="S207" s="3" t="str">
        <f t="shared" si="25"/>
        <v>414008</v>
      </c>
      <c r="T207" s="3">
        <v>10</v>
      </c>
      <c r="U207" s="3">
        <v>0</v>
      </c>
      <c r="V207" s="6">
        <v>10</v>
      </c>
      <c r="W207" s="7"/>
      <c r="X207" s="3" t="s">
        <v>379</v>
      </c>
      <c r="Y207" s="27" t="s">
        <v>3428</v>
      </c>
    </row>
    <row r="208" spans="1:25" x14ac:dyDescent="0.15">
      <c r="A208" s="3">
        <v>414009</v>
      </c>
      <c r="B208" s="4" t="s">
        <v>380</v>
      </c>
      <c r="C208" s="6">
        <v>88888</v>
      </c>
      <c r="D208" s="27">
        <v>1</v>
      </c>
      <c r="E208" s="3">
        <v>2</v>
      </c>
      <c r="F208" s="3">
        <v>0</v>
      </c>
      <c r="G208" s="3">
        <v>0</v>
      </c>
      <c r="H208" s="3">
        <v>0</v>
      </c>
      <c r="I208" s="3">
        <v>0</v>
      </c>
      <c r="J208" s="4">
        <v>3118</v>
      </c>
      <c r="K208" s="3">
        <v>4</v>
      </c>
      <c r="L208" s="3" t="s">
        <v>323</v>
      </c>
      <c r="M208" s="3">
        <v>414</v>
      </c>
      <c r="N208" s="4" t="s">
        <v>372</v>
      </c>
      <c r="O208" s="3">
        <v>9</v>
      </c>
      <c r="P208" s="3" t="s">
        <v>362</v>
      </c>
      <c r="Q208" s="3" t="s">
        <v>272</v>
      </c>
      <c r="R208" s="3" t="str">
        <f t="shared" si="24"/>
        <v>ui_414009</v>
      </c>
      <c r="S208" s="3" t="str">
        <f t="shared" si="25"/>
        <v>414009</v>
      </c>
      <c r="T208" s="3">
        <v>10</v>
      </c>
      <c r="U208" s="3">
        <v>0</v>
      </c>
      <c r="V208" s="6">
        <v>10</v>
      </c>
      <c r="W208" s="7"/>
      <c r="X208" s="3" t="s">
        <v>380</v>
      </c>
      <c r="Y208" s="27" t="s">
        <v>3429</v>
      </c>
    </row>
    <row r="209" spans="1:25" x14ac:dyDescent="0.15">
      <c r="A209" s="3">
        <v>415001</v>
      </c>
      <c r="B209" s="4" t="s">
        <v>381</v>
      </c>
      <c r="C209" s="6">
        <v>10</v>
      </c>
      <c r="D209" s="27">
        <v>1</v>
      </c>
      <c r="E209" s="3">
        <v>2</v>
      </c>
      <c r="F209" s="3">
        <v>0</v>
      </c>
      <c r="G209" s="3">
        <v>0</v>
      </c>
      <c r="H209" s="3">
        <v>0</v>
      </c>
      <c r="I209" s="3">
        <v>0</v>
      </c>
      <c r="J209" s="4">
        <v>3119</v>
      </c>
      <c r="K209" s="3">
        <v>4</v>
      </c>
      <c r="L209" s="3" t="s">
        <v>323</v>
      </c>
      <c r="M209" s="3">
        <v>415</v>
      </c>
      <c r="N209" s="4" t="s">
        <v>382</v>
      </c>
      <c r="O209" s="3">
        <v>1</v>
      </c>
      <c r="P209" s="3" t="s">
        <v>362</v>
      </c>
      <c r="Q209" s="3" t="s">
        <v>272</v>
      </c>
      <c r="R209" s="3" t="str">
        <f t="shared" si="24"/>
        <v>ui_415001</v>
      </c>
      <c r="S209" s="3" t="str">
        <f t="shared" si="25"/>
        <v>415001</v>
      </c>
      <c r="T209" s="3">
        <v>10</v>
      </c>
      <c r="U209" s="3">
        <v>0</v>
      </c>
      <c r="V209" s="6">
        <v>10</v>
      </c>
      <c r="W209" s="7"/>
      <c r="X209" s="3" t="s">
        <v>381</v>
      </c>
      <c r="Y209" s="27" t="s">
        <v>3430</v>
      </c>
    </row>
    <row r="210" spans="1:25" x14ac:dyDescent="0.15">
      <c r="A210" s="3">
        <v>415002</v>
      </c>
      <c r="B210" s="4" t="s">
        <v>383</v>
      </c>
      <c r="C210" s="6">
        <v>50</v>
      </c>
      <c r="D210" s="27">
        <v>1</v>
      </c>
      <c r="E210" s="3">
        <v>2</v>
      </c>
      <c r="F210" s="3">
        <v>0</v>
      </c>
      <c r="G210" s="3">
        <v>0</v>
      </c>
      <c r="H210" s="3">
        <v>0</v>
      </c>
      <c r="I210" s="3">
        <v>0</v>
      </c>
      <c r="J210" s="4">
        <v>3120</v>
      </c>
      <c r="K210" s="3">
        <v>4</v>
      </c>
      <c r="L210" s="3" t="s">
        <v>323</v>
      </c>
      <c r="M210" s="3">
        <v>415</v>
      </c>
      <c r="N210" s="4" t="s">
        <v>382</v>
      </c>
      <c r="O210" s="3">
        <v>2</v>
      </c>
      <c r="P210" s="3" t="s">
        <v>362</v>
      </c>
      <c r="Q210" s="3" t="s">
        <v>272</v>
      </c>
      <c r="R210" s="3" t="str">
        <f t="shared" si="24"/>
        <v>ui_415002</v>
      </c>
      <c r="S210" s="3" t="str">
        <f t="shared" si="25"/>
        <v>415002</v>
      </c>
      <c r="T210" s="3">
        <v>10</v>
      </c>
      <c r="U210" s="3">
        <v>0</v>
      </c>
      <c r="V210" s="6">
        <v>10</v>
      </c>
      <c r="W210" s="7"/>
      <c r="X210" s="3" t="s">
        <v>383</v>
      </c>
      <c r="Y210" s="27" t="s">
        <v>3431</v>
      </c>
    </row>
    <row r="211" spans="1:25" x14ac:dyDescent="0.15">
      <c r="A211" s="3">
        <v>415003</v>
      </c>
      <c r="B211" s="4" t="s">
        <v>384</v>
      </c>
      <c r="C211" s="6">
        <v>150</v>
      </c>
      <c r="D211" s="27">
        <v>1</v>
      </c>
      <c r="E211" s="3">
        <v>2</v>
      </c>
      <c r="F211" s="3">
        <v>0</v>
      </c>
      <c r="G211" s="3">
        <v>0</v>
      </c>
      <c r="H211" s="3">
        <v>0</v>
      </c>
      <c r="I211" s="3">
        <v>0</v>
      </c>
      <c r="J211" s="4">
        <v>3121</v>
      </c>
      <c r="K211" s="3">
        <v>4</v>
      </c>
      <c r="L211" s="3" t="s">
        <v>323</v>
      </c>
      <c r="M211" s="3">
        <v>415</v>
      </c>
      <c r="N211" s="4" t="s">
        <v>382</v>
      </c>
      <c r="O211" s="3">
        <v>3</v>
      </c>
      <c r="P211" s="3" t="s">
        <v>362</v>
      </c>
      <c r="Q211" s="3" t="s">
        <v>272</v>
      </c>
      <c r="R211" s="3" t="str">
        <f t="shared" si="24"/>
        <v>ui_415003</v>
      </c>
      <c r="S211" s="3" t="str">
        <f t="shared" si="25"/>
        <v>415003</v>
      </c>
      <c r="T211" s="3">
        <v>10</v>
      </c>
      <c r="U211" s="3">
        <v>0</v>
      </c>
      <c r="V211" s="6">
        <v>10</v>
      </c>
      <c r="W211" s="7"/>
      <c r="X211" s="3" t="s">
        <v>384</v>
      </c>
      <c r="Y211" s="27" t="s">
        <v>3432</v>
      </c>
    </row>
    <row r="212" spans="1:25" x14ac:dyDescent="0.15">
      <c r="A212" s="3">
        <v>415004</v>
      </c>
      <c r="B212" s="4" t="s">
        <v>385</v>
      </c>
      <c r="C212" s="6">
        <v>400</v>
      </c>
      <c r="D212" s="27">
        <v>1</v>
      </c>
      <c r="E212" s="3">
        <v>2</v>
      </c>
      <c r="F212" s="3">
        <v>0</v>
      </c>
      <c r="G212" s="3">
        <v>0</v>
      </c>
      <c r="H212" s="3">
        <v>0</v>
      </c>
      <c r="I212" s="3">
        <v>0</v>
      </c>
      <c r="J212" s="4">
        <v>3122</v>
      </c>
      <c r="K212" s="3">
        <v>4</v>
      </c>
      <c r="L212" s="3" t="s">
        <v>323</v>
      </c>
      <c r="M212" s="3">
        <v>415</v>
      </c>
      <c r="N212" s="4" t="s">
        <v>382</v>
      </c>
      <c r="O212" s="3">
        <v>4</v>
      </c>
      <c r="P212" s="3" t="s">
        <v>362</v>
      </c>
      <c r="Q212" s="3" t="s">
        <v>272</v>
      </c>
      <c r="R212" s="3" t="str">
        <f t="shared" si="24"/>
        <v>ui_415004</v>
      </c>
      <c r="S212" s="3" t="str">
        <f t="shared" si="25"/>
        <v>415004</v>
      </c>
      <c r="T212" s="3">
        <v>10</v>
      </c>
      <c r="U212" s="3">
        <v>0</v>
      </c>
      <c r="V212" s="6">
        <v>10</v>
      </c>
      <c r="W212" s="7"/>
      <c r="X212" s="3" t="s">
        <v>385</v>
      </c>
      <c r="Y212" s="27" t="s">
        <v>3433</v>
      </c>
    </row>
    <row r="213" spans="1:25" x14ac:dyDescent="0.15">
      <c r="A213" s="3">
        <v>415005</v>
      </c>
      <c r="B213" s="4" t="s">
        <v>386</v>
      </c>
      <c r="C213" s="6">
        <v>2000</v>
      </c>
      <c r="D213" s="27">
        <v>1</v>
      </c>
      <c r="E213" s="3">
        <v>2</v>
      </c>
      <c r="F213" s="3">
        <v>0</v>
      </c>
      <c r="G213" s="3">
        <v>0</v>
      </c>
      <c r="H213" s="3">
        <v>0</v>
      </c>
      <c r="I213" s="3">
        <v>0</v>
      </c>
      <c r="J213" s="4">
        <v>3123</v>
      </c>
      <c r="K213" s="3">
        <v>4</v>
      </c>
      <c r="L213" s="3" t="s">
        <v>323</v>
      </c>
      <c r="M213" s="3">
        <v>415</v>
      </c>
      <c r="N213" s="4" t="s">
        <v>382</v>
      </c>
      <c r="O213" s="3">
        <v>5</v>
      </c>
      <c r="P213" s="3" t="s">
        <v>362</v>
      </c>
      <c r="Q213" s="3" t="s">
        <v>272</v>
      </c>
      <c r="R213" s="3" t="str">
        <f t="shared" si="24"/>
        <v>ui_415005</v>
      </c>
      <c r="S213" s="3" t="str">
        <f t="shared" si="25"/>
        <v>415005</v>
      </c>
      <c r="T213" s="3">
        <v>10</v>
      </c>
      <c r="U213" s="3">
        <v>0</v>
      </c>
      <c r="V213" s="6">
        <v>10</v>
      </c>
      <c r="W213" s="7"/>
      <c r="X213" s="3" t="s">
        <v>386</v>
      </c>
      <c r="Y213" s="27" t="s">
        <v>3434</v>
      </c>
    </row>
    <row r="214" spans="1:25" x14ac:dyDescent="0.15">
      <c r="A214" s="3">
        <v>415006</v>
      </c>
      <c r="B214" s="4" t="s">
        <v>387</v>
      </c>
      <c r="C214" s="6">
        <v>4500</v>
      </c>
      <c r="D214" s="27">
        <v>1</v>
      </c>
      <c r="E214" s="3">
        <v>2</v>
      </c>
      <c r="F214" s="3">
        <v>0</v>
      </c>
      <c r="G214" s="3">
        <v>0</v>
      </c>
      <c r="H214" s="3">
        <v>0</v>
      </c>
      <c r="I214" s="3">
        <v>0</v>
      </c>
      <c r="J214" s="4">
        <v>3124</v>
      </c>
      <c r="K214" s="3">
        <v>4</v>
      </c>
      <c r="L214" s="3" t="s">
        <v>323</v>
      </c>
      <c r="M214" s="3">
        <v>415</v>
      </c>
      <c r="N214" s="4" t="s">
        <v>382</v>
      </c>
      <c r="O214" s="3">
        <v>6</v>
      </c>
      <c r="P214" s="3" t="s">
        <v>362</v>
      </c>
      <c r="Q214" s="3" t="s">
        <v>272</v>
      </c>
      <c r="R214" s="3" t="str">
        <f t="shared" si="24"/>
        <v>ui_415006</v>
      </c>
      <c r="S214" s="3" t="str">
        <f t="shared" si="25"/>
        <v>415006</v>
      </c>
      <c r="T214" s="3">
        <v>10</v>
      </c>
      <c r="U214" s="3">
        <v>0</v>
      </c>
      <c r="V214" s="6">
        <v>10</v>
      </c>
      <c r="W214" s="7"/>
      <c r="X214" s="3" t="s">
        <v>387</v>
      </c>
      <c r="Y214" s="27" t="s">
        <v>3435</v>
      </c>
    </row>
    <row r="215" spans="1:25" x14ac:dyDescent="0.15">
      <c r="A215" s="3">
        <v>415007</v>
      </c>
      <c r="B215" s="4" t="s">
        <v>388</v>
      </c>
      <c r="C215" s="6">
        <v>15000</v>
      </c>
      <c r="D215" s="27">
        <v>1</v>
      </c>
      <c r="E215" s="3">
        <v>2</v>
      </c>
      <c r="F215" s="3">
        <v>0</v>
      </c>
      <c r="G215" s="3">
        <v>0</v>
      </c>
      <c r="H215" s="3">
        <v>0</v>
      </c>
      <c r="I215" s="3">
        <v>0</v>
      </c>
      <c r="J215" s="4">
        <v>3125</v>
      </c>
      <c r="K215" s="3">
        <v>4</v>
      </c>
      <c r="L215" s="3" t="s">
        <v>323</v>
      </c>
      <c r="M215" s="3">
        <v>415</v>
      </c>
      <c r="N215" s="4" t="s">
        <v>382</v>
      </c>
      <c r="O215" s="3">
        <v>7</v>
      </c>
      <c r="P215" s="3" t="s">
        <v>362</v>
      </c>
      <c r="Q215" s="3" t="s">
        <v>272</v>
      </c>
      <c r="R215" s="3" t="str">
        <f t="shared" si="24"/>
        <v>ui_415007</v>
      </c>
      <c r="S215" s="3" t="str">
        <f t="shared" si="25"/>
        <v>415007</v>
      </c>
      <c r="T215" s="3">
        <v>10</v>
      </c>
      <c r="U215" s="3">
        <v>0</v>
      </c>
      <c r="V215" s="6">
        <v>10</v>
      </c>
      <c r="W215" s="7"/>
      <c r="X215" s="3" t="s">
        <v>388</v>
      </c>
      <c r="Y215" s="27" t="s">
        <v>3436</v>
      </c>
    </row>
    <row r="216" spans="1:25" x14ac:dyDescent="0.15">
      <c r="A216" s="3">
        <v>415008</v>
      </c>
      <c r="B216" s="4" t="s">
        <v>389</v>
      </c>
      <c r="C216" s="6">
        <v>40000</v>
      </c>
      <c r="D216" s="27">
        <v>1</v>
      </c>
      <c r="E216" s="3">
        <v>2</v>
      </c>
      <c r="F216" s="3">
        <v>0</v>
      </c>
      <c r="G216" s="3">
        <v>0</v>
      </c>
      <c r="H216" s="3">
        <v>0</v>
      </c>
      <c r="I216" s="3">
        <v>0</v>
      </c>
      <c r="J216" s="4">
        <v>3126</v>
      </c>
      <c r="K216" s="3">
        <v>4</v>
      </c>
      <c r="L216" s="3" t="s">
        <v>323</v>
      </c>
      <c r="M216" s="3">
        <v>415</v>
      </c>
      <c r="N216" s="4" t="s">
        <v>382</v>
      </c>
      <c r="O216" s="3">
        <v>8</v>
      </c>
      <c r="P216" s="3" t="s">
        <v>362</v>
      </c>
      <c r="Q216" s="3" t="s">
        <v>272</v>
      </c>
      <c r="R216" s="3" t="str">
        <f t="shared" si="24"/>
        <v>ui_415008</v>
      </c>
      <c r="S216" s="3" t="str">
        <f t="shared" si="25"/>
        <v>415008</v>
      </c>
      <c r="T216" s="3">
        <v>10</v>
      </c>
      <c r="U216" s="3">
        <v>0</v>
      </c>
      <c r="V216" s="6">
        <v>10</v>
      </c>
      <c r="W216" s="7"/>
      <c r="X216" s="3" t="s">
        <v>389</v>
      </c>
      <c r="Y216" s="27" t="s">
        <v>3437</v>
      </c>
    </row>
    <row r="217" spans="1:25" x14ac:dyDescent="0.15">
      <c r="A217" s="3">
        <v>415009</v>
      </c>
      <c r="B217" s="4" t="s">
        <v>390</v>
      </c>
      <c r="C217" s="6">
        <v>88888</v>
      </c>
      <c r="D217" s="27">
        <v>1</v>
      </c>
      <c r="E217" s="3">
        <v>2</v>
      </c>
      <c r="F217" s="3">
        <v>0</v>
      </c>
      <c r="G217" s="3">
        <v>0</v>
      </c>
      <c r="H217" s="3">
        <v>0</v>
      </c>
      <c r="I217" s="3">
        <v>0</v>
      </c>
      <c r="J217" s="4">
        <v>3127</v>
      </c>
      <c r="K217" s="3">
        <v>4</v>
      </c>
      <c r="L217" s="3" t="s">
        <v>323</v>
      </c>
      <c r="M217" s="3">
        <v>415</v>
      </c>
      <c r="N217" s="4" t="s">
        <v>382</v>
      </c>
      <c r="O217" s="3">
        <v>9</v>
      </c>
      <c r="P217" s="3" t="s">
        <v>362</v>
      </c>
      <c r="Q217" s="3" t="s">
        <v>272</v>
      </c>
      <c r="R217" s="3" t="str">
        <f t="shared" si="24"/>
        <v>ui_415009</v>
      </c>
      <c r="S217" s="3" t="str">
        <f t="shared" si="25"/>
        <v>415009</v>
      </c>
      <c r="T217" s="3">
        <v>10</v>
      </c>
      <c r="U217" s="3">
        <v>0</v>
      </c>
      <c r="V217" s="6">
        <v>10</v>
      </c>
      <c r="W217" s="7"/>
      <c r="X217" s="3" t="s">
        <v>390</v>
      </c>
      <c r="Y217" s="27" t="s">
        <v>3438</v>
      </c>
    </row>
    <row r="218" spans="1:25" x14ac:dyDescent="0.15">
      <c r="A218" s="3">
        <v>416001</v>
      </c>
      <c r="B218" s="27" t="s">
        <v>1855</v>
      </c>
      <c r="C218" s="3">
        <v>1000</v>
      </c>
      <c r="D218" s="27">
        <v>1</v>
      </c>
      <c r="E218" s="3">
        <v>2</v>
      </c>
      <c r="F218" s="3">
        <v>0</v>
      </c>
      <c r="G218" s="3">
        <v>0</v>
      </c>
      <c r="H218" s="3">
        <v>0</v>
      </c>
      <c r="I218" s="3">
        <v>0</v>
      </c>
      <c r="J218" s="4">
        <v>128</v>
      </c>
      <c r="K218" s="3">
        <v>4</v>
      </c>
      <c r="L218" s="3" t="s">
        <v>323</v>
      </c>
      <c r="M218" s="3">
        <v>416</v>
      </c>
      <c r="N218" s="4" t="s">
        <v>391</v>
      </c>
      <c r="O218" s="3">
        <v>2</v>
      </c>
      <c r="P218" s="27" t="s">
        <v>1852</v>
      </c>
      <c r="Q218" s="3" t="s">
        <v>272</v>
      </c>
      <c r="R218" s="3" t="str">
        <f t="shared" si="24"/>
        <v>ui_416001</v>
      </c>
      <c r="S218" s="3" t="str">
        <f t="shared" si="25"/>
        <v>416001</v>
      </c>
      <c r="T218" s="3">
        <v>60</v>
      </c>
      <c r="U218" s="3">
        <v>1</v>
      </c>
      <c r="V218" s="3">
        <v>1</v>
      </c>
      <c r="W218" s="7"/>
      <c r="X218" s="27" t="s">
        <v>1850</v>
      </c>
      <c r="Y218" s="3" t="s">
        <v>1853</v>
      </c>
    </row>
    <row r="219" spans="1:25" x14ac:dyDescent="0.15">
      <c r="A219" s="3">
        <v>416002</v>
      </c>
      <c r="B219" s="27" t="s">
        <v>1851</v>
      </c>
      <c r="C219" s="3">
        <v>2000</v>
      </c>
      <c r="D219" s="27">
        <v>1</v>
      </c>
      <c r="E219" s="3">
        <v>2</v>
      </c>
      <c r="F219" s="3">
        <v>0</v>
      </c>
      <c r="G219" s="3">
        <v>0</v>
      </c>
      <c r="H219" s="3">
        <v>0</v>
      </c>
      <c r="I219" s="3">
        <v>0</v>
      </c>
      <c r="J219" s="4">
        <v>129</v>
      </c>
      <c r="K219" s="3">
        <v>4</v>
      </c>
      <c r="L219" s="3" t="s">
        <v>323</v>
      </c>
      <c r="M219" s="3">
        <v>416</v>
      </c>
      <c r="N219" s="4" t="s">
        <v>391</v>
      </c>
      <c r="O219" s="3">
        <v>1.5</v>
      </c>
      <c r="P219" s="27" t="s">
        <v>1852</v>
      </c>
      <c r="Q219" s="3" t="s">
        <v>272</v>
      </c>
      <c r="R219" s="3" t="str">
        <f t="shared" si="24"/>
        <v>ui_416002</v>
      </c>
      <c r="S219" s="3" t="str">
        <f t="shared" si="25"/>
        <v>416002</v>
      </c>
      <c r="T219" s="3">
        <v>60</v>
      </c>
      <c r="U219" s="3">
        <v>1</v>
      </c>
      <c r="V219" s="3">
        <v>1</v>
      </c>
      <c r="W219" s="7"/>
      <c r="X219" s="27" t="s">
        <v>1851</v>
      </c>
      <c r="Y219" s="3" t="s">
        <v>1854</v>
      </c>
    </row>
    <row r="220" spans="1:25" x14ac:dyDescent="0.15">
      <c r="A220" s="3">
        <v>417001</v>
      </c>
      <c r="B220" s="28" t="s">
        <v>1565</v>
      </c>
      <c r="C220" s="6">
        <v>5</v>
      </c>
      <c r="D220" s="27">
        <v>1</v>
      </c>
      <c r="E220" s="3">
        <v>2</v>
      </c>
      <c r="F220" s="3">
        <v>0</v>
      </c>
      <c r="G220" s="3">
        <v>0</v>
      </c>
      <c r="H220" s="3">
        <v>0</v>
      </c>
      <c r="I220" s="3">
        <v>0</v>
      </c>
      <c r="J220" s="4">
        <v>4101</v>
      </c>
      <c r="K220" s="3">
        <v>4</v>
      </c>
      <c r="L220" s="3" t="s">
        <v>323</v>
      </c>
      <c r="M220" s="3">
        <v>417</v>
      </c>
      <c r="N220" s="28" t="s">
        <v>1592</v>
      </c>
      <c r="O220" s="3">
        <v>413001</v>
      </c>
      <c r="P220" s="27" t="s">
        <v>1593</v>
      </c>
      <c r="Q220" s="3" t="s">
        <v>272</v>
      </c>
      <c r="R220" s="3" t="str">
        <f t="shared" si="24"/>
        <v>ui_417001</v>
      </c>
      <c r="S220" s="3" t="str">
        <f t="shared" si="25"/>
        <v>417001</v>
      </c>
      <c r="T220" s="3">
        <v>10</v>
      </c>
      <c r="U220" s="3">
        <v>0</v>
      </c>
      <c r="V220" s="6">
        <v>10</v>
      </c>
      <c r="W220" s="7"/>
      <c r="X220" s="28" t="s">
        <v>1565</v>
      </c>
      <c r="Y220" s="27" t="s">
        <v>2785</v>
      </c>
    </row>
    <row r="221" spans="1:25" x14ac:dyDescent="0.15">
      <c r="A221" s="3">
        <v>417002</v>
      </c>
      <c r="B221" s="4" t="s">
        <v>1566</v>
      </c>
      <c r="C221" s="6">
        <v>10</v>
      </c>
      <c r="D221" s="27">
        <v>1</v>
      </c>
      <c r="E221" s="3">
        <v>2</v>
      </c>
      <c r="F221" s="3">
        <v>0</v>
      </c>
      <c r="G221" s="3">
        <v>0</v>
      </c>
      <c r="H221" s="3">
        <v>0</v>
      </c>
      <c r="I221" s="3">
        <v>0</v>
      </c>
      <c r="J221" s="4">
        <v>4102</v>
      </c>
      <c r="K221" s="3">
        <v>4</v>
      </c>
      <c r="L221" s="3" t="s">
        <v>323</v>
      </c>
      <c r="M221" s="3">
        <v>417</v>
      </c>
      <c r="N221" s="28" t="s">
        <v>1592</v>
      </c>
      <c r="O221" s="3">
        <v>413002</v>
      </c>
      <c r="P221" s="27" t="s">
        <v>1593</v>
      </c>
      <c r="Q221" s="3" t="s">
        <v>272</v>
      </c>
      <c r="R221" s="3" t="str">
        <f t="shared" si="24"/>
        <v>ui_417002</v>
      </c>
      <c r="S221" s="3" t="str">
        <f t="shared" si="25"/>
        <v>417002</v>
      </c>
      <c r="T221" s="3">
        <v>10</v>
      </c>
      <c r="U221" s="3">
        <v>0</v>
      </c>
      <c r="V221" s="6">
        <v>10</v>
      </c>
      <c r="W221" s="7"/>
      <c r="X221" s="4" t="s">
        <v>1566</v>
      </c>
      <c r="Y221" s="27" t="s">
        <v>2785</v>
      </c>
    </row>
    <row r="222" spans="1:25" x14ac:dyDescent="0.15">
      <c r="A222" s="3">
        <v>417003</v>
      </c>
      <c r="B222" s="4" t="s">
        <v>1567</v>
      </c>
      <c r="C222" s="6">
        <v>15</v>
      </c>
      <c r="D222" s="27">
        <v>1</v>
      </c>
      <c r="E222" s="3">
        <v>2</v>
      </c>
      <c r="F222" s="3">
        <v>0</v>
      </c>
      <c r="G222" s="3">
        <v>0</v>
      </c>
      <c r="H222" s="3">
        <v>0</v>
      </c>
      <c r="I222" s="3">
        <v>0</v>
      </c>
      <c r="J222" s="4">
        <v>4103</v>
      </c>
      <c r="K222" s="3">
        <v>4</v>
      </c>
      <c r="L222" s="3" t="s">
        <v>323</v>
      </c>
      <c r="M222" s="3">
        <v>417</v>
      </c>
      <c r="N222" s="28" t="s">
        <v>1592</v>
      </c>
      <c r="O222" s="3">
        <v>413003</v>
      </c>
      <c r="P222" s="27" t="s">
        <v>1593</v>
      </c>
      <c r="Q222" s="3" t="s">
        <v>272</v>
      </c>
      <c r="R222" s="3" t="str">
        <f t="shared" si="24"/>
        <v>ui_417003</v>
      </c>
      <c r="S222" s="3" t="str">
        <f t="shared" si="25"/>
        <v>417003</v>
      </c>
      <c r="T222" s="3">
        <v>10</v>
      </c>
      <c r="U222" s="3">
        <v>0</v>
      </c>
      <c r="V222" s="6">
        <v>10</v>
      </c>
      <c r="W222" s="7"/>
      <c r="X222" s="4" t="s">
        <v>1567</v>
      </c>
      <c r="Y222" s="27" t="s">
        <v>2785</v>
      </c>
    </row>
    <row r="223" spans="1:25" x14ac:dyDescent="0.15">
      <c r="A223" s="3">
        <v>417004</v>
      </c>
      <c r="B223" s="4" t="s">
        <v>1568</v>
      </c>
      <c r="C223" s="6">
        <v>20</v>
      </c>
      <c r="D223" s="27">
        <v>1</v>
      </c>
      <c r="E223" s="3">
        <v>2</v>
      </c>
      <c r="F223" s="3">
        <v>0</v>
      </c>
      <c r="G223" s="3">
        <v>0</v>
      </c>
      <c r="H223" s="3">
        <v>0</v>
      </c>
      <c r="I223" s="3">
        <v>0</v>
      </c>
      <c r="J223" s="4">
        <v>4104</v>
      </c>
      <c r="K223" s="3">
        <v>4</v>
      </c>
      <c r="L223" s="3" t="s">
        <v>323</v>
      </c>
      <c r="M223" s="3">
        <v>417</v>
      </c>
      <c r="N223" s="28" t="s">
        <v>1592</v>
      </c>
      <c r="O223" s="3">
        <v>413004</v>
      </c>
      <c r="P223" s="27" t="s">
        <v>1593</v>
      </c>
      <c r="Q223" s="3" t="s">
        <v>272</v>
      </c>
      <c r="R223" s="3" t="str">
        <f t="shared" si="24"/>
        <v>ui_417004</v>
      </c>
      <c r="S223" s="3" t="str">
        <f t="shared" si="25"/>
        <v>417004</v>
      </c>
      <c r="T223" s="3">
        <v>10</v>
      </c>
      <c r="U223" s="3">
        <v>0</v>
      </c>
      <c r="V223" s="6">
        <v>10</v>
      </c>
      <c r="W223" s="7"/>
      <c r="X223" s="4" t="s">
        <v>1568</v>
      </c>
      <c r="Y223" s="27" t="s">
        <v>2785</v>
      </c>
    </row>
    <row r="224" spans="1:25" x14ac:dyDescent="0.15">
      <c r="A224" s="3">
        <v>417005</v>
      </c>
      <c r="B224" s="4" t="s">
        <v>1569</v>
      </c>
      <c r="C224" s="6">
        <v>600</v>
      </c>
      <c r="D224" s="27">
        <v>1</v>
      </c>
      <c r="E224" s="3">
        <v>2</v>
      </c>
      <c r="F224" s="3">
        <v>0</v>
      </c>
      <c r="G224" s="3">
        <v>0</v>
      </c>
      <c r="H224" s="3">
        <v>0</v>
      </c>
      <c r="I224" s="3">
        <v>0</v>
      </c>
      <c r="J224" s="4">
        <v>4105</v>
      </c>
      <c r="K224" s="3">
        <v>4</v>
      </c>
      <c r="L224" s="3" t="s">
        <v>323</v>
      </c>
      <c r="M224" s="3">
        <v>417</v>
      </c>
      <c r="N224" s="28" t="s">
        <v>1592</v>
      </c>
      <c r="O224" s="3">
        <v>413005</v>
      </c>
      <c r="P224" s="27" t="s">
        <v>1593</v>
      </c>
      <c r="Q224" s="3" t="s">
        <v>272</v>
      </c>
      <c r="R224" s="3" t="str">
        <f t="shared" si="24"/>
        <v>ui_417005</v>
      </c>
      <c r="S224" s="3" t="str">
        <f t="shared" si="25"/>
        <v>417005</v>
      </c>
      <c r="T224" s="3">
        <v>10</v>
      </c>
      <c r="U224" s="3">
        <v>0</v>
      </c>
      <c r="V224" s="6">
        <v>10</v>
      </c>
      <c r="W224" s="7"/>
      <c r="X224" s="4" t="s">
        <v>1569</v>
      </c>
      <c r="Y224" s="27" t="s">
        <v>2785</v>
      </c>
    </row>
    <row r="225" spans="1:25" x14ac:dyDescent="0.15">
      <c r="A225" s="3">
        <v>417006</v>
      </c>
      <c r="B225" s="4" t="s">
        <v>1570</v>
      </c>
      <c r="C225" s="6">
        <v>1800</v>
      </c>
      <c r="D225" s="27">
        <v>1</v>
      </c>
      <c r="E225" s="3">
        <v>2</v>
      </c>
      <c r="F225" s="3">
        <v>0</v>
      </c>
      <c r="G225" s="3">
        <v>0</v>
      </c>
      <c r="H225" s="3">
        <v>0</v>
      </c>
      <c r="I225" s="3">
        <v>0</v>
      </c>
      <c r="J225" s="4">
        <v>4106</v>
      </c>
      <c r="K225" s="3">
        <v>4</v>
      </c>
      <c r="L225" s="3" t="s">
        <v>323</v>
      </c>
      <c r="M225" s="3">
        <v>417</v>
      </c>
      <c r="N225" s="28" t="s">
        <v>1592</v>
      </c>
      <c r="O225" s="3">
        <v>413006</v>
      </c>
      <c r="P225" s="27" t="s">
        <v>1593</v>
      </c>
      <c r="Q225" s="3" t="s">
        <v>272</v>
      </c>
      <c r="R225" s="3" t="str">
        <f t="shared" si="24"/>
        <v>ui_417006</v>
      </c>
      <c r="S225" s="3" t="str">
        <f t="shared" si="25"/>
        <v>417006</v>
      </c>
      <c r="T225" s="3">
        <v>10</v>
      </c>
      <c r="U225" s="3">
        <v>0</v>
      </c>
      <c r="V225" s="6">
        <v>10</v>
      </c>
      <c r="W225" s="7"/>
      <c r="X225" s="4" t="s">
        <v>1570</v>
      </c>
      <c r="Y225" s="27" t="s">
        <v>2785</v>
      </c>
    </row>
    <row r="226" spans="1:25" x14ac:dyDescent="0.15">
      <c r="A226" s="3">
        <v>417007</v>
      </c>
      <c r="B226" s="4" t="s">
        <v>1571</v>
      </c>
      <c r="C226" s="6">
        <v>6000</v>
      </c>
      <c r="D226" s="27">
        <v>1</v>
      </c>
      <c r="E226" s="3">
        <v>2</v>
      </c>
      <c r="F226" s="3">
        <v>0</v>
      </c>
      <c r="G226" s="3">
        <v>0</v>
      </c>
      <c r="H226" s="3">
        <v>0</v>
      </c>
      <c r="I226" s="3">
        <v>0</v>
      </c>
      <c r="J226" s="4">
        <v>4107</v>
      </c>
      <c r="K226" s="3">
        <v>4</v>
      </c>
      <c r="L226" s="3" t="s">
        <v>323</v>
      </c>
      <c r="M226" s="3">
        <v>417</v>
      </c>
      <c r="N226" s="28" t="s">
        <v>1592</v>
      </c>
      <c r="O226" s="3">
        <v>413007</v>
      </c>
      <c r="P226" s="27" t="s">
        <v>1593</v>
      </c>
      <c r="Q226" s="3" t="s">
        <v>272</v>
      </c>
      <c r="R226" s="3" t="str">
        <f t="shared" si="24"/>
        <v>ui_417007</v>
      </c>
      <c r="S226" s="3" t="str">
        <f t="shared" si="25"/>
        <v>417007</v>
      </c>
      <c r="T226" s="3">
        <v>10</v>
      </c>
      <c r="U226" s="3">
        <v>0</v>
      </c>
      <c r="V226" s="6">
        <v>10</v>
      </c>
      <c r="W226" s="7"/>
      <c r="X226" s="4" t="s">
        <v>1571</v>
      </c>
      <c r="Y226" s="27" t="s">
        <v>2785</v>
      </c>
    </row>
    <row r="227" spans="1:25" x14ac:dyDescent="0.15">
      <c r="A227" s="3">
        <v>417008</v>
      </c>
      <c r="B227" s="4" t="s">
        <v>1572</v>
      </c>
      <c r="C227" s="6">
        <v>15000</v>
      </c>
      <c r="D227" s="27">
        <v>1</v>
      </c>
      <c r="E227" s="3">
        <v>2</v>
      </c>
      <c r="F227" s="3">
        <v>0</v>
      </c>
      <c r="G227" s="3">
        <v>0</v>
      </c>
      <c r="H227" s="3">
        <v>0</v>
      </c>
      <c r="I227" s="3">
        <v>0</v>
      </c>
      <c r="J227" s="4">
        <v>4108</v>
      </c>
      <c r="K227" s="3">
        <v>4</v>
      </c>
      <c r="L227" s="3" t="s">
        <v>323</v>
      </c>
      <c r="M227" s="3">
        <v>417</v>
      </c>
      <c r="N227" s="28" t="s">
        <v>1592</v>
      </c>
      <c r="O227" s="3">
        <v>413008</v>
      </c>
      <c r="P227" s="27" t="s">
        <v>1593</v>
      </c>
      <c r="Q227" s="3" t="s">
        <v>272</v>
      </c>
      <c r="R227" s="3" t="str">
        <f t="shared" si="24"/>
        <v>ui_417008</v>
      </c>
      <c r="S227" s="3" t="str">
        <f t="shared" si="25"/>
        <v>417008</v>
      </c>
      <c r="T227" s="3">
        <v>10</v>
      </c>
      <c r="U227" s="3">
        <v>0</v>
      </c>
      <c r="V227" s="6">
        <v>10</v>
      </c>
      <c r="W227" s="7"/>
      <c r="X227" s="4" t="s">
        <v>1572</v>
      </c>
      <c r="Y227" s="27" t="s">
        <v>2785</v>
      </c>
    </row>
    <row r="228" spans="1:25" x14ac:dyDescent="0.15">
      <c r="A228" s="3">
        <v>417009</v>
      </c>
      <c r="B228" s="4" t="s">
        <v>1573</v>
      </c>
      <c r="C228" s="6">
        <v>30000</v>
      </c>
      <c r="D228" s="27">
        <v>1</v>
      </c>
      <c r="E228" s="3">
        <v>2</v>
      </c>
      <c r="F228" s="3">
        <v>0</v>
      </c>
      <c r="G228" s="3">
        <v>0</v>
      </c>
      <c r="H228" s="3">
        <v>0</v>
      </c>
      <c r="I228" s="3">
        <v>0</v>
      </c>
      <c r="J228" s="4">
        <v>4109</v>
      </c>
      <c r="K228" s="3">
        <v>4</v>
      </c>
      <c r="L228" s="3" t="s">
        <v>323</v>
      </c>
      <c r="M228" s="3">
        <v>417</v>
      </c>
      <c r="N228" s="28" t="s">
        <v>1592</v>
      </c>
      <c r="O228" s="3">
        <v>413009</v>
      </c>
      <c r="P228" s="27" t="s">
        <v>1593</v>
      </c>
      <c r="Q228" s="3" t="s">
        <v>272</v>
      </c>
      <c r="R228" s="3" t="str">
        <f t="shared" si="24"/>
        <v>ui_417009</v>
      </c>
      <c r="S228" s="3" t="str">
        <f t="shared" si="25"/>
        <v>417009</v>
      </c>
      <c r="T228" s="3">
        <v>10</v>
      </c>
      <c r="U228" s="3">
        <v>0</v>
      </c>
      <c r="V228" s="6">
        <v>10</v>
      </c>
      <c r="W228" s="7"/>
      <c r="X228" s="4" t="s">
        <v>1573</v>
      </c>
      <c r="Y228" s="27" t="s">
        <v>2785</v>
      </c>
    </row>
    <row r="229" spans="1:25" x14ac:dyDescent="0.15">
      <c r="A229" s="3">
        <v>417010</v>
      </c>
      <c r="B229" s="4" t="s">
        <v>1574</v>
      </c>
      <c r="C229" s="6">
        <v>5</v>
      </c>
      <c r="D229" s="27">
        <v>1</v>
      </c>
      <c r="E229" s="3">
        <v>2</v>
      </c>
      <c r="F229" s="3">
        <v>0</v>
      </c>
      <c r="G229" s="3">
        <v>0</v>
      </c>
      <c r="H229" s="3">
        <v>0</v>
      </c>
      <c r="I229" s="3">
        <v>0</v>
      </c>
      <c r="J229" s="4">
        <v>4110</v>
      </c>
      <c r="K229" s="3">
        <v>4</v>
      </c>
      <c r="L229" s="3" t="s">
        <v>323</v>
      </c>
      <c r="M229" s="3">
        <v>417</v>
      </c>
      <c r="N229" s="28" t="s">
        <v>1592</v>
      </c>
      <c r="O229" s="3">
        <v>414001</v>
      </c>
      <c r="P229" s="27" t="s">
        <v>1593</v>
      </c>
      <c r="Q229" s="3" t="s">
        <v>272</v>
      </c>
      <c r="R229" s="3" t="str">
        <f t="shared" si="24"/>
        <v>ui_417010</v>
      </c>
      <c r="S229" s="3" t="str">
        <f t="shared" si="25"/>
        <v>417010</v>
      </c>
      <c r="T229" s="3">
        <v>10</v>
      </c>
      <c r="U229" s="3">
        <v>0</v>
      </c>
      <c r="V229" s="6">
        <v>10</v>
      </c>
      <c r="W229" s="7"/>
      <c r="X229" s="4" t="s">
        <v>1574</v>
      </c>
      <c r="Y229" s="27" t="s">
        <v>2785</v>
      </c>
    </row>
    <row r="230" spans="1:25" x14ac:dyDescent="0.15">
      <c r="A230" s="3">
        <v>417011</v>
      </c>
      <c r="B230" s="4" t="s">
        <v>1575</v>
      </c>
      <c r="C230" s="6">
        <v>10</v>
      </c>
      <c r="D230" s="27">
        <v>1</v>
      </c>
      <c r="E230" s="3">
        <v>2</v>
      </c>
      <c r="F230" s="3">
        <v>0</v>
      </c>
      <c r="G230" s="3">
        <v>0</v>
      </c>
      <c r="H230" s="3">
        <v>0</v>
      </c>
      <c r="I230" s="3">
        <v>0</v>
      </c>
      <c r="J230" s="4">
        <v>4111</v>
      </c>
      <c r="K230" s="3">
        <v>4</v>
      </c>
      <c r="L230" s="3" t="s">
        <v>323</v>
      </c>
      <c r="M230" s="3">
        <v>417</v>
      </c>
      <c r="N230" s="28" t="s">
        <v>1592</v>
      </c>
      <c r="O230" s="3">
        <v>414002</v>
      </c>
      <c r="P230" s="27" t="s">
        <v>1593</v>
      </c>
      <c r="Q230" s="3" t="s">
        <v>272</v>
      </c>
      <c r="R230" s="3" t="str">
        <f t="shared" si="24"/>
        <v>ui_417011</v>
      </c>
      <c r="S230" s="3" t="str">
        <f t="shared" si="25"/>
        <v>417011</v>
      </c>
      <c r="T230" s="3">
        <v>10</v>
      </c>
      <c r="U230" s="3">
        <v>0</v>
      </c>
      <c r="V230" s="6">
        <v>10</v>
      </c>
      <c r="W230" s="7"/>
      <c r="X230" s="4" t="s">
        <v>1575</v>
      </c>
      <c r="Y230" s="27" t="s">
        <v>2785</v>
      </c>
    </row>
    <row r="231" spans="1:25" x14ac:dyDescent="0.15">
      <c r="A231" s="3">
        <v>417012</v>
      </c>
      <c r="B231" s="4" t="s">
        <v>1576</v>
      </c>
      <c r="C231" s="6">
        <v>15</v>
      </c>
      <c r="D231" s="27">
        <v>1</v>
      </c>
      <c r="E231" s="3">
        <v>2</v>
      </c>
      <c r="F231" s="3">
        <v>0</v>
      </c>
      <c r="G231" s="3">
        <v>0</v>
      </c>
      <c r="H231" s="3">
        <v>0</v>
      </c>
      <c r="I231" s="3">
        <v>0</v>
      </c>
      <c r="J231" s="4">
        <v>4112</v>
      </c>
      <c r="K231" s="3">
        <v>4</v>
      </c>
      <c r="L231" s="3" t="s">
        <v>323</v>
      </c>
      <c r="M231" s="3">
        <v>417</v>
      </c>
      <c r="N231" s="28" t="s">
        <v>1592</v>
      </c>
      <c r="O231" s="3">
        <v>414003</v>
      </c>
      <c r="P231" s="27" t="s">
        <v>1593</v>
      </c>
      <c r="Q231" s="3" t="s">
        <v>272</v>
      </c>
      <c r="R231" s="3" t="str">
        <f t="shared" si="24"/>
        <v>ui_417012</v>
      </c>
      <c r="S231" s="3" t="str">
        <f t="shared" si="25"/>
        <v>417012</v>
      </c>
      <c r="T231" s="3">
        <v>10</v>
      </c>
      <c r="U231" s="3">
        <v>0</v>
      </c>
      <c r="V231" s="6">
        <v>10</v>
      </c>
      <c r="W231" s="7"/>
      <c r="X231" s="4" t="s">
        <v>1576</v>
      </c>
      <c r="Y231" s="27" t="s">
        <v>2785</v>
      </c>
    </row>
    <row r="232" spans="1:25" x14ac:dyDescent="0.15">
      <c r="A232" s="3">
        <v>417013</v>
      </c>
      <c r="B232" s="4" t="s">
        <v>1577</v>
      </c>
      <c r="C232" s="6">
        <v>20</v>
      </c>
      <c r="D232" s="27">
        <v>1</v>
      </c>
      <c r="E232" s="3">
        <v>2</v>
      </c>
      <c r="F232" s="3">
        <v>0</v>
      </c>
      <c r="G232" s="3">
        <v>0</v>
      </c>
      <c r="H232" s="3">
        <v>0</v>
      </c>
      <c r="I232" s="3">
        <v>0</v>
      </c>
      <c r="J232" s="4">
        <v>4113</v>
      </c>
      <c r="K232" s="3">
        <v>4</v>
      </c>
      <c r="L232" s="3" t="s">
        <v>323</v>
      </c>
      <c r="M232" s="3">
        <v>417</v>
      </c>
      <c r="N232" s="28" t="s">
        <v>1592</v>
      </c>
      <c r="O232" s="3">
        <v>414004</v>
      </c>
      <c r="P232" s="27" t="s">
        <v>1593</v>
      </c>
      <c r="Q232" s="3" t="s">
        <v>272</v>
      </c>
      <c r="R232" s="3" t="str">
        <f t="shared" si="24"/>
        <v>ui_417013</v>
      </c>
      <c r="S232" s="3" t="str">
        <f t="shared" si="25"/>
        <v>417013</v>
      </c>
      <c r="T232" s="3">
        <v>10</v>
      </c>
      <c r="U232" s="3">
        <v>0</v>
      </c>
      <c r="V232" s="6">
        <v>10</v>
      </c>
      <c r="W232" s="7"/>
      <c r="X232" s="4" t="s">
        <v>1577</v>
      </c>
      <c r="Y232" s="27" t="s">
        <v>2785</v>
      </c>
    </row>
    <row r="233" spans="1:25" x14ac:dyDescent="0.15">
      <c r="A233" s="3">
        <v>417014</v>
      </c>
      <c r="B233" s="4" t="s">
        <v>1578</v>
      </c>
      <c r="C233" s="6">
        <v>600</v>
      </c>
      <c r="D233" s="27">
        <v>1</v>
      </c>
      <c r="E233" s="3">
        <v>2</v>
      </c>
      <c r="F233" s="3">
        <v>0</v>
      </c>
      <c r="G233" s="3">
        <v>0</v>
      </c>
      <c r="H233" s="3">
        <v>0</v>
      </c>
      <c r="I233" s="3">
        <v>0</v>
      </c>
      <c r="J233" s="4">
        <v>4114</v>
      </c>
      <c r="K233" s="3">
        <v>4</v>
      </c>
      <c r="L233" s="3" t="s">
        <v>323</v>
      </c>
      <c r="M233" s="3">
        <v>417</v>
      </c>
      <c r="N233" s="28" t="s">
        <v>1592</v>
      </c>
      <c r="O233" s="3">
        <v>414005</v>
      </c>
      <c r="P233" s="27" t="s">
        <v>1593</v>
      </c>
      <c r="Q233" s="3" t="s">
        <v>272</v>
      </c>
      <c r="R233" s="3" t="str">
        <f t="shared" si="24"/>
        <v>ui_417014</v>
      </c>
      <c r="S233" s="3" t="str">
        <f t="shared" si="25"/>
        <v>417014</v>
      </c>
      <c r="T233" s="3">
        <v>10</v>
      </c>
      <c r="U233" s="3">
        <v>0</v>
      </c>
      <c r="V233" s="6">
        <v>10</v>
      </c>
      <c r="W233" s="7"/>
      <c r="X233" s="4" t="s">
        <v>1578</v>
      </c>
      <c r="Y233" s="27" t="s">
        <v>2785</v>
      </c>
    </row>
    <row r="234" spans="1:25" x14ac:dyDescent="0.15">
      <c r="A234" s="3">
        <v>417015</v>
      </c>
      <c r="B234" s="4" t="s">
        <v>1579</v>
      </c>
      <c r="C234" s="6">
        <v>1800</v>
      </c>
      <c r="D234" s="27">
        <v>1</v>
      </c>
      <c r="E234" s="3">
        <v>2</v>
      </c>
      <c r="F234" s="3">
        <v>0</v>
      </c>
      <c r="G234" s="3">
        <v>0</v>
      </c>
      <c r="H234" s="3">
        <v>0</v>
      </c>
      <c r="I234" s="3">
        <v>0</v>
      </c>
      <c r="J234" s="4">
        <v>4115</v>
      </c>
      <c r="K234" s="3">
        <v>4</v>
      </c>
      <c r="L234" s="3" t="s">
        <v>323</v>
      </c>
      <c r="M234" s="3">
        <v>417</v>
      </c>
      <c r="N234" s="28" t="s">
        <v>1592</v>
      </c>
      <c r="O234" s="3">
        <v>414006</v>
      </c>
      <c r="P234" s="27" t="s">
        <v>1593</v>
      </c>
      <c r="Q234" s="3" t="s">
        <v>272</v>
      </c>
      <c r="R234" s="3" t="str">
        <f t="shared" si="24"/>
        <v>ui_417015</v>
      </c>
      <c r="S234" s="3" t="str">
        <f t="shared" si="25"/>
        <v>417015</v>
      </c>
      <c r="T234" s="3">
        <v>10</v>
      </c>
      <c r="U234" s="3">
        <v>0</v>
      </c>
      <c r="V234" s="6">
        <v>10</v>
      </c>
      <c r="W234" s="7"/>
      <c r="X234" s="4" t="s">
        <v>1579</v>
      </c>
      <c r="Y234" s="27" t="s">
        <v>2785</v>
      </c>
    </row>
    <row r="235" spans="1:25" x14ac:dyDescent="0.15">
      <c r="A235" s="3">
        <v>417016</v>
      </c>
      <c r="B235" s="4" t="s">
        <v>1580</v>
      </c>
      <c r="C235" s="6">
        <v>6000</v>
      </c>
      <c r="D235" s="27">
        <v>1</v>
      </c>
      <c r="E235" s="3">
        <v>2</v>
      </c>
      <c r="F235" s="3">
        <v>0</v>
      </c>
      <c r="G235" s="3">
        <v>0</v>
      </c>
      <c r="H235" s="3">
        <v>0</v>
      </c>
      <c r="I235" s="3">
        <v>0</v>
      </c>
      <c r="J235" s="4">
        <v>4116</v>
      </c>
      <c r="K235" s="3">
        <v>4</v>
      </c>
      <c r="L235" s="3" t="s">
        <v>323</v>
      </c>
      <c r="M235" s="3">
        <v>417</v>
      </c>
      <c r="N235" s="28" t="s">
        <v>1592</v>
      </c>
      <c r="O235" s="3">
        <v>414007</v>
      </c>
      <c r="P235" s="27" t="s">
        <v>1593</v>
      </c>
      <c r="Q235" s="3" t="s">
        <v>272</v>
      </c>
      <c r="R235" s="3" t="str">
        <f t="shared" si="24"/>
        <v>ui_417016</v>
      </c>
      <c r="S235" s="3" t="str">
        <f t="shared" si="25"/>
        <v>417016</v>
      </c>
      <c r="T235" s="3">
        <v>10</v>
      </c>
      <c r="U235" s="3">
        <v>0</v>
      </c>
      <c r="V235" s="6">
        <v>10</v>
      </c>
      <c r="W235" s="7"/>
      <c r="X235" s="4" t="s">
        <v>1580</v>
      </c>
      <c r="Y235" s="27" t="s">
        <v>2785</v>
      </c>
    </row>
    <row r="236" spans="1:25" x14ac:dyDescent="0.15">
      <c r="A236" s="3">
        <v>417017</v>
      </c>
      <c r="B236" s="4" t="s">
        <v>1581</v>
      </c>
      <c r="C236" s="6">
        <v>15000</v>
      </c>
      <c r="D236" s="27">
        <v>1</v>
      </c>
      <c r="E236" s="3">
        <v>2</v>
      </c>
      <c r="F236" s="3">
        <v>0</v>
      </c>
      <c r="G236" s="3">
        <v>0</v>
      </c>
      <c r="H236" s="3">
        <v>0</v>
      </c>
      <c r="I236" s="3">
        <v>0</v>
      </c>
      <c r="J236" s="4">
        <v>4117</v>
      </c>
      <c r="K236" s="3">
        <v>4</v>
      </c>
      <c r="L236" s="3" t="s">
        <v>323</v>
      </c>
      <c r="M236" s="3">
        <v>417</v>
      </c>
      <c r="N236" s="28" t="s">
        <v>1592</v>
      </c>
      <c r="O236" s="3">
        <v>414008</v>
      </c>
      <c r="P236" s="27" t="s">
        <v>1593</v>
      </c>
      <c r="Q236" s="3" t="s">
        <v>272</v>
      </c>
      <c r="R236" s="3" t="str">
        <f t="shared" si="24"/>
        <v>ui_417017</v>
      </c>
      <c r="S236" s="3" t="str">
        <f t="shared" si="25"/>
        <v>417017</v>
      </c>
      <c r="T236" s="3">
        <v>10</v>
      </c>
      <c r="U236" s="3">
        <v>0</v>
      </c>
      <c r="V236" s="6">
        <v>10</v>
      </c>
      <c r="W236" s="7"/>
      <c r="X236" s="4" t="s">
        <v>1581</v>
      </c>
      <c r="Y236" s="27" t="s">
        <v>2785</v>
      </c>
    </row>
    <row r="237" spans="1:25" x14ac:dyDescent="0.15">
      <c r="A237" s="3">
        <v>417018</v>
      </c>
      <c r="B237" s="4" t="s">
        <v>1582</v>
      </c>
      <c r="C237" s="6">
        <v>30000</v>
      </c>
      <c r="D237" s="27">
        <v>1</v>
      </c>
      <c r="E237" s="3">
        <v>2</v>
      </c>
      <c r="F237" s="3">
        <v>0</v>
      </c>
      <c r="G237" s="3">
        <v>0</v>
      </c>
      <c r="H237" s="3">
        <v>0</v>
      </c>
      <c r="I237" s="3">
        <v>0</v>
      </c>
      <c r="J237" s="4">
        <v>4118</v>
      </c>
      <c r="K237" s="3">
        <v>4</v>
      </c>
      <c r="L237" s="3" t="s">
        <v>323</v>
      </c>
      <c r="M237" s="3">
        <v>417</v>
      </c>
      <c r="N237" s="28" t="s">
        <v>1592</v>
      </c>
      <c r="O237" s="3">
        <v>414009</v>
      </c>
      <c r="P237" s="27" t="s">
        <v>1593</v>
      </c>
      <c r="Q237" s="3" t="s">
        <v>272</v>
      </c>
      <c r="R237" s="3" t="str">
        <f t="shared" si="24"/>
        <v>ui_417018</v>
      </c>
      <c r="S237" s="3" t="str">
        <f t="shared" si="25"/>
        <v>417018</v>
      </c>
      <c r="T237" s="3">
        <v>10</v>
      </c>
      <c r="U237" s="3">
        <v>0</v>
      </c>
      <c r="V237" s="6">
        <v>10</v>
      </c>
      <c r="W237" s="7"/>
      <c r="X237" s="4" t="s">
        <v>1582</v>
      </c>
      <c r="Y237" s="27" t="s">
        <v>2785</v>
      </c>
    </row>
    <row r="238" spans="1:25" x14ac:dyDescent="0.15">
      <c r="A238" s="3">
        <v>417019</v>
      </c>
      <c r="B238" s="4" t="s">
        <v>1583</v>
      </c>
      <c r="C238" s="6">
        <v>5</v>
      </c>
      <c r="D238" s="27">
        <v>1</v>
      </c>
      <c r="E238" s="3">
        <v>2</v>
      </c>
      <c r="F238" s="3">
        <v>0</v>
      </c>
      <c r="G238" s="3">
        <v>0</v>
      </c>
      <c r="H238" s="3">
        <v>0</v>
      </c>
      <c r="I238" s="3">
        <v>0</v>
      </c>
      <c r="J238" s="4">
        <v>4119</v>
      </c>
      <c r="K238" s="3">
        <v>4</v>
      </c>
      <c r="L238" s="3" t="s">
        <v>323</v>
      </c>
      <c r="M238" s="3">
        <v>417</v>
      </c>
      <c r="N238" s="28" t="s">
        <v>1592</v>
      </c>
      <c r="O238" s="3">
        <v>415001</v>
      </c>
      <c r="P238" s="27" t="s">
        <v>1593</v>
      </c>
      <c r="Q238" s="3" t="s">
        <v>272</v>
      </c>
      <c r="R238" s="3" t="str">
        <f t="shared" si="24"/>
        <v>ui_417019</v>
      </c>
      <c r="S238" s="3" t="str">
        <f t="shared" si="25"/>
        <v>417019</v>
      </c>
      <c r="T238" s="3">
        <v>10</v>
      </c>
      <c r="U238" s="3">
        <v>0</v>
      </c>
      <c r="V238" s="6">
        <v>10</v>
      </c>
      <c r="W238" s="7"/>
      <c r="X238" s="4" t="s">
        <v>1583</v>
      </c>
      <c r="Y238" s="27" t="s">
        <v>2785</v>
      </c>
    </row>
    <row r="239" spans="1:25" x14ac:dyDescent="0.15">
      <c r="A239" s="3">
        <v>417020</v>
      </c>
      <c r="B239" s="4" t="s">
        <v>1584</v>
      </c>
      <c r="C239" s="6">
        <v>10</v>
      </c>
      <c r="D239" s="27">
        <v>1</v>
      </c>
      <c r="E239" s="3">
        <v>2</v>
      </c>
      <c r="F239" s="3">
        <v>0</v>
      </c>
      <c r="G239" s="3">
        <v>0</v>
      </c>
      <c r="H239" s="3">
        <v>0</v>
      </c>
      <c r="I239" s="3">
        <v>0</v>
      </c>
      <c r="J239" s="4">
        <v>4120</v>
      </c>
      <c r="K239" s="3">
        <v>4</v>
      </c>
      <c r="L239" s="3" t="s">
        <v>323</v>
      </c>
      <c r="M239" s="3">
        <v>417</v>
      </c>
      <c r="N239" s="28" t="s">
        <v>1592</v>
      </c>
      <c r="O239" s="3">
        <v>415002</v>
      </c>
      <c r="P239" s="27" t="s">
        <v>1593</v>
      </c>
      <c r="Q239" s="3" t="s">
        <v>272</v>
      </c>
      <c r="R239" s="3" t="str">
        <f t="shared" si="24"/>
        <v>ui_417020</v>
      </c>
      <c r="S239" s="3" t="str">
        <f t="shared" si="25"/>
        <v>417020</v>
      </c>
      <c r="T239" s="3">
        <v>10</v>
      </c>
      <c r="U239" s="3">
        <v>0</v>
      </c>
      <c r="V239" s="6">
        <v>10</v>
      </c>
      <c r="W239" s="7"/>
      <c r="X239" s="4" t="s">
        <v>1584</v>
      </c>
      <c r="Y239" s="27" t="s">
        <v>2785</v>
      </c>
    </row>
    <row r="240" spans="1:25" x14ac:dyDescent="0.15">
      <c r="A240" s="3">
        <v>417021</v>
      </c>
      <c r="B240" s="4" t="s">
        <v>1585</v>
      </c>
      <c r="C240" s="6">
        <v>15</v>
      </c>
      <c r="D240" s="27">
        <v>1</v>
      </c>
      <c r="E240" s="3">
        <v>2</v>
      </c>
      <c r="F240" s="3">
        <v>0</v>
      </c>
      <c r="G240" s="3">
        <v>0</v>
      </c>
      <c r="H240" s="3">
        <v>0</v>
      </c>
      <c r="I240" s="3">
        <v>0</v>
      </c>
      <c r="J240" s="4">
        <v>4121</v>
      </c>
      <c r="K240" s="3">
        <v>4</v>
      </c>
      <c r="L240" s="3" t="s">
        <v>323</v>
      </c>
      <c r="M240" s="3">
        <v>417</v>
      </c>
      <c r="N240" s="28" t="s">
        <v>1592</v>
      </c>
      <c r="O240" s="3">
        <v>415003</v>
      </c>
      <c r="P240" s="27" t="s">
        <v>1593</v>
      </c>
      <c r="Q240" s="3" t="s">
        <v>272</v>
      </c>
      <c r="R240" s="3" t="str">
        <f t="shared" si="24"/>
        <v>ui_417021</v>
      </c>
      <c r="S240" s="3" t="str">
        <f t="shared" si="25"/>
        <v>417021</v>
      </c>
      <c r="T240" s="3">
        <v>10</v>
      </c>
      <c r="U240" s="3">
        <v>0</v>
      </c>
      <c r="V240" s="6">
        <v>10</v>
      </c>
      <c r="W240" s="7"/>
      <c r="X240" s="4" t="s">
        <v>1585</v>
      </c>
      <c r="Y240" s="27" t="s">
        <v>2785</v>
      </c>
    </row>
    <row r="241" spans="1:25" x14ac:dyDescent="0.15">
      <c r="A241" s="3">
        <v>417022</v>
      </c>
      <c r="B241" s="4" t="s">
        <v>1586</v>
      </c>
      <c r="C241" s="6">
        <v>20</v>
      </c>
      <c r="D241" s="27">
        <v>1</v>
      </c>
      <c r="E241" s="3">
        <v>2</v>
      </c>
      <c r="F241" s="3">
        <v>0</v>
      </c>
      <c r="G241" s="3">
        <v>0</v>
      </c>
      <c r="H241" s="3">
        <v>0</v>
      </c>
      <c r="I241" s="3">
        <v>0</v>
      </c>
      <c r="J241" s="4">
        <v>4122</v>
      </c>
      <c r="K241" s="3">
        <v>4</v>
      </c>
      <c r="L241" s="3" t="s">
        <v>323</v>
      </c>
      <c r="M241" s="3">
        <v>417</v>
      </c>
      <c r="N241" s="28" t="s">
        <v>1592</v>
      </c>
      <c r="O241" s="3">
        <v>415004</v>
      </c>
      <c r="P241" s="27" t="s">
        <v>1593</v>
      </c>
      <c r="Q241" s="3" t="s">
        <v>272</v>
      </c>
      <c r="R241" s="3" t="str">
        <f t="shared" si="24"/>
        <v>ui_417022</v>
      </c>
      <c r="S241" s="3" t="str">
        <f t="shared" si="25"/>
        <v>417022</v>
      </c>
      <c r="T241" s="3">
        <v>10</v>
      </c>
      <c r="U241" s="3">
        <v>0</v>
      </c>
      <c r="V241" s="6">
        <v>10</v>
      </c>
      <c r="W241" s="7"/>
      <c r="X241" s="4" t="s">
        <v>1586</v>
      </c>
      <c r="Y241" s="27" t="s">
        <v>2785</v>
      </c>
    </row>
    <row r="242" spans="1:25" x14ac:dyDescent="0.15">
      <c r="A242" s="3">
        <v>417023</v>
      </c>
      <c r="B242" s="4" t="s">
        <v>1587</v>
      </c>
      <c r="C242" s="6">
        <v>600</v>
      </c>
      <c r="D242" s="27">
        <v>1</v>
      </c>
      <c r="E242" s="3">
        <v>2</v>
      </c>
      <c r="F242" s="3">
        <v>0</v>
      </c>
      <c r="G242" s="3">
        <v>0</v>
      </c>
      <c r="H242" s="3">
        <v>0</v>
      </c>
      <c r="I242" s="3">
        <v>0</v>
      </c>
      <c r="J242" s="4">
        <v>4123</v>
      </c>
      <c r="K242" s="3">
        <v>4</v>
      </c>
      <c r="L242" s="3" t="s">
        <v>323</v>
      </c>
      <c r="M242" s="3">
        <v>417</v>
      </c>
      <c r="N242" s="28" t="s">
        <v>1592</v>
      </c>
      <c r="O242" s="3">
        <v>415005</v>
      </c>
      <c r="P242" s="27" t="s">
        <v>1593</v>
      </c>
      <c r="Q242" s="3" t="s">
        <v>272</v>
      </c>
      <c r="R242" s="3" t="str">
        <f t="shared" si="24"/>
        <v>ui_417023</v>
      </c>
      <c r="S242" s="3" t="str">
        <f t="shared" si="25"/>
        <v>417023</v>
      </c>
      <c r="T242" s="3">
        <v>10</v>
      </c>
      <c r="U242" s="3">
        <v>0</v>
      </c>
      <c r="V242" s="6">
        <v>10</v>
      </c>
      <c r="W242" s="7"/>
      <c r="X242" s="4" t="s">
        <v>1587</v>
      </c>
      <c r="Y242" s="27" t="s">
        <v>2785</v>
      </c>
    </row>
    <row r="243" spans="1:25" x14ac:dyDescent="0.15">
      <c r="A243" s="3">
        <v>417024</v>
      </c>
      <c r="B243" s="4" t="s">
        <v>1588</v>
      </c>
      <c r="C243" s="6">
        <v>1800</v>
      </c>
      <c r="D243" s="27">
        <v>1</v>
      </c>
      <c r="E243" s="3">
        <v>2</v>
      </c>
      <c r="F243" s="3">
        <v>0</v>
      </c>
      <c r="G243" s="3">
        <v>0</v>
      </c>
      <c r="H243" s="3">
        <v>0</v>
      </c>
      <c r="I243" s="3">
        <v>0</v>
      </c>
      <c r="J243" s="4">
        <v>4124</v>
      </c>
      <c r="K243" s="3">
        <v>4</v>
      </c>
      <c r="L243" s="3" t="s">
        <v>323</v>
      </c>
      <c r="M243" s="3">
        <v>417</v>
      </c>
      <c r="N243" s="28" t="s">
        <v>1592</v>
      </c>
      <c r="O243" s="3">
        <v>415006</v>
      </c>
      <c r="P243" s="27" t="s">
        <v>1593</v>
      </c>
      <c r="Q243" s="3" t="s">
        <v>272</v>
      </c>
      <c r="R243" s="3" t="str">
        <f t="shared" si="24"/>
        <v>ui_417024</v>
      </c>
      <c r="S243" s="3" t="str">
        <f t="shared" si="25"/>
        <v>417024</v>
      </c>
      <c r="T243" s="3">
        <v>10</v>
      </c>
      <c r="U243" s="3">
        <v>0</v>
      </c>
      <c r="V243" s="6">
        <v>10</v>
      </c>
      <c r="W243" s="7"/>
      <c r="X243" s="4" t="s">
        <v>1588</v>
      </c>
      <c r="Y243" s="27" t="s">
        <v>2785</v>
      </c>
    </row>
    <row r="244" spans="1:25" x14ac:dyDescent="0.15">
      <c r="A244" s="3">
        <v>417025</v>
      </c>
      <c r="B244" s="4" t="s">
        <v>1589</v>
      </c>
      <c r="C244" s="6">
        <v>6000</v>
      </c>
      <c r="D244" s="27">
        <v>1</v>
      </c>
      <c r="E244" s="3">
        <v>2</v>
      </c>
      <c r="F244" s="3">
        <v>0</v>
      </c>
      <c r="G244" s="3">
        <v>0</v>
      </c>
      <c r="H244" s="3">
        <v>0</v>
      </c>
      <c r="I244" s="3">
        <v>0</v>
      </c>
      <c r="J244" s="4">
        <v>4125</v>
      </c>
      <c r="K244" s="3">
        <v>4</v>
      </c>
      <c r="L244" s="3" t="s">
        <v>323</v>
      </c>
      <c r="M244" s="3">
        <v>417</v>
      </c>
      <c r="N244" s="28" t="s">
        <v>1592</v>
      </c>
      <c r="O244" s="3">
        <v>415007</v>
      </c>
      <c r="P244" s="27" t="s">
        <v>1593</v>
      </c>
      <c r="Q244" s="3" t="s">
        <v>272</v>
      </c>
      <c r="R244" s="3" t="str">
        <f t="shared" si="24"/>
        <v>ui_417025</v>
      </c>
      <c r="S244" s="3" t="str">
        <f t="shared" si="25"/>
        <v>417025</v>
      </c>
      <c r="T244" s="3">
        <v>10</v>
      </c>
      <c r="U244" s="3">
        <v>0</v>
      </c>
      <c r="V244" s="6">
        <v>10</v>
      </c>
      <c r="W244" s="7"/>
      <c r="X244" s="4" t="s">
        <v>1589</v>
      </c>
      <c r="Y244" s="27" t="s">
        <v>2785</v>
      </c>
    </row>
    <row r="245" spans="1:25" x14ac:dyDescent="0.15">
      <c r="A245" s="3">
        <v>417026</v>
      </c>
      <c r="B245" s="4" t="s">
        <v>1590</v>
      </c>
      <c r="C245" s="6">
        <v>15000</v>
      </c>
      <c r="D245" s="27">
        <v>1</v>
      </c>
      <c r="E245" s="3">
        <v>2</v>
      </c>
      <c r="F245" s="3">
        <v>0</v>
      </c>
      <c r="G245" s="3">
        <v>0</v>
      </c>
      <c r="H245" s="3">
        <v>0</v>
      </c>
      <c r="I245" s="3">
        <v>0</v>
      </c>
      <c r="J245" s="4">
        <v>4126</v>
      </c>
      <c r="K245" s="3">
        <v>4</v>
      </c>
      <c r="L245" s="3" t="s">
        <v>323</v>
      </c>
      <c r="M245" s="3">
        <v>417</v>
      </c>
      <c r="N245" s="28" t="s">
        <v>1592</v>
      </c>
      <c r="O245" s="3">
        <v>415008</v>
      </c>
      <c r="P245" s="27" t="s">
        <v>1593</v>
      </c>
      <c r="Q245" s="3" t="s">
        <v>272</v>
      </c>
      <c r="R245" s="3" t="str">
        <f t="shared" si="24"/>
        <v>ui_417026</v>
      </c>
      <c r="S245" s="3" t="str">
        <f t="shared" si="25"/>
        <v>417026</v>
      </c>
      <c r="T245" s="3">
        <v>10</v>
      </c>
      <c r="U245" s="3">
        <v>0</v>
      </c>
      <c r="V245" s="6">
        <v>10</v>
      </c>
      <c r="W245" s="7"/>
      <c r="X245" s="4" t="s">
        <v>1590</v>
      </c>
      <c r="Y245" s="27" t="s">
        <v>2785</v>
      </c>
    </row>
    <row r="246" spans="1:25" x14ac:dyDescent="0.15">
      <c r="A246" s="3">
        <v>417027</v>
      </c>
      <c r="B246" s="4" t="s">
        <v>1591</v>
      </c>
      <c r="C246" s="6">
        <v>30000</v>
      </c>
      <c r="D246" s="27">
        <v>1</v>
      </c>
      <c r="E246" s="3">
        <v>2</v>
      </c>
      <c r="F246" s="3">
        <v>0</v>
      </c>
      <c r="G246" s="3">
        <v>0</v>
      </c>
      <c r="H246" s="3">
        <v>0</v>
      </c>
      <c r="I246" s="3">
        <v>0</v>
      </c>
      <c r="J246" s="4">
        <v>4127</v>
      </c>
      <c r="K246" s="3">
        <v>4</v>
      </c>
      <c r="L246" s="3" t="s">
        <v>323</v>
      </c>
      <c r="M246" s="3">
        <v>417</v>
      </c>
      <c r="N246" s="28" t="s">
        <v>1592</v>
      </c>
      <c r="O246" s="3">
        <v>415009</v>
      </c>
      <c r="P246" s="27" t="s">
        <v>1593</v>
      </c>
      <c r="Q246" s="3" t="s">
        <v>272</v>
      </c>
      <c r="R246" s="3" t="str">
        <f t="shared" si="24"/>
        <v>ui_417027</v>
      </c>
      <c r="S246" s="3" t="str">
        <f t="shared" si="25"/>
        <v>417027</v>
      </c>
      <c r="T246" s="3">
        <v>10</v>
      </c>
      <c r="U246" s="3">
        <v>0</v>
      </c>
      <c r="V246" s="6">
        <v>10</v>
      </c>
      <c r="W246" s="7"/>
      <c r="X246" s="4" t="s">
        <v>1591</v>
      </c>
      <c r="Y246" s="27" t="s">
        <v>2785</v>
      </c>
    </row>
    <row r="247" spans="1:25" x14ac:dyDescent="0.15">
      <c r="A247" s="3">
        <v>418001</v>
      </c>
      <c r="B247" s="27" t="s">
        <v>1594</v>
      </c>
      <c r="C247" s="6">
        <v>500</v>
      </c>
      <c r="D247" s="27">
        <v>1</v>
      </c>
      <c r="E247" s="3">
        <v>1</v>
      </c>
      <c r="F247" s="3">
        <v>0</v>
      </c>
      <c r="G247" s="3">
        <v>0</v>
      </c>
      <c r="H247" s="3">
        <v>0</v>
      </c>
      <c r="I247" s="3">
        <v>0</v>
      </c>
      <c r="J247" s="4">
        <v>130</v>
      </c>
      <c r="K247" s="3">
        <v>4</v>
      </c>
      <c r="L247" s="3" t="s">
        <v>394</v>
      </c>
      <c r="M247" s="3">
        <v>418</v>
      </c>
      <c r="N247" s="3" t="s">
        <v>395</v>
      </c>
      <c r="O247" s="3">
        <v>30</v>
      </c>
      <c r="P247" s="3" t="s">
        <v>396</v>
      </c>
      <c r="Q247" s="3" t="s">
        <v>272</v>
      </c>
      <c r="R247" s="3" t="str">
        <f t="shared" si="24"/>
        <v>ui_418001</v>
      </c>
      <c r="S247" s="3" t="str">
        <f t="shared" si="25"/>
        <v>418001</v>
      </c>
      <c r="T247" s="3">
        <v>1</v>
      </c>
      <c r="U247" s="3">
        <v>0</v>
      </c>
      <c r="V247" s="6">
        <v>100</v>
      </c>
      <c r="W247" s="7"/>
      <c r="X247" s="3" t="s">
        <v>393</v>
      </c>
      <c r="Y247" s="3" t="s">
        <v>397</v>
      </c>
    </row>
    <row r="248" spans="1:25" x14ac:dyDescent="0.15">
      <c r="A248" s="3">
        <v>418002</v>
      </c>
      <c r="B248" s="27" t="s">
        <v>3460</v>
      </c>
      <c r="C248" s="6">
        <v>1000</v>
      </c>
      <c r="D248" s="27">
        <v>1</v>
      </c>
      <c r="E248" s="3">
        <v>1</v>
      </c>
      <c r="F248" s="3">
        <v>0</v>
      </c>
      <c r="G248" s="3">
        <v>0</v>
      </c>
      <c r="H248" s="3">
        <v>0</v>
      </c>
      <c r="I248" s="3">
        <v>0</v>
      </c>
      <c r="J248" s="4">
        <v>131</v>
      </c>
      <c r="K248" s="3">
        <v>4</v>
      </c>
      <c r="L248" s="3" t="s">
        <v>394</v>
      </c>
      <c r="M248" s="3">
        <v>418</v>
      </c>
      <c r="N248" s="3" t="s">
        <v>395</v>
      </c>
      <c r="O248" s="3">
        <v>5</v>
      </c>
      <c r="P248" s="3" t="s">
        <v>398</v>
      </c>
      <c r="Q248" s="3" t="s">
        <v>272</v>
      </c>
      <c r="R248" s="3" t="str">
        <f t="shared" si="24"/>
        <v>ui_418002</v>
      </c>
      <c r="S248" s="3" t="str">
        <f t="shared" si="25"/>
        <v>418002</v>
      </c>
      <c r="T248" s="3">
        <v>1</v>
      </c>
      <c r="U248" s="3">
        <v>0</v>
      </c>
      <c r="V248" s="6">
        <v>100</v>
      </c>
      <c r="W248" s="7"/>
      <c r="X248" s="3" t="str">
        <f>B248</f>
        <v>养颜丹</v>
      </c>
      <c r="Y248" s="27" t="s">
        <v>1820</v>
      </c>
    </row>
    <row r="249" spans="1:25" x14ac:dyDescent="0.15">
      <c r="A249" s="3">
        <v>419001</v>
      </c>
      <c r="B249" s="3" t="s">
        <v>399</v>
      </c>
      <c r="C249" s="6">
        <v>5</v>
      </c>
      <c r="D249" s="27">
        <v>0</v>
      </c>
      <c r="E249" s="3">
        <v>2</v>
      </c>
      <c r="F249" s="3">
        <v>0</v>
      </c>
      <c r="G249" s="3">
        <v>0</v>
      </c>
      <c r="H249" s="3">
        <v>1</v>
      </c>
      <c r="I249" s="3">
        <v>0</v>
      </c>
      <c r="J249" s="4">
        <v>132</v>
      </c>
      <c r="K249" s="3">
        <v>4</v>
      </c>
      <c r="L249" s="3" t="s">
        <v>394</v>
      </c>
      <c r="M249" s="3">
        <v>419</v>
      </c>
      <c r="N249" s="3" t="s">
        <v>399</v>
      </c>
      <c r="O249" s="3">
        <v>0</v>
      </c>
      <c r="P249" s="3"/>
      <c r="Q249" s="3" t="s">
        <v>272</v>
      </c>
      <c r="R249" s="3" t="str">
        <f t="shared" si="24"/>
        <v>ui_419001</v>
      </c>
      <c r="S249" s="3" t="str">
        <f t="shared" si="25"/>
        <v>419001</v>
      </c>
      <c r="T249" s="3">
        <v>1</v>
      </c>
      <c r="U249" s="3">
        <v>0</v>
      </c>
      <c r="V249" s="6">
        <v>100</v>
      </c>
      <c r="W249" s="7"/>
      <c r="X249" s="3" t="s">
        <v>399</v>
      </c>
      <c r="Y249" s="3" t="s">
        <v>400</v>
      </c>
    </row>
    <row r="250" spans="1:25" x14ac:dyDescent="0.15">
      <c r="A250" s="3">
        <v>420001</v>
      </c>
      <c r="B250" s="3" t="s">
        <v>1626</v>
      </c>
      <c r="C250" s="6">
        <v>5</v>
      </c>
      <c r="D250" s="27">
        <v>0</v>
      </c>
      <c r="E250" s="3">
        <v>1</v>
      </c>
      <c r="F250" s="3">
        <v>0</v>
      </c>
      <c r="G250" s="3">
        <v>0</v>
      </c>
      <c r="H250" s="3">
        <v>1</v>
      </c>
      <c r="I250" s="3">
        <v>0</v>
      </c>
      <c r="J250" s="4">
        <v>133</v>
      </c>
      <c r="K250" s="3">
        <v>4</v>
      </c>
      <c r="L250" s="3" t="s">
        <v>394</v>
      </c>
      <c r="M250" s="3">
        <v>420</v>
      </c>
      <c r="N250" s="3" t="s">
        <v>401</v>
      </c>
      <c r="O250" s="3">
        <v>0</v>
      </c>
      <c r="P250" s="3"/>
      <c r="Q250" s="3" t="s">
        <v>272</v>
      </c>
      <c r="R250" s="3" t="str">
        <f t="shared" si="24"/>
        <v>ui_420001</v>
      </c>
      <c r="S250" s="3" t="str">
        <f t="shared" si="25"/>
        <v>420001</v>
      </c>
      <c r="T250" s="3">
        <v>1</v>
      </c>
      <c r="U250" s="3">
        <v>0</v>
      </c>
      <c r="V250" s="6">
        <v>100</v>
      </c>
      <c r="W250" s="7"/>
      <c r="X250" s="3" t="s">
        <v>401</v>
      </c>
      <c r="Y250" s="3" t="s">
        <v>402</v>
      </c>
    </row>
    <row r="251" spans="1:25" x14ac:dyDescent="0.15">
      <c r="A251" s="3">
        <v>421001</v>
      </c>
      <c r="B251" s="3" t="s">
        <v>403</v>
      </c>
      <c r="C251" s="6">
        <v>10</v>
      </c>
      <c r="D251" s="27">
        <v>0</v>
      </c>
      <c r="E251" s="3">
        <v>0</v>
      </c>
      <c r="F251" s="3">
        <v>0</v>
      </c>
      <c r="G251" s="3">
        <v>0</v>
      </c>
      <c r="H251" s="3">
        <v>1</v>
      </c>
      <c r="I251" s="3">
        <v>0</v>
      </c>
      <c r="J251" s="4">
        <v>134</v>
      </c>
      <c r="K251" s="3">
        <v>4</v>
      </c>
      <c r="L251" s="3" t="s">
        <v>394</v>
      </c>
      <c r="M251" s="3">
        <v>421</v>
      </c>
      <c r="N251" s="3" t="s">
        <v>403</v>
      </c>
      <c r="O251" s="3">
        <v>0</v>
      </c>
      <c r="P251" s="3"/>
      <c r="Q251" s="3" t="s">
        <v>272</v>
      </c>
      <c r="R251" s="3" t="str">
        <f t="shared" si="24"/>
        <v>ui_421001</v>
      </c>
      <c r="S251" s="3" t="str">
        <f t="shared" si="25"/>
        <v>421001</v>
      </c>
      <c r="T251" s="3">
        <v>1</v>
      </c>
      <c r="U251" s="3">
        <v>0</v>
      </c>
      <c r="V251" s="6">
        <v>100</v>
      </c>
      <c r="W251" s="7"/>
      <c r="X251" s="3" t="s">
        <v>403</v>
      </c>
      <c r="Y251" s="3" t="s">
        <v>404</v>
      </c>
    </row>
    <row r="252" spans="1:25" x14ac:dyDescent="0.15">
      <c r="A252" s="3">
        <v>422001</v>
      </c>
      <c r="B252" s="3" t="s">
        <v>405</v>
      </c>
      <c r="C252" s="6">
        <v>100</v>
      </c>
      <c r="D252" s="27">
        <v>1</v>
      </c>
      <c r="E252" s="3">
        <v>4</v>
      </c>
      <c r="F252" s="3">
        <v>0</v>
      </c>
      <c r="G252" s="3">
        <v>0</v>
      </c>
      <c r="H252" s="3">
        <v>0</v>
      </c>
      <c r="I252" s="3">
        <v>0</v>
      </c>
      <c r="J252" s="4">
        <v>135</v>
      </c>
      <c r="K252" s="3">
        <v>4</v>
      </c>
      <c r="L252" s="3" t="s">
        <v>394</v>
      </c>
      <c r="M252" s="3">
        <v>422</v>
      </c>
      <c r="N252" s="3" t="s">
        <v>405</v>
      </c>
      <c r="O252" s="3">
        <v>0</v>
      </c>
      <c r="P252" s="3"/>
      <c r="Q252" s="3" t="s">
        <v>272</v>
      </c>
      <c r="R252" s="3" t="str">
        <f t="shared" si="24"/>
        <v>ui_422001</v>
      </c>
      <c r="S252" s="3" t="str">
        <f t="shared" si="25"/>
        <v>422001</v>
      </c>
      <c r="T252" s="3">
        <v>1</v>
      </c>
      <c r="U252" s="3">
        <v>0</v>
      </c>
      <c r="V252" s="6">
        <v>100</v>
      </c>
      <c r="W252" s="7"/>
      <c r="X252" s="3" t="s">
        <v>405</v>
      </c>
      <c r="Y252" s="3" t="s">
        <v>406</v>
      </c>
    </row>
    <row r="253" spans="1:25" x14ac:dyDescent="0.15">
      <c r="A253" s="3">
        <v>423001</v>
      </c>
      <c r="B253" s="3" t="s">
        <v>407</v>
      </c>
      <c r="C253" s="6">
        <v>500</v>
      </c>
      <c r="D253" s="27">
        <v>1</v>
      </c>
      <c r="E253" s="3">
        <v>5</v>
      </c>
      <c r="F253" s="3">
        <v>0</v>
      </c>
      <c r="G253" s="3">
        <v>0</v>
      </c>
      <c r="H253" s="3">
        <v>0</v>
      </c>
      <c r="I253" s="3">
        <v>0</v>
      </c>
      <c r="J253" s="4">
        <v>136</v>
      </c>
      <c r="K253" s="3">
        <v>4</v>
      </c>
      <c r="L253" s="3" t="s">
        <v>394</v>
      </c>
      <c r="M253" s="3">
        <v>423</v>
      </c>
      <c r="N253" s="3" t="s">
        <v>408</v>
      </c>
      <c r="O253" s="3">
        <v>903909</v>
      </c>
      <c r="P253" s="3" t="s">
        <v>409</v>
      </c>
      <c r="Q253" s="3" t="s">
        <v>272</v>
      </c>
      <c r="R253" s="3" t="str">
        <f t="shared" ref="R253:R316" si="26">CONCATENATE("ui_",A253,"")</f>
        <v>ui_423001</v>
      </c>
      <c r="S253" s="3" t="str">
        <f t="shared" ref="S253:S316" si="27">CONCATENATE(A253,"")</f>
        <v>423001</v>
      </c>
      <c r="T253" s="3">
        <v>1</v>
      </c>
      <c r="U253" s="3">
        <v>0</v>
      </c>
      <c r="V253" s="6">
        <v>100</v>
      </c>
      <c r="W253" s="7"/>
      <c r="X253" s="3" t="s">
        <v>407</v>
      </c>
      <c r="Y253" s="3" t="s">
        <v>410</v>
      </c>
    </row>
    <row r="254" spans="1:25" x14ac:dyDescent="0.15">
      <c r="A254" s="3">
        <v>423002</v>
      </c>
      <c r="B254" s="3" t="s">
        <v>411</v>
      </c>
      <c r="C254" s="6">
        <v>500</v>
      </c>
      <c r="D254" s="27">
        <v>1</v>
      </c>
      <c r="E254" s="3">
        <v>5</v>
      </c>
      <c r="F254" s="3">
        <v>0</v>
      </c>
      <c r="G254" s="3">
        <v>0</v>
      </c>
      <c r="H254" s="3">
        <v>0</v>
      </c>
      <c r="I254" s="3">
        <v>0</v>
      </c>
      <c r="J254" s="4">
        <v>137</v>
      </c>
      <c r="K254" s="3">
        <v>4</v>
      </c>
      <c r="L254" s="3" t="s">
        <v>394</v>
      </c>
      <c r="M254" s="3">
        <v>423</v>
      </c>
      <c r="N254" s="3" t="s">
        <v>408</v>
      </c>
      <c r="O254" s="3">
        <v>903910</v>
      </c>
      <c r="P254" s="3" t="s">
        <v>409</v>
      </c>
      <c r="Q254" s="3" t="s">
        <v>272</v>
      </c>
      <c r="R254" s="3" t="str">
        <f t="shared" si="26"/>
        <v>ui_423002</v>
      </c>
      <c r="S254" s="3" t="str">
        <f t="shared" si="27"/>
        <v>423002</v>
      </c>
      <c r="T254" s="3">
        <v>1</v>
      </c>
      <c r="U254" s="3">
        <v>0</v>
      </c>
      <c r="V254" s="6">
        <v>100</v>
      </c>
      <c r="W254" s="7"/>
      <c r="X254" s="3" t="s">
        <v>411</v>
      </c>
      <c r="Y254" s="3" t="s">
        <v>412</v>
      </c>
    </row>
    <row r="255" spans="1:25" x14ac:dyDescent="0.15">
      <c r="A255" s="3">
        <v>423003</v>
      </c>
      <c r="B255" s="3" t="s">
        <v>413</v>
      </c>
      <c r="C255" s="6">
        <v>5000</v>
      </c>
      <c r="D255" s="27">
        <v>1</v>
      </c>
      <c r="E255" s="3">
        <v>5</v>
      </c>
      <c r="F255" s="3">
        <v>0</v>
      </c>
      <c r="G255" s="3">
        <v>0</v>
      </c>
      <c r="H255" s="3">
        <v>0</v>
      </c>
      <c r="I255" s="3">
        <v>0</v>
      </c>
      <c r="J255" s="4">
        <v>138</v>
      </c>
      <c r="K255" s="3">
        <v>4</v>
      </c>
      <c r="L255" s="3" t="s">
        <v>394</v>
      </c>
      <c r="M255" s="3">
        <v>423</v>
      </c>
      <c r="N255" s="3" t="s">
        <v>408</v>
      </c>
      <c r="O255" s="3">
        <v>903911</v>
      </c>
      <c r="P255" s="3" t="s">
        <v>409</v>
      </c>
      <c r="Q255" s="3" t="s">
        <v>272</v>
      </c>
      <c r="R255" s="3" t="str">
        <f t="shared" si="26"/>
        <v>ui_423003</v>
      </c>
      <c r="S255" s="3" t="str">
        <f t="shared" si="27"/>
        <v>423003</v>
      </c>
      <c r="T255" s="3">
        <v>1</v>
      </c>
      <c r="U255" s="3">
        <v>0</v>
      </c>
      <c r="V255" s="6">
        <v>100</v>
      </c>
      <c r="W255" s="7"/>
      <c r="X255" s="3" t="s">
        <v>413</v>
      </c>
      <c r="Y255" s="3" t="s">
        <v>414</v>
      </c>
    </row>
    <row r="256" spans="1:25" x14ac:dyDescent="0.15">
      <c r="A256" s="3">
        <v>424001</v>
      </c>
      <c r="B256" s="42" t="s">
        <v>1972</v>
      </c>
      <c r="C256" s="6">
        <v>1000</v>
      </c>
      <c r="D256" s="27">
        <v>1</v>
      </c>
      <c r="E256" s="3">
        <v>1</v>
      </c>
      <c r="F256" s="3">
        <v>0</v>
      </c>
      <c r="G256" s="3">
        <v>0</v>
      </c>
      <c r="H256" s="3">
        <v>0</v>
      </c>
      <c r="I256" s="3">
        <v>0</v>
      </c>
      <c r="J256" s="4">
        <v>139</v>
      </c>
      <c r="K256" s="3">
        <v>4</v>
      </c>
      <c r="L256" s="3" t="s">
        <v>394</v>
      </c>
      <c r="M256" s="3">
        <v>424</v>
      </c>
      <c r="N256" s="3" t="s">
        <v>417</v>
      </c>
      <c r="O256" s="3">
        <v>0</v>
      </c>
      <c r="P256" s="3"/>
      <c r="Q256" s="3" t="s">
        <v>272</v>
      </c>
      <c r="R256" s="3" t="str">
        <f t="shared" si="26"/>
        <v>ui_424001</v>
      </c>
      <c r="S256" s="3" t="str">
        <f t="shared" si="27"/>
        <v>424001</v>
      </c>
      <c r="T256" s="3">
        <v>1</v>
      </c>
      <c r="U256" s="3">
        <v>0</v>
      </c>
      <c r="V256" s="6">
        <v>100</v>
      </c>
      <c r="W256" s="7"/>
      <c r="X256" s="3" t="str">
        <f t="shared" ref="X256:X263" si="28">B256</f>
        <v>人伦书</v>
      </c>
      <c r="Y256" s="27" t="s">
        <v>2724</v>
      </c>
    </row>
    <row r="257" spans="1:25" x14ac:dyDescent="0.15">
      <c r="A257" s="3">
        <v>424002</v>
      </c>
      <c r="B257" s="42" t="s">
        <v>1971</v>
      </c>
      <c r="C257" s="6">
        <v>1000</v>
      </c>
      <c r="D257" s="27">
        <v>1</v>
      </c>
      <c r="E257" s="3">
        <v>1</v>
      </c>
      <c r="F257" s="3">
        <v>0</v>
      </c>
      <c r="G257" s="3">
        <v>0</v>
      </c>
      <c r="H257" s="3">
        <v>0</v>
      </c>
      <c r="I257" s="3">
        <v>0</v>
      </c>
      <c r="J257" s="4">
        <v>140</v>
      </c>
      <c r="K257" s="3">
        <v>4</v>
      </c>
      <c r="L257" s="3" t="s">
        <v>394</v>
      </c>
      <c r="M257" s="3">
        <v>424</v>
      </c>
      <c r="N257" s="3" t="s">
        <v>417</v>
      </c>
      <c r="O257" s="3">
        <v>0</v>
      </c>
      <c r="P257" s="3"/>
      <c r="Q257" s="3" t="s">
        <v>272</v>
      </c>
      <c r="R257" s="3" t="str">
        <f t="shared" si="26"/>
        <v>ui_424002</v>
      </c>
      <c r="S257" s="3" t="str">
        <f t="shared" si="27"/>
        <v>424002</v>
      </c>
      <c r="T257" s="3">
        <v>1</v>
      </c>
      <c r="U257" s="3">
        <v>0</v>
      </c>
      <c r="V257" s="6">
        <v>100</v>
      </c>
      <c r="W257" s="7"/>
      <c r="X257" s="3" t="str">
        <f t="shared" si="28"/>
        <v>轮回书</v>
      </c>
      <c r="Y257" s="27" t="s">
        <v>2729</v>
      </c>
    </row>
    <row r="258" spans="1:25" x14ac:dyDescent="0.15">
      <c r="A258" s="3">
        <v>424003</v>
      </c>
      <c r="B258" s="42" t="s">
        <v>1973</v>
      </c>
      <c r="C258" s="6">
        <v>1000</v>
      </c>
      <c r="D258" s="27">
        <v>1</v>
      </c>
      <c r="E258" s="3">
        <v>1</v>
      </c>
      <c r="F258" s="3">
        <v>0</v>
      </c>
      <c r="G258" s="3">
        <v>0</v>
      </c>
      <c r="H258" s="3">
        <v>0</v>
      </c>
      <c r="I258" s="3">
        <v>0</v>
      </c>
      <c r="J258" s="4">
        <v>141</v>
      </c>
      <c r="K258" s="3">
        <v>4</v>
      </c>
      <c r="L258" s="3" t="s">
        <v>394</v>
      </c>
      <c r="M258" s="3">
        <v>424</v>
      </c>
      <c r="N258" s="3" t="s">
        <v>417</v>
      </c>
      <c r="O258" s="3">
        <v>1.25</v>
      </c>
      <c r="P258" s="27" t="s">
        <v>1974</v>
      </c>
      <c r="Q258" s="3" t="s">
        <v>272</v>
      </c>
      <c r="R258" s="3" t="str">
        <f t="shared" si="26"/>
        <v>ui_424003</v>
      </c>
      <c r="S258" s="3" t="str">
        <f t="shared" si="27"/>
        <v>424003</v>
      </c>
      <c r="T258" s="3">
        <v>1</v>
      </c>
      <c r="U258" s="3">
        <v>0</v>
      </c>
      <c r="V258" s="6">
        <v>100</v>
      </c>
      <c r="W258" s="7"/>
      <c r="X258" s="3" t="str">
        <f t="shared" si="28"/>
        <v>天职书</v>
      </c>
      <c r="Y258" s="27" t="s">
        <v>2725</v>
      </c>
    </row>
    <row r="259" spans="1:25" x14ac:dyDescent="0.15">
      <c r="A259" s="3">
        <v>424004</v>
      </c>
      <c r="B259" s="3" t="s">
        <v>418</v>
      </c>
      <c r="C259" s="6">
        <v>1000</v>
      </c>
      <c r="D259" s="27">
        <v>1</v>
      </c>
      <c r="E259" s="3">
        <v>1</v>
      </c>
      <c r="F259" s="3">
        <v>0</v>
      </c>
      <c r="G259" s="3">
        <v>0</v>
      </c>
      <c r="H259" s="3">
        <v>0</v>
      </c>
      <c r="I259" s="3">
        <v>0</v>
      </c>
      <c r="J259" s="4">
        <v>142</v>
      </c>
      <c r="K259" s="3">
        <v>4</v>
      </c>
      <c r="L259" s="3" t="s">
        <v>394</v>
      </c>
      <c r="M259" s="3">
        <v>424</v>
      </c>
      <c r="N259" s="3" t="s">
        <v>417</v>
      </c>
      <c r="O259" s="3">
        <v>0</v>
      </c>
      <c r="P259" s="3"/>
      <c r="Q259" s="3" t="s">
        <v>272</v>
      </c>
      <c r="R259" s="3" t="str">
        <f t="shared" si="26"/>
        <v>ui_424004</v>
      </c>
      <c r="S259" s="3" t="str">
        <f t="shared" si="27"/>
        <v>424004</v>
      </c>
      <c r="T259" s="3">
        <v>1</v>
      </c>
      <c r="U259" s="3">
        <v>0</v>
      </c>
      <c r="V259" s="6">
        <v>100</v>
      </c>
      <c r="W259" s="7"/>
      <c r="X259" s="3" t="str">
        <f t="shared" si="28"/>
        <v>兵法书</v>
      </c>
      <c r="Y259" s="27" t="s">
        <v>2875</v>
      </c>
    </row>
    <row r="260" spans="1:25" x14ac:dyDescent="0.15">
      <c r="A260" s="3">
        <v>424005</v>
      </c>
      <c r="B260" s="27" t="s">
        <v>2626</v>
      </c>
      <c r="C260" s="6">
        <v>1000</v>
      </c>
      <c r="D260" s="27">
        <v>1</v>
      </c>
      <c r="E260" s="3">
        <v>1</v>
      </c>
      <c r="F260" s="3">
        <v>0</v>
      </c>
      <c r="G260" s="3">
        <v>0</v>
      </c>
      <c r="H260" s="3">
        <v>0</v>
      </c>
      <c r="I260" s="3">
        <v>0</v>
      </c>
      <c r="J260" s="4">
        <v>143</v>
      </c>
      <c r="K260" s="3">
        <v>4</v>
      </c>
      <c r="L260" s="3" t="s">
        <v>394</v>
      </c>
      <c r="M260" s="3">
        <v>424</v>
      </c>
      <c r="N260" s="3" t="s">
        <v>417</v>
      </c>
      <c r="O260" s="3">
        <v>0</v>
      </c>
      <c r="P260" s="3"/>
      <c r="Q260" s="3" t="s">
        <v>272</v>
      </c>
      <c r="R260" s="3" t="str">
        <f t="shared" si="26"/>
        <v>ui_424005</v>
      </c>
      <c r="S260" s="3" t="str">
        <f t="shared" si="27"/>
        <v>424005</v>
      </c>
      <c r="T260" s="3">
        <v>1</v>
      </c>
      <c r="U260" s="3">
        <v>0</v>
      </c>
      <c r="V260" s="6">
        <v>100</v>
      </c>
      <c r="W260" s="7"/>
      <c r="X260" s="3" t="str">
        <f t="shared" si="28"/>
        <v>管理书</v>
      </c>
      <c r="Y260" s="27" t="s">
        <v>2726</v>
      </c>
    </row>
    <row r="261" spans="1:25" x14ac:dyDescent="0.15">
      <c r="A261" s="3">
        <v>424006</v>
      </c>
      <c r="B261" s="27" t="s">
        <v>2624</v>
      </c>
      <c r="C261" s="6">
        <v>1000</v>
      </c>
      <c r="D261" s="27">
        <v>1</v>
      </c>
      <c r="E261" s="3">
        <v>1</v>
      </c>
      <c r="F261" s="3">
        <v>0</v>
      </c>
      <c r="G261" s="3">
        <v>0</v>
      </c>
      <c r="H261" s="3">
        <v>0</v>
      </c>
      <c r="I261" s="3">
        <v>0</v>
      </c>
      <c r="J261" s="4">
        <v>144</v>
      </c>
      <c r="K261" s="3">
        <v>4</v>
      </c>
      <c r="L261" s="3" t="s">
        <v>394</v>
      </c>
      <c r="M261" s="3">
        <v>424</v>
      </c>
      <c r="N261" s="3" t="s">
        <v>417</v>
      </c>
      <c r="O261" s="3">
        <v>0</v>
      </c>
      <c r="P261" s="3"/>
      <c r="Q261" s="3" t="s">
        <v>272</v>
      </c>
      <c r="R261" s="3" t="str">
        <f t="shared" si="26"/>
        <v>ui_424006</v>
      </c>
      <c r="S261" s="3" t="str">
        <f t="shared" si="27"/>
        <v>424006</v>
      </c>
      <c r="T261" s="3">
        <v>1</v>
      </c>
      <c r="U261" s="3">
        <v>0</v>
      </c>
      <c r="V261" s="6">
        <v>100</v>
      </c>
      <c r="W261" s="7"/>
      <c r="X261" s="3" t="str">
        <f t="shared" si="28"/>
        <v>忠义书</v>
      </c>
      <c r="Y261" s="27" t="s">
        <v>2727</v>
      </c>
    </row>
    <row r="262" spans="1:25" x14ac:dyDescent="0.15">
      <c r="A262" s="3">
        <v>424007</v>
      </c>
      <c r="B262" s="27" t="s">
        <v>1864</v>
      </c>
      <c r="C262" s="6">
        <v>150</v>
      </c>
      <c r="D262" s="27">
        <v>1</v>
      </c>
      <c r="E262" s="3">
        <v>1</v>
      </c>
      <c r="F262" s="3">
        <v>0</v>
      </c>
      <c r="G262" s="3">
        <v>0</v>
      </c>
      <c r="H262" s="3">
        <v>0</v>
      </c>
      <c r="I262" s="3">
        <v>0</v>
      </c>
      <c r="J262" s="4">
        <v>145</v>
      </c>
      <c r="K262" s="3">
        <v>4</v>
      </c>
      <c r="L262" s="3" t="s">
        <v>394</v>
      </c>
      <c r="M262" s="3">
        <v>424</v>
      </c>
      <c r="N262" s="3" t="s">
        <v>417</v>
      </c>
      <c r="O262" s="3">
        <v>1.5</v>
      </c>
      <c r="P262" s="27" t="s">
        <v>1865</v>
      </c>
      <c r="Q262" s="3" t="s">
        <v>272</v>
      </c>
      <c r="R262" s="3" t="str">
        <f t="shared" si="26"/>
        <v>ui_424007</v>
      </c>
      <c r="S262" s="3" t="str">
        <f t="shared" si="27"/>
        <v>424007</v>
      </c>
      <c r="T262" s="3">
        <v>1</v>
      </c>
      <c r="U262" s="3">
        <v>0</v>
      </c>
      <c r="V262" s="6">
        <v>100</v>
      </c>
      <c r="W262" s="7"/>
      <c r="X262" s="3" t="str">
        <f t="shared" si="28"/>
        <v>启蒙书</v>
      </c>
      <c r="Y262" s="27" t="s">
        <v>2728</v>
      </c>
    </row>
    <row r="263" spans="1:25" x14ac:dyDescent="0.15">
      <c r="A263" s="3">
        <v>424008</v>
      </c>
      <c r="B263" s="27" t="s">
        <v>1895</v>
      </c>
      <c r="C263" s="6">
        <v>50</v>
      </c>
      <c r="D263" s="27">
        <v>1</v>
      </c>
      <c r="E263" s="3">
        <v>1</v>
      </c>
      <c r="F263" s="3">
        <v>0</v>
      </c>
      <c r="G263" s="3">
        <v>0</v>
      </c>
      <c r="H263" s="3">
        <v>0</v>
      </c>
      <c r="I263" s="3">
        <v>0</v>
      </c>
      <c r="J263" s="4">
        <v>145</v>
      </c>
      <c r="K263" s="3">
        <v>4</v>
      </c>
      <c r="L263" s="3" t="s">
        <v>394</v>
      </c>
      <c r="M263" s="3">
        <v>424</v>
      </c>
      <c r="N263" s="3" t="s">
        <v>417</v>
      </c>
      <c r="O263" s="3"/>
      <c r="P263" s="27"/>
      <c r="Q263" s="3" t="s">
        <v>272</v>
      </c>
      <c r="R263" s="3" t="str">
        <f t="shared" si="26"/>
        <v>ui_424008</v>
      </c>
      <c r="S263" s="3" t="str">
        <f t="shared" si="27"/>
        <v>424008</v>
      </c>
      <c r="T263" s="3">
        <v>1</v>
      </c>
      <c r="U263" s="3">
        <v>0</v>
      </c>
      <c r="V263" s="6">
        <v>100</v>
      </c>
      <c r="W263" s="7"/>
      <c r="X263" s="3" t="str">
        <f t="shared" si="28"/>
        <v>心灵书</v>
      </c>
      <c r="Y263" s="27" t="s">
        <v>2730</v>
      </c>
    </row>
    <row r="264" spans="1:25" x14ac:dyDescent="0.15">
      <c r="A264" s="3">
        <v>425001</v>
      </c>
      <c r="B264" s="3" t="s">
        <v>415</v>
      </c>
      <c r="C264" s="6">
        <v>0</v>
      </c>
      <c r="D264" s="27">
        <v>0</v>
      </c>
      <c r="E264" s="3">
        <v>5</v>
      </c>
      <c r="F264" s="3">
        <v>0</v>
      </c>
      <c r="G264" s="3">
        <v>0</v>
      </c>
      <c r="H264" s="3">
        <v>0</v>
      </c>
      <c r="I264" s="3">
        <v>0</v>
      </c>
      <c r="J264" s="4">
        <v>145</v>
      </c>
      <c r="K264" s="3">
        <v>4</v>
      </c>
      <c r="L264" s="3" t="s">
        <v>394</v>
      </c>
      <c r="M264" s="3">
        <v>425</v>
      </c>
      <c r="N264" s="3" t="s">
        <v>408</v>
      </c>
      <c r="O264" s="3">
        <v>903909</v>
      </c>
      <c r="P264" s="3" t="s">
        <v>409</v>
      </c>
      <c r="Q264" s="3" t="s">
        <v>272</v>
      </c>
      <c r="R264" s="3" t="str">
        <f t="shared" si="26"/>
        <v>ui_425001</v>
      </c>
      <c r="S264" s="3" t="str">
        <f t="shared" si="27"/>
        <v>425001</v>
      </c>
      <c r="T264" s="3">
        <v>1</v>
      </c>
      <c r="U264" s="3">
        <v>0</v>
      </c>
      <c r="V264" s="6">
        <v>100</v>
      </c>
      <c r="W264" s="7"/>
      <c r="X264" s="3" t="s">
        <v>415</v>
      </c>
      <c r="Y264" s="3" t="s">
        <v>410</v>
      </c>
    </row>
    <row r="265" spans="1:25" x14ac:dyDescent="0.15">
      <c r="A265" s="3">
        <v>425002</v>
      </c>
      <c r="B265" s="3" t="s">
        <v>416</v>
      </c>
      <c r="C265" s="6">
        <v>0</v>
      </c>
      <c r="D265" s="27">
        <v>0</v>
      </c>
      <c r="E265" s="3">
        <v>5</v>
      </c>
      <c r="F265" s="3">
        <v>0</v>
      </c>
      <c r="G265" s="3">
        <v>0</v>
      </c>
      <c r="H265" s="3">
        <v>0</v>
      </c>
      <c r="I265" s="3">
        <v>0</v>
      </c>
      <c r="J265" s="4">
        <v>146</v>
      </c>
      <c r="K265" s="3">
        <v>4</v>
      </c>
      <c r="L265" s="3" t="s">
        <v>394</v>
      </c>
      <c r="M265" s="3">
        <v>425</v>
      </c>
      <c r="N265" s="3" t="s">
        <v>408</v>
      </c>
      <c r="O265" s="3">
        <v>903910</v>
      </c>
      <c r="P265" s="3" t="s">
        <v>409</v>
      </c>
      <c r="Q265" s="3" t="s">
        <v>272</v>
      </c>
      <c r="R265" s="3" t="str">
        <f t="shared" si="26"/>
        <v>ui_425002</v>
      </c>
      <c r="S265" s="3" t="str">
        <f t="shared" si="27"/>
        <v>425002</v>
      </c>
      <c r="T265" s="3">
        <v>1</v>
      </c>
      <c r="U265" s="3">
        <v>0</v>
      </c>
      <c r="V265" s="6">
        <v>100</v>
      </c>
      <c r="W265" s="7"/>
      <c r="X265" s="3" t="s">
        <v>416</v>
      </c>
      <c r="Y265" s="3" t="s">
        <v>410</v>
      </c>
    </row>
    <row r="266" spans="1:25" x14ac:dyDescent="0.15">
      <c r="A266" s="3">
        <v>426001</v>
      </c>
      <c r="B266" s="27" t="s">
        <v>1845</v>
      </c>
      <c r="C266" s="3">
        <v>2000</v>
      </c>
      <c r="D266" s="27">
        <v>1</v>
      </c>
      <c r="E266" s="3">
        <v>2</v>
      </c>
      <c r="F266" s="3">
        <v>0</v>
      </c>
      <c r="G266" s="3">
        <v>0</v>
      </c>
      <c r="H266" s="3">
        <v>0</v>
      </c>
      <c r="I266" s="3">
        <v>0</v>
      </c>
      <c r="J266" s="4">
        <v>276</v>
      </c>
      <c r="K266" s="3">
        <v>4</v>
      </c>
      <c r="L266" s="3" t="s">
        <v>394</v>
      </c>
      <c r="M266" s="3">
        <v>426</v>
      </c>
      <c r="N266" s="4" t="s">
        <v>1614</v>
      </c>
      <c r="O266" s="3"/>
      <c r="P266" s="3"/>
      <c r="Q266" s="3" t="s">
        <v>272</v>
      </c>
      <c r="R266" s="3" t="str">
        <f t="shared" si="26"/>
        <v>ui_426001</v>
      </c>
      <c r="S266" s="3" t="str">
        <f t="shared" si="27"/>
        <v>426001</v>
      </c>
      <c r="T266" s="3">
        <v>1</v>
      </c>
      <c r="U266" s="3">
        <v>0</v>
      </c>
      <c r="V266" s="6">
        <v>100</v>
      </c>
      <c r="W266" s="7"/>
      <c r="X266" s="27" t="s">
        <v>1845</v>
      </c>
      <c r="Y266" s="27" t="s">
        <v>1847</v>
      </c>
    </row>
    <row r="267" spans="1:25" x14ac:dyDescent="0.15">
      <c r="A267" s="3">
        <v>427001</v>
      </c>
      <c r="B267" s="27" t="s">
        <v>1844</v>
      </c>
      <c r="C267" s="3">
        <v>2500</v>
      </c>
      <c r="D267" s="27">
        <v>1</v>
      </c>
      <c r="E267" s="3">
        <v>2</v>
      </c>
      <c r="F267" s="3">
        <v>0</v>
      </c>
      <c r="G267" s="3">
        <v>0</v>
      </c>
      <c r="H267" s="3">
        <v>0</v>
      </c>
      <c r="I267" s="3">
        <v>0</v>
      </c>
      <c r="J267" s="4">
        <v>277</v>
      </c>
      <c r="K267" s="3">
        <v>4</v>
      </c>
      <c r="L267" s="3" t="s">
        <v>394</v>
      </c>
      <c r="M267" s="3">
        <v>427</v>
      </c>
      <c r="N267" s="4" t="s">
        <v>1615</v>
      </c>
      <c r="O267" s="3"/>
      <c r="P267" s="3"/>
      <c r="Q267" s="3" t="s">
        <v>272</v>
      </c>
      <c r="R267" s="3" t="str">
        <f t="shared" si="26"/>
        <v>ui_427001</v>
      </c>
      <c r="S267" s="3" t="str">
        <f t="shared" si="27"/>
        <v>427001</v>
      </c>
      <c r="T267" s="3">
        <v>1</v>
      </c>
      <c r="U267" s="3">
        <v>0</v>
      </c>
      <c r="V267" s="6">
        <v>100</v>
      </c>
      <c r="W267" s="7"/>
      <c r="X267" s="27" t="s">
        <v>1844</v>
      </c>
      <c r="Y267" s="27" t="s">
        <v>1848</v>
      </c>
    </row>
    <row r="268" spans="1:25" x14ac:dyDescent="0.15">
      <c r="A268" s="3">
        <v>428001</v>
      </c>
      <c r="B268" s="27" t="s">
        <v>2684</v>
      </c>
      <c r="C268" s="6">
        <v>70</v>
      </c>
      <c r="D268" s="27">
        <v>0</v>
      </c>
      <c r="E268" s="3">
        <v>4</v>
      </c>
      <c r="F268" s="3">
        <v>0</v>
      </c>
      <c r="G268" s="3">
        <v>0</v>
      </c>
      <c r="H268" s="3">
        <v>0</v>
      </c>
      <c r="I268" s="3">
        <v>0</v>
      </c>
      <c r="J268" s="4">
        <v>135</v>
      </c>
      <c r="K268" s="3">
        <v>4</v>
      </c>
      <c r="L268" s="3" t="s">
        <v>394</v>
      </c>
      <c r="M268" s="3">
        <v>428</v>
      </c>
      <c r="N268" s="3" t="s">
        <v>405</v>
      </c>
      <c r="O268" s="3">
        <v>0</v>
      </c>
      <c r="P268" s="3"/>
      <c r="Q268" s="3" t="s">
        <v>272</v>
      </c>
      <c r="R268" s="3" t="str">
        <f t="shared" si="26"/>
        <v>ui_428001</v>
      </c>
      <c r="S268" s="3" t="str">
        <f t="shared" si="27"/>
        <v>428001</v>
      </c>
      <c r="T268" s="3">
        <v>1</v>
      </c>
      <c r="U268" s="3">
        <v>0</v>
      </c>
      <c r="V268" s="6">
        <v>100</v>
      </c>
      <c r="W268" s="7"/>
      <c r="X268" s="27" t="s">
        <v>2684</v>
      </c>
      <c r="Y268" s="27" t="s">
        <v>2685</v>
      </c>
    </row>
    <row r="269" spans="1:25" x14ac:dyDescent="0.15">
      <c r="A269" s="3">
        <v>429001</v>
      </c>
      <c r="B269" s="27" t="s">
        <v>2985</v>
      </c>
      <c r="C269" s="6">
        <v>10</v>
      </c>
      <c r="D269" s="27">
        <v>0</v>
      </c>
      <c r="E269" s="3">
        <v>4</v>
      </c>
      <c r="F269" s="3">
        <v>0</v>
      </c>
      <c r="G269" s="3">
        <v>0</v>
      </c>
      <c r="H269" s="3">
        <v>0</v>
      </c>
      <c r="I269" s="3">
        <v>0</v>
      </c>
      <c r="J269" s="4">
        <v>135</v>
      </c>
      <c r="K269" s="3">
        <v>4</v>
      </c>
      <c r="L269" s="3" t="s">
        <v>394</v>
      </c>
      <c r="M269" s="3">
        <v>429</v>
      </c>
      <c r="N269" s="27" t="s">
        <v>2982</v>
      </c>
      <c r="O269" s="3">
        <v>0</v>
      </c>
      <c r="P269" s="3"/>
      <c r="Q269" s="3" t="s">
        <v>272</v>
      </c>
      <c r="R269" s="3" t="str">
        <f t="shared" si="26"/>
        <v>ui_429001</v>
      </c>
      <c r="S269" s="3" t="str">
        <f t="shared" si="27"/>
        <v>429001</v>
      </c>
      <c r="T269" s="3">
        <v>1</v>
      </c>
      <c r="U269" s="3">
        <v>0</v>
      </c>
      <c r="V269" s="6">
        <v>100</v>
      </c>
      <c r="W269" s="7"/>
      <c r="X269" s="27" t="s">
        <v>2985</v>
      </c>
      <c r="Y269" s="27" t="s">
        <v>2991</v>
      </c>
    </row>
    <row r="270" spans="1:25" x14ac:dyDescent="0.15">
      <c r="A270" s="3">
        <v>429002</v>
      </c>
      <c r="B270" s="27" t="s">
        <v>2986</v>
      </c>
      <c r="C270" s="6">
        <v>10</v>
      </c>
      <c r="D270" s="27">
        <v>0</v>
      </c>
      <c r="E270" s="3">
        <v>4</v>
      </c>
      <c r="F270" s="3">
        <v>0</v>
      </c>
      <c r="G270" s="3">
        <v>0</v>
      </c>
      <c r="H270" s="3">
        <v>0</v>
      </c>
      <c r="I270" s="3">
        <v>0</v>
      </c>
      <c r="J270" s="4">
        <v>135</v>
      </c>
      <c r="K270" s="3">
        <v>4</v>
      </c>
      <c r="L270" s="3" t="s">
        <v>394</v>
      </c>
      <c r="M270" s="3">
        <v>429</v>
      </c>
      <c r="N270" s="27" t="s">
        <v>2982</v>
      </c>
      <c r="O270" s="3">
        <v>0</v>
      </c>
      <c r="P270" s="3"/>
      <c r="Q270" s="3" t="s">
        <v>272</v>
      </c>
      <c r="R270" s="3" t="str">
        <f t="shared" si="26"/>
        <v>ui_429002</v>
      </c>
      <c r="S270" s="3" t="str">
        <f t="shared" si="27"/>
        <v>429002</v>
      </c>
      <c r="T270" s="3">
        <v>1</v>
      </c>
      <c r="U270" s="3">
        <v>0</v>
      </c>
      <c r="V270" s="6">
        <v>100</v>
      </c>
      <c r="W270" s="7"/>
      <c r="X270" s="27" t="s">
        <v>2986</v>
      </c>
      <c r="Y270" s="27" t="s">
        <v>2993</v>
      </c>
    </row>
    <row r="271" spans="1:25" x14ac:dyDescent="0.15">
      <c r="A271" s="3">
        <v>429003</v>
      </c>
      <c r="B271" s="27" t="s">
        <v>2987</v>
      </c>
      <c r="C271" s="6">
        <v>10</v>
      </c>
      <c r="D271" s="27">
        <v>0</v>
      </c>
      <c r="E271" s="3">
        <v>4</v>
      </c>
      <c r="F271" s="3">
        <v>0</v>
      </c>
      <c r="G271" s="3">
        <v>0</v>
      </c>
      <c r="H271" s="3">
        <v>0</v>
      </c>
      <c r="I271" s="3">
        <v>0</v>
      </c>
      <c r="J271" s="4">
        <v>135</v>
      </c>
      <c r="K271" s="3">
        <v>4</v>
      </c>
      <c r="L271" s="3" t="s">
        <v>394</v>
      </c>
      <c r="M271" s="3">
        <v>429</v>
      </c>
      <c r="N271" s="27" t="s">
        <v>2982</v>
      </c>
      <c r="O271" s="3">
        <v>0</v>
      </c>
      <c r="P271" s="3"/>
      <c r="Q271" s="3" t="s">
        <v>272</v>
      </c>
      <c r="R271" s="3" t="str">
        <f t="shared" si="26"/>
        <v>ui_429003</v>
      </c>
      <c r="S271" s="3" t="str">
        <f t="shared" si="27"/>
        <v>429003</v>
      </c>
      <c r="T271" s="3">
        <v>1</v>
      </c>
      <c r="U271" s="3">
        <v>0</v>
      </c>
      <c r="V271" s="6">
        <v>100</v>
      </c>
      <c r="W271" s="7"/>
      <c r="X271" s="27" t="s">
        <v>2987</v>
      </c>
      <c r="Y271" s="27" t="s">
        <v>2992</v>
      </c>
    </row>
    <row r="272" spans="1:25" x14ac:dyDescent="0.15">
      <c r="A272" s="3">
        <v>430001</v>
      </c>
      <c r="B272" s="28" t="s">
        <v>3342</v>
      </c>
      <c r="C272" s="3">
        <v>999999</v>
      </c>
      <c r="D272" s="27">
        <v>1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4">
        <v>20</v>
      </c>
      <c r="K272" s="3">
        <v>4</v>
      </c>
      <c r="L272" s="27" t="s">
        <v>3237</v>
      </c>
      <c r="M272" s="3">
        <v>430</v>
      </c>
      <c r="N272" s="27" t="s">
        <v>3237</v>
      </c>
      <c r="O272" s="3">
        <v>0</v>
      </c>
      <c r="P272" s="3"/>
      <c r="Q272" s="3" t="s">
        <v>272</v>
      </c>
      <c r="R272" s="3" t="str">
        <f t="shared" si="26"/>
        <v>ui_430001</v>
      </c>
      <c r="S272" s="3" t="str">
        <f t="shared" si="27"/>
        <v>430001</v>
      </c>
      <c r="T272" s="3">
        <v>1</v>
      </c>
      <c r="U272" s="35">
        <v>0</v>
      </c>
      <c r="V272" s="35">
        <v>1</v>
      </c>
      <c r="W272" s="3"/>
      <c r="X272" s="27" t="s">
        <v>3342</v>
      </c>
      <c r="Y272" s="27" t="s">
        <v>3343</v>
      </c>
    </row>
    <row r="273" spans="1:25" x14ac:dyDescent="0.15">
      <c r="A273" s="3">
        <v>430002</v>
      </c>
      <c r="B273" s="28" t="s">
        <v>3332</v>
      </c>
      <c r="C273" s="3">
        <v>999999</v>
      </c>
      <c r="D273" s="27">
        <v>1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4">
        <v>20</v>
      </c>
      <c r="K273" s="3">
        <v>4</v>
      </c>
      <c r="L273" s="27" t="s">
        <v>3236</v>
      </c>
      <c r="M273" s="3">
        <v>430</v>
      </c>
      <c r="N273" s="27" t="s">
        <v>3236</v>
      </c>
      <c r="O273" s="3">
        <v>0</v>
      </c>
      <c r="P273" s="3"/>
      <c r="Q273" s="3" t="s">
        <v>272</v>
      </c>
      <c r="R273" s="3" t="str">
        <f t="shared" si="26"/>
        <v>ui_430002</v>
      </c>
      <c r="S273" s="3" t="str">
        <f t="shared" si="27"/>
        <v>430002</v>
      </c>
      <c r="T273" s="3">
        <v>1</v>
      </c>
      <c r="U273" s="35">
        <v>0</v>
      </c>
      <c r="V273" s="35">
        <v>1</v>
      </c>
      <c r="W273" s="3"/>
      <c r="X273" s="27" t="s">
        <v>3332</v>
      </c>
      <c r="Y273" s="27" t="s">
        <v>3333</v>
      </c>
    </row>
    <row r="274" spans="1:25" x14ac:dyDescent="0.15">
      <c r="A274" s="3">
        <v>501001</v>
      </c>
      <c r="B274" s="3" t="s">
        <v>419</v>
      </c>
      <c r="C274" s="6">
        <v>500</v>
      </c>
      <c r="D274" s="27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4">
        <v>153</v>
      </c>
      <c r="K274" s="3">
        <v>5</v>
      </c>
      <c r="L274" s="3" t="s">
        <v>420</v>
      </c>
      <c r="M274" s="3">
        <v>501</v>
      </c>
      <c r="N274" s="4" t="s">
        <v>421</v>
      </c>
      <c r="O274" s="3">
        <v>0</v>
      </c>
      <c r="P274" s="3"/>
      <c r="Q274" s="3" t="s">
        <v>422</v>
      </c>
      <c r="R274" s="3" t="str">
        <f t="shared" si="26"/>
        <v>ui_501001</v>
      </c>
      <c r="S274" s="3" t="str">
        <f t="shared" si="27"/>
        <v>501001</v>
      </c>
      <c r="T274" s="3">
        <v>1</v>
      </c>
      <c r="U274" s="3">
        <v>0</v>
      </c>
      <c r="V274" s="6">
        <v>1</v>
      </c>
      <c r="W274" s="7"/>
      <c r="X274" s="3" t="s">
        <v>419</v>
      </c>
      <c r="Y274" s="27" t="s">
        <v>2047</v>
      </c>
    </row>
    <row r="275" spans="1:25" x14ac:dyDescent="0.15">
      <c r="A275" s="3">
        <v>501002</v>
      </c>
      <c r="B275" s="3" t="s">
        <v>423</v>
      </c>
      <c r="C275" s="6">
        <v>800</v>
      </c>
      <c r="D275" s="27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4">
        <v>154</v>
      </c>
      <c r="K275" s="3">
        <v>5</v>
      </c>
      <c r="L275" s="3" t="s">
        <v>420</v>
      </c>
      <c r="M275" s="3">
        <v>501</v>
      </c>
      <c r="N275" s="4" t="s">
        <v>421</v>
      </c>
      <c r="O275" s="3">
        <v>0</v>
      </c>
      <c r="P275" s="3"/>
      <c r="Q275" s="3" t="s">
        <v>424</v>
      </c>
      <c r="R275" s="3" t="str">
        <f t="shared" si="26"/>
        <v>ui_501002</v>
      </c>
      <c r="S275" s="3" t="str">
        <f t="shared" si="27"/>
        <v>501002</v>
      </c>
      <c r="T275" s="3">
        <v>1</v>
      </c>
      <c r="U275" s="3">
        <v>0</v>
      </c>
      <c r="V275" s="6">
        <v>1</v>
      </c>
      <c r="W275" s="7"/>
      <c r="X275" s="3" t="s">
        <v>423</v>
      </c>
      <c r="Y275" s="27" t="s">
        <v>2046</v>
      </c>
    </row>
    <row r="276" spans="1:25" x14ac:dyDescent="0.15">
      <c r="A276" s="3">
        <v>501003</v>
      </c>
      <c r="B276" s="3" t="s">
        <v>425</v>
      </c>
      <c r="C276" s="6">
        <v>1000</v>
      </c>
      <c r="D276" s="27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4">
        <v>155</v>
      </c>
      <c r="K276" s="3">
        <v>5</v>
      </c>
      <c r="L276" s="3" t="s">
        <v>420</v>
      </c>
      <c r="M276" s="3">
        <v>501</v>
      </c>
      <c r="N276" s="4" t="s">
        <v>421</v>
      </c>
      <c r="O276" s="3">
        <v>0</v>
      </c>
      <c r="P276" s="3"/>
      <c r="Q276" s="3" t="s">
        <v>3618</v>
      </c>
      <c r="R276" s="3" t="str">
        <f t="shared" si="26"/>
        <v>ui_501003</v>
      </c>
      <c r="S276" s="3" t="str">
        <f t="shared" si="27"/>
        <v>501003</v>
      </c>
      <c r="T276" s="3">
        <v>1</v>
      </c>
      <c r="U276" s="3">
        <v>0</v>
      </c>
      <c r="V276" s="6">
        <v>1</v>
      </c>
      <c r="W276" s="7"/>
      <c r="X276" s="3" t="s">
        <v>425</v>
      </c>
      <c r="Y276" s="27" t="s">
        <v>2045</v>
      </c>
    </row>
    <row r="277" spans="1:25" x14ac:dyDescent="0.15">
      <c r="A277" s="3">
        <v>501004</v>
      </c>
      <c r="B277" s="3" t="s">
        <v>426</v>
      </c>
      <c r="C277" s="6">
        <v>1000</v>
      </c>
      <c r="D277" s="27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4">
        <v>156</v>
      </c>
      <c r="K277" s="3">
        <v>5</v>
      </c>
      <c r="L277" s="3" t="s">
        <v>420</v>
      </c>
      <c r="M277" s="3">
        <v>501</v>
      </c>
      <c r="N277" s="4" t="s">
        <v>421</v>
      </c>
      <c r="O277" s="3">
        <v>0</v>
      </c>
      <c r="P277" s="3"/>
      <c r="Q277" s="3" t="s">
        <v>427</v>
      </c>
      <c r="R277" s="3" t="str">
        <f t="shared" si="26"/>
        <v>ui_501004</v>
      </c>
      <c r="S277" s="3" t="str">
        <f t="shared" si="27"/>
        <v>501004</v>
      </c>
      <c r="T277" s="3">
        <v>1</v>
      </c>
      <c r="U277" s="3">
        <v>0</v>
      </c>
      <c r="V277" s="6">
        <v>1</v>
      </c>
      <c r="W277" s="7"/>
      <c r="X277" s="3" t="s">
        <v>426</v>
      </c>
      <c r="Y277" s="3" t="s">
        <v>428</v>
      </c>
    </row>
    <row r="278" spans="1:25" x14ac:dyDescent="0.15">
      <c r="A278" s="3">
        <v>501005</v>
      </c>
      <c r="B278" s="3" t="s">
        <v>429</v>
      </c>
      <c r="C278" s="6">
        <v>800</v>
      </c>
      <c r="D278" s="27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4">
        <v>157</v>
      </c>
      <c r="K278" s="3">
        <v>5</v>
      </c>
      <c r="L278" s="3" t="s">
        <v>420</v>
      </c>
      <c r="M278" s="3">
        <v>501</v>
      </c>
      <c r="N278" s="4" t="s">
        <v>421</v>
      </c>
      <c r="O278" s="3">
        <v>0</v>
      </c>
      <c r="P278" s="3"/>
      <c r="Q278" s="3" t="s">
        <v>430</v>
      </c>
      <c r="R278" s="3" t="str">
        <f t="shared" si="26"/>
        <v>ui_501005</v>
      </c>
      <c r="S278" s="3" t="str">
        <f t="shared" si="27"/>
        <v>501005</v>
      </c>
      <c r="T278" s="3">
        <v>1</v>
      </c>
      <c r="U278" s="3">
        <v>0</v>
      </c>
      <c r="V278" s="6">
        <v>1</v>
      </c>
      <c r="W278" s="7"/>
      <c r="X278" s="3" t="s">
        <v>429</v>
      </c>
      <c r="Y278" s="3" t="s">
        <v>431</v>
      </c>
    </row>
    <row r="279" spans="1:25" x14ac:dyDescent="0.15">
      <c r="A279" s="3">
        <v>501006</v>
      </c>
      <c r="B279" s="15" t="s">
        <v>432</v>
      </c>
      <c r="C279" s="6">
        <v>800</v>
      </c>
      <c r="D279" s="27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4">
        <v>158</v>
      </c>
      <c r="K279" s="3">
        <v>5</v>
      </c>
      <c r="L279" s="3" t="s">
        <v>420</v>
      </c>
      <c r="M279" s="3">
        <v>501</v>
      </c>
      <c r="N279" s="4" t="s">
        <v>421</v>
      </c>
      <c r="O279" s="3">
        <v>0</v>
      </c>
      <c r="P279" s="3"/>
      <c r="Q279" s="3" t="s">
        <v>433</v>
      </c>
      <c r="R279" s="3" t="str">
        <f t="shared" si="26"/>
        <v>ui_501006</v>
      </c>
      <c r="S279" s="3" t="str">
        <f t="shared" si="27"/>
        <v>501006</v>
      </c>
      <c r="T279" s="3">
        <v>1</v>
      </c>
      <c r="U279" s="3">
        <v>0</v>
      </c>
      <c r="V279" s="6">
        <v>1</v>
      </c>
      <c r="W279" s="7"/>
      <c r="X279" s="3" t="s">
        <v>432</v>
      </c>
      <c r="Y279" s="3" t="s">
        <v>434</v>
      </c>
    </row>
    <row r="280" spans="1:25" x14ac:dyDescent="0.15">
      <c r="A280" s="3">
        <v>502001</v>
      </c>
      <c r="B280" s="3" t="s">
        <v>435</v>
      </c>
      <c r="C280" s="6">
        <v>1000</v>
      </c>
      <c r="D280" s="27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4">
        <v>159</v>
      </c>
      <c r="K280" s="3">
        <v>5</v>
      </c>
      <c r="L280" s="3" t="s">
        <v>420</v>
      </c>
      <c r="M280" s="3">
        <v>502</v>
      </c>
      <c r="N280" s="4" t="s">
        <v>436</v>
      </c>
      <c r="O280" s="3">
        <v>0</v>
      </c>
      <c r="P280" s="3"/>
      <c r="Q280" s="3" t="s">
        <v>437</v>
      </c>
      <c r="R280" s="3" t="str">
        <f t="shared" si="26"/>
        <v>ui_502001</v>
      </c>
      <c r="S280" s="3" t="str">
        <f t="shared" si="27"/>
        <v>502001</v>
      </c>
      <c r="T280" s="3">
        <v>1</v>
      </c>
      <c r="U280" s="3">
        <v>0</v>
      </c>
      <c r="V280" s="6">
        <v>1</v>
      </c>
      <c r="W280" s="7"/>
      <c r="X280" s="3" t="s">
        <v>435</v>
      </c>
      <c r="Y280" s="3" t="s">
        <v>438</v>
      </c>
    </row>
    <row r="281" spans="1:25" x14ac:dyDescent="0.15">
      <c r="A281" s="3">
        <v>502002</v>
      </c>
      <c r="B281" s="11" t="s">
        <v>439</v>
      </c>
      <c r="C281" s="6">
        <v>1000</v>
      </c>
      <c r="D281" s="27">
        <v>0</v>
      </c>
      <c r="E281" s="3">
        <v>0</v>
      </c>
      <c r="F281" s="3">
        <v>0</v>
      </c>
      <c r="G281" s="3">
        <v>1</v>
      </c>
      <c r="H281" s="3">
        <v>0</v>
      </c>
      <c r="I281" s="3">
        <v>0</v>
      </c>
      <c r="J281" s="4">
        <v>160</v>
      </c>
      <c r="K281" s="3">
        <v>5</v>
      </c>
      <c r="L281" s="3" t="s">
        <v>420</v>
      </c>
      <c r="M281" s="3">
        <v>502</v>
      </c>
      <c r="N281" s="4" t="s">
        <v>436</v>
      </c>
      <c r="O281" s="3">
        <v>0</v>
      </c>
      <c r="P281" s="3"/>
      <c r="Q281" s="3" t="s">
        <v>440</v>
      </c>
      <c r="R281" s="3" t="str">
        <f t="shared" si="26"/>
        <v>ui_502002</v>
      </c>
      <c r="S281" s="3" t="str">
        <f t="shared" si="27"/>
        <v>502002</v>
      </c>
      <c r="T281" s="3">
        <v>1</v>
      </c>
      <c r="U281" s="3">
        <v>0</v>
      </c>
      <c r="V281" s="6">
        <v>1</v>
      </c>
      <c r="W281" s="7"/>
      <c r="X281" s="3" t="s">
        <v>439</v>
      </c>
      <c r="Y281" s="3" t="s">
        <v>438</v>
      </c>
    </row>
    <row r="282" spans="1:25" x14ac:dyDescent="0.15">
      <c r="A282" s="3">
        <v>502003</v>
      </c>
      <c r="B282" s="11" t="s">
        <v>441</v>
      </c>
      <c r="C282" s="6">
        <v>1000</v>
      </c>
      <c r="D282" s="27">
        <v>0</v>
      </c>
      <c r="E282" s="3">
        <v>0</v>
      </c>
      <c r="F282" s="3">
        <v>0</v>
      </c>
      <c r="G282" s="3">
        <v>1</v>
      </c>
      <c r="H282" s="3">
        <v>0</v>
      </c>
      <c r="I282" s="3">
        <v>0</v>
      </c>
      <c r="J282" s="4">
        <v>161</v>
      </c>
      <c r="K282" s="3">
        <v>5</v>
      </c>
      <c r="L282" s="3" t="s">
        <v>420</v>
      </c>
      <c r="M282" s="3">
        <v>502</v>
      </c>
      <c r="N282" s="4" t="s">
        <v>436</v>
      </c>
      <c r="O282" s="3">
        <v>0</v>
      </c>
      <c r="P282" s="3"/>
      <c r="Q282" s="3" t="s">
        <v>442</v>
      </c>
      <c r="R282" s="3" t="str">
        <f t="shared" si="26"/>
        <v>ui_502003</v>
      </c>
      <c r="S282" s="3" t="str">
        <f t="shared" si="27"/>
        <v>502003</v>
      </c>
      <c r="T282" s="3">
        <v>1</v>
      </c>
      <c r="U282" s="3">
        <v>0</v>
      </c>
      <c r="V282" s="6">
        <v>1</v>
      </c>
      <c r="W282" s="7"/>
      <c r="X282" s="3" t="s">
        <v>441</v>
      </c>
      <c r="Y282" s="3" t="s">
        <v>438</v>
      </c>
    </row>
    <row r="283" spans="1:25" x14ac:dyDescent="0.15">
      <c r="A283" s="3">
        <v>502004</v>
      </c>
      <c r="B283" s="11" t="s">
        <v>443</v>
      </c>
      <c r="C283" s="6">
        <v>1000</v>
      </c>
      <c r="D283" s="27">
        <v>0</v>
      </c>
      <c r="E283" s="3">
        <v>0</v>
      </c>
      <c r="F283" s="3">
        <v>0</v>
      </c>
      <c r="G283" s="3">
        <v>1</v>
      </c>
      <c r="H283" s="3">
        <v>0</v>
      </c>
      <c r="I283" s="3">
        <v>0</v>
      </c>
      <c r="J283" s="4">
        <v>162</v>
      </c>
      <c r="K283" s="3">
        <v>5</v>
      </c>
      <c r="L283" s="3" t="s">
        <v>420</v>
      </c>
      <c r="M283" s="3">
        <v>502</v>
      </c>
      <c r="N283" s="4" t="s">
        <v>436</v>
      </c>
      <c r="O283" s="3">
        <v>0</v>
      </c>
      <c r="P283" s="3"/>
      <c r="Q283" s="3" t="s">
        <v>444</v>
      </c>
      <c r="R283" s="3" t="str">
        <f t="shared" si="26"/>
        <v>ui_502004</v>
      </c>
      <c r="S283" s="3" t="str">
        <f t="shared" si="27"/>
        <v>502004</v>
      </c>
      <c r="T283" s="3">
        <v>1</v>
      </c>
      <c r="U283" s="3">
        <v>0</v>
      </c>
      <c r="V283" s="6">
        <v>1</v>
      </c>
      <c r="W283" s="7"/>
      <c r="X283" s="3" t="s">
        <v>443</v>
      </c>
      <c r="Y283" s="3" t="s">
        <v>438</v>
      </c>
    </row>
    <row r="284" spans="1:25" x14ac:dyDescent="0.15">
      <c r="A284" s="3">
        <v>502005</v>
      </c>
      <c r="B284" s="27" t="s">
        <v>2766</v>
      </c>
      <c r="C284" s="6">
        <v>1000</v>
      </c>
      <c r="D284" s="27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4">
        <v>159</v>
      </c>
      <c r="K284" s="3">
        <v>5</v>
      </c>
      <c r="L284" s="3" t="s">
        <v>420</v>
      </c>
      <c r="M284" s="3">
        <v>502</v>
      </c>
      <c r="N284" s="4" t="s">
        <v>436</v>
      </c>
      <c r="O284" s="3">
        <v>0</v>
      </c>
      <c r="P284" s="3"/>
      <c r="Q284" s="27" t="s">
        <v>2768</v>
      </c>
      <c r="R284" s="3" t="str">
        <f t="shared" si="26"/>
        <v>ui_502005</v>
      </c>
      <c r="S284" s="3" t="str">
        <f t="shared" si="27"/>
        <v>502005</v>
      </c>
      <c r="T284" s="3">
        <v>1</v>
      </c>
      <c r="U284" s="3">
        <v>0</v>
      </c>
      <c r="V284" s="6">
        <v>1</v>
      </c>
      <c r="W284" s="7"/>
      <c r="X284" s="27" t="s">
        <v>2766</v>
      </c>
      <c r="Y284" s="3" t="s">
        <v>438</v>
      </c>
    </row>
    <row r="285" spans="1:25" x14ac:dyDescent="0.15">
      <c r="A285" s="3">
        <v>502006</v>
      </c>
      <c r="B285" s="27" t="s">
        <v>2767</v>
      </c>
      <c r="C285" s="6">
        <v>1000</v>
      </c>
      <c r="D285" s="27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4">
        <v>159</v>
      </c>
      <c r="K285" s="3">
        <v>5</v>
      </c>
      <c r="L285" s="3" t="s">
        <v>420</v>
      </c>
      <c r="M285" s="3">
        <v>502</v>
      </c>
      <c r="N285" s="4" t="s">
        <v>436</v>
      </c>
      <c r="O285" s="3">
        <v>0</v>
      </c>
      <c r="P285" s="3"/>
      <c r="Q285" s="3" t="s">
        <v>437</v>
      </c>
      <c r="R285" s="3" t="str">
        <f t="shared" si="26"/>
        <v>ui_502006</v>
      </c>
      <c r="S285" s="3" t="str">
        <f t="shared" si="27"/>
        <v>502006</v>
      </c>
      <c r="T285" s="3">
        <v>1</v>
      </c>
      <c r="U285" s="3">
        <v>0</v>
      </c>
      <c r="V285" s="6">
        <v>1</v>
      </c>
      <c r="W285" s="7"/>
      <c r="X285" s="27" t="s">
        <v>2767</v>
      </c>
      <c r="Y285" s="3" t="s">
        <v>438</v>
      </c>
    </row>
    <row r="286" spans="1:25" x14ac:dyDescent="0.15">
      <c r="A286" s="3">
        <v>503001</v>
      </c>
      <c r="B286" s="11" t="s">
        <v>445</v>
      </c>
      <c r="C286" s="6">
        <v>1000</v>
      </c>
      <c r="D286" s="27">
        <v>0</v>
      </c>
      <c r="E286" s="3">
        <v>0</v>
      </c>
      <c r="F286" s="3">
        <v>0</v>
      </c>
      <c r="G286" s="3">
        <v>1</v>
      </c>
      <c r="H286" s="3">
        <v>0</v>
      </c>
      <c r="I286" s="3">
        <v>0</v>
      </c>
      <c r="J286" s="4">
        <v>163</v>
      </c>
      <c r="K286" s="3">
        <v>5</v>
      </c>
      <c r="L286" s="3" t="s">
        <v>420</v>
      </c>
      <c r="M286" s="3">
        <v>503</v>
      </c>
      <c r="N286" s="4" t="s">
        <v>446</v>
      </c>
      <c r="O286" s="3">
        <v>0</v>
      </c>
      <c r="P286" s="3"/>
      <c r="Q286" s="3" t="s">
        <v>437</v>
      </c>
      <c r="R286" s="3" t="str">
        <f t="shared" si="26"/>
        <v>ui_503001</v>
      </c>
      <c r="S286" s="3" t="str">
        <f t="shared" si="27"/>
        <v>503001</v>
      </c>
      <c r="T286" s="3">
        <v>1</v>
      </c>
      <c r="U286" s="3">
        <v>0</v>
      </c>
      <c r="V286" s="6">
        <v>1</v>
      </c>
      <c r="W286" s="7"/>
      <c r="X286" s="3" t="s">
        <v>445</v>
      </c>
      <c r="Y286" s="3" t="s">
        <v>252</v>
      </c>
    </row>
    <row r="287" spans="1:25" x14ac:dyDescent="0.15">
      <c r="A287" s="3">
        <v>504001</v>
      </c>
      <c r="B287" s="3" t="s">
        <v>447</v>
      </c>
      <c r="C287" s="6">
        <v>1000</v>
      </c>
      <c r="D287" s="27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4">
        <v>164</v>
      </c>
      <c r="K287" s="3">
        <v>5</v>
      </c>
      <c r="L287" s="3" t="s">
        <v>420</v>
      </c>
      <c r="M287" s="3">
        <v>504</v>
      </c>
      <c r="N287" s="4" t="s">
        <v>448</v>
      </c>
      <c r="O287" s="3">
        <v>0</v>
      </c>
      <c r="P287" s="3"/>
      <c r="Q287" s="3" t="s">
        <v>440</v>
      </c>
      <c r="R287" s="3" t="str">
        <f t="shared" si="26"/>
        <v>ui_504001</v>
      </c>
      <c r="S287" s="3" t="str">
        <f t="shared" si="27"/>
        <v>504001</v>
      </c>
      <c r="T287" s="3">
        <v>1</v>
      </c>
      <c r="U287" s="3">
        <v>0</v>
      </c>
      <c r="V287" s="6">
        <v>1</v>
      </c>
      <c r="W287" s="7"/>
      <c r="X287" s="3" t="s">
        <v>447</v>
      </c>
      <c r="Y287" s="3" t="s">
        <v>252</v>
      </c>
    </row>
    <row r="288" spans="1:25" x14ac:dyDescent="0.15">
      <c r="A288" s="3">
        <v>504002</v>
      </c>
      <c r="B288" s="3" t="s">
        <v>449</v>
      </c>
      <c r="C288" s="6">
        <v>1000</v>
      </c>
      <c r="D288" s="27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4">
        <v>165</v>
      </c>
      <c r="K288" s="3">
        <v>5</v>
      </c>
      <c r="L288" s="3" t="s">
        <v>420</v>
      </c>
      <c r="M288" s="3">
        <v>504</v>
      </c>
      <c r="N288" s="4" t="s">
        <v>448</v>
      </c>
      <c r="O288" s="3">
        <v>0</v>
      </c>
      <c r="P288" s="3"/>
      <c r="Q288" s="3" t="s">
        <v>442</v>
      </c>
      <c r="R288" s="3" t="str">
        <f t="shared" si="26"/>
        <v>ui_504002</v>
      </c>
      <c r="S288" s="3" t="str">
        <f t="shared" si="27"/>
        <v>504002</v>
      </c>
      <c r="T288" s="3">
        <v>1</v>
      </c>
      <c r="U288" s="3">
        <v>0</v>
      </c>
      <c r="V288" s="6">
        <v>1</v>
      </c>
      <c r="W288" s="7"/>
      <c r="X288" s="3" t="s">
        <v>449</v>
      </c>
      <c r="Y288" s="3" t="s">
        <v>252</v>
      </c>
    </row>
    <row r="289" spans="1:25" x14ac:dyDescent="0.15">
      <c r="A289" s="3">
        <v>504003</v>
      </c>
      <c r="B289" s="3" t="s">
        <v>450</v>
      </c>
      <c r="C289" s="6">
        <v>1000</v>
      </c>
      <c r="D289" s="27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4">
        <v>166</v>
      </c>
      <c r="K289" s="3">
        <v>5</v>
      </c>
      <c r="L289" s="3" t="s">
        <v>420</v>
      </c>
      <c r="M289" s="3">
        <v>504</v>
      </c>
      <c r="N289" s="4" t="s">
        <v>448</v>
      </c>
      <c r="O289" s="3">
        <v>0</v>
      </c>
      <c r="P289" s="3"/>
      <c r="Q289" s="3" t="s">
        <v>444</v>
      </c>
      <c r="R289" s="3" t="str">
        <f t="shared" si="26"/>
        <v>ui_504003</v>
      </c>
      <c r="S289" s="3" t="str">
        <f t="shared" si="27"/>
        <v>504003</v>
      </c>
      <c r="T289" s="3">
        <v>1</v>
      </c>
      <c r="U289" s="3">
        <v>0</v>
      </c>
      <c r="V289" s="6">
        <v>1</v>
      </c>
      <c r="W289" s="7"/>
      <c r="X289" s="3" t="s">
        <v>450</v>
      </c>
      <c r="Y289" s="3" t="s">
        <v>252</v>
      </c>
    </row>
    <row r="290" spans="1:25" x14ac:dyDescent="0.15">
      <c r="A290" s="3">
        <v>504004</v>
      </c>
      <c r="B290" s="3" t="s">
        <v>451</v>
      </c>
      <c r="C290" s="6">
        <v>1000</v>
      </c>
      <c r="D290" s="27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4">
        <v>167</v>
      </c>
      <c r="K290" s="3">
        <v>5</v>
      </c>
      <c r="L290" s="3" t="s">
        <v>420</v>
      </c>
      <c r="M290" s="3">
        <v>504</v>
      </c>
      <c r="N290" s="4" t="s">
        <v>452</v>
      </c>
      <c r="O290" s="3">
        <v>0</v>
      </c>
      <c r="P290" s="3"/>
      <c r="Q290" s="3" t="s">
        <v>440</v>
      </c>
      <c r="R290" s="3" t="str">
        <f t="shared" si="26"/>
        <v>ui_504004</v>
      </c>
      <c r="S290" s="3" t="str">
        <f t="shared" si="27"/>
        <v>504004</v>
      </c>
      <c r="T290" s="3">
        <v>1</v>
      </c>
      <c r="U290" s="3">
        <v>0</v>
      </c>
      <c r="V290" s="6">
        <v>1</v>
      </c>
      <c r="W290" s="7"/>
      <c r="X290" s="3" t="s">
        <v>451</v>
      </c>
      <c r="Y290" s="3" t="s">
        <v>252</v>
      </c>
    </row>
    <row r="291" spans="1:25" x14ac:dyDescent="0.15">
      <c r="A291" s="3">
        <v>504005</v>
      </c>
      <c r="B291" s="3" t="s">
        <v>453</v>
      </c>
      <c r="C291" s="6">
        <v>1000</v>
      </c>
      <c r="D291" s="27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4">
        <v>168</v>
      </c>
      <c r="K291" s="3">
        <v>5</v>
      </c>
      <c r="L291" s="3" t="s">
        <v>420</v>
      </c>
      <c r="M291" s="3">
        <v>504</v>
      </c>
      <c r="N291" s="4" t="s">
        <v>452</v>
      </c>
      <c r="O291" s="3">
        <v>0</v>
      </c>
      <c r="P291" s="3"/>
      <c r="Q291" s="3" t="s">
        <v>442</v>
      </c>
      <c r="R291" s="3" t="str">
        <f t="shared" si="26"/>
        <v>ui_504005</v>
      </c>
      <c r="S291" s="3" t="str">
        <f t="shared" si="27"/>
        <v>504005</v>
      </c>
      <c r="T291" s="3">
        <v>1</v>
      </c>
      <c r="U291" s="3">
        <v>0</v>
      </c>
      <c r="V291" s="6">
        <v>1</v>
      </c>
      <c r="W291" s="7"/>
      <c r="X291" s="3" t="s">
        <v>453</v>
      </c>
      <c r="Y291" s="3" t="s">
        <v>252</v>
      </c>
    </row>
    <row r="292" spans="1:25" x14ac:dyDescent="0.15">
      <c r="A292" s="3">
        <v>504006</v>
      </c>
      <c r="B292" s="3" t="s">
        <v>454</v>
      </c>
      <c r="C292" s="6">
        <v>1000</v>
      </c>
      <c r="D292" s="27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4">
        <v>169</v>
      </c>
      <c r="K292" s="3">
        <v>5</v>
      </c>
      <c r="L292" s="3" t="s">
        <v>420</v>
      </c>
      <c r="M292" s="3">
        <v>504</v>
      </c>
      <c r="N292" s="4" t="s">
        <v>452</v>
      </c>
      <c r="O292" s="3">
        <v>0</v>
      </c>
      <c r="P292" s="3"/>
      <c r="Q292" s="3" t="s">
        <v>444</v>
      </c>
      <c r="R292" s="3" t="str">
        <f t="shared" si="26"/>
        <v>ui_504006</v>
      </c>
      <c r="S292" s="3" t="str">
        <f t="shared" si="27"/>
        <v>504006</v>
      </c>
      <c r="T292" s="3">
        <v>1</v>
      </c>
      <c r="U292" s="3">
        <v>0</v>
      </c>
      <c r="V292" s="6">
        <v>1</v>
      </c>
      <c r="W292" s="7"/>
      <c r="X292" s="3" t="s">
        <v>454</v>
      </c>
      <c r="Y292" s="3" t="s">
        <v>252</v>
      </c>
    </row>
    <row r="293" spans="1:25" x14ac:dyDescent="0.15">
      <c r="A293" s="3">
        <v>504007</v>
      </c>
      <c r="B293" s="27" t="s">
        <v>2129</v>
      </c>
      <c r="C293" s="6">
        <v>1000</v>
      </c>
      <c r="D293" s="27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4">
        <v>167</v>
      </c>
      <c r="K293" s="3">
        <v>5</v>
      </c>
      <c r="L293" s="3" t="s">
        <v>420</v>
      </c>
      <c r="M293" s="3">
        <v>504</v>
      </c>
      <c r="N293" s="4" t="s">
        <v>452</v>
      </c>
      <c r="O293" s="3">
        <v>0</v>
      </c>
      <c r="P293" s="3"/>
      <c r="Q293" s="3" t="s">
        <v>440</v>
      </c>
      <c r="R293" s="3" t="str">
        <f t="shared" si="26"/>
        <v>ui_504007</v>
      </c>
      <c r="S293" s="3" t="str">
        <f t="shared" si="27"/>
        <v>504007</v>
      </c>
      <c r="T293" s="3">
        <v>1</v>
      </c>
      <c r="U293" s="3">
        <v>0</v>
      </c>
      <c r="V293" s="6">
        <v>1</v>
      </c>
      <c r="W293" s="7"/>
      <c r="X293" s="3" t="s">
        <v>451</v>
      </c>
      <c r="Y293" s="3" t="s">
        <v>252</v>
      </c>
    </row>
    <row r="294" spans="1:25" x14ac:dyDescent="0.15">
      <c r="A294" s="3">
        <v>504008</v>
      </c>
      <c r="B294" s="27" t="s">
        <v>2130</v>
      </c>
      <c r="C294" s="6">
        <v>1000</v>
      </c>
      <c r="D294" s="27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4">
        <v>167</v>
      </c>
      <c r="K294" s="3">
        <v>5</v>
      </c>
      <c r="L294" s="3" t="s">
        <v>420</v>
      </c>
      <c r="M294" s="3">
        <v>504</v>
      </c>
      <c r="N294" s="4" t="s">
        <v>452</v>
      </c>
      <c r="O294" s="3">
        <v>0</v>
      </c>
      <c r="P294" s="3"/>
      <c r="Q294" s="3" t="s">
        <v>440</v>
      </c>
      <c r="R294" s="3" t="str">
        <f t="shared" si="26"/>
        <v>ui_504008</v>
      </c>
      <c r="S294" s="3" t="str">
        <f t="shared" si="27"/>
        <v>504008</v>
      </c>
      <c r="T294" s="3">
        <v>1</v>
      </c>
      <c r="U294" s="3">
        <v>0</v>
      </c>
      <c r="V294" s="6">
        <v>1</v>
      </c>
      <c r="W294" s="7"/>
      <c r="X294" s="3" t="s">
        <v>451</v>
      </c>
      <c r="Y294" s="3" t="s">
        <v>252</v>
      </c>
    </row>
    <row r="295" spans="1:25" x14ac:dyDescent="0.15">
      <c r="A295" s="3">
        <v>504009</v>
      </c>
      <c r="B295" s="27" t="s">
        <v>2719</v>
      </c>
      <c r="C295" s="6">
        <v>1000</v>
      </c>
      <c r="D295" s="27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4">
        <v>167</v>
      </c>
      <c r="K295" s="3">
        <v>5</v>
      </c>
      <c r="L295" s="3" t="s">
        <v>420</v>
      </c>
      <c r="M295" s="3">
        <v>504</v>
      </c>
      <c r="N295" s="4" t="s">
        <v>452</v>
      </c>
      <c r="O295" s="3">
        <v>0</v>
      </c>
      <c r="P295" s="3"/>
      <c r="Q295" s="3" t="s">
        <v>440</v>
      </c>
      <c r="R295" s="3" t="str">
        <f t="shared" si="26"/>
        <v>ui_504009</v>
      </c>
      <c r="S295" s="3" t="str">
        <f t="shared" si="27"/>
        <v>504009</v>
      </c>
      <c r="T295" s="3">
        <v>1</v>
      </c>
      <c r="U295" s="3">
        <v>0</v>
      </c>
      <c r="V295" s="6">
        <v>1</v>
      </c>
      <c r="W295" s="7"/>
      <c r="X295" s="3" t="s">
        <v>451</v>
      </c>
      <c r="Y295" s="3" t="s">
        <v>252</v>
      </c>
    </row>
    <row r="296" spans="1:25" x14ac:dyDescent="0.15">
      <c r="A296" s="3">
        <v>601001</v>
      </c>
      <c r="B296" s="3" t="s">
        <v>455</v>
      </c>
      <c r="C296" s="6">
        <v>5</v>
      </c>
      <c r="D296" s="27">
        <v>0</v>
      </c>
      <c r="E296" s="3">
        <v>0</v>
      </c>
      <c r="F296" s="3">
        <v>0</v>
      </c>
      <c r="G296" s="3">
        <v>0</v>
      </c>
      <c r="H296" s="3">
        <v>1</v>
      </c>
      <c r="I296" s="3">
        <v>0</v>
      </c>
      <c r="J296" s="4">
        <v>170</v>
      </c>
      <c r="K296" s="3">
        <v>6</v>
      </c>
      <c r="L296" s="3" t="s">
        <v>456</v>
      </c>
      <c r="M296" s="3">
        <v>601</v>
      </c>
      <c r="N296" s="3" t="s">
        <v>455</v>
      </c>
      <c r="O296" s="3">
        <v>5</v>
      </c>
      <c r="P296" s="3" t="s">
        <v>329</v>
      </c>
      <c r="Q296" s="3" t="s">
        <v>272</v>
      </c>
      <c r="R296" s="3" t="str">
        <f t="shared" si="26"/>
        <v>ui_601001</v>
      </c>
      <c r="S296" s="3" t="str">
        <f t="shared" si="27"/>
        <v>601001</v>
      </c>
      <c r="T296" s="3">
        <v>4</v>
      </c>
      <c r="U296" s="3">
        <v>0</v>
      </c>
      <c r="V296" s="6">
        <v>100</v>
      </c>
      <c r="W296" s="7"/>
      <c r="X296" s="3" t="s">
        <v>455</v>
      </c>
      <c r="Y296" s="3" t="s">
        <v>457</v>
      </c>
    </row>
    <row r="297" spans="1:25" x14ac:dyDescent="0.15">
      <c r="A297" s="3">
        <v>602001</v>
      </c>
      <c r="B297" s="27" t="s">
        <v>3534</v>
      </c>
      <c r="C297" s="6">
        <v>5</v>
      </c>
      <c r="D297" s="27">
        <v>0</v>
      </c>
      <c r="E297" s="3">
        <v>1</v>
      </c>
      <c r="F297" s="3">
        <v>0</v>
      </c>
      <c r="G297" s="3">
        <v>0</v>
      </c>
      <c r="H297" s="3">
        <v>1</v>
      </c>
      <c r="I297" s="3">
        <v>0</v>
      </c>
      <c r="J297" s="4">
        <v>171</v>
      </c>
      <c r="K297" s="3">
        <v>6</v>
      </c>
      <c r="L297" s="3" t="s">
        <v>456</v>
      </c>
      <c r="M297" s="3">
        <v>602</v>
      </c>
      <c r="N297" s="3" t="s">
        <v>459</v>
      </c>
      <c r="O297" s="3">
        <v>0</v>
      </c>
      <c r="P297" s="3"/>
      <c r="Q297" s="3" t="s">
        <v>272</v>
      </c>
      <c r="R297" s="3" t="str">
        <f t="shared" si="26"/>
        <v>ui_602001</v>
      </c>
      <c r="S297" s="3" t="str">
        <f t="shared" si="27"/>
        <v>602001</v>
      </c>
      <c r="T297" s="3">
        <v>1</v>
      </c>
      <c r="U297" s="3">
        <v>0</v>
      </c>
      <c r="V297" s="6">
        <v>100</v>
      </c>
      <c r="W297" s="7"/>
      <c r="X297" s="3" t="s">
        <v>458</v>
      </c>
      <c r="Y297" s="3" t="s">
        <v>460</v>
      </c>
    </row>
    <row r="298" spans="1:25" x14ac:dyDescent="0.15">
      <c r="A298" s="3">
        <v>602002</v>
      </c>
      <c r="B298" s="3" t="s">
        <v>461</v>
      </c>
      <c r="C298" s="6">
        <v>15</v>
      </c>
      <c r="D298" s="27">
        <v>0</v>
      </c>
      <c r="E298" s="3">
        <v>4</v>
      </c>
      <c r="F298" s="3">
        <v>0</v>
      </c>
      <c r="G298" s="3">
        <v>0</v>
      </c>
      <c r="H298" s="3">
        <v>0</v>
      </c>
      <c r="I298" s="3">
        <v>0</v>
      </c>
      <c r="J298" s="4">
        <v>172</v>
      </c>
      <c r="K298" s="3">
        <v>6</v>
      </c>
      <c r="L298" s="3" t="s">
        <v>394</v>
      </c>
      <c r="M298" s="3">
        <v>602</v>
      </c>
      <c r="N298" s="3" t="s">
        <v>459</v>
      </c>
      <c r="O298" s="3">
        <v>0</v>
      </c>
      <c r="P298" s="3"/>
      <c r="Q298" s="3" t="s">
        <v>272</v>
      </c>
      <c r="R298" s="3" t="str">
        <f t="shared" si="26"/>
        <v>ui_602002</v>
      </c>
      <c r="S298" s="3" t="str">
        <f t="shared" si="27"/>
        <v>602002</v>
      </c>
      <c r="T298" s="3">
        <v>1</v>
      </c>
      <c r="U298" s="3">
        <v>0</v>
      </c>
      <c r="V298" s="6">
        <v>100</v>
      </c>
      <c r="W298" s="7"/>
      <c r="X298" s="3" t="s">
        <v>461</v>
      </c>
      <c r="Y298" s="3" t="s">
        <v>462</v>
      </c>
    </row>
    <row r="299" spans="1:25" x14ac:dyDescent="0.15">
      <c r="A299" s="3">
        <v>602003</v>
      </c>
      <c r="B299" s="27" t="s">
        <v>2925</v>
      </c>
      <c r="C299" s="6">
        <v>50</v>
      </c>
      <c r="D299" s="27">
        <v>1</v>
      </c>
      <c r="E299" s="3">
        <v>1</v>
      </c>
      <c r="F299" s="3">
        <v>0</v>
      </c>
      <c r="G299" s="3">
        <v>0</v>
      </c>
      <c r="H299" s="3">
        <v>1</v>
      </c>
      <c r="I299" s="3">
        <v>1</v>
      </c>
      <c r="J299" s="4">
        <v>171</v>
      </c>
      <c r="K299" s="3">
        <v>6</v>
      </c>
      <c r="L299" s="3" t="s">
        <v>456</v>
      </c>
      <c r="M299" s="3">
        <v>602</v>
      </c>
      <c r="N299" s="3" t="s">
        <v>459</v>
      </c>
      <c r="O299" s="3">
        <v>0</v>
      </c>
      <c r="P299" s="3"/>
      <c r="Q299" s="3" t="s">
        <v>272</v>
      </c>
      <c r="R299" s="3" t="str">
        <f t="shared" si="26"/>
        <v>ui_602003</v>
      </c>
      <c r="S299" s="3" t="str">
        <f t="shared" si="27"/>
        <v>602003</v>
      </c>
      <c r="T299" s="3">
        <v>1</v>
      </c>
      <c r="U299" s="3">
        <v>0</v>
      </c>
      <c r="V299" s="6">
        <v>100</v>
      </c>
      <c r="W299" s="7"/>
      <c r="X299" s="27" t="s">
        <v>2925</v>
      </c>
      <c r="Y299" s="27" t="s">
        <v>3459</v>
      </c>
    </row>
    <row r="300" spans="1:25" x14ac:dyDescent="0.15">
      <c r="A300" s="3">
        <v>602004</v>
      </c>
      <c r="B300" s="27" t="s">
        <v>2926</v>
      </c>
      <c r="C300" s="6">
        <v>50</v>
      </c>
      <c r="D300" s="27">
        <v>1</v>
      </c>
      <c r="E300" s="3">
        <v>1</v>
      </c>
      <c r="F300" s="3">
        <v>0</v>
      </c>
      <c r="G300" s="3">
        <v>0</v>
      </c>
      <c r="H300" s="3">
        <v>1</v>
      </c>
      <c r="I300" s="3">
        <v>1</v>
      </c>
      <c r="J300" s="4">
        <v>171</v>
      </c>
      <c r="K300" s="3">
        <v>6</v>
      </c>
      <c r="L300" s="3" t="s">
        <v>456</v>
      </c>
      <c r="M300" s="3">
        <v>602</v>
      </c>
      <c r="N300" s="3" t="s">
        <v>459</v>
      </c>
      <c r="O300" s="3">
        <v>0</v>
      </c>
      <c r="P300" s="3"/>
      <c r="Q300" s="3" t="s">
        <v>272</v>
      </c>
      <c r="R300" s="3" t="str">
        <f t="shared" si="26"/>
        <v>ui_602004</v>
      </c>
      <c r="S300" s="3" t="str">
        <f t="shared" si="27"/>
        <v>602004</v>
      </c>
      <c r="T300" s="3">
        <v>1</v>
      </c>
      <c r="U300" s="3">
        <v>0</v>
      </c>
      <c r="V300" s="6">
        <v>100</v>
      </c>
      <c r="W300" s="7"/>
      <c r="X300" s="27" t="s">
        <v>2926</v>
      </c>
      <c r="Y300" s="27" t="s">
        <v>2927</v>
      </c>
    </row>
    <row r="301" spans="1:25" x14ac:dyDescent="0.15">
      <c r="A301" s="3">
        <v>603001</v>
      </c>
      <c r="B301" s="3" t="s">
        <v>463</v>
      </c>
      <c r="C301" s="6">
        <v>5</v>
      </c>
      <c r="D301" s="27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4">
        <v>173</v>
      </c>
      <c r="K301" s="3">
        <v>6</v>
      </c>
      <c r="L301" s="3" t="s">
        <v>456</v>
      </c>
      <c r="M301" s="3">
        <v>603</v>
      </c>
      <c r="N301" s="3" t="s">
        <v>464</v>
      </c>
      <c r="O301" s="3">
        <v>0</v>
      </c>
      <c r="P301" s="3"/>
      <c r="Q301" s="3" t="s">
        <v>272</v>
      </c>
      <c r="R301" s="3" t="str">
        <f t="shared" si="26"/>
        <v>ui_603001</v>
      </c>
      <c r="S301" s="3" t="str">
        <f t="shared" si="27"/>
        <v>603001</v>
      </c>
      <c r="T301" s="3">
        <v>5</v>
      </c>
      <c r="U301" s="3">
        <v>0</v>
      </c>
      <c r="V301" s="6">
        <v>100</v>
      </c>
      <c r="W301" s="7"/>
      <c r="X301" s="3" t="s">
        <v>463</v>
      </c>
      <c r="Y301" s="3" t="s">
        <v>465</v>
      </c>
    </row>
    <row r="302" spans="1:25" x14ac:dyDescent="0.15">
      <c r="A302" s="3">
        <v>603002</v>
      </c>
      <c r="B302" s="3" t="s">
        <v>466</v>
      </c>
      <c r="C302" s="6">
        <v>100</v>
      </c>
      <c r="D302" s="27">
        <v>1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4">
        <v>174</v>
      </c>
      <c r="K302" s="3">
        <v>6</v>
      </c>
      <c r="L302" s="3" t="s">
        <v>456</v>
      </c>
      <c r="M302" s="3">
        <v>603</v>
      </c>
      <c r="N302" s="3" t="s">
        <v>464</v>
      </c>
      <c r="O302" s="3">
        <v>0</v>
      </c>
      <c r="P302" s="3"/>
      <c r="Q302" s="3" t="s">
        <v>272</v>
      </c>
      <c r="R302" s="3" t="str">
        <f t="shared" si="26"/>
        <v>ui_603002</v>
      </c>
      <c r="S302" s="3" t="str">
        <f t="shared" si="27"/>
        <v>603002</v>
      </c>
      <c r="T302" s="3">
        <v>5</v>
      </c>
      <c r="U302" s="3">
        <v>0</v>
      </c>
      <c r="V302" s="6">
        <v>100</v>
      </c>
      <c r="W302" s="7"/>
      <c r="X302" s="3" t="str">
        <f>B302</f>
        <v>秘银锭</v>
      </c>
      <c r="Y302" s="3" t="s">
        <v>467</v>
      </c>
    </row>
    <row r="303" spans="1:25" x14ac:dyDescent="0.15">
      <c r="A303" s="3">
        <v>603003</v>
      </c>
      <c r="B303" s="3" t="s">
        <v>468</v>
      </c>
      <c r="C303" s="6">
        <v>100</v>
      </c>
      <c r="D303" s="27">
        <v>1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4">
        <v>175</v>
      </c>
      <c r="K303" s="3">
        <v>6</v>
      </c>
      <c r="L303" s="3" t="s">
        <v>456</v>
      </c>
      <c r="M303" s="3">
        <v>603</v>
      </c>
      <c r="N303" s="3" t="s">
        <v>464</v>
      </c>
      <c r="O303" s="3">
        <v>0</v>
      </c>
      <c r="P303" s="3"/>
      <c r="Q303" s="3" t="s">
        <v>272</v>
      </c>
      <c r="R303" s="3" t="str">
        <f t="shared" si="26"/>
        <v>ui_603003</v>
      </c>
      <c r="S303" s="3" t="str">
        <f t="shared" si="27"/>
        <v>603003</v>
      </c>
      <c r="T303" s="3">
        <v>5</v>
      </c>
      <c r="U303" s="3">
        <v>0</v>
      </c>
      <c r="V303" s="6">
        <v>100</v>
      </c>
      <c r="W303" s="7"/>
      <c r="X303" s="3" t="str">
        <f>B303</f>
        <v>精金锭</v>
      </c>
      <c r="Y303" s="3" t="s">
        <v>469</v>
      </c>
    </row>
    <row r="304" spans="1:25" x14ac:dyDescent="0.15">
      <c r="A304" s="3">
        <v>603004</v>
      </c>
      <c r="B304" s="3" t="s">
        <v>470</v>
      </c>
      <c r="C304" s="6">
        <v>100</v>
      </c>
      <c r="D304" s="27">
        <v>1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4">
        <v>176</v>
      </c>
      <c r="K304" s="3">
        <v>6</v>
      </c>
      <c r="L304" s="3" t="s">
        <v>456</v>
      </c>
      <c r="M304" s="3">
        <v>603</v>
      </c>
      <c r="N304" s="3" t="s">
        <v>464</v>
      </c>
      <c r="O304" s="3">
        <v>0</v>
      </c>
      <c r="P304" s="3"/>
      <c r="Q304" s="3" t="s">
        <v>272</v>
      </c>
      <c r="R304" s="3" t="str">
        <f t="shared" si="26"/>
        <v>ui_603004</v>
      </c>
      <c r="S304" s="3" t="str">
        <f t="shared" si="27"/>
        <v>603004</v>
      </c>
      <c r="T304" s="3">
        <v>5</v>
      </c>
      <c r="U304" s="3">
        <v>0</v>
      </c>
      <c r="V304" s="6">
        <v>100</v>
      </c>
      <c r="W304" s="7"/>
      <c r="X304" s="3" t="str">
        <f>B304</f>
        <v>山铜锭</v>
      </c>
      <c r="Y304" s="3" t="s">
        <v>471</v>
      </c>
    </row>
    <row r="305" spans="1:25" x14ac:dyDescent="0.15">
      <c r="A305" s="3">
        <v>604001</v>
      </c>
      <c r="B305" s="3" t="s">
        <v>472</v>
      </c>
      <c r="C305" s="6">
        <v>2</v>
      </c>
      <c r="D305" s="27">
        <v>0</v>
      </c>
      <c r="E305" s="3">
        <v>1</v>
      </c>
      <c r="F305" s="3">
        <v>0</v>
      </c>
      <c r="G305" s="3">
        <v>0</v>
      </c>
      <c r="H305" s="3">
        <v>1</v>
      </c>
      <c r="I305" s="3">
        <v>0</v>
      </c>
      <c r="J305" s="4">
        <v>177</v>
      </c>
      <c r="K305" s="3">
        <v>6</v>
      </c>
      <c r="L305" s="3" t="s">
        <v>456</v>
      </c>
      <c r="M305" s="3">
        <v>604</v>
      </c>
      <c r="N305" s="3" t="s">
        <v>472</v>
      </c>
      <c r="O305" s="3">
        <v>0</v>
      </c>
      <c r="P305" s="3"/>
      <c r="Q305" s="3" t="s">
        <v>272</v>
      </c>
      <c r="R305" s="3" t="str">
        <f t="shared" si="26"/>
        <v>ui_604001</v>
      </c>
      <c r="S305" s="3" t="str">
        <f t="shared" si="27"/>
        <v>604001</v>
      </c>
      <c r="T305" s="3">
        <v>2</v>
      </c>
      <c r="U305" s="3">
        <v>0</v>
      </c>
      <c r="V305" s="6">
        <v>100</v>
      </c>
      <c r="W305" s="7"/>
      <c r="X305" s="3" t="s">
        <v>472</v>
      </c>
      <c r="Y305" s="3" t="s">
        <v>473</v>
      </c>
    </row>
    <row r="306" spans="1:25" x14ac:dyDescent="0.15">
      <c r="A306" s="3">
        <v>605001</v>
      </c>
      <c r="B306" s="3" t="s">
        <v>474</v>
      </c>
      <c r="C306" s="6">
        <v>4</v>
      </c>
      <c r="D306" s="27">
        <v>0</v>
      </c>
      <c r="E306" s="3">
        <v>0</v>
      </c>
      <c r="F306" s="3">
        <v>0</v>
      </c>
      <c r="G306" s="3">
        <v>0</v>
      </c>
      <c r="H306" s="3">
        <v>1</v>
      </c>
      <c r="I306" s="3">
        <v>0</v>
      </c>
      <c r="J306" s="4">
        <v>178</v>
      </c>
      <c r="K306" s="3">
        <v>6</v>
      </c>
      <c r="L306" s="3" t="s">
        <v>456</v>
      </c>
      <c r="M306" s="3">
        <v>605</v>
      </c>
      <c r="N306" s="3" t="s">
        <v>474</v>
      </c>
      <c r="O306" s="3">
        <v>0</v>
      </c>
      <c r="P306" s="3"/>
      <c r="Q306" s="3" t="s">
        <v>272</v>
      </c>
      <c r="R306" s="3" t="str">
        <f t="shared" si="26"/>
        <v>ui_605001</v>
      </c>
      <c r="S306" s="3" t="str">
        <f t="shared" si="27"/>
        <v>605001</v>
      </c>
      <c r="T306" s="3">
        <v>4</v>
      </c>
      <c r="U306" s="3">
        <v>0</v>
      </c>
      <c r="V306" s="6">
        <v>100</v>
      </c>
      <c r="W306" s="7"/>
      <c r="X306" s="3" t="s">
        <v>474</v>
      </c>
      <c r="Y306" s="3" t="s">
        <v>475</v>
      </c>
    </row>
    <row r="307" spans="1:25" x14ac:dyDescent="0.15">
      <c r="A307" s="3">
        <v>606001</v>
      </c>
      <c r="B307" s="3" t="s">
        <v>476</v>
      </c>
      <c r="C307" s="6">
        <v>3</v>
      </c>
      <c r="D307" s="27">
        <v>0</v>
      </c>
      <c r="E307" s="3">
        <v>1</v>
      </c>
      <c r="F307" s="3">
        <v>0</v>
      </c>
      <c r="G307" s="3">
        <v>0</v>
      </c>
      <c r="H307" s="3">
        <v>1</v>
      </c>
      <c r="I307" s="3">
        <v>0</v>
      </c>
      <c r="J307" s="4">
        <v>179</v>
      </c>
      <c r="K307" s="3">
        <v>6</v>
      </c>
      <c r="L307" s="3" t="s">
        <v>456</v>
      </c>
      <c r="M307" s="3">
        <v>606</v>
      </c>
      <c r="N307" s="4" t="s">
        <v>477</v>
      </c>
      <c r="O307" s="3">
        <v>0</v>
      </c>
      <c r="P307" s="3"/>
      <c r="Q307" s="3" t="s">
        <v>272</v>
      </c>
      <c r="R307" s="3" t="str">
        <f t="shared" si="26"/>
        <v>ui_606001</v>
      </c>
      <c r="S307" s="3" t="str">
        <f t="shared" si="27"/>
        <v>606001</v>
      </c>
      <c r="T307" s="3">
        <v>1</v>
      </c>
      <c r="U307" s="3">
        <v>0</v>
      </c>
      <c r="V307" s="6">
        <v>100</v>
      </c>
      <c r="W307" s="7"/>
      <c r="X307" s="3" t="s">
        <v>476</v>
      </c>
      <c r="Y307" s="3" t="s">
        <v>478</v>
      </c>
    </row>
    <row r="308" spans="1:25" x14ac:dyDescent="0.15">
      <c r="A308" s="3">
        <v>606002</v>
      </c>
      <c r="B308" s="3" t="s">
        <v>479</v>
      </c>
      <c r="C308" s="6">
        <v>3</v>
      </c>
      <c r="D308" s="27">
        <v>0</v>
      </c>
      <c r="E308" s="3">
        <v>1</v>
      </c>
      <c r="F308" s="3">
        <v>0</v>
      </c>
      <c r="G308" s="3">
        <v>0</v>
      </c>
      <c r="H308" s="3">
        <v>1</v>
      </c>
      <c r="I308" s="3">
        <v>0</v>
      </c>
      <c r="J308" s="4">
        <v>180</v>
      </c>
      <c r="K308" s="3">
        <v>6</v>
      </c>
      <c r="L308" s="3" t="s">
        <v>456</v>
      </c>
      <c r="M308" s="3">
        <v>606</v>
      </c>
      <c r="N308" s="4" t="s">
        <v>477</v>
      </c>
      <c r="O308" s="3">
        <v>0</v>
      </c>
      <c r="P308" s="3"/>
      <c r="Q308" s="3" t="s">
        <v>272</v>
      </c>
      <c r="R308" s="3" t="str">
        <f t="shared" si="26"/>
        <v>ui_606002</v>
      </c>
      <c r="S308" s="3" t="str">
        <f t="shared" si="27"/>
        <v>606002</v>
      </c>
      <c r="T308" s="3">
        <v>1</v>
      </c>
      <c r="U308" s="3">
        <v>0</v>
      </c>
      <c r="V308" s="6">
        <v>100</v>
      </c>
      <c r="W308" s="7"/>
      <c r="X308" s="3" t="s">
        <v>479</v>
      </c>
      <c r="Y308" s="3" t="s">
        <v>480</v>
      </c>
    </row>
    <row r="309" spans="1:25" x14ac:dyDescent="0.15">
      <c r="A309" s="3">
        <v>607001</v>
      </c>
      <c r="B309" s="3" t="s">
        <v>481</v>
      </c>
      <c r="C309" s="6">
        <v>100</v>
      </c>
      <c r="D309" s="27">
        <v>1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4">
        <v>181</v>
      </c>
      <c r="K309" s="3">
        <v>6</v>
      </c>
      <c r="L309" s="3" t="s">
        <v>456</v>
      </c>
      <c r="M309" s="3">
        <v>607</v>
      </c>
      <c r="N309" s="4" t="s">
        <v>482</v>
      </c>
      <c r="O309" s="3">
        <v>0</v>
      </c>
      <c r="P309" s="3"/>
      <c r="Q309" s="3" t="s">
        <v>272</v>
      </c>
      <c r="R309" s="3" t="str">
        <f t="shared" si="26"/>
        <v>ui_607001</v>
      </c>
      <c r="S309" s="3" t="str">
        <f t="shared" si="27"/>
        <v>607001</v>
      </c>
      <c r="T309" s="3">
        <v>5</v>
      </c>
      <c r="U309" s="3">
        <v>100</v>
      </c>
      <c r="V309" s="6">
        <v>10</v>
      </c>
      <c r="W309" s="7"/>
      <c r="X309" s="3" t="s">
        <v>481</v>
      </c>
      <c r="Y309" s="3" t="s">
        <v>483</v>
      </c>
    </row>
    <row r="310" spans="1:25" x14ac:dyDescent="0.15">
      <c r="A310" s="3">
        <v>608001</v>
      </c>
      <c r="B310" s="3" t="s">
        <v>484</v>
      </c>
      <c r="C310" s="6">
        <v>1000</v>
      </c>
      <c r="D310" s="27">
        <v>1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4">
        <v>182</v>
      </c>
      <c r="K310" s="3">
        <v>6</v>
      </c>
      <c r="L310" s="3" t="s">
        <v>456</v>
      </c>
      <c r="M310" s="3">
        <v>608</v>
      </c>
      <c r="N310" s="4" t="s">
        <v>485</v>
      </c>
      <c r="O310" s="3">
        <v>0</v>
      </c>
      <c r="P310" s="3"/>
      <c r="Q310" s="3" t="s">
        <v>272</v>
      </c>
      <c r="R310" s="3" t="str">
        <f t="shared" si="26"/>
        <v>ui_608001</v>
      </c>
      <c r="S310" s="3" t="str">
        <f t="shared" si="27"/>
        <v>608001</v>
      </c>
      <c r="T310" s="3">
        <v>5</v>
      </c>
      <c r="U310" s="3">
        <v>1</v>
      </c>
      <c r="V310" s="6">
        <v>1</v>
      </c>
      <c r="W310" s="7"/>
      <c r="X310" s="3" t="s">
        <v>484</v>
      </c>
      <c r="Y310" s="3" t="s">
        <v>486</v>
      </c>
    </row>
    <row r="311" spans="1:25" x14ac:dyDescent="0.15">
      <c r="A311" s="3">
        <v>609001</v>
      </c>
      <c r="B311" s="3" t="s">
        <v>487</v>
      </c>
      <c r="C311" s="6">
        <v>1</v>
      </c>
      <c r="D311" s="27">
        <v>0</v>
      </c>
      <c r="E311" s="3">
        <v>1</v>
      </c>
      <c r="F311" s="3">
        <v>0</v>
      </c>
      <c r="G311" s="3">
        <v>0</v>
      </c>
      <c r="H311" s="3">
        <v>0</v>
      </c>
      <c r="I311" s="3">
        <v>0</v>
      </c>
      <c r="J311" s="4">
        <v>183</v>
      </c>
      <c r="K311" s="3">
        <v>6</v>
      </c>
      <c r="L311" s="3" t="s">
        <v>456</v>
      </c>
      <c r="M311" s="3">
        <v>609</v>
      </c>
      <c r="N311" s="4" t="s">
        <v>487</v>
      </c>
      <c r="O311" s="3">
        <v>0</v>
      </c>
      <c r="P311" s="3"/>
      <c r="Q311" s="3" t="s">
        <v>272</v>
      </c>
      <c r="R311" s="3" t="str">
        <f t="shared" si="26"/>
        <v>ui_609001</v>
      </c>
      <c r="S311" s="3" t="str">
        <f t="shared" si="27"/>
        <v>609001</v>
      </c>
      <c r="T311" s="3">
        <v>1</v>
      </c>
      <c r="U311" s="3">
        <v>0</v>
      </c>
      <c r="V311" s="6">
        <v>100</v>
      </c>
      <c r="W311" s="7"/>
      <c r="X311" s="3" t="s">
        <v>487</v>
      </c>
      <c r="Y311" s="3" t="s">
        <v>488</v>
      </c>
    </row>
    <row r="312" spans="1:25" x14ac:dyDescent="0.15">
      <c r="A312" s="3">
        <v>610001</v>
      </c>
      <c r="B312" s="27" t="s">
        <v>1831</v>
      </c>
      <c r="C312" s="6">
        <v>0</v>
      </c>
      <c r="D312" s="27">
        <v>0</v>
      </c>
      <c r="E312" s="3">
        <v>1</v>
      </c>
      <c r="F312" s="3">
        <v>0</v>
      </c>
      <c r="G312" s="3">
        <v>0</v>
      </c>
      <c r="H312" s="3">
        <v>0</v>
      </c>
      <c r="I312" s="3">
        <v>1</v>
      </c>
      <c r="J312" s="4">
        <v>184</v>
      </c>
      <c r="K312" s="3">
        <v>6</v>
      </c>
      <c r="L312" s="3" t="s">
        <v>456</v>
      </c>
      <c r="M312" s="3">
        <v>610</v>
      </c>
      <c r="N312" s="4" t="s">
        <v>456</v>
      </c>
      <c r="O312" s="3">
        <v>0</v>
      </c>
      <c r="P312" s="3"/>
      <c r="Q312" s="3" t="s">
        <v>1842</v>
      </c>
      <c r="R312" s="3" t="str">
        <f t="shared" si="26"/>
        <v>ui_610001</v>
      </c>
      <c r="S312" s="3" t="str">
        <f t="shared" si="27"/>
        <v>610001</v>
      </c>
      <c r="T312" s="3">
        <v>0.2</v>
      </c>
      <c r="U312" s="3">
        <v>0</v>
      </c>
      <c r="V312" s="6">
        <v>100</v>
      </c>
      <c r="W312" s="7"/>
      <c r="X312" s="27" t="s">
        <v>1831</v>
      </c>
      <c r="Y312" s="3" t="s">
        <v>489</v>
      </c>
    </row>
    <row r="313" spans="1:25" x14ac:dyDescent="0.15">
      <c r="A313" s="3">
        <v>610002</v>
      </c>
      <c r="B313" s="3" t="s">
        <v>490</v>
      </c>
      <c r="C313" s="6">
        <v>0</v>
      </c>
      <c r="D313" s="27">
        <v>0</v>
      </c>
      <c r="E313" s="3">
        <v>1</v>
      </c>
      <c r="F313" s="3">
        <v>0</v>
      </c>
      <c r="G313" s="3">
        <v>0</v>
      </c>
      <c r="H313" s="3">
        <v>0</v>
      </c>
      <c r="I313" s="3">
        <v>0</v>
      </c>
      <c r="J313" s="4">
        <v>185</v>
      </c>
      <c r="K313" s="3">
        <v>6</v>
      </c>
      <c r="L313" s="3" t="s">
        <v>456</v>
      </c>
      <c r="M313" s="3">
        <v>610</v>
      </c>
      <c r="N313" s="4" t="s">
        <v>456</v>
      </c>
      <c r="O313" s="3">
        <v>0</v>
      </c>
      <c r="P313" s="3"/>
      <c r="Q313" s="3" t="s">
        <v>272</v>
      </c>
      <c r="R313" s="3" t="str">
        <f t="shared" si="26"/>
        <v>ui_610002</v>
      </c>
      <c r="S313" s="3" t="str">
        <f t="shared" si="27"/>
        <v>610002</v>
      </c>
      <c r="T313" s="3">
        <v>0.1</v>
      </c>
      <c r="U313" s="3">
        <v>0</v>
      </c>
      <c r="V313" s="6">
        <v>100</v>
      </c>
      <c r="W313" s="7"/>
      <c r="X313" s="3" t="s">
        <v>490</v>
      </c>
      <c r="Y313" s="27" t="s">
        <v>1604</v>
      </c>
    </row>
    <row r="314" spans="1:25" x14ac:dyDescent="0.15">
      <c r="A314" s="3">
        <v>610003</v>
      </c>
      <c r="B314" s="3" t="s">
        <v>491</v>
      </c>
      <c r="C314" s="6">
        <v>0</v>
      </c>
      <c r="D314" s="27">
        <v>0</v>
      </c>
      <c r="E314" s="3">
        <v>0</v>
      </c>
      <c r="F314" s="3">
        <v>0</v>
      </c>
      <c r="G314" s="3">
        <v>0</v>
      </c>
      <c r="H314" s="3">
        <v>0</v>
      </c>
      <c r="I314" s="3">
        <v>1</v>
      </c>
      <c r="J314" s="4">
        <v>186</v>
      </c>
      <c r="K314" s="3">
        <v>6</v>
      </c>
      <c r="L314" s="3" t="s">
        <v>456</v>
      </c>
      <c r="M314" s="3">
        <v>610</v>
      </c>
      <c r="N314" s="4" t="s">
        <v>456</v>
      </c>
      <c r="O314" s="3">
        <v>0</v>
      </c>
      <c r="P314" s="3"/>
      <c r="Q314" s="3" t="s">
        <v>272</v>
      </c>
      <c r="R314" s="3" t="str">
        <f t="shared" si="26"/>
        <v>ui_610003</v>
      </c>
      <c r="S314" s="3" t="str">
        <f t="shared" si="27"/>
        <v>610003</v>
      </c>
      <c r="T314" s="3">
        <v>0.2</v>
      </c>
      <c r="U314" s="3">
        <v>0</v>
      </c>
      <c r="V314" s="6">
        <v>100</v>
      </c>
      <c r="W314" s="7"/>
      <c r="X314" s="3" t="s">
        <v>491</v>
      </c>
      <c r="Y314" s="26" t="s">
        <v>1556</v>
      </c>
    </row>
    <row r="315" spans="1:25" x14ac:dyDescent="0.15">
      <c r="A315" s="3">
        <v>611001</v>
      </c>
      <c r="B315" s="3" t="s">
        <v>492</v>
      </c>
      <c r="C315" s="6">
        <v>5</v>
      </c>
      <c r="D315" s="27">
        <v>0</v>
      </c>
      <c r="E315" s="3">
        <v>1</v>
      </c>
      <c r="F315" s="3">
        <v>10</v>
      </c>
      <c r="G315" s="3">
        <v>0</v>
      </c>
      <c r="H315" s="3">
        <v>1</v>
      </c>
      <c r="I315" s="3">
        <v>0</v>
      </c>
      <c r="J315" s="4">
        <v>187</v>
      </c>
      <c r="K315" s="3">
        <v>6</v>
      </c>
      <c r="L315" s="3" t="s">
        <v>456</v>
      </c>
      <c r="M315" s="3">
        <v>611</v>
      </c>
      <c r="N315" s="4" t="s">
        <v>493</v>
      </c>
      <c r="O315" s="3">
        <v>0</v>
      </c>
      <c r="P315" s="3"/>
      <c r="Q315" s="3" t="s">
        <v>272</v>
      </c>
      <c r="R315" s="3" t="str">
        <f t="shared" si="26"/>
        <v>ui_611001</v>
      </c>
      <c r="S315" s="3" t="str">
        <f t="shared" si="27"/>
        <v>611001</v>
      </c>
      <c r="T315" s="3">
        <v>1</v>
      </c>
      <c r="U315" s="3">
        <v>0</v>
      </c>
      <c r="V315" s="6">
        <v>100</v>
      </c>
      <c r="W315" s="7"/>
      <c r="X315" s="3" t="s">
        <v>492</v>
      </c>
      <c r="Y315" s="27" t="s">
        <v>2790</v>
      </c>
    </row>
    <row r="316" spans="1:25" x14ac:dyDescent="0.15">
      <c r="A316" s="3">
        <v>611002</v>
      </c>
      <c r="B316" s="3" t="s">
        <v>494</v>
      </c>
      <c r="C316" s="6">
        <v>5</v>
      </c>
      <c r="D316" s="27">
        <v>0</v>
      </c>
      <c r="E316" s="3">
        <v>1</v>
      </c>
      <c r="F316" s="3">
        <v>10</v>
      </c>
      <c r="G316" s="3">
        <v>0</v>
      </c>
      <c r="H316" s="3">
        <v>1</v>
      </c>
      <c r="I316" s="3">
        <v>0</v>
      </c>
      <c r="J316" s="4">
        <v>188</v>
      </c>
      <c r="K316" s="3">
        <v>6</v>
      </c>
      <c r="L316" s="3" t="s">
        <v>456</v>
      </c>
      <c r="M316" s="3">
        <v>611</v>
      </c>
      <c r="N316" s="4" t="s">
        <v>493</v>
      </c>
      <c r="O316" s="3">
        <v>0</v>
      </c>
      <c r="P316" s="3"/>
      <c r="Q316" s="3" t="s">
        <v>272</v>
      </c>
      <c r="R316" s="3" t="str">
        <f t="shared" si="26"/>
        <v>ui_611002</v>
      </c>
      <c r="S316" s="3" t="str">
        <f t="shared" si="27"/>
        <v>611002</v>
      </c>
      <c r="T316" s="3">
        <v>1</v>
      </c>
      <c r="U316" s="3">
        <v>0</v>
      </c>
      <c r="V316" s="6">
        <v>100</v>
      </c>
      <c r="W316" s="7"/>
      <c r="X316" s="3" t="s">
        <v>494</v>
      </c>
      <c r="Y316" s="27" t="s">
        <v>2791</v>
      </c>
    </row>
    <row r="317" spans="1:25" x14ac:dyDescent="0.15">
      <c r="A317" s="3">
        <v>611003</v>
      </c>
      <c r="B317" s="3" t="s">
        <v>1611</v>
      </c>
      <c r="C317" s="6">
        <v>1</v>
      </c>
      <c r="D317" s="27">
        <v>0</v>
      </c>
      <c r="E317" s="3">
        <v>1</v>
      </c>
      <c r="F317" s="3">
        <v>5</v>
      </c>
      <c r="G317" s="3">
        <v>0</v>
      </c>
      <c r="H317" s="3">
        <v>1</v>
      </c>
      <c r="I317" s="3">
        <v>0</v>
      </c>
      <c r="J317" s="4">
        <v>189</v>
      </c>
      <c r="K317" s="3">
        <v>6</v>
      </c>
      <c r="L317" s="3" t="s">
        <v>456</v>
      </c>
      <c r="M317" s="3">
        <v>611</v>
      </c>
      <c r="N317" s="4" t="s">
        <v>493</v>
      </c>
      <c r="O317" s="3">
        <v>0</v>
      </c>
      <c r="P317" s="3"/>
      <c r="Q317" s="3" t="s">
        <v>272</v>
      </c>
      <c r="R317" s="3" t="str">
        <f t="shared" ref="R317:R396" si="29">CONCATENATE("ui_",A317,"")</f>
        <v>ui_611003</v>
      </c>
      <c r="S317" s="3" t="str">
        <f t="shared" ref="S317:S396" si="30">CONCATENATE(A317,"")</f>
        <v>611003</v>
      </c>
      <c r="T317" s="3">
        <v>1</v>
      </c>
      <c r="U317" s="3">
        <v>0</v>
      </c>
      <c r="V317" s="6">
        <v>100</v>
      </c>
      <c r="W317" s="7"/>
      <c r="X317" s="3" t="s">
        <v>1611</v>
      </c>
      <c r="Y317" s="27" t="s">
        <v>1890</v>
      </c>
    </row>
    <row r="318" spans="1:25" x14ac:dyDescent="0.15">
      <c r="A318" s="3">
        <v>611004</v>
      </c>
      <c r="B318" s="27" t="s">
        <v>1872</v>
      </c>
      <c r="C318" s="6">
        <v>2</v>
      </c>
      <c r="D318" s="27">
        <v>0</v>
      </c>
      <c r="E318" s="3">
        <v>1</v>
      </c>
      <c r="F318" s="3">
        <v>2</v>
      </c>
      <c r="G318" s="3">
        <v>0</v>
      </c>
      <c r="H318" s="3">
        <v>1</v>
      </c>
      <c r="I318" s="3">
        <v>0</v>
      </c>
      <c r="J318" s="4">
        <v>189</v>
      </c>
      <c r="K318" s="3">
        <v>6</v>
      </c>
      <c r="L318" s="3" t="s">
        <v>456</v>
      </c>
      <c r="M318" s="3">
        <v>611</v>
      </c>
      <c r="N318" s="4" t="s">
        <v>493</v>
      </c>
      <c r="O318" s="3">
        <v>0</v>
      </c>
      <c r="P318" s="3"/>
      <c r="Q318" s="3" t="s">
        <v>272</v>
      </c>
      <c r="R318" s="3" t="str">
        <f t="shared" si="29"/>
        <v>ui_611004</v>
      </c>
      <c r="S318" s="3" t="str">
        <f t="shared" si="30"/>
        <v>611004</v>
      </c>
      <c r="T318" s="3">
        <v>1</v>
      </c>
      <c r="U318" s="3">
        <v>0</v>
      </c>
      <c r="V318" s="6">
        <v>100</v>
      </c>
      <c r="W318" s="7"/>
      <c r="X318" s="27" t="s">
        <v>1872</v>
      </c>
      <c r="Y318" s="3" t="s">
        <v>1891</v>
      </c>
    </row>
    <row r="319" spans="1:25" x14ac:dyDescent="0.15">
      <c r="A319" s="3">
        <v>611005</v>
      </c>
      <c r="B319" s="27" t="s">
        <v>1873</v>
      </c>
      <c r="C319" s="6">
        <v>2</v>
      </c>
      <c r="D319" s="27">
        <v>0</v>
      </c>
      <c r="E319" s="3">
        <v>1</v>
      </c>
      <c r="F319" s="3">
        <v>5</v>
      </c>
      <c r="G319" s="3">
        <v>0</v>
      </c>
      <c r="H319" s="3">
        <v>1</v>
      </c>
      <c r="I319" s="3">
        <v>0</v>
      </c>
      <c r="J319" s="4">
        <v>189</v>
      </c>
      <c r="K319" s="3">
        <v>6</v>
      </c>
      <c r="L319" s="3" t="s">
        <v>456</v>
      </c>
      <c r="M319" s="3">
        <v>611</v>
      </c>
      <c r="N319" s="4" t="s">
        <v>493</v>
      </c>
      <c r="O319" s="3">
        <v>0</v>
      </c>
      <c r="P319" s="3"/>
      <c r="Q319" s="3" t="s">
        <v>272</v>
      </c>
      <c r="R319" s="3" t="str">
        <f t="shared" si="29"/>
        <v>ui_611005</v>
      </c>
      <c r="S319" s="3" t="str">
        <f t="shared" si="30"/>
        <v>611005</v>
      </c>
      <c r="T319" s="3">
        <v>1</v>
      </c>
      <c r="U319" s="3">
        <v>0</v>
      </c>
      <c r="V319" s="6">
        <v>100</v>
      </c>
      <c r="W319" s="7"/>
      <c r="X319" s="27" t="s">
        <v>1873</v>
      </c>
      <c r="Y319" s="27" t="s">
        <v>2789</v>
      </c>
    </row>
    <row r="320" spans="1:25" x14ac:dyDescent="0.15">
      <c r="A320" s="3">
        <v>612001</v>
      </c>
      <c r="B320" s="27" t="s">
        <v>1874</v>
      </c>
      <c r="C320" s="6">
        <v>500</v>
      </c>
      <c r="D320" s="27">
        <v>1</v>
      </c>
      <c r="E320" s="3">
        <v>0</v>
      </c>
      <c r="F320" s="3">
        <v>0</v>
      </c>
      <c r="G320" s="3">
        <v>0</v>
      </c>
      <c r="H320" s="3">
        <v>1</v>
      </c>
      <c r="I320" s="3">
        <v>0</v>
      </c>
      <c r="J320" s="4">
        <v>190</v>
      </c>
      <c r="K320" s="3">
        <v>6</v>
      </c>
      <c r="L320" s="3" t="s">
        <v>456</v>
      </c>
      <c r="M320" s="3">
        <v>612</v>
      </c>
      <c r="N320" s="4" t="s">
        <v>1622</v>
      </c>
      <c r="O320" s="3">
        <v>0</v>
      </c>
      <c r="P320" s="3"/>
      <c r="Q320" s="3" t="s">
        <v>272</v>
      </c>
      <c r="R320" s="3" t="str">
        <f t="shared" si="29"/>
        <v>ui_612001</v>
      </c>
      <c r="S320" s="3" t="str">
        <f t="shared" si="30"/>
        <v>612001</v>
      </c>
      <c r="T320" s="3">
        <v>1</v>
      </c>
      <c r="U320" s="3">
        <v>0</v>
      </c>
      <c r="V320" s="6">
        <v>10</v>
      </c>
      <c r="W320" s="7"/>
      <c r="X320" s="3" t="s">
        <v>495</v>
      </c>
      <c r="Y320" s="27" t="s">
        <v>2782</v>
      </c>
    </row>
    <row r="321" spans="1:25" x14ac:dyDescent="0.15">
      <c r="A321" s="3">
        <v>612002</v>
      </c>
      <c r="B321" s="3" t="s">
        <v>497</v>
      </c>
      <c r="C321" s="6">
        <v>500</v>
      </c>
      <c r="D321" s="27">
        <v>1</v>
      </c>
      <c r="E321" s="3">
        <v>0</v>
      </c>
      <c r="F321" s="3">
        <v>0</v>
      </c>
      <c r="G321" s="3">
        <v>0</v>
      </c>
      <c r="H321" s="3">
        <v>1</v>
      </c>
      <c r="I321" s="3">
        <v>0</v>
      </c>
      <c r="J321" s="4">
        <v>191</v>
      </c>
      <c r="K321" s="3">
        <v>6</v>
      </c>
      <c r="L321" s="3" t="s">
        <v>456</v>
      </c>
      <c r="M321" s="3">
        <v>612</v>
      </c>
      <c r="N321" s="4" t="s">
        <v>496</v>
      </c>
      <c r="O321" s="3">
        <v>0</v>
      </c>
      <c r="P321" s="3"/>
      <c r="Q321" s="3" t="s">
        <v>272</v>
      </c>
      <c r="R321" s="3" t="str">
        <f t="shared" si="29"/>
        <v>ui_612002</v>
      </c>
      <c r="S321" s="3" t="str">
        <f t="shared" si="30"/>
        <v>612002</v>
      </c>
      <c r="T321" s="3">
        <v>1</v>
      </c>
      <c r="U321" s="3">
        <v>0</v>
      </c>
      <c r="V321" s="6">
        <v>10</v>
      </c>
      <c r="W321" s="7"/>
      <c r="X321" s="3" t="s">
        <v>497</v>
      </c>
      <c r="Y321" s="27" t="s">
        <v>2783</v>
      </c>
    </row>
    <row r="322" spans="1:25" x14ac:dyDescent="0.15">
      <c r="A322" s="3">
        <v>612003</v>
      </c>
      <c r="B322" s="3" t="s">
        <v>498</v>
      </c>
      <c r="C322" s="6">
        <v>500</v>
      </c>
      <c r="D322" s="27">
        <v>1</v>
      </c>
      <c r="E322" s="3">
        <v>0</v>
      </c>
      <c r="F322" s="3">
        <v>0</v>
      </c>
      <c r="G322" s="3">
        <v>0</v>
      </c>
      <c r="H322" s="3">
        <v>1</v>
      </c>
      <c r="I322" s="3">
        <v>0</v>
      </c>
      <c r="J322" s="4">
        <v>192</v>
      </c>
      <c r="K322" s="3">
        <v>6</v>
      </c>
      <c r="L322" s="3" t="s">
        <v>456</v>
      </c>
      <c r="M322" s="3">
        <v>612</v>
      </c>
      <c r="N322" s="4" t="s">
        <v>496</v>
      </c>
      <c r="O322" s="3">
        <v>0</v>
      </c>
      <c r="P322" s="3"/>
      <c r="Q322" s="3" t="s">
        <v>272</v>
      </c>
      <c r="R322" s="3" t="str">
        <f t="shared" si="29"/>
        <v>ui_612003</v>
      </c>
      <c r="S322" s="3" t="str">
        <f t="shared" si="30"/>
        <v>612003</v>
      </c>
      <c r="T322" s="3">
        <v>1</v>
      </c>
      <c r="U322" s="3">
        <v>0</v>
      </c>
      <c r="V322" s="6">
        <v>10</v>
      </c>
      <c r="W322" s="7"/>
      <c r="X322" s="3" t="s">
        <v>498</v>
      </c>
      <c r="Y322" s="27" t="s">
        <v>2784</v>
      </c>
    </row>
    <row r="323" spans="1:25" x14ac:dyDescent="0.15">
      <c r="A323" s="3">
        <v>613001</v>
      </c>
      <c r="B323" s="3" t="s">
        <v>499</v>
      </c>
      <c r="C323" s="6">
        <v>1000</v>
      </c>
      <c r="D323" s="27">
        <v>1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4">
        <v>194</v>
      </c>
      <c r="K323" s="3">
        <v>6</v>
      </c>
      <c r="L323" s="3" t="s">
        <v>456</v>
      </c>
      <c r="M323" s="3">
        <v>613</v>
      </c>
      <c r="N323" s="4" t="s">
        <v>499</v>
      </c>
      <c r="O323" s="3">
        <v>0</v>
      </c>
      <c r="P323" s="3"/>
      <c r="Q323" s="3" t="s">
        <v>272</v>
      </c>
      <c r="R323" s="3" t="str">
        <f t="shared" si="29"/>
        <v>ui_613001</v>
      </c>
      <c r="S323" s="3" t="str">
        <f t="shared" si="30"/>
        <v>613001</v>
      </c>
      <c r="T323" s="3">
        <v>1</v>
      </c>
      <c r="U323" s="3">
        <v>0</v>
      </c>
      <c r="V323" s="6">
        <v>100</v>
      </c>
      <c r="W323" s="7"/>
      <c r="X323" s="3" t="s">
        <v>499</v>
      </c>
      <c r="Y323" s="3" t="s">
        <v>500</v>
      </c>
    </row>
    <row r="324" spans="1:25" x14ac:dyDescent="0.15">
      <c r="A324" s="3">
        <v>614001</v>
      </c>
      <c r="B324" s="3" t="s">
        <v>501</v>
      </c>
      <c r="C324" s="6">
        <v>800</v>
      </c>
      <c r="D324" s="27">
        <v>1</v>
      </c>
      <c r="E324" s="3">
        <v>1</v>
      </c>
      <c r="F324" s="3">
        <v>0</v>
      </c>
      <c r="G324" s="3">
        <v>0</v>
      </c>
      <c r="H324" s="3">
        <v>0</v>
      </c>
      <c r="I324" s="3">
        <v>1</v>
      </c>
      <c r="J324" s="4">
        <v>195</v>
      </c>
      <c r="K324" s="3">
        <v>6</v>
      </c>
      <c r="L324" s="3" t="s">
        <v>456</v>
      </c>
      <c r="M324" s="3">
        <v>614</v>
      </c>
      <c r="N324" s="4" t="s">
        <v>502</v>
      </c>
      <c r="O324" s="3">
        <v>0</v>
      </c>
      <c r="P324" s="3"/>
      <c r="Q324" s="3" t="s">
        <v>272</v>
      </c>
      <c r="R324" s="3" t="str">
        <f t="shared" si="29"/>
        <v>ui_614001</v>
      </c>
      <c r="S324" s="3" t="str">
        <f t="shared" si="30"/>
        <v>614001</v>
      </c>
      <c r="T324" s="3">
        <v>1</v>
      </c>
      <c r="U324" s="3">
        <v>0</v>
      </c>
      <c r="V324" s="6">
        <v>100</v>
      </c>
      <c r="W324" s="7"/>
      <c r="X324" s="3" t="s">
        <v>501</v>
      </c>
      <c r="Y324" s="3" t="s">
        <v>503</v>
      </c>
    </row>
    <row r="325" spans="1:25" x14ac:dyDescent="0.15">
      <c r="A325" s="3">
        <v>615001</v>
      </c>
      <c r="B325" s="3" t="s">
        <v>504</v>
      </c>
      <c r="C325" s="6">
        <v>50</v>
      </c>
      <c r="D325" s="27">
        <v>0</v>
      </c>
      <c r="E325" s="3">
        <v>0</v>
      </c>
      <c r="F325" s="3">
        <v>0</v>
      </c>
      <c r="G325" s="3">
        <v>0</v>
      </c>
      <c r="H325" s="3">
        <v>1</v>
      </c>
      <c r="I325" s="3">
        <v>0</v>
      </c>
      <c r="J325" s="4">
        <v>196</v>
      </c>
      <c r="K325" s="3">
        <v>6</v>
      </c>
      <c r="L325" s="3" t="s">
        <v>456</v>
      </c>
      <c r="M325" s="3">
        <v>615</v>
      </c>
      <c r="N325" s="4" t="s">
        <v>505</v>
      </c>
      <c r="O325" s="3">
        <v>0</v>
      </c>
      <c r="P325" s="3"/>
      <c r="Q325" s="3" t="s">
        <v>272</v>
      </c>
      <c r="R325" s="3" t="str">
        <f t="shared" si="29"/>
        <v>ui_615001</v>
      </c>
      <c r="S325" s="3" t="str">
        <f t="shared" si="30"/>
        <v>615001</v>
      </c>
      <c r="T325" s="3">
        <v>1</v>
      </c>
      <c r="U325" s="3">
        <v>0</v>
      </c>
      <c r="V325" s="6">
        <v>100</v>
      </c>
      <c r="W325" s="7"/>
      <c r="X325" s="3" t="s">
        <v>504</v>
      </c>
      <c r="Y325" s="3" t="s">
        <v>506</v>
      </c>
    </row>
    <row r="326" spans="1:25" x14ac:dyDescent="0.15">
      <c r="A326" s="3">
        <v>615002</v>
      </c>
      <c r="B326" s="3" t="s">
        <v>507</v>
      </c>
      <c r="C326" s="6">
        <v>50</v>
      </c>
      <c r="D326" s="27">
        <v>0</v>
      </c>
      <c r="E326" s="3">
        <v>0</v>
      </c>
      <c r="F326" s="3">
        <v>0</v>
      </c>
      <c r="G326" s="3">
        <v>0</v>
      </c>
      <c r="H326" s="3">
        <v>1</v>
      </c>
      <c r="I326" s="3">
        <v>0</v>
      </c>
      <c r="J326" s="4">
        <v>197</v>
      </c>
      <c r="K326" s="3">
        <v>6</v>
      </c>
      <c r="L326" s="3" t="s">
        <v>456</v>
      </c>
      <c r="M326" s="3">
        <v>615</v>
      </c>
      <c r="N326" s="4" t="s">
        <v>505</v>
      </c>
      <c r="O326" s="3">
        <v>0</v>
      </c>
      <c r="P326" s="3"/>
      <c r="Q326" s="3" t="s">
        <v>272</v>
      </c>
      <c r="R326" s="3" t="str">
        <f t="shared" si="29"/>
        <v>ui_615002</v>
      </c>
      <c r="S326" s="3" t="str">
        <f t="shared" si="30"/>
        <v>615002</v>
      </c>
      <c r="T326" s="3">
        <v>1</v>
      </c>
      <c r="U326" s="3">
        <v>0</v>
      </c>
      <c r="V326" s="6">
        <v>100</v>
      </c>
      <c r="W326" s="7"/>
      <c r="X326" s="3" t="s">
        <v>507</v>
      </c>
      <c r="Y326" s="3" t="s">
        <v>508</v>
      </c>
    </row>
    <row r="327" spans="1:25" x14ac:dyDescent="0.15">
      <c r="A327" s="3">
        <v>615003</v>
      </c>
      <c r="B327" s="3" t="s">
        <v>509</v>
      </c>
      <c r="C327" s="6">
        <v>50</v>
      </c>
      <c r="D327" s="27">
        <v>0</v>
      </c>
      <c r="E327" s="3">
        <v>0</v>
      </c>
      <c r="F327" s="3">
        <v>0</v>
      </c>
      <c r="G327" s="3">
        <v>0</v>
      </c>
      <c r="H327" s="3">
        <v>1</v>
      </c>
      <c r="I327" s="3">
        <v>0</v>
      </c>
      <c r="J327" s="4">
        <v>198</v>
      </c>
      <c r="K327" s="3">
        <v>6</v>
      </c>
      <c r="L327" s="3" t="s">
        <v>456</v>
      </c>
      <c r="M327" s="3">
        <v>615</v>
      </c>
      <c r="N327" s="4" t="s">
        <v>505</v>
      </c>
      <c r="O327" s="3">
        <v>0</v>
      </c>
      <c r="P327" s="3"/>
      <c r="Q327" s="3" t="s">
        <v>272</v>
      </c>
      <c r="R327" s="3" t="str">
        <f t="shared" si="29"/>
        <v>ui_615003</v>
      </c>
      <c r="S327" s="3" t="str">
        <f t="shared" si="30"/>
        <v>615003</v>
      </c>
      <c r="T327" s="3">
        <v>1</v>
      </c>
      <c r="U327" s="3">
        <v>0</v>
      </c>
      <c r="V327" s="6">
        <v>100</v>
      </c>
      <c r="W327" s="7"/>
      <c r="X327" s="3" t="s">
        <v>509</v>
      </c>
      <c r="Y327" s="3" t="s">
        <v>510</v>
      </c>
    </row>
    <row r="328" spans="1:25" x14ac:dyDescent="0.15">
      <c r="A328" s="3">
        <v>616001</v>
      </c>
      <c r="B328" s="27" t="s">
        <v>1856</v>
      </c>
      <c r="C328" s="6">
        <v>2</v>
      </c>
      <c r="D328" s="27">
        <v>0</v>
      </c>
      <c r="E328" s="3">
        <v>3</v>
      </c>
      <c r="F328" s="3">
        <v>0</v>
      </c>
      <c r="G328" s="3">
        <v>0</v>
      </c>
      <c r="H328" s="3">
        <v>1</v>
      </c>
      <c r="I328" s="3">
        <v>0</v>
      </c>
      <c r="J328" s="4">
        <v>199</v>
      </c>
      <c r="K328" s="3">
        <v>6</v>
      </c>
      <c r="L328" s="3" t="s">
        <v>456</v>
      </c>
      <c r="M328" s="3">
        <v>616</v>
      </c>
      <c r="N328" s="4" t="s">
        <v>511</v>
      </c>
      <c r="O328" s="3">
        <v>0</v>
      </c>
      <c r="P328" s="3"/>
      <c r="Q328" s="3" t="s">
        <v>272</v>
      </c>
      <c r="R328" s="3" t="str">
        <f t="shared" si="29"/>
        <v>ui_616001</v>
      </c>
      <c r="S328" s="3" t="str">
        <f t="shared" si="30"/>
        <v>616001</v>
      </c>
      <c r="T328" s="3">
        <v>1</v>
      </c>
      <c r="U328" s="3">
        <v>0</v>
      </c>
      <c r="V328" s="6">
        <v>100</v>
      </c>
      <c r="W328" s="7"/>
      <c r="X328" s="3" t="str">
        <f t="shared" ref="X328:X333" si="31">B328</f>
        <v>铁矿</v>
      </c>
      <c r="Y328" s="3" t="s">
        <v>1825</v>
      </c>
    </row>
    <row r="329" spans="1:25" x14ac:dyDescent="0.15">
      <c r="A329" s="3">
        <v>616002</v>
      </c>
      <c r="B329" s="27" t="s">
        <v>3537</v>
      </c>
      <c r="C329" s="6">
        <v>2</v>
      </c>
      <c r="D329" s="27">
        <v>0</v>
      </c>
      <c r="E329" s="3">
        <v>3</v>
      </c>
      <c r="F329" s="3">
        <v>0</v>
      </c>
      <c r="G329" s="3">
        <v>0</v>
      </c>
      <c r="H329" s="3">
        <v>1</v>
      </c>
      <c r="I329" s="3">
        <v>0</v>
      </c>
      <c r="J329" s="4">
        <v>200</v>
      </c>
      <c r="K329" s="3">
        <v>6</v>
      </c>
      <c r="L329" s="3" t="s">
        <v>456</v>
      </c>
      <c r="M329" s="3">
        <v>616</v>
      </c>
      <c r="N329" s="4" t="s">
        <v>511</v>
      </c>
      <c r="O329" s="3">
        <v>0</v>
      </c>
      <c r="P329" s="3"/>
      <c r="Q329" s="3" t="s">
        <v>272</v>
      </c>
      <c r="R329" s="3" t="str">
        <f t="shared" si="29"/>
        <v>ui_616002</v>
      </c>
      <c r="S329" s="3" t="str">
        <f t="shared" si="30"/>
        <v>616002</v>
      </c>
      <c r="T329" s="3">
        <v>1</v>
      </c>
      <c r="U329" s="3">
        <v>0</v>
      </c>
      <c r="V329" s="6">
        <v>100</v>
      </c>
      <c r="W329" s="7"/>
      <c r="X329" s="3" t="str">
        <f t="shared" si="31"/>
        <v>秘银矿</v>
      </c>
      <c r="Y329" s="27" t="s">
        <v>1866</v>
      </c>
    </row>
    <row r="330" spans="1:25" x14ac:dyDescent="0.15">
      <c r="A330" s="3">
        <v>616003</v>
      </c>
      <c r="B330" s="3" t="s">
        <v>512</v>
      </c>
      <c r="C330" s="6">
        <v>2</v>
      </c>
      <c r="D330" s="27">
        <v>0</v>
      </c>
      <c r="E330" s="3">
        <v>3</v>
      </c>
      <c r="F330" s="3">
        <v>0</v>
      </c>
      <c r="G330" s="3">
        <v>0</v>
      </c>
      <c r="H330" s="3">
        <v>1</v>
      </c>
      <c r="I330" s="3">
        <v>0</v>
      </c>
      <c r="J330" s="4">
        <v>201</v>
      </c>
      <c r="K330" s="3">
        <v>6</v>
      </c>
      <c r="L330" s="3" t="s">
        <v>456</v>
      </c>
      <c r="M330" s="3">
        <v>616</v>
      </c>
      <c r="N330" s="4" t="s">
        <v>511</v>
      </c>
      <c r="O330" s="3">
        <v>0</v>
      </c>
      <c r="P330" s="3"/>
      <c r="Q330" s="3" t="s">
        <v>272</v>
      </c>
      <c r="R330" s="3" t="str">
        <f t="shared" si="29"/>
        <v>ui_616003</v>
      </c>
      <c r="S330" s="3" t="str">
        <f t="shared" si="30"/>
        <v>616003</v>
      </c>
      <c r="T330" s="3">
        <v>1</v>
      </c>
      <c r="U330" s="3">
        <v>0</v>
      </c>
      <c r="V330" s="6">
        <v>100</v>
      </c>
      <c r="W330" s="7"/>
      <c r="X330" s="3" t="str">
        <f t="shared" si="31"/>
        <v>精金矿</v>
      </c>
      <c r="Y330" s="27" t="s">
        <v>1867</v>
      </c>
    </row>
    <row r="331" spans="1:25" x14ac:dyDescent="0.15">
      <c r="A331" s="3">
        <v>616004</v>
      </c>
      <c r="B331" s="3" t="s">
        <v>513</v>
      </c>
      <c r="C331" s="6">
        <v>2</v>
      </c>
      <c r="D331" s="27">
        <v>0</v>
      </c>
      <c r="E331" s="3">
        <v>3</v>
      </c>
      <c r="F331" s="3">
        <v>0</v>
      </c>
      <c r="G331" s="3">
        <v>0</v>
      </c>
      <c r="H331" s="3">
        <v>1</v>
      </c>
      <c r="I331" s="3">
        <v>0</v>
      </c>
      <c r="J331" s="4">
        <v>202</v>
      </c>
      <c r="K331" s="3">
        <v>6</v>
      </c>
      <c r="L331" s="3" t="s">
        <v>456</v>
      </c>
      <c r="M331" s="3">
        <v>616</v>
      </c>
      <c r="N331" s="4" t="s">
        <v>511</v>
      </c>
      <c r="O331" s="3">
        <v>0</v>
      </c>
      <c r="P331" s="3"/>
      <c r="Q331" s="3" t="s">
        <v>272</v>
      </c>
      <c r="R331" s="3" t="str">
        <f t="shared" si="29"/>
        <v>ui_616004</v>
      </c>
      <c r="S331" s="3" t="str">
        <f t="shared" si="30"/>
        <v>616004</v>
      </c>
      <c r="T331" s="3">
        <v>1</v>
      </c>
      <c r="U331" s="3">
        <v>0</v>
      </c>
      <c r="V331" s="6">
        <v>100</v>
      </c>
      <c r="W331" s="7"/>
      <c r="X331" s="3" t="str">
        <f t="shared" si="31"/>
        <v>山铜矿</v>
      </c>
      <c r="Y331" s="27" t="s">
        <v>1868</v>
      </c>
    </row>
    <row r="332" spans="1:25" x14ac:dyDescent="0.15">
      <c r="A332" s="3">
        <v>616005</v>
      </c>
      <c r="B332" s="3" t="s">
        <v>1823</v>
      </c>
      <c r="C332" s="6">
        <v>2</v>
      </c>
      <c r="D332" s="27">
        <v>0</v>
      </c>
      <c r="E332" s="3">
        <v>3</v>
      </c>
      <c r="F332" s="3">
        <v>0</v>
      </c>
      <c r="G332" s="3">
        <v>0</v>
      </c>
      <c r="H332" s="3">
        <v>1</v>
      </c>
      <c r="I332" s="3">
        <v>0</v>
      </c>
      <c r="J332" s="4">
        <v>203</v>
      </c>
      <c r="K332" s="3">
        <v>6</v>
      </c>
      <c r="L332" s="3" t="s">
        <v>456</v>
      </c>
      <c r="M332" s="3">
        <v>616</v>
      </c>
      <c r="N332" s="4" t="s">
        <v>511</v>
      </c>
      <c r="O332" s="3">
        <v>0</v>
      </c>
      <c r="P332" s="3"/>
      <c r="Q332" s="3" t="s">
        <v>272</v>
      </c>
      <c r="R332" s="3" t="str">
        <f t="shared" si="29"/>
        <v>ui_616005</v>
      </c>
      <c r="S332" s="3" t="str">
        <f t="shared" si="30"/>
        <v>616005</v>
      </c>
      <c r="T332" s="3">
        <v>1</v>
      </c>
      <c r="U332" s="3">
        <v>0</v>
      </c>
      <c r="V332" s="6">
        <v>100</v>
      </c>
      <c r="W332" s="7"/>
      <c r="X332" s="3" t="str">
        <f t="shared" si="31"/>
        <v>金矿</v>
      </c>
      <c r="Y332" s="3" t="s">
        <v>1826</v>
      </c>
    </row>
    <row r="333" spans="1:25" x14ac:dyDescent="0.15">
      <c r="A333" s="3">
        <v>616006</v>
      </c>
      <c r="B333" s="3" t="s">
        <v>1824</v>
      </c>
      <c r="C333" s="6">
        <v>2</v>
      </c>
      <c r="D333" s="27">
        <v>0</v>
      </c>
      <c r="E333" s="3">
        <v>3</v>
      </c>
      <c r="F333" s="3">
        <v>0</v>
      </c>
      <c r="G333" s="3">
        <v>0</v>
      </c>
      <c r="H333" s="3">
        <v>1</v>
      </c>
      <c r="I333" s="3">
        <v>0</v>
      </c>
      <c r="J333" s="4">
        <v>204</v>
      </c>
      <c r="K333" s="3">
        <v>6</v>
      </c>
      <c r="L333" s="3" t="s">
        <v>456</v>
      </c>
      <c r="M333" s="3">
        <v>616</v>
      </c>
      <c r="N333" s="4" t="s">
        <v>511</v>
      </c>
      <c r="O333" s="3">
        <v>0</v>
      </c>
      <c r="P333" s="3"/>
      <c r="Q333" s="3" t="s">
        <v>272</v>
      </c>
      <c r="R333" s="3" t="str">
        <f t="shared" si="29"/>
        <v>ui_616006</v>
      </c>
      <c r="S333" s="3" t="str">
        <f t="shared" si="30"/>
        <v>616006</v>
      </c>
      <c r="T333" s="3">
        <v>1</v>
      </c>
      <c r="U333" s="3">
        <v>0</v>
      </c>
      <c r="V333" s="6">
        <v>100</v>
      </c>
      <c r="W333" s="7"/>
      <c r="X333" s="3" t="str">
        <f t="shared" si="31"/>
        <v>银矿</v>
      </c>
      <c r="Y333" s="3" t="s">
        <v>1827</v>
      </c>
    </row>
    <row r="334" spans="1:25" x14ac:dyDescent="0.15">
      <c r="A334" s="3">
        <v>617001</v>
      </c>
      <c r="B334" s="27" t="s">
        <v>1836</v>
      </c>
      <c r="C334" s="3">
        <v>1</v>
      </c>
      <c r="D334" s="27">
        <v>0</v>
      </c>
      <c r="E334" s="3">
        <v>1</v>
      </c>
      <c r="F334" s="3">
        <v>0</v>
      </c>
      <c r="G334" s="3">
        <v>0</v>
      </c>
      <c r="H334" s="3">
        <v>1</v>
      </c>
      <c r="I334" s="3">
        <v>0</v>
      </c>
      <c r="J334" s="4">
        <v>152</v>
      </c>
      <c r="K334" s="3">
        <v>6</v>
      </c>
      <c r="L334" s="3" t="s">
        <v>456</v>
      </c>
      <c r="M334" s="3">
        <v>617</v>
      </c>
      <c r="N334" s="28" t="s">
        <v>1837</v>
      </c>
      <c r="O334" s="3">
        <v>0</v>
      </c>
      <c r="P334" s="3"/>
      <c r="Q334" s="3" t="s">
        <v>272</v>
      </c>
      <c r="R334" s="3" t="str">
        <f t="shared" si="29"/>
        <v>ui_617001</v>
      </c>
      <c r="S334" s="3" t="str">
        <f t="shared" si="30"/>
        <v>617001</v>
      </c>
      <c r="T334" s="3">
        <v>1</v>
      </c>
      <c r="U334" s="3">
        <v>0</v>
      </c>
      <c r="V334" s="6">
        <v>100</v>
      </c>
      <c r="W334" s="7"/>
      <c r="X334" s="27" t="s">
        <v>1836</v>
      </c>
      <c r="Y334" s="27" t="s">
        <v>1838</v>
      </c>
    </row>
    <row r="335" spans="1:25" x14ac:dyDescent="0.15">
      <c r="A335" s="3">
        <v>618001</v>
      </c>
      <c r="B335" s="27" t="s">
        <v>2861</v>
      </c>
      <c r="C335" s="6">
        <v>1</v>
      </c>
      <c r="D335" s="27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4">
        <v>181</v>
      </c>
      <c r="K335" s="3">
        <v>6</v>
      </c>
      <c r="L335" s="3" t="s">
        <v>456</v>
      </c>
      <c r="M335" s="3">
        <v>618</v>
      </c>
      <c r="N335" s="27" t="s">
        <v>2861</v>
      </c>
      <c r="O335" s="3">
        <v>0</v>
      </c>
      <c r="P335" s="3"/>
      <c r="Q335" s="3" t="s">
        <v>272</v>
      </c>
      <c r="R335" s="3" t="str">
        <f t="shared" si="29"/>
        <v>ui_618001</v>
      </c>
      <c r="S335" s="3" t="str">
        <f t="shared" si="30"/>
        <v>618001</v>
      </c>
      <c r="T335" s="3">
        <v>0.05</v>
      </c>
      <c r="U335" s="3">
        <v>10000</v>
      </c>
      <c r="V335" s="6">
        <v>100</v>
      </c>
      <c r="W335" s="7"/>
      <c r="X335" s="27" t="s">
        <v>2861</v>
      </c>
      <c r="Y335" s="27" t="s">
        <v>2863</v>
      </c>
    </row>
    <row r="336" spans="1:25" x14ac:dyDescent="0.15">
      <c r="A336" s="3">
        <v>619001</v>
      </c>
      <c r="B336" s="27" t="s">
        <v>2878</v>
      </c>
      <c r="C336" s="6">
        <v>1000000</v>
      </c>
      <c r="D336" s="27">
        <v>1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4">
        <v>193</v>
      </c>
      <c r="K336" s="3">
        <v>6</v>
      </c>
      <c r="L336" s="3" t="s">
        <v>456</v>
      </c>
      <c r="M336" s="3">
        <v>619</v>
      </c>
      <c r="N336" s="4" t="s">
        <v>496</v>
      </c>
      <c r="O336" s="3">
        <v>0</v>
      </c>
      <c r="P336" s="3"/>
      <c r="Q336" s="3" t="s">
        <v>272</v>
      </c>
      <c r="R336" s="3" t="str">
        <f t="shared" si="29"/>
        <v>ui_619001</v>
      </c>
      <c r="S336" s="3" t="str">
        <f t="shared" si="30"/>
        <v>619001</v>
      </c>
      <c r="T336" s="3">
        <v>1</v>
      </c>
      <c r="U336" s="3">
        <v>0</v>
      </c>
      <c r="V336" s="6">
        <v>100</v>
      </c>
      <c r="W336" s="7"/>
      <c r="X336" s="27" t="s">
        <v>2878</v>
      </c>
      <c r="Y336" s="27" t="s">
        <v>3238</v>
      </c>
    </row>
    <row r="337" spans="1:25" x14ac:dyDescent="0.15">
      <c r="A337" s="3">
        <v>620001</v>
      </c>
      <c r="B337" s="27" t="s">
        <v>2988</v>
      </c>
      <c r="C337" s="6">
        <v>50</v>
      </c>
      <c r="D337" s="27">
        <v>0</v>
      </c>
      <c r="E337" s="3">
        <v>4</v>
      </c>
      <c r="F337" s="3">
        <v>0</v>
      </c>
      <c r="G337" s="3">
        <v>0</v>
      </c>
      <c r="H337" s="3">
        <v>1</v>
      </c>
      <c r="I337" s="3">
        <v>0</v>
      </c>
      <c r="J337" s="4">
        <v>194</v>
      </c>
      <c r="K337" s="3">
        <v>6</v>
      </c>
      <c r="L337" s="3" t="s">
        <v>456</v>
      </c>
      <c r="M337" s="3">
        <v>620</v>
      </c>
      <c r="N337" s="28" t="s">
        <v>2990</v>
      </c>
      <c r="O337" s="3">
        <v>0</v>
      </c>
      <c r="P337" s="3"/>
      <c r="Q337" s="3" t="s">
        <v>272</v>
      </c>
      <c r="R337" s="3" t="str">
        <f t="shared" si="29"/>
        <v>ui_620001</v>
      </c>
      <c r="S337" s="3" t="str">
        <f t="shared" si="30"/>
        <v>620001</v>
      </c>
      <c r="T337" s="3">
        <v>1</v>
      </c>
      <c r="U337" s="3">
        <v>0</v>
      </c>
      <c r="V337" s="6">
        <v>100</v>
      </c>
      <c r="W337" s="7"/>
      <c r="X337" s="27" t="s">
        <v>2988</v>
      </c>
      <c r="Y337" s="27" t="s">
        <v>2989</v>
      </c>
    </row>
    <row r="338" spans="1:25" x14ac:dyDescent="0.15">
      <c r="A338" s="3">
        <v>620002</v>
      </c>
      <c r="B338" s="27" t="s">
        <v>3277</v>
      </c>
      <c r="C338" s="6">
        <v>25</v>
      </c>
      <c r="D338" s="27">
        <v>0</v>
      </c>
      <c r="E338" s="3">
        <v>4</v>
      </c>
      <c r="F338" s="3">
        <v>0</v>
      </c>
      <c r="G338" s="3">
        <v>0</v>
      </c>
      <c r="H338" s="3">
        <v>1</v>
      </c>
      <c r="I338" s="3">
        <v>0</v>
      </c>
      <c r="J338" s="4">
        <v>195</v>
      </c>
      <c r="K338" s="3">
        <v>6</v>
      </c>
      <c r="L338" s="3" t="s">
        <v>456</v>
      </c>
      <c r="M338" s="3">
        <v>620</v>
      </c>
      <c r="N338" s="28" t="s">
        <v>2990</v>
      </c>
      <c r="O338" s="3">
        <v>0</v>
      </c>
      <c r="P338" s="3"/>
      <c r="Q338" s="3" t="s">
        <v>272</v>
      </c>
      <c r="R338" s="3" t="str">
        <f t="shared" si="29"/>
        <v>ui_620002</v>
      </c>
      <c r="S338" s="3" t="str">
        <f t="shared" si="30"/>
        <v>620002</v>
      </c>
      <c r="T338" s="3">
        <v>1</v>
      </c>
      <c r="U338" s="3">
        <v>0</v>
      </c>
      <c r="V338" s="6">
        <v>100</v>
      </c>
      <c r="W338" s="7"/>
      <c r="X338" s="27" t="s">
        <v>3276</v>
      </c>
      <c r="Y338" s="27" t="s">
        <v>3278</v>
      </c>
    </row>
    <row r="339" spans="1:25" x14ac:dyDescent="0.15">
      <c r="A339" s="3">
        <v>621001</v>
      </c>
      <c r="B339" s="27" t="s">
        <v>3573</v>
      </c>
      <c r="C339" s="6">
        <v>1</v>
      </c>
      <c r="D339" s="27">
        <v>1</v>
      </c>
      <c r="E339" s="3">
        <v>1</v>
      </c>
      <c r="F339" s="3">
        <v>3</v>
      </c>
      <c r="G339" s="3">
        <v>0</v>
      </c>
      <c r="H339" s="3">
        <v>1</v>
      </c>
      <c r="I339" s="3">
        <v>0</v>
      </c>
      <c r="J339" s="4">
        <v>196</v>
      </c>
      <c r="K339" s="3">
        <v>6</v>
      </c>
      <c r="L339" s="3" t="s">
        <v>456</v>
      </c>
      <c r="M339" s="3">
        <v>621</v>
      </c>
      <c r="N339" s="27" t="s">
        <v>3566</v>
      </c>
      <c r="O339" s="3">
        <v>0</v>
      </c>
      <c r="P339" s="3"/>
      <c r="Q339" s="3" t="s">
        <v>272</v>
      </c>
      <c r="R339" s="3" t="str">
        <f t="shared" si="29"/>
        <v>ui_621001</v>
      </c>
      <c r="S339" s="3" t="str">
        <f t="shared" si="30"/>
        <v>621001</v>
      </c>
      <c r="T339" s="3">
        <v>1</v>
      </c>
      <c r="U339" s="3">
        <v>0</v>
      </c>
      <c r="V339" s="6">
        <v>100</v>
      </c>
      <c r="W339" s="7"/>
      <c r="X339" s="27" t="s">
        <v>3574</v>
      </c>
      <c r="Y339" s="27" t="s">
        <v>3577</v>
      </c>
    </row>
    <row r="340" spans="1:25" x14ac:dyDescent="0.15">
      <c r="A340" s="3">
        <v>621002</v>
      </c>
      <c r="B340" s="27" t="s">
        <v>3593</v>
      </c>
      <c r="C340" s="6">
        <v>1</v>
      </c>
      <c r="D340" s="27">
        <v>1</v>
      </c>
      <c r="E340" s="3">
        <v>1</v>
      </c>
      <c r="F340" s="3">
        <v>3</v>
      </c>
      <c r="G340" s="3">
        <v>0</v>
      </c>
      <c r="H340" s="3">
        <v>1</v>
      </c>
      <c r="I340" s="3">
        <v>0</v>
      </c>
      <c r="J340" s="4">
        <v>197</v>
      </c>
      <c r="K340" s="3">
        <v>6</v>
      </c>
      <c r="L340" s="3" t="s">
        <v>456</v>
      </c>
      <c r="M340" s="3">
        <v>621</v>
      </c>
      <c r="N340" s="27" t="s">
        <v>3566</v>
      </c>
      <c r="O340" s="3">
        <v>0</v>
      </c>
      <c r="P340" s="3"/>
      <c r="Q340" s="3" t="s">
        <v>272</v>
      </c>
      <c r="R340" s="3" t="str">
        <f t="shared" si="29"/>
        <v>ui_621002</v>
      </c>
      <c r="S340" s="3" t="str">
        <f t="shared" si="30"/>
        <v>621002</v>
      </c>
      <c r="T340" s="3">
        <v>1</v>
      </c>
      <c r="U340" s="3">
        <v>0</v>
      </c>
      <c r="V340" s="6">
        <v>100</v>
      </c>
      <c r="W340" s="7"/>
      <c r="X340" s="27" t="s">
        <v>3594</v>
      </c>
      <c r="Y340" s="27" t="s">
        <v>3567</v>
      </c>
    </row>
    <row r="341" spans="1:25" x14ac:dyDescent="0.15">
      <c r="A341" s="3">
        <v>621003</v>
      </c>
      <c r="B341" s="27" t="s">
        <v>3575</v>
      </c>
      <c r="C341" s="6">
        <v>1</v>
      </c>
      <c r="D341" s="27">
        <v>1</v>
      </c>
      <c r="E341" s="3">
        <v>1</v>
      </c>
      <c r="F341" s="3">
        <v>3</v>
      </c>
      <c r="G341" s="3">
        <v>0</v>
      </c>
      <c r="H341" s="3">
        <v>1</v>
      </c>
      <c r="I341" s="3">
        <v>0</v>
      </c>
      <c r="J341" s="4">
        <v>198</v>
      </c>
      <c r="K341" s="3">
        <v>6</v>
      </c>
      <c r="L341" s="3" t="s">
        <v>456</v>
      </c>
      <c r="M341" s="3">
        <v>621</v>
      </c>
      <c r="N341" s="27" t="s">
        <v>3566</v>
      </c>
      <c r="O341" s="3">
        <v>0</v>
      </c>
      <c r="P341" s="3"/>
      <c r="Q341" s="3" t="s">
        <v>272</v>
      </c>
      <c r="R341" s="3" t="str">
        <f t="shared" si="29"/>
        <v>ui_621003</v>
      </c>
      <c r="S341" s="3" t="str">
        <f t="shared" si="30"/>
        <v>621003</v>
      </c>
      <c r="T341" s="3">
        <v>1</v>
      </c>
      <c r="U341" s="3">
        <v>0</v>
      </c>
      <c r="V341" s="6">
        <v>100</v>
      </c>
      <c r="W341" s="7"/>
      <c r="X341" s="27" t="s">
        <v>3576</v>
      </c>
      <c r="Y341" s="27" t="s">
        <v>3578</v>
      </c>
    </row>
    <row r="342" spans="1:25" x14ac:dyDescent="0.15">
      <c r="A342" s="3">
        <v>621004</v>
      </c>
      <c r="B342" s="27" t="s">
        <v>3563</v>
      </c>
      <c r="C342" s="6">
        <v>40</v>
      </c>
      <c r="D342" s="27">
        <v>1</v>
      </c>
      <c r="E342" s="3">
        <v>1</v>
      </c>
      <c r="F342" s="3">
        <v>3</v>
      </c>
      <c r="G342" s="3">
        <v>0</v>
      </c>
      <c r="H342" s="3">
        <v>1</v>
      </c>
      <c r="I342" s="3">
        <v>0</v>
      </c>
      <c r="J342" s="4">
        <v>199</v>
      </c>
      <c r="K342" s="3">
        <v>6</v>
      </c>
      <c r="L342" s="3" t="s">
        <v>456</v>
      </c>
      <c r="M342" s="3">
        <v>621</v>
      </c>
      <c r="N342" s="27" t="s">
        <v>3566</v>
      </c>
      <c r="O342" s="3">
        <v>0</v>
      </c>
      <c r="P342" s="3"/>
      <c r="Q342" s="3" t="s">
        <v>272</v>
      </c>
      <c r="R342" s="3" t="str">
        <f t="shared" si="29"/>
        <v>ui_621004</v>
      </c>
      <c r="S342" s="3" t="str">
        <f t="shared" si="30"/>
        <v>621004</v>
      </c>
      <c r="T342" s="3">
        <v>1</v>
      </c>
      <c r="U342" s="3">
        <v>0</v>
      </c>
      <c r="V342" s="6">
        <v>100</v>
      </c>
      <c r="W342" s="7"/>
      <c r="X342" s="27" t="s">
        <v>3563</v>
      </c>
      <c r="Y342" s="27" t="s">
        <v>3568</v>
      </c>
    </row>
    <row r="343" spans="1:25" x14ac:dyDescent="0.15">
      <c r="A343" s="3">
        <v>621005</v>
      </c>
      <c r="B343" s="27" t="s">
        <v>3564</v>
      </c>
      <c r="C343" s="6">
        <v>300</v>
      </c>
      <c r="D343" s="27">
        <v>1</v>
      </c>
      <c r="E343" s="3">
        <v>1</v>
      </c>
      <c r="F343" s="3">
        <v>3</v>
      </c>
      <c r="G343" s="3">
        <v>0</v>
      </c>
      <c r="H343" s="3">
        <v>1</v>
      </c>
      <c r="I343" s="3">
        <v>0</v>
      </c>
      <c r="J343" s="4">
        <v>200</v>
      </c>
      <c r="K343" s="3">
        <v>6</v>
      </c>
      <c r="L343" s="3" t="s">
        <v>456</v>
      </c>
      <c r="M343" s="3">
        <v>621</v>
      </c>
      <c r="N343" s="27" t="s">
        <v>3566</v>
      </c>
      <c r="O343" s="3">
        <v>0</v>
      </c>
      <c r="P343" s="3"/>
      <c r="Q343" s="3" t="s">
        <v>272</v>
      </c>
      <c r="R343" s="3" t="str">
        <f t="shared" ref="R343:R344" si="32">CONCATENATE("ui_",A343,"")</f>
        <v>ui_621005</v>
      </c>
      <c r="S343" s="3" t="str">
        <f t="shared" ref="S343:S344" si="33">CONCATENATE(A343,"")</f>
        <v>621005</v>
      </c>
      <c r="T343" s="3">
        <v>1</v>
      </c>
      <c r="U343" s="3">
        <v>0</v>
      </c>
      <c r="V343" s="6">
        <v>100</v>
      </c>
      <c r="W343" s="7"/>
      <c r="X343" s="27" t="s">
        <v>3564</v>
      </c>
      <c r="Y343" s="27" t="s">
        <v>3569</v>
      </c>
    </row>
    <row r="344" spans="1:25" x14ac:dyDescent="0.15">
      <c r="A344" s="3">
        <v>621006</v>
      </c>
      <c r="B344" s="27" t="s">
        <v>3565</v>
      </c>
      <c r="C344" s="6">
        <v>800</v>
      </c>
      <c r="D344" s="27">
        <v>1</v>
      </c>
      <c r="E344" s="3">
        <v>1</v>
      </c>
      <c r="F344" s="3">
        <v>3</v>
      </c>
      <c r="G344" s="3">
        <v>0</v>
      </c>
      <c r="H344" s="3">
        <v>1</v>
      </c>
      <c r="I344" s="3">
        <v>0</v>
      </c>
      <c r="J344" s="4">
        <v>201</v>
      </c>
      <c r="K344" s="3">
        <v>6</v>
      </c>
      <c r="L344" s="3" t="s">
        <v>456</v>
      </c>
      <c r="M344" s="3">
        <v>621</v>
      </c>
      <c r="N344" s="27" t="s">
        <v>3566</v>
      </c>
      <c r="O344" s="3">
        <v>0</v>
      </c>
      <c r="P344" s="3"/>
      <c r="Q344" s="3" t="s">
        <v>272</v>
      </c>
      <c r="R344" s="3" t="str">
        <f t="shared" si="32"/>
        <v>ui_621006</v>
      </c>
      <c r="S344" s="3" t="str">
        <f t="shared" si="33"/>
        <v>621006</v>
      </c>
      <c r="T344" s="3">
        <v>1</v>
      </c>
      <c r="U344" s="3">
        <v>0</v>
      </c>
      <c r="V344" s="6">
        <v>100</v>
      </c>
      <c r="W344" s="7"/>
      <c r="X344" s="27" t="s">
        <v>3565</v>
      </c>
      <c r="Y344" s="27" t="s">
        <v>3570</v>
      </c>
    </row>
    <row r="345" spans="1:25" x14ac:dyDescent="0.15">
      <c r="A345" s="3">
        <v>701001</v>
      </c>
      <c r="B345" s="4" t="s">
        <v>514</v>
      </c>
      <c r="C345" s="6">
        <v>2000</v>
      </c>
      <c r="D345" s="27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4">
        <v>203</v>
      </c>
      <c r="K345" s="3">
        <v>7</v>
      </c>
      <c r="L345" s="3" t="s">
        <v>515</v>
      </c>
      <c r="M345" s="3">
        <v>701</v>
      </c>
      <c r="N345" s="4" t="s">
        <v>516</v>
      </c>
      <c r="O345" s="3">
        <v>0</v>
      </c>
      <c r="P345" s="3"/>
      <c r="Q345" s="3" t="s">
        <v>272</v>
      </c>
      <c r="R345" s="3" t="str">
        <f t="shared" si="29"/>
        <v>ui_701001</v>
      </c>
      <c r="S345" s="3" t="str">
        <f t="shared" si="30"/>
        <v>701001</v>
      </c>
      <c r="T345" s="3">
        <v>1</v>
      </c>
      <c r="U345" s="3">
        <v>0</v>
      </c>
      <c r="V345" s="3">
        <v>1</v>
      </c>
      <c r="W345" s="9"/>
      <c r="X345" s="3" t="s">
        <v>514</v>
      </c>
      <c r="Y345" s="27" t="s">
        <v>1869</v>
      </c>
    </row>
    <row r="346" spans="1:25" x14ac:dyDescent="0.15">
      <c r="A346" s="3">
        <v>701002</v>
      </c>
      <c r="B346" s="4" t="s">
        <v>517</v>
      </c>
      <c r="C346" s="6">
        <v>10000</v>
      </c>
      <c r="D346" s="27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4">
        <v>204</v>
      </c>
      <c r="K346" s="3">
        <v>7</v>
      </c>
      <c r="L346" s="3" t="s">
        <v>515</v>
      </c>
      <c r="M346" s="3">
        <v>701</v>
      </c>
      <c r="N346" s="4" t="s">
        <v>516</v>
      </c>
      <c r="O346" s="3">
        <v>0</v>
      </c>
      <c r="P346" s="3"/>
      <c r="Q346" s="3" t="s">
        <v>272</v>
      </c>
      <c r="R346" s="3" t="str">
        <f t="shared" si="29"/>
        <v>ui_701002</v>
      </c>
      <c r="S346" s="3" t="str">
        <f t="shared" si="30"/>
        <v>701002</v>
      </c>
      <c r="T346" s="3">
        <v>1</v>
      </c>
      <c r="U346" s="3">
        <v>0</v>
      </c>
      <c r="V346" s="3">
        <v>1</v>
      </c>
      <c r="W346" s="9"/>
      <c r="X346" s="3" t="s">
        <v>517</v>
      </c>
      <c r="Y346" s="27" t="s">
        <v>2881</v>
      </c>
    </row>
    <row r="347" spans="1:25" x14ac:dyDescent="0.15">
      <c r="A347" s="3">
        <v>701003</v>
      </c>
      <c r="B347" s="4" t="s">
        <v>518</v>
      </c>
      <c r="C347" s="6">
        <v>6000</v>
      </c>
      <c r="D347" s="27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4">
        <v>205</v>
      </c>
      <c r="K347" s="3">
        <v>7</v>
      </c>
      <c r="L347" s="3" t="s">
        <v>515</v>
      </c>
      <c r="M347" s="3">
        <v>701</v>
      </c>
      <c r="N347" s="4" t="s">
        <v>516</v>
      </c>
      <c r="O347" s="3">
        <v>0</v>
      </c>
      <c r="P347" s="3"/>
      <c r="Q347" s="3" t="s">
        <v>272</v>
      </c>
      <c r="R347" s="3" t="str">
        <f t="shared" si="29"/>
        <v>ui_701003</v>
      </c>
      <c r="S347" s="3" t="str">
        <f t="shared" si="30"/>
        <v>701003</v>
      </c>
      <c r="T347" s="3">
        <v>1</v>
      </c>
      <c r="U347" s="3">
        <v>0</v>
      </c>
      <c r="V347" s="3">
        <v>1</v>
      </c>
      <c r="W347" s="9"/>
      <c r="X347" s="3" t="s">
        <v>518</v>
      </c>
      <c r="Y347" s="3" t="s">
        <v>519</v>
      </c>
    </row>
    <row r="348" spans="1:25" x14ac:dyDescent="0.15">
      <c r="A348" s="3">
        <v>701004</v>
      </c>
      <c r="B348" s="4" t="s">
        <v>520</v>
      </c>
      <c r="C348" s="6">
        <v>20000</v>
      </c>
      <c r="D348" s="27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4">
        <v>206</v>
      </c>
      <c r="K348" s="3">
        <v>7</v>
      </c>
      <c r="L348" s="3" t="s">
        <v>515</v>
      </c>
      <c r="M348" s="3">
        <v>701</v>
      </c>
      <c r="N348" s="4" t="s">
        <v>516</v>
      </c>
      <c r="O348" s="3">
        <v>0</v>
      </c>
      <c r="P348" s="3"/>
      <c r="Q348" s="3" t="s">
        <v>272</v>
      </c>
      <c r="R348" s="3" t="str">
        <f t="shared" si="29"/>
        <v>ui_701004</v>
      </c>
      <c r="S348" s="3" t="str">
        <f t="shared" si="30"/>
        <v>701004</v>
      </c>
      <c r="T348" s="3">
        <v>1</v>
      </c>
      <c r="U348" s="3">
        <v>0</v>
      </c>
      <c r="V348" s="3">
        <v>1</v>
      </c>
      <c r="W348" s="9"/>
      <c r="X348" s="3" t="s">
        <v>520</v>
      </c>
      <c r="Y348" s="27" t="s">
        <v>2882</v>
      </c>
    </row>
    <row r="349" spans="1:25" x14ac:dyDescent="0.15">
      <c r="A349" s="3">
        <v>701005</v>
      </c>
      <c r="B349" s="4" t="s">
        <v>521</v>
      </c>
      <c r="C349" s="6">
        <v>4000</v>
      </c>
      <c r="D349" s="27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4">
        <v>207</v>
      </c>
      <c r="K349" s="3">
        <v>7</v>
      </c>
      <c r="L349" s="3" t="s">
        <v>515</v>
      </c>
      <c r="M349" s="3">
        <v>701</v>
      </c>
      <c r="N349" s="4" t="s">
        <v>516</v>
      </c>
      <c r="O349" s="3">
        <v>0</v>
      </c>
      <c r="P349" s="3"/>
      <c r="Q349" s="3" t="s">
        <v>272</v>
      </c>
      <c r="R349" s="3" t="str">
        <f t="shared" si="29"/>
        <v>ui_701005</v>
      </c>
      <c r="S349" s="3" t="str">
        <f t="shared" si="30"/>
        <v>701005</v>
      </c>
      <c r="T349" s="3">
        <v>1</v>
      </c>
      <c r="U349" s="3">
        <v>0</v>
      </c>
      <c r="V349" s="3">
        <v>1</v>
      </c>
      <c r="W349" s="9"/>
      <c r="X349" s="27" t="s">
        <v>3440</v>
      </c>
      <c r="Y349" s="3" t="s">
        <v>522</v>
      </c>
    </row>
    <row r="350" spans="1:25" x14ac:dyDescent="0.15">
      <c r="A350" s="3">
        <v>702001</v>
      </c>
      <c r="B350" s="4" t="s">
        <v>523</v>
      </c>
      <c r="C350" s="6">
        <v>10000</v>
      </c>
      <c r="D350" s="27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4">
        <v>208</v>
      </c>
      <c r="K350" s="3">
        <v>7</v>
      </c>
      <c r="L350" s="3" t="s">
        <v>515</v>
      </c>
      <c r="M350" s="3">
        <v>702</v>
      </c>
      <c r="N350" s="4" t="s">
        <v>516</v>
      </c>
      <c r="O350" s="3">
        <v>0</v>
      </c>
      <c r="P350" s="3"/>
      <c r="Q350" s="3" t="s">
        <v>272</v>
      </c>
      <c r="R350" s="3" t="str">
        <f t="shared" si="29"/>
        <v>ui_702001</v>
      </c>
      <c r="S350" s="3" t="str">
        <f t="shared" si="30"/>
        <v>702001</v>
      </c>
      <c r="T350" s="3">
        <v>1</v>
      </c>
      <c r="U350" s="3">
        <v>0</v>
      </c>
      <c r="V350" s="3">
        <v>1</v>
      </c>
      <c r="W350" s="9"/>
      <c r="X350" s="3" t="s">
        <v>523</v>
      </c>
      <c r="Y350" s="27" t="s">
        <v>3481</v>
      </c>
    </row>
    <row r="351" spans="1:25" x14ac:dyDescent="0.15">
      <c r="A351" s="3">
        <v>702002</v>
      </c>
      <c r="B351" s="4" t="s">
        <v>524</v>
      </c>
      <c r="C351" s="6">
        <v>4000</v>
      </c>
      <c r="D351" s="27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4">
        <v>209</v>
      </c>
      <c r="K351" s="3">
        <v>7</v>
      </c>
      <c r="L351" s="3" t="s">
        <v>515</v>
      </c>
      <c r="M351" s="3">
        <v>702</v>
      </c>
      <c r="N351" s="4" t="s">
        <v>516</v>
      </c>
      <c r="O351" s="3">
        <v>0</v>
      </c>
      <c r="P351" s="3"/>
      <c r="Q351" s="3" t="s">
        <v>272</v>
      </c>
      <c r="R351" s="3" t="str">
        <f t="shared" si="29"/>
        <v>ui_702002</v>
      </c>
      <c r="S351" s="3" t="str">
        <f t="shared" si="30"/>
        <v>702002</v>
      </c>
      <c r="T351" s="3">
        <v>1</v>
      </c>
      <c r="U351" s="3">
        <v>0</v>
      </c>
      <c r="V351" s="3">
        <v>1</v>
      </c>
      <c r="W351" s="9"/>
      <c r="X351" s="3" t="s">
        <v>524</v>
      </c>
      <c r="Y351" s="3" t="s">
        <v>525</v>
      </c>
    </row>
    <row r="352" spans="1:25" x14ac:dyDescent="0.15">
      <c r="A352" s="3">
        <v>702003</v>
      </c>
      <c r="B352" s="4" t="s">
        <v>526</v>
      </c>
      <c r="C352" s="3">
        <v>2000</v>
      </c>
      <c r="D352" s="27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4">
        <v>210</v>
      </c>
      <c r="K352" s="3">
        <v>7</v>
      </c>
      <c r="L352" s="3" t="s">
        <v>515</v>
      </c>
      <c r="M352" s="3">
        <v>702</v>
      </c>
      <c r="N352" s="4" t="s">
        <v>516</v>
      </c>
      <c r="O352" s="3">
        <v>0</v>
      </c>
      <c r="P352" s="3"/>
      <c r="Q352" s="3" t="s">
        <v>272</v>
      </c>
      <c r="R352" s="3" t="str">
        <f t="shared" si="29"/>
        <v>ui_702003</v>
      </c>
      <c r="S352" s="3" t="str">
        <f t="shared" si="30"/>
        <v>702003</v>
      </c>
      <c r="T352" s="3">
        <v>1</v>
      </c>
      <c r="U352" s="3">
        <v>0</v>
      </c>
      <c r="V352" s="3">
        <v>1</v>
      </c>
      <c r="W352" s="9"/>
      <c r="X352" s="3" t="s">
        <v>526</v>
      </c>
      <c r="Y352" s="27" t="s">
        <v>1966</v>
      </c>
    </row>
    <row r="353" spans="1:25" x14ac:dyDescent="0.15">
      <c r="A353" s="3">
        <v>702004</v>
      </c>
      <c r="B353" s="28" t="s">
        <v>1839</v>
      </c>
      <c r="C353" s="3">
        <v>2000</v>
      </c>
      <c r="D353" s="27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4">
        <v>210</v>
      </c>
      <c r="K353" s="3">
        <v>7</v>
      </c>
      <c r="L353" s="3" t="s">
        <v>515</v>
      </c>
      <c r="M353" s="3">
        <v>702</v>
      </c>
      <c r="N353" s="4" t="s">
        <v>516</v>
      </c>
      <c r="O353" s="3">
        <v>0</v>
      </c>
      <c r="P353" s="3"/>
      <c r="Q353" s="3" t="s">
        <v>272</v>
      </c>
      <c r="R353" s="3" t="str">
        <f t="shared" si="29"/>
        <v>ui_702004</v>
      </c>
      <c r="S353" s="3" t="str">
        <f t="shared" si="30"/>
        <v>702004</v>
      </c>
      <c r="T353" s="3">
        <v>1</v>
      </c>
      <c r="U353" s="3">
        <v>0</v>
      </c>
      <c r="V353" s="3">
        <v>1</v>
      </c>
      <c r="W353" s="9"/>
      <c r="X353" s="27" t="s">
        <v>1839</v>
      </c>
      <c r="Y353" s="27" t="s">
        <v>1840</v>
      </c>
    </row>
    <row r="354" spans="1:25" x14ac:dyDescent="0.15">
      <c r="A354" s="3">
        <v>703001</v>
      </c>
      <c r="B354" s="4" t="s">
        <v>527</v>
      </c>
      <c r="C354" s="3">
        <v>2500</v>
      </c>
      <c r="D354" s="27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4">
        <v>211</v>
      </c>
      <c r="K354" s="3">
        <v>7</v>
      </c>
      <c r="L354" s="3" t="s">
        <v>515</v>
      </c>
      <c r="M354" s="3">
        <v>703</v>
      </c>
      <c r="N354" s="4" t="s">
        <v>528</v>
      </c>
      <c r="O354" s="3">
        <v>0</v>
      </c>
      <c r="P354" s="3"/>
      <c r="Q354" s="3" t="s">
        <v>272</v>
      </c>
      <c r="R354" s="3" t="str">
        <f t="shared" si="29"/>
        <v>ui_703001</v>
      </c>
      <c r="S354" s="3" t="str">
        <f t="shared" si="30"/>
        <v>703001</v>
      </c>
      <c r="T354" s="3">
        <v>1</v>
      </c>
      <c r="U354" s="3">
        <v>0</v>
      </c>
      <c r="V354" s="3">
        <v>1</v>
      </c>
      <c r="W354" s="7"/>
      <c r="X354" s="3" t="s">
        <v>527</v>
      </c>
      <c r="Y354" s="3" t="s">
        <v>529</v>
      </c>
    </row>
    <row r="355" spans="1:25" x14ac:dyDescent="0.15">
      <c r="A355" s="3">
        <v>703002</v>
      </c>
      <c r="B355" s="4" t="s">
        <v>530</v>
      </c>
      <c r="C355" s="3">
        <v>2500</v>
      </c>
      <c r="D355" s="27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4">
        <v>212</v>
      </c>
      <c r="K355" s="3">
        <v>7</v>
      </c>
      <c r="L355" s="3" t="s">
        <v>515</v>
      </c>
      <c r="M355" s="3">
        <v>703</v>
      </c>
      <c r="N355" s="4" t="s">
        <v>528</v>
      </c>
      <c r="O355" s="3">
        <v>0</v>
      </c>
      <c r="P355" s="3"/>
      <c r="Q355" s="3" t="s">
        <v>272</v>
      </c>
      <c r="R355" s="3" t="str">
        <f t="shared" si="29"/>
        <v>ui_703002</v>
      </c>
      <c r="S355" s="3" t="str">
        <f t="shared" si="30"/>
        <v>703002</v>
      </c>
      <c r="T355" s="3">
        <v>1</v>
      </c>
      <c r="U355" s="3">
        <v>0</v>
      </c>
      <c r="V355" s="3">
        <v>1</v>
      </c>
      <c r="W355" s="7"/>
      <c r="X355" s="3" t="s">
        <v>530</v>
      </c>
      <c r="Y355" s="3" t="s">
        <v>531</v>
      </c>
    </row>
    <row r="356" spans="1:25" x14ac:dyDescent="0.15">
      <c r="A356" s="3">
        <v>703004</v>
      </c>
      <c r="B356" s="4" t="s">
        <v>532</v>
      </c>
      <c r="C356" s="3">
        <v>2500</v>
      </c>
      <c r="D356" s="27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4">
        <v>213</v>
      </c>
      <c r="K356" s="3">
        <v>7</v>
      </c>
      <c r="L356" s="3" t="s">
        <v>515</v>
      </c>
      <c r="M356" s="3">
        <v>703</v>
      </c>
      <c r="N356" s="4" t="s">
        <v>528</v>
      </c>
      <c r="O356" s="3">
        <v>0</v>
      </c>
      <c r="P356" s="3"/>
      <c r="Q356" s="3" t="s">
        <v>272</v>
      </c>
      <c r="R356" s="3" t="str">
        <f t="shared" si="29"/>
        <v>ui_703004</v>
      </c>
      <c r="S356" s="3" t="str">
        <f t="shared" si="30"/>
        <v>703004</v>
      </c>
      <c r="T356" s="3">
        <v>1</v>
      </c>
      <c r="U356" s="3">
        <v>0</v>
      </c>
      <c r="V356" s="3">
        <v>1</v>
      </c>
      <c r="W356" s="7"/>
      <c r="X356" s="3" t="s">
        <v>532</v>
      </c>
      <c r="Y356" s="3" t="s">
        <v>533</v>
      </c>
    </row>
    <row r="357" spans="1:25" x14ac:dyDescent="0.15">
      <c r="A357" s="3">
        <v>703006</v>
      </c>
      <c r="B357" s="4" t="s">
        <v>534</v>
      </c>
      <c r="C357" s="3">
        <v>2500</v>
      </c>
      <c r="D357" s="27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4">
        <v>214</v>
      </c>
      <c r="K357" s="3">
        <v>7</v>
      </c>
      <c r="L357" s="3" t="s">
        <v>515</v>
      </c>
      <c r="M357" s="3">
        <v>703</v>
      </c>
      <c r="N357" s="4" t="s">
        <v>528</v>
      </c>
      <c r="O357" s="3">
        <v>0</v>
      </c>
      <c r="P357" s="3"/>
      <c r="Q357" s="3" t="s">
        <v>272</v>
      </c>
      <c r="R357" s="3" t="str">
        <f t="shared" si="29"/>
        <v>ui_703006</v>
      </c>
      <c r="S357" s="3" t="str">
        <f t="shared" si="30"/>
        <v>703006</v>
      </c>
      <c r="T357" s="3">
        <v>1</v>
      </c>
      <c r="U357" s="3">
        <v>0</v>
      </c>
      <c r="V357" s="3">
        <v>1</v>
      </c>
      <c r="W357" s="7"/>
      <c r="X357" s="3" t="s">
        <v>534</v>
      </c>
      <c r="Y357" s="3" t="s">
        <v>535</v>
      </c>
    </row>
    <row r="358" spans="1:25" x14ac:dyDescent="0.15">
      <c r="A358" s="3">
        <v>703007</v>
      </c>
      <c r="B358" s="4" t="s">
        <v>536</v>
      </c>
      <c r="C358" s="3">
        <v>2500</v>
      </c>
      <c r="D358" s="27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4">
        <v>215</v>
      </c>
      <c r="K358" s="3">
        <v>7</v>
      </c>
      <c r="L358" s="3" t="s">
        <v>515</v>
      </c>
      <c r="M358" s="3">
        <v>703</v>
      </c>
      <c r="N358" s="4" t="s">
        <v>528</v>
      </c>
      <c r="O358" s="3">
        <v>0</v>
      </c>
      <c r="P358" s="3"/>
      <c r="Q358" s="3" t="s">
        <v>272</v>
      </c>
      <c r="R358" s="3" t="str">
        <f t="shared" si="29"/>
        <v>ui_703007</v>
      </c>
      <c r="S358" s="3" t="str">
        <f t="shared" si="30"/>
        <v>703007</v>
      </c>
      <c r="T358" s="3">
        <v>1</v>
      </c>
      <c r="U358" s="3">
        <v>0</v>
      </c>
      <c r="V358" s="3">
        <v>1</v>
      </c>
      <c r="W358" s="7"/>
      <c r="X358" s="3" t="s">
        <v>536</v>
      </c>
      <c r="Y358" s="3" t="s">
        <v>537</v>
      </c>
    </row>
    <row r="359" spans="1:25" x14ac:dyDescent="0.15">
      <c r="A359" s="3">
        <v>704001</v>
      </c>
      <c r="B359" s="3" t="s">
        <v>3503</v>
      </c>
      <c r="C359" s="3">
        <v>2500</v>
      </c>
      <c r="D359" s="27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4">
        <v>216</v>
      </c>
      <c r="K359" s="3">
        <v>7</v>
      </c>
      <c r="L359" s="3" t="s">
        <v>515</v>
      </c>
      <c r="M359" s="3">
        <v>704</v>
      </c>
      <c r="N359" s="4" t="s">
        <v>539</v>
      </c>
      <c r="O359" s="3">
        <v>0</v>
      </c>
      <c r="P359" s="3"/>
      <c r="Q359" s="3" t="s">
        <v>272</v>
      </c>
      <c r="R359" s="3" t="str">
        <f t="shared" si="29"/>
        <v>ui_704001</v>
      </c>
      <c r="S359" s="3" t="str">
        <f t="shared" si="30"/>
        <v>704001</v>
      </c>
      <c r="T359" s="3">
        <v>1</v>
      </c>
      <c r="U359" s="3">
        <v>0</v>
      </c>
      <c r="V359" s="3">
        <v>1</v>
      </c>
      <c r="W359" s="7"/>
      <c r="X359" s="3" t="s">
        <v>538</v>
      </c>
      <c r="Y359" s="3" t="s">
        <v>540</v>
      </c>
    </row>
    <row r="360" spans="1:25" x14ac:dyDescent="0.15">
      <c r="A360" s="3">
        <v>704002</v>
      </c>
      <c r="B360" s="3" t="s">
        <v>3504</v>
      </c>
      <c r="C360" s="3">
        <v>2500</v>
      </c>
      <c r="D360" s="27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4">
        <v>216</v>
      </c>
      <c r="K360" s="3">
        <v>7</v>
      </c>
      <c r="L360" s="3" t="s">
        <v>515</v>
      </c>
      <c r="M360" s="3">
        <v>704</v>
      </c>
      <c r="N360" s="4" t="s">
        <v>539</v>
      </c>
      <c r="O360" s="3">
        <v>0</v>
      </c>
      <c r="P360" s="3"/>
      <c r="Q360" s="3" t="s">
        <v>272</v>
      </c>
      <c r="R360" s="3" t="str">
        <f t="shared" si="29"/>
        <v>ui_704002</v>
      </c>
      <c r="S360" s="3" t="str">
        <f t="shared" si="30"/>
        <v>704002</v>
      </c>
      <c r="T360" s="3">
        <v>1</v>
      </c>
      <c r="U360" s="3">
        <v>0</v>
      </c>
      <c r="V360" s="3">
        <v>1</v>
      </c>
      <c r="W360" s="7"/>
      <c r="X360" s="3" t="s">
        <v>541</v>
      </c>
      <c r="Y360" s="3" t="s">
        <v>542</v>
      </c>
    </row>
    <row r="361" spans="1:25" x14ac:dyDescent="0.15">
      <c r="A361" s="3">
        <v>704003</v>
      </c>
      <c r="B361" s="3" t="s">
        <v>3505</v>
      </c>
      <c r="C361" s="3">
        <v>2500</v>
      </c>
      <c r="D361" s="27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4">
        <v>216</v>
      </c>
      <c r="K361" s="3">
        <v>7</v>
      </c>
      <c r="L361" s="3" t="s">
        <v>515</v>
      </c>
      <c r="M361" s="3">
        <v>704</v>
      </c>
      <c r="N361" s="4" t="s">
        <v>539</v>
      </c>
      <c r="O361" s="3">
        <v>0</v>
      </c>
      <c r="P361" s="3"/>
      <c r="Q361" s="3" t="s">
        <v>272</v>
      </c>
      <c r="R361" s="3" t="str">
        <f t="shared" si="29"/>
        <v>ui_704003</v>
      </c>
      <c r="S361" s="3" t="str">
        <f t="shared" si="30"/>
        <v>704003</v>
      </c>
      <c r="T361" s="3">
        <v>1</v>
      </c>
      <c r="U361" s="3">
        <v>0</v>
      </c>
      <c r="V361" s="3">
        <v>1</v>
      </c>
      <c r="W361" s="7"/>
      <c r="X361" s="3" t="s">
        <v>543</v>
      </c>
      <c r="Y361" s="3" t="s">
        <v>544</v>
      </c>
    </row>
    <row r="362" spans="1:25" x14ac:dyDescent="0.15">
      <c r="A362" s="3">
        <v>704004</v>
      </c>
      <c r="B362" s="3" t="s">
        <v>3506</v>
      </c>
      <c r="C362" s="3">
        <v>2500</v>
      </c>
      <c r="D362" s="27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4">
        <v>216</v>
      </c>
      <c r="K362" s="3">
        <v>7</v>
      </c>
      <c r="L362" s="3" t="s">
        <v>515</v>
      </c>
      <c r="M362" s="3">
        <v>704</v>
      </c>
      <c r="N362" s="4" t="s">
        <v>539</v>
      </c>
      <c r="O362" s="3">
        <v>0</v>
      </c>
      <c r="P362" s="3"/>
      <c r="Q362" s="3" t="s">
        <v>272</v>
      </c>
      <c r="R362" s="3" t="str">
        <f t="shared" si="29"/>
        <v>ui_704004</v>
      </c>
      <c r="S362" s="3" t="str">
        <f t="shared" si="30"/>
        <v>704004</v>
      </c>
      <c r="T362" s="3">
        <v>1</v>
      </c>
      <c r="U362" s="3">
        <v>0</v>
      </c>
      <c r="V362" s="3">
        <v>1</v>
      </c>
      <c r="W362" s="7"/>
      <c r="X362" s="3" t="s">
        <v>545</v>
      </c>
      <c r="Y362" s="3" t="s">
        <v>546</v>
      </c>
    </row>
    <row r="363" spans="1:25" x14ac:dyDescent="0.15">
      <c r="A363" s="3">
        <v>704005</v>
      </c>
      <c r="B363" s="3" t="s">
        <v>3507</v>
      </c>
      <c r="C363" s="3">
        <v>2500</v>
      </c>
      <c r="D363" s="27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4">
        <v>216</v>
      </c>
      <c r="K363" s="3">
        <v>7</v>
      </c>
      <c r="L363" s="3" t="s">
        <v>515</v>
      </c>
      <c r="M363" s="3">
        <v>704</v>
      </c>
      <c r="N363" s="4" t="s">
        <v>539</v>
      </c>
      <c r="O363" s="3">
        <v>0</v>
      </c>
      <c r="P363" s="3"/>
      <c r="Q363" s="3" t="s">
        <v>272</v>
      </c>
      <c r="R363" s="3" t="str">
        <f t="shared" si="29"/>
        <v>ui_704005</v>
      </c>
      <c r="S363" s="3" t="str">
        <f t="shared" si="30"/>
        <v>704005</v>
      </c>
      <c r="T363" s="3">
        <v>1</v>
      </c>
      <c r="U363" s="3">
        <v>0</v>
      </c>
      <c r="V363" s="3">
        <v>1</v>
      </c>
      <c r="W363" s="7"/>
      <c r="X363" s="3" t="s">
        <v>547</v>
      </c>
      <c r="Y363" s="3" t="s">
        <v>548</v>
      </c>
    </row>
    <row r="364" spans="1:25" x14ac:dyDescent="0.15">
      <c r="A364" s="3">
        <v>704006</v>
      </c>
      <c r="B364" s="3" t="s">
        <v>3508</v>
      </c>
      <c r="C364" s="3">
        <v>2500</v>
      </c>
      <c r="D364" s="27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4">
        <v>216</v>
      </c>
      <c r="K364" s="3">
        <v>7</v>
      </c>
      <c r="L364" s="3" t="s">
        <v>515</v>
      </c>
      <c r="M364" s="3">
        <v>704</v>
      </c>
      <c r="N364" s="4" t="s">
        <v>539</v>
      </c>
      <c r="O364" s="3">
        <v>0</v>
      </c>
      <c r="P364" s="3"/>
      <c r="Q364" s="3" t="s">
        <v>272</v>
      </c>
      <c r="R364" s="3" t="str">
        <f t="shared" si="29"/>
        <v>ui_704006</v>
      </c>
      <c r="S364" s="3" t="str">
        <f t="shared" si="30"/>
        <v>704006</v>
      </c>
      <c r="T364" s="3">
        <v>1</v>
      </c>
      <c r="U364" s="3">
        <v>0</v>
      </c>
      <c r="V364" s="3">
        <v>1</v>
      </c>
      <c r="W364" s="7"/>
      <c r="X364" s="3" t="s">
        <v>549</v>
      </c>
      <c r="Y364" s="3" t="s">
        <v>550</v>
      </c>
    </row>
    <row r="365" spans="1:25" x14ac:dyDescent="0.15">
      <c r="A365" s="3">
        <v>704007</v>
      </c>
      <c r="B365" s="3" t="s">
        <v>3509</v>
      </c>
      <c r="C365" s="3">
        <v>2500</v>
      </c>
      <c r="D365" s="27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4">
        <v>216</v>
      </c>
      <c r="K365" s="3">
        <v>7</v>
      </c>
      <c r="L365" s="3" t="s">
        <v>515</v>
      </c>
      <c r="M365" s="3">
        <v>704</v>
      </c>
      <c r="N365" s="4" t="s">
        <v>539</v>
      </c>
      <c r="O365" s="3">
        <v>0</v>
      </c>
      <c r="P365" s="3"/>
      <c r="Q365" s="3" t="s">
        <v>272</v>
      </c>
      <c r="R365" s="3" t="str">
        <f t="shared" si="29"/>
        <v>ui_704007</v>
      </c>
      <c r="S365" s="3" t="str">
        <f t="shared" si="30"/>
        <v>704007</v>
      </c>
      <c r="T365" s="3">
        <v>1</v>
      </c>
      <c r="U365" s="3">
        <v>0</v>
      </c>
      <c r="V365" s="3">
        <v>1</v>
      </c>
      <c r="W365" s="7"/>
      <c r="X365" s="3" t="s">
        <v>551</v>
      </c>
      <c r="Y365" s="3" t="s">
        <v>552</v>
      </c>
    </row>
    <row r="366" spans="1:25" x14ac:dyDescent="0.15">
      <c r="A366" s="3">
        <v>704008</v>
      </c>
      <c r="B366" s="3" t="s">
        <v>3510</v>
      </c>
      <c r="C366" s="3">
        <v>2500</v>
      </c>
      <c r="D366" s="27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4">
        <v>216</v>
      </c>
      <c r="K366" s="3">
        <v>7</v>
      </c>
      <c r="L366" s="3" t="s">
        <v>515</v>
      </c>
      <c r="M366" s="3">
        <v>704</v>
      </c>
      <c r="N366" s="4" t="s">
        <v>539</v>
      </c>
      <c r="O366" s="3">
        <v>0</v>
      </c>
      <c r="P366" s="3"/>
      <c r="Q366" s="3" t="s">
        <v>272</v>
      </c>
      <c r="R366" s="3" t="str">
        <f t="shared" si="29"/>
        <v>ui_704008</v>
      </c>
      <c r="S366" s="3" t="str">
        <f t="shared" si="30"/>
        <v>704008</v>
      </c>
      <c r="T366" s="3">
        <v>1</v>
      </c>
      <c r="U366" s="3">
        <v>0</v>
      </c>
      <c r="V366" s="3">
        <v>1</v>
      </c>
      <c r="W366" s="7"/>
      <c r="X366" s="3" t="s">
        <v>553</v>
      </c>
      <c r="Y366" s="3" t="s">
        <v>554</v>
      </c>
    </row>
    <row r="367" spans="1:25" x14ac:dyDescent="0.15">
      <c r="A367" s="3">
        <v>704009</v>
      </c>
      <c r="B367" s="27" t="s">
        <v>3571</v>
      </c>
      <c r="C367" s="3">
        <v>5000</v>
      </c>
      <c r="D367" s="27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4">
        <v>218</v>
      </c>
      <c r="K367" s="3">
        <v>7</v>
      </c>
      <c r="L367" s="3" t="s">
        <v>515</v>
      </c>
      <c r="M367" s="3">
        <v>704</v>
      </c>
      <c r="N367" s="4" t="s">
        <v>539</v>
      </c>
      <c r="O367" s="3">
        <v>0</v>
      </c>
      <c r="P367" s="3"/>
      <c r="Q367" s="3" t="s">
        <v>272</v>
      </c>
      <c r="R367" s="3" t="str">
        <f t="shared" si="29"/>
        <v>ui_704009</v>
      </c>
      <c r="S367" s="3" t="str">
        <f t="shared" si="30"/>
        <v>704009</v>
      </c>
      <c r="T367" s="3">
        <v>1</v>
      </c>
      <c r="U367" s="3">
        <v>0</v>
      </c>
      <c r="V367" s="3">
        <v>1</v>
      </c>
      <c r="W367" s="7"/>
      <c r="X367" s="27" t="s">
        <v>3571</v>
      </c>
      <c r="Y367" s="27" t="s">
        <v>3572</v>
      </c>
    </row>
    <row r="368" spans="1:25" x14ac:dyDescent="0.15">
      <c r="A368" s="3">
        <v>704010</v>
      </c>
      <c r="B368" s="27" t="s">
        <v>2921</v>
      </c>
      <c r="C368" s="3">
        <v>5000</v>
      </c>
      <c r="D368" s="27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4">
        <v>218</v>
      </c>
      <c r="K368" s="3">
        <v>7</v>
      </c>
      <c r="L368" s="3" t="s">
        <v>515</v>
      </c>
      <c r="M368" s="3">
        <v>704</v>
      </c>
      <c r="N368" s="4" t="s">
        <v>539</v>
      </c>
      <c r="O368" s="3">
        <v>0</v>
      </c>
      <c r="P368" s="3"/>
      <c r="Q368" s="3" t="s">
        <v>272</v>
      </c>
      <c r="R368" s="3" t="str">
        <f t="shared" si="29"/>
        <v>ui_704010</v>
      </c>
      <c r="S368" s="3" t="str">
        <f t="shared" si="30"/>
        <v>704010</v>
      </c>
      <c r="T368" s="3">
        <v>1</v>
      </c>
      <c r="U368" s="3">
        <v>0</v>
      </c>
      <c r="V368" s="3">
        <v>1</v>
      </c>
      <c r="W368" s="7"/>
      <c r="X368" s="27" t="s">
        <v>2921</v>
      </c>
      <c r="Y368" s="27" t="s">
        <v>2923</v>
      </c>
    </row>
    <row r="369" spans="1:25" x14ac:dyDescent="0.15">
      <c r="A369" s="3">
        <v>704011</v>
      </c>
      <c r="B369" s="27" t="s">
        <v>2922</v>
      </c>
      <c r="C369" s="3">
        <v>5000</v>
      </c>
      <c r="D369" s="27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4">
        <v>218</v>
      </c>
      <c r="K369" s="3">
        <v>7</v>
      </c>
      <c r="L369" s="3" t="s">
        <v>515</v>
      </c>
      <c r="M369" s="3">
        <v>704</v>
      </c>
      <c r="N369" s="4" t="s">
        <v>539</v>
      </c>
      <c r="O369" s="3">
        <v>0</v>
      </c>
      <c r="P369" s="3"/>
      <c r="Q369" s="3" t="s">
        <v>272</v>
      </c>
      <c r="R369" s="3" t="str">
        <f t="shared" si="29"/>
        <v>ui_704011</v>
      </c>
      <c r="S369" s="3" t="str">
        <f t="shared" si="30"/>
        <v>704011</v>
      </c>
      <c r="T369" s="3">
        <v>1</v>
      </c>
      <c r="U369" s="3">
        <v>0</v>
      </c>
      <c r="V369" s="3">
        <v>1</v>
      </c>
      <c r="W369" s="7"/>
      <c r="X369" s="27" t="s">
        <v>2922</v>
      </c>
      <c r="Y369" s="27" t="s">
        <v>2924</v>
      </c>
    </row>
    <row r="370" spans="1:25" x14ac:dyDescent="0.15">
      <c r="A370" s="3">
        <v>704012</v>
      </c>
      <c r="B370" s="27" t="s">
        <v>2928</v>
      </c>
      <c r="C370" s="3">
        <v>2500</v>
      </c>
      <c r="D370" s="27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4">
        <v>219</v>
      </c>
      <c r="K370" s="3">
        <v>7</v>
      </c>
      <c r="L370" s="3" t="s">
        <v>515</v>
      </c>
      <c r="M370" s="3">
        <v>704</v>
      </c>
      <c r="N370" s="4" t="s">
        <v>539</v>
      </c>
      <c r="O370" s="3">
        <v>0</v>
      </c>
      <c r="P370" s="3"/>
      <c r="Q370" s="3" t="s">
        <v>272</v>
      </c>
      <c r="R370" s="3" t="str">
        <f t="shared" si="29"/>
        <v>ui_704012</v>
      </c>
      <c r="S370" s="3" t="str">
        <f t="shared" si="30"/>
        <v>704012</v>
      </c>
      <c r="T370" s="3">
        <v>1</v>
      </c>
      <c r="U370" s="3">
        <v>0</v>
      </c>
      <c r="V370" s="3">
        <v>1</v>
      </c>
      <c r="W370" s="7"/>
      <c r="X370" s="27" t="s">
        <v>2928</v>
      </c>
      <c r="Y370" s="27" t="s">
        <v>2931</v>
      </c>
    </row>
    <row r="371" spans="1:25" x14ac:dyDescent="0.15">
      <c r="A371" s="3">
        <v>704013</v>
      </c>
      <c r="B371" s="27" t="s">
        <v>2929</v>
      </c>
      <c r="C371" s="3">
        <v>2500</v>
      </c>
      <c r="D371" s="27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4">
        <v>219</v>
      </c>
      <c r="K371" s="3">
        <v>7</v>
      </c>
      <c r="L371" s="3" t="s">
        <v>515</v>
      </c>
      <c r="M371" s="3">
        <v>704</v>
      </c>
      <c r="N371" s="4" t="s">
        <v>539</v>
      </c>
      <c r="O371" s="3">
        <v>0</v>
      </c>
      <c r="P371" s="3"/>
      <c r="Q371" s="3" t="s">
        <v>272</v>
      </c>
      <c r="R371" s="3" t="str">
        <f t="shared" si="29"/>
        <v>ui_704013</v>
      </c>
      <c r="S371" s="3" t="str">
        <f t="shared" si="30"/>
        <v>704013</v>
      </c>
      <c r="T371" s="3">
        <v>1</v>
      </c>
      <c r="U371" s="3">
        <v>0</v>
      </c>
      <c r="V371" s="3">
        <v>1</v>
      </c>
      <c r="W371" s="7"/>
      <c r="X371" s="27" t="s">
        <v>2929</v>
      </c>
      <c r="Y371" s="27" t="s">
        <v>2932</v>
      </c>
    </row>
    <row r="372" spans="1:25" x14ac:dyDescent="0.15">
      <c r="A372" s="3">
        <v>704014</v>
      </c>
      <c r="B372" s="27" t="s">
        <v>2930</v>
      </c>
      <c r="C372" s="3">
        <v>2500</v>
      </c>
      <c r="D372" s="27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4">
        <v>219</v>
      </c>
      <c r="K372" s="3">
        <v>7</v>
      </c>
      <c r="L372" s="3" t="s">
        <v>515</v>
      </c>
      <c r="M372" s="3">
        <v>704</v>
      </c>
      <c r="N372" s="4" t="s">
        <v>539</v>
      </c>
      <c r="O372" s="3">
        <v>0</v>
      </c>
      <c r="P372" s="3"/>
      <c r="Q372" s="3" t="s">
        <v>272</v>
      </c>
      <c r="R372" s="3" t="str">
        <f t="shared" si="29"/>
        <v>ui_704014</v>
      </c>
      <c r="S372" s="3" t="str">
        <f t="shared" si="30"/>
        <v>704014</v>
      </c>
      <c r="T372" s="3">
        <v>1</v>
      </c>
      <c r="U372" s="3">
        <v>0</v>
      </c>
      <c r="V372" s="3">
        <v>1</v>
      </c>
      <c r="W372" s="7"/>
      <c r="X372" s="27" t="s">
        <v>2930</v>
      </c>
      <c r="Y372" s="27" t="s">
        <v>2933</v>
      </c>
    </row>
    <row r="373" spans="1:25" x14ac:dyDescent="0.15">
      <c r="A373" s="3">
        <v>704015</v>
      </c>
      <c r="B373" s="27" t="s">
        <v>2938</v>
      </c>
      <c r="C373" s="3">
        <v>2500</v>
      </c>
      <c r="D373" s="27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4">
        <v>220</v>
      </c>
      <c r="K373" s="3">
        <v>7</v>
      </c>
      <c r="L373" s="3" t="s">
        <v>515</v>
      </c>
      <c r="M373" s="3">
        <v>704</v>
      </c>
      <c r="N373" s="4" t="s">
        <v>539</v>
      </c>
      <c r="O373" s="3">
        <v>0</v>
      </c>
      <c r="P373" s="3"/>
      <c r="Q373" s="3" t="s">
        <v>272</v>
      </c>
      <c r="R373" s="3" t="str">
        <f t="shared" si="29"/>
        <v>ui_704015</v>
      </c>
      <c r="S373" s="3" t="str">
        <f t="shared" si="30"/>
        <v>704015</v>
      </c>
      <c r="T373" s="3">
        <v>1</v>
      </c>
      <c r="U373" s="3">
        <v>0</v>
      </c>
      <c r="V373" s="3">
        <v>1</v>
      </c>
      <c r="W373" s="7"/>
      <c r="X373" s="27" t="s">
        <v>2938</v>
      </c>
      <c r="Y373" s="27" t="s">
        <v>2940</v>
      </c>
    </row>
    <row r="374" spans="1:25" x14ac:dyDescent="0.15">
      <c r="A374" s="3">
        <v>704016</v>
      </c>
      <c r="B374" s="27" t="s">
        <v>2937</v>
      </c>
      <c r="C374" s="3">
        <v>2500</v>
      </c>
      <c r="D374" s="27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4">
        <v>220</v>
      </c>
      <c r="K374" s="3">
        <v>7</v>
      </c>
      <c r="L374" s="3" t="s">
        <v>515</v>
      </c>
      <c r="M374" s="3">
        <v>704</v>
      </c>
      <c r="N374" s="4" t="s">
        <v>539</v>
      </c>
      <c r="O374" s="3">
        <v>0</v>
      </c>
      <c r="P374" s="3"/>
      <c r="Q374" s="3" t="s">
        <v>272</v>
      </c>
      <c r="R374" s="3" t="str">
        <f t="shared" si="29"/>
        <v>ui_704016</v>
      </c>
      <c r="S374" s="3" t="str">
        <f t="shared" si="30"/>
        <v>704016</v>
      </c>
      <c r="T374" s="3">
        <v>1</v>
      </c>
      <c r="U374" s="3">
        <v>0</v>
      </c>
      <c r="V374" s="3">
        <v>1</v>
      </c>
      <c r="W374" s="7"/>
      <c r="X374" s="27" t="s">
        <v>2937</v>
      </c>
      <c r="Y374" s="27" t="s">
        <v>2940</v>
      </c>
    </row>
    <row r="375" spans="1:25" x14ac:dyDescent="0.15">
      <c r="A375" s="3">
        <v>704017</v>
      </c>
      <c r="B375" s="27" t="s">
        <v>2936</v>
      </c>
      <c r="C375" s="3">
        <v>2500</v>
      </c>
      <c r="D375" s="27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4">
        <v>220</v>
      </c>
      <c r="K375" s="3">
        <v>7</v>
      </c>
      <c r="L375" s="3" t="s">
        <v>515</v>
      </c>
      <c r="M375" s="3">
        <v>704</v>
      </c>
      <c r="N375" s="4" t="s">
        <v>539</v>
      </c>
      <c r="O375" s="3">
        <v>0</v>
      </c>
      <c r="P375" s="3"/>
      <c r="Q375" s="3" t="s">
        <v>272</v>
      </c>
      <c r="R375" s="3" t="str">
        <f t="shared" si="29"/>
        <v>ui_704017</v>
      </c>
      <c r="S375" s="3" t="str">
        <f t="shared" si="30"/>
        <v>704017</v>
      </c>
      <c r="T375" s="3">
        <v>1</v>
      </c>
      <c r="U375" s="3">
        <v>0</v>
      </c>
      <c r="V375" s="3">
        <v>1</v>
      </c>
      <c r="W375" s="7"/>
      <c r="X375" s="27" t="s">
        <v>2936</v>
      </c>
      <c r="Y375" s="27" t="s">
        <v>2940</v>
      </c>
    </row>
    <row r="376" spans="1:25" x14ac:dyDescent="0.15">
      <c r="A376" s="3">
        <v>704018</v>
      </c>
      <c r="B376" s="27" t="s">
        <v>2934</v>
      </c>
      <c r="C376" s="3">
        <v>2500</v>
      </c>
      <c r="D376" s="27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4">
        <v>220</v>
      </c>
      <c r="K376" s="3">
        <v>7</v>
      </c>
      <c r="L376" s="3" t="s">
        <v>515</v>
      </c>
      <c r="M376" s="3">
        <v>704</v>
      </c>
      <c r="N376" s="4" t="s">
        <v>539</v>
      </c>
      <c r="O376" s="3">
        <v>0</v>
      </c>
      <c r="P376" s="3"/>
      <c r="Q376" s="3" t="s">
        <v>272</v>
      </c>
      <c r="R376" s="3" t="str">
        <f t="shared" si="29"/>
        <v>ui_704018</v>
      </c>
      <c r="S376" s="3" t="str">
        <f t="shared" si="30"/>
        <v>704018</v>
      </c>
      <c r="T376" s="3">
        <v>1</v>
      </c>
      <c r="U376" s="3">
        <v>0</v>
      </c>
      <c r="V376" s="3">
        <v>1</v>
      </c>
      <c r="W376" s="7"/>
      <c r="X376" s="27" t="s">
        <v>2934</v>
      </c>
      <c r="Y376" s="27" t="s">
        <v>2940</v>
      </c>
    </row>
    <row r="377" spans="1:25" x14ac:dyDescent="0.15">
      <c r="A377" s="3">
        <v>704019</v>
      </c>
      <c r="B377" s="27" t="s">
        <v>2935</v>
      </c>
      <c r="C377" s="3">
        <v>2500</v>
      </c>
      <c r="D377" s="27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4">
        <v>220</v>
      </c>
      <c r="K377" s="3">
        <v>7</v>
      </c>
      <c r="L377" s="3" t="s">
        <v>515</v>
      </c>
      <c r="M377" s="3">
        <v>704</v>
      </c>
      <c r="N377" s="4" t="s">
        <v>539</v>
      </c>
      <c r="O377" s="3">
        <v>0</v>
      </c>
      <c r="P377" s="3"/>
      <c r="Q377" s="3" t="s">
        <v>272</v>
      </c>
      <c r="R377" s="3" t="str">
        <f t="shared" si="29"/>
        <v>ui_704019</v>
      </c>
      <c r="S377" s="3" t="str">
        <f t="shared" si="30"/>
        <v>704019</v>
      </c>
      <c r="T377" s="3">
        <v>1</v>
      </c>
      <c r="U377" s="3">
        <v>0</v>
      </c>
      <c r="V377" s="3">
        <v>1</v>
      </c>
      <c r="W377" s="7"/>
      <c r="X377" s="27" t="s">
        <v>2935</v>
      </c>
      <c r="Y377" s="27" t="s">
        <v>2940</v>
      </c>
    </row>
    <row r="378" spans="1:25" x14ac:dyDescent="0.15">
      <c r="A378" s="3">
        <v>704020</v>
      </c>
      <c r="B378" s="27" t="s">
        <v>2939</v>
      </c>
      <c r="C378" s="3">
        <v>2500</v>
      </c>
      <c r="D378" s="27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4">
        <v>220</v>
      </c>
      <c r="K378" s="3">
        <v>7</v>
      </c>
      <c r="L378" s="3" t="s">
        <v>515</v>
      </c>
      <c r="M378" s="3">
        <v>704</v>
      </c>
      <c r="N378" s="4" t="s">
        <v>539</v>
      </c>
      <c r="O378" s="3">
        <v>0</v>
      </c>
      <c r="P378" s="3"/>
      <c r="Q378" s="3" t="s">
        <v>272</v>
      </c>
      <c r="R378" s="3" t="str">
        <f t="shared" si="29"/>
        <v>ui_704020</v>
      </c>
      <c r="S378" s="3" t="str">
        <f t="shared" si="30"/>
        <v>704020</v>
      </c>
      <c r="T378" s="3">
        <v>1</v>
      </c>
      <c r="U378" s="3">
        <v>0</v>
      </c>
      <c r="V378" s="3">
        <v>1</v>
      </c>
      <c r="W378" s="7"/>
      <c r="X378" s="27" t="s">
        <v>2939</v>
      </c>
      <c r="Y378" s="27" t="s">
        <v>2940</v>
      </c>
    </row>
    <row r="379" spans="1:25" x14ac:dyDescent="0.15">
      <c r="A379" s="3">
        <v>704021</v>
      </c>
      <c r="B379" s="27" t="s">
        <v>3511</v>
      </c>
      <c r="C379" s="3">
        <v>2500</v>
      </c>
      <c r="D379" s="27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4">
        <v>217</v>
      </c>
      <c r="K379" s="3">
        <v>7</v>
      </c>
      <c r="L379" s="3" t="s">
        <v>515</v>
      </c>
      <c r="M379" s="3">
        <v>704</v>
      </c>
      <c r="N379" s="4" t="s">
        <v>539</v>
      </c>
      <c r="O379" s="3">
        <v>0</v>
      </c>
      <c r="P379" s="3"/>
      <c r="Q379" s="3" t="s">
        <v>272</v>
      </c>
      <c r="R379" s="3" t="str">
        <f t="shared" ref="R379:R381" si="34">CONCATENATE("ui_",A379,"")</f>
        <v>ui_704021</v>
      </c>
      <c r="S379" s="3" t="str">
        <f>CONCATENATE(A379,"")</f>
        <v>704021</v>
      </c>
      <c r="T379" s="3">
        <v>1</v>
      </c>
      <c r="U379" s="3">
        <v>0</v>
      </c>
      <c r="V379" s="3">
        <v>1</v>
      </c>
      <c r="W379" s="7"/>
      <c r="X379" s="27" t="s">
        <v>3511</v>
      </c>
      <c r="Y379" s="27" t="s">
        <v>3514</v>
      </c>
    </row>
    <row r="380" spans="1:25" x14ac:dyDescent="0.15">
      <c r="A380" s="3">
        <v>704022</v>
      </c>
      <c r="B380" s="27" t="s">
        <v>3512</v>
      </c>
      <c r="C380" s="3">
        <v>2500</v>
      </c>
      <c r="D380" s="27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4">
        <v>217</v>
      </c>
      <c r="K380" s="3">
        <v>7</v>
      </c>
      <c r="L380" s="3" t="s">
        <v>515</v>
      </c>
      <c r="M380" s="3">
        <v>704</v>
      </c>
      <c r="N380" s="4" t="s">
        <v>539</v>
      </c>
      <c r="O380" s="3">
        <v>0</v>
      </c>
      <c r="P380" s="3"/>
      <c r="Q380" s="3" t="s">
        <v>272</v>
      </c>
      <c r="R380" s="3" t="str">
        <f t="shared" si="34"/>
        <v>ui_704022</v>
      </c>
      <c r="S380" s="3" t="str">
        <f t="shared" ref="S380:S381" si="35">CONCATENATE(A380,"")</f>
        <v>704022</v>
      </c>
      <c r="T380" s="3">
        <v>1</v>
      </c>
      <c r="U380" s="3">
        <v>0</v>
      </c>
      <c r="V380" s="3">
        <v>1</v>
      </c>
      <c r="W380" s="7"/>
      <c r="X380" s="27" t="s">
        <v>3512</v>
      </c>
      <c r="Y380" s="27" t="s">
        <v>3515</v>
      </c>
    </row>
    <row r="381" spans="1:25" x14ac:dyDescent="0.15">
      <c r="A381" s="3">
        <v>704023</v>
      </c>
      <c r="B381" s="27" t="s">
        <v>3513</v>
      </c>
      <c r="C381" s="3">
        <v>2500</v>
      </c>
      <c r="D381" s="27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4">
        <v>217</v>
      </c>
      <c r="K381" s="3">
        <v>7</v>
      </c>
      <c r="L381" s="3" t="s">
        <v>515</v>
      </c>
      <c r="M381" s="3">
        <v>704</v>
      </c>
      <c r="N381" s="4" t="s">
        <v>539</v>
      </c>
      <c r="O381" s="3">
        <v>0</v>
      </c>
      <c r="P381" s="3"/>
      <c r="Q381" s="3" t="s">
        <v>272</v>
      </c>
      <c r="R381" s="3" t="str">
        <f t="shared" si="34"/>
        <v>ui_704023</v>
      </c>
      <c r="S381" s="3" t="str">
        <f t="shared" si="35"/>
        <v>704023</v>
      </c>
      <c r="T381" s="3">
        <v>1</v>
      </c>
      <c r="U381" s="3">
        <v>0</v>
      </c>
      <c r="V381" s="3">
        <v>1</v>
      </c>
      <c r="W381" s="7"/>
      <c r="X381" s="27" t="s">
        <v>3513</v>
      </c>
      <c r="Y381" s="27" t="s">
        <v>3556</v>
      </c>
    </row>
    <row r="382" spans="1:25" x14ac:dyDescent="0.15">
      <c r="A382" s="3">
        <v>704024</v>
      </c>
      <c r="B382" s="27" t="s">
        <v>3516</v>
      </c>
      <c r="C382" s="3">
        <v>2500</v>
      </c>
      <c r="D382" s="27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4">
        <v>217</v>
      </c>
      <c r="K382" s="3">
        <v>7</v>
      </c>
      <c r="L382" s="3" t="s">
        <v>515</v>
      </c>
      <c r="M382" s="3">
        <v>704</v>
      </c>
      <c r="N382" s="4" t="s">
        <v>539</v>
      </c>
      <c r="O382" s="3">
        <v>0</v>
      </c>
      <c r="P382" s="3"/>
      <c r="Q382" s="3" t="s">
        <v>272</v>
      </c>
      <c r="R382" s="3" t="str">
        <f t="shared" ref="R382:R384" si="36">CONCATENATE("ui_",A382,"")</f>
        <v>ui_704024</v>
      </c>
      <c r="S382" s="3" t="str">
        <f t="shared" ref="S382:S384" si="37">CONCATENATE(A382,"")</f>
        <v>704024</v>
      </c>
      <c r="T382" s="3">
        <v>1</v>
      </c>
      <c r="U382" s="3">
        <v>0</v>
      </c>
      <c r="V382" s="3">
        <v>1</v>
      </c>
      <c r="W382" s="7"/>
      <c r="X382" s="27" t="s">
        <v>3516</v>
      </c>
      <c r="Y382" s="27" t="s">
        <v>3517</v>
      </c>
    </row>
    <row r="383" spans="1:25" x14ac:dyDescent="0.15">
      <c r="A383" s="3">
        <v>704025</v>
      </c>
      <c r="B383" s="27" t="s">
        <v>3562</v>
      </c>
      <c r="C383" s="3">
        <v>5000</v>
      </c>
      <c r="D383" s="27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4">
        <v>218</v>
      </c>
      <c r="K383" s="3">
        <v>7</v>
      </c>
      <c r="L383" s="3" t="s">
        <v>515</v>
      </c>
      <c r="M383" s="3">
        <v>704</v>
      </c>
      <c r="N383" s="4" t="s">
        <v>539</v>
      </c>
      <c r="O383" s="3">
        <v>0</v>
      </c>
      <c r="P383" s="3"/>
      <c r="Q383" s="3" t="s">
        <v>272</v>
      </c>
      <c r="R383" s="3" t="str">
        <f t="shared" si="36"/>
        <v>ui_704025</v>
      </c>
      <c r="S383" s="3" t="str">
        <f t="shared" si="37"/>
        <v>704025</v>
      </c>
      <c r="T383" s="3">
        <v>1</v>
      </c>
      <c r="U383" s="3">
        <v>0</v>
      </c>
      <c r="V383" s="3">
        <v>1</v>
      </c>
      <c r="W383" s="7"/>
      <c r="X383" s="27" t="s">
        <v>3558</v>
      </c>
      <c r="Y383" s="27" t="s">
        <v>3560</v>
      </c>
    </row>
    <row r="384" spans="1:25" x14ac:dyDescent="0.15">
      <c r="A384" s="3">
        <v>704026</v>
      </c>
      <c r="B384" s="27" t="s">
        <v>3574</v>
      </c>
      <c r="C384" s="3">
        <v>5000</v>
      </c>
      <c r="D384" s="27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4">
        <v>218</v>
      </c>
      <c r="K384" s="3">
        <v>7</v>
      </c>
      <c r="L384" s="3" t="s">
        <v>515</v>
      </c>
      <c r="M384" s="3">
        <v>704</v>
      </c>
      <c r="N384" s="4" t="s">
        <v>539</v>
      </c>
      <c r="O384" s="3">
        <v>0</v>
      </c>
      <c r="P384" s="3"/>
      <c r="Q384" s="3" t="s">
        <v>272</v>
      </c>
      <c r="R384" s="3" t="str">
        <f t="shared" si="36"/>
        <v>ui_704026</v>
      </c>
      <c r="S384" s="3" t="str">
        <f t="shared" si="37"/>
        <v>704026</v>
      </c>
      <c r="T384" s="3">
        <v>1</v>
      </c>
      <c r="U384" s="3">
        <v>0</v>
      </c>
      <c r="V384" s="3">
        <v>1</v>
      </c>
      <c r="W384" s="7"/>
      <c r="X384" s="27" t="s">
        <v>3574</v>
      </c>
      <c r="Y384" s="27" t="s">
        <v>3577</v>
      </c>
    </row>
    <row r="385" spans="1:25" x14ac:dyDescent="0.15">
      <c r="A385" s="3">
        <v>704027</v>
      </c>
      <c r="B385" s="27" t="s">
        <v>3593</v>
      </c>
      <c r="C385" s="3">
        <v>5000</v>
      </c>
      <c r="D385" s="27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4">
        <v>218</v>
      </c>
      <c r="K385" s="3">
        <v>7</v>
      </c>
      <c r="L385" s="3" t="s">
        <v>515</v>
      </c>
      <c r="M385" s="3">
        <v>704</v>
      </c>
      <c r="N385" s="4" t="s">
        <v>539</v>
      </c>
      <c r="O385" s="3">
        <v>0</v>
      </c>
      <c r="P385" s="3"/>
      <c r="Q385" s="3" t="s">
        <v>272</v>
      </c>
      <c r="R385" s="3" t="str">
        <f t="shared" ref="R385:R386" si="38">CONCATENATE("ui_",A385,"")</f>
        <v>ui_704027</v>
      </c>
      <c r="S385" s="3" t="str">
        <f t="shared" ref="S385:S386" si="39">CONCATENATE(A385,"")</f>
        <v>704027</v>
      </c>
      <c r="T385" s="3">
        <v>1</v>
      </c>
      <c r="U385" s="3">
        <v>0</v>
      </c>
      <c r="V385" s="3">
        <v>1</v>
      </c>
      <c r="W385" s="7"/>
      <c r="X385" s="27" t="s">
        <v>3593</v>
      </c>
      <c r="Y385" s="27" t="s">
        <v>3567</v>
      </c>
    </row>
    <row r="386" spans="1:25" x14ac:dyDescent="0.15">
      <c r="A386" s="3">
        <v>704028</v>
      </c>
      <c r="B386" s="27" t="s">
        <v>3576</v>
      </c>
      <c r="C386" s="3">
        <v>5000</v>
      </c>
      <c r="D386" s="27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4">
        <v>218</v>
      </c>
      <c r="K386" s="3">
        <v>7</v>
      </c>
      <c r="L386" s="3" t="s">
        <v>515</v>
      </c>
      <c r="M386" s="3">
        <v>704</v>
      </c>
      <c r="N386" s="4" t="s">
        <v>539</v>
      </c>
      <c r="O386" s="3">
        <v>0</v>
      </c>
      <c r="P386" s="3"/>
      <c r="Q386" s="3" t="s">
        <v>272</v>
      </c>
      <c r="R386" s="3" t="str">
        <f t="shared" si="38"/>
        <v>ui_704028</v>
      </c>
      <c r="S386" s="3" t="str">
        <f t="shared" si="39"/>
        <v>704028</v>
      </c>
      <c r="T386" s="3">
        <v>1</v>
      </c>
      <c r="U386" s="3">
        <v>0</v>
      </c>
      <c r="V386" s="3">
        <v>1</v>
      </c>
      <c r="W386" s="7"/>
      <c r="X386" s="27" t="s">
        <v>3576</v>
      </c>
      <c r="Y386" s="27" t="s">
        <v>3578</v>
      </c>
    </row>
    <row r="387" spans="1:25" x14ac:dyDescent="0.15">
      <c r="A387" s="3">
        <v>704029</v>
      </c>
      <c r="B387" s="27" t="s">
        <v>3579</v>
      </c>
      <c r="C387" s="3">
        <v>20000</v>
      </c>
      <c r="D387" s="27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4">
        <v>218</v>
      </c>
      <c r="K387" s="3">
        <v>7</v>
      </c>
      <c r="L387" s="3" t="s">
        <v>515</v>
      </c>
      <c r="M387" s="3">
        <v>704</v>
      </c>
      <c r="N387" s="4" t="s">
        <v>539</v>
      </c>
      <c r="O387" s="3">
        <v>0</v>
      </c>
      <c r="P387" s="3"/>
      <c r="Q387" s="3" t="s">
        <v>272</v>
      </c>
      <c r="R387" s="3" t="str">
        <f t="shared" ref="R387" si="40">CONCATENATE("ui_",A387,"")</f>
        <v>ui_704029</v>
      </c>
      <c r="S387" s="3" t="str">
        <f t="shared" ref="S387" si="41">CONCATENATE(A387,"")</f>
        <v>704029</v>
      </c>
      <c r="T387" s="3">
        <v>1</v>
      </c>
      <c r="U387" s="3">
        <v>0</v>
      </c>
      <c r="V387" s="3">
        <v>1</v>
      </c>
      <c r="W387" s="7"/>
      <c r="X387" s="27" t="s">
        <v>3559</v>
      </c>
      <c r="Y387" s="27" t="s">
        <v>3561</v>
      </c>
    </row>
    <row r="388" spans="1:25" ht="40.5" x14ac:dyDescent="0.15">
      <c r="A388" s="3">
        <v>705001</v>
      </c>
      <c r="B388" s="3" t="s">
        <v>555</v>
      </c>
      <c r="C388" s="3">
        <v>100000</v>
      </c>
      <c r="D388" s="27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4">
        <v>224</v>
      </c>
      <c r="K388" s="3">
        <v>7</v>
      </c>
      <c r="L388" s="3" t="s">
        <v>515</v>
      </c>
      <c r="M388" s="3">
        <v>705</v>
      </c>
      <c r="N388" s="4" t="s">
        <v>556</v>
      </c>
      <c r="O388" s="3">
        <v>0</v>
      </c>
      <c r="P388" s="3"/>
      <c r="Q388" s="3" t="s">
        <v>272</v>
      </c>
      <c r="R388" s="3" t="str">
        <f t="shared" si="29"/>
        <v>ui_705001</v>
      </c>
      <c r="S388" s="3" t="str">
        <f t="shared" si="30"/>
        <v>705001</v>
      </c>
      <c r="T388" s="3">
        <v>1</v>
      </c>
      <c r="U388" s="3">
        <v>0</v>
      </c>
      <c r="V388" s="3">
        <v>1</v>
      </c>
      <c r="W388" s="7"/>
      <c r="X388" s="3" t="s">
        <v>555</v>
      </c>
      <c r="Y388" s="32" t="s">
        <v>3228</v>
      </c>
    </row>
    <row r="389" spans="1:25" x14ac:dyDescent="0.15">
      <c r="A389" s="3">
        <v>705002</v>
      </c>
      <c r="B389" s="3" t="s">
        <v>557</v>
      </c>
      <c r="C389" s="3">
        <v>100000</v>
      </c>
      <c r="D389" s="27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4">
        <v>225</v>
      </c>
      <c r="K389" s="3">
        <v>7</v>
      </c>
      <c r="L389" s="3" t="s">
        <v>515</v>
      </c>
      <c r="M389" s="3">
        <v>705</v>
      </c>
      <c r="N389" s="4" t="s">
        <v>556</v>
      </c>
      <c r="O389" s="3">
        <v>0</v>
      </c>
      <c r="P389" s="3"/>
      <c r="Q389" s="3" t="s">
        <v>272</v>
      </c>
      <c r="R389" s="3" t="str">
        <f t="shared" si="29"/>
        <v>ui_705002</v>
      </c>
      <c r="S389" s="3" t="str">
        <f t="shared" si="30"/>
        <v>705002</v>
      </c>
      <c r="T389" s="3">
        <v>1</v>
      </c>
      <c r="U389" s="3">
        <v>0</v>
      </c>
      <c r="V389" s="3">
        <v>1</v>
      </c>
      <c r="W389" s="7"/>
      <c r="X389" s="3" t="s">
        <v>557</v>
      </c>
      <c r="Y389" s="27" t="s">
        <v>3416</v>
      </c>
    </row>
    <row r="390" spans="1:25" x14ac:dyDescent="0.15">
      <c r="A390" s="3">
        <v>705003</v>
      </c>
      <c r="B390" s="3" t="s">
        <v>558</v>
      </c>
      <c r="C390" s="3">
        <v>100000</v>
      </c>
      <c r="D390" s="27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4">
        <v>226</v>
      </c>
      <c r="K390" s="3">
        <v>7</v>
      </c>
      <c r="L390" s="3" t="s">
        <v>515</v>
      </c>
      <c r="M390" s="3">
        <v>705</v>
      </c>
      <c r="N390" s="4" t="s">
        <v>556</v>
      </c>
      <c r="O390" s="3">
        <v>0</v>
      </c>
      <c r="P390" s="3"/>
      <c r="Q390" s="3" t="s">
        <v>272</v>
      </c>
      <c r="R390" s="3" t="str">
        <f t="shared" si="29"/>
        <v>ui_705003</v>
      </c>
      <c r="S390" s="3" t="str">
        <f t="shared" si="30"/>
        <v>705003</v>
      </c>
      <c r="T390" s="3">
        <v>1</v>
      </c>
      <c r="U390" s="3">
        <v>0</v>
      </c>
      <c r="V390" s="3">
        <v>1</v>
      </c>
      <c r="W390" s="7"/>
      <c r="X390" s="3" t="s">
        <v>558</v>
      </c>
      <c r="Y390" s="27" t="s">
        <v>3365</v>
      </c>
    </row>
    <row r="391" spans="1:25" x14ac:dyDescent="0.15">
      <c r="A391" s="3">
        <v>705004</v>
      </c>
      <c r="B391" s="3" t="s">
        <v>559</v>
      </c>
      <c r="C391" s="3">
        <v>100000</v>
      </c>
      <c r="D391" s="27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4">
        <v>227</v>
      </c>
      <c r="K391" s="3">
        <v>7</v>
      </c>
      <c r="L391" s="3" t="s">
        <v>515</v>
      </c>
      <c r="M391" s="3">
        <v>705</v>
      </c>
      <c r="N391" s="4" t="s">
        <v>556</v>
      </c>
      <c r="O391" s="3">
        <v>0</v>
      </c>
      <c r="P391" s="3"/>
      <c r="Q391" s="3" t="s">
        <v>272</v>
      </c>
      <c r="R391" s="3" t="str">
        <f t="shared" si="29"/>
        <v>ui_705004</v>
      </c>
      <c r="S391" s="3" t="str">
        <f t="shared" si="30"/>
        <v>705004</v>
      </c>
      <c r="T391" s="3">
        <v>1</v>
      </c>
      <c r="U391" s="3">
        <v>0</v>
      </c>
      <c r="V391" s="3">
        <v>1</v>
      </c>
      <c r="W391" s="7"/>
      <c r="X391" s="3" t="s">
        <v>559</v>
      </c>
      <c r="Y391" s="27" t="s">
        <v>3418</v>
      </c>
    </row>
    <row r="392" spans="1:25" x14ac:dyDescent="0.15">
      <c r="A392" s="3">
        <v>705005</v>
      </c>
      <c r="B392" s="3" t="s">
        <v>560</v>
      </c>
      <c r="C392" s="3">
        <v>100000</v>
      </c>
      <c r="D392" s="27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4">
        <v>228</v>
      </c>
      <c r="K392" s="3">
        <v>7</v>
      </c>
      <c r="L392" s="3" t="s">
        <v>515</v>
      </c>
      <c r="M392" s="3">
        <v>705</v>
      </c>
      <c r="N392" s="4" t="s">
        <v>556</v>
      </c>
      <c r="O392" s="3">
        <v>0</v>
      </c>
      <c r="P392" s="3"/>
      <c r="Q392" s="3" t="s">
        <v>272</v>
      </c>
      <c r="R392" s="3" t="str">
        <f t="shared" si="29"/>
        <v>ui_705005</v>
      </c>
      <c r="S392" s="3" t="str">
        <f t="shared" si="30"/>
        <v>705005</v>
      </c>
      <c r="T392" s="3">
        <v>1</v>
      </c>
      <c r="U392" s="3">
        <v>0</v>
      </c>
      <c r="V392" s="3">
        <v>1</v>
      </c>
      <c r="W392" s="7"/>
      <c r="X392" s="3" t="s">
        <v>560</v>
      </c>
      <c r="Y392" s="27" t="s">
        <v>3417</v>
      </c>
    </row>
    <row r="393" spans="1:25" x14ac:dyDescent="0.15">
      <c r="A393" s="3">
        <v>705006</v>
      </c>
      <c r="B393" s="27" t="s">
        <v>2966</v>
      </c>
      <c r="C393" s="3">
        <v>100000</v>
      </c>
      <c r="D393" s="27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4">
        <v>229</v>
      </c>
      <c r="K393" s="3">
        <v>7</v>
      </c>
      <c r="L393" s="3" t="s">
        <v>515</v>
      </c>
      <c r="M393" s="3">
        <v>705</v>
      </c>
      <c r="N393" s="4" t="s">
        <v>556</v>
      </c>
      <c r="O393" s="3">
        <v>0</v>
      </c>
      <c r="P393" s="3"/>
      <c r="Q393" s="3" t="s">
        <v>272</v>
      </c>
      <c r="R393" s="3" t="str">
        <f t="shared" si="29"/>
        <v>ui_705006</v>
      </c>
      <c r="S393" s="3" t="str">
        <f t="shared" si="30"/>
        <v>705006</v>
      </c>
      <c r="T393" s="3">
        <v>1</v>
      </c>
      <c r="U393" s="3">
        <v>0</v>
      </c>
      <c r="V393" s="3">
        <v>1</v>
      </c>
      <c r="W393" s="7"/>
      <c r="X393" s="27" t="s">
        <v>2966</v>
      </c>
      <c r="Y393" s="27" t="s">
        <v>2967</v>
      </c>
    </row>
    <row r="394" spans="1:25" x14ac:dyDescent="0.15">
      <c r="A394" s="3">
        <v>705007</v>
      </c>
      <c r="B394" s="27" t="s">
        <v>3557</v>
      </c>
      <c r="C394" s="3">
        <v>10000</v>
      </c>
      <c r="D394" s="27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4">
        <v>229</v>
      </c>
      <c r="K394" s="3">
        <v>7</v>
      </c>
      <c r="L394" s="3" t="s">
        <v>515</v>
      </c>
      <c r="M394" s="3">
        <v>705</v>
      </c>
      <c r="N394" s="4" t="s">
        <v>556</v>
      </c>
      <c r="O394" s="3">
        <v>0</v>
      </c>
      <c r="P394" s="3"/>
      <c r="Q394" s="3" t="s">
        <v>272</v>
      </c>
      <c r="R394" s="3" t="str">
        <f t="shared" ref="R394" si="42">CONCATENATE("ui_",A394,"")</f>
        <v>ui_705007</v>
      </c>
      <c r="S394" s="3" t="str">
        <f t="shared" ref="S394" si="43">CONCATENATE(A394,"")</f>
        <v>705007</v>
      </c>
      <c r="T394" s="3">
        <v>1</v>
      </c>
      <c r="U394" s="3">
        <v>0</v>
      </c>
      <c r="V394" s="3">
        <v>1</v>
      </c>
      <c r="W394" s="7"/>
      <c r="X394" s="27" t="s">
        <v>3557</v>
      </c>
      <c r="Y394" s="27" t="s">
        <v>3589</v>
      </c>
    </row>
    <row r="395" spans="1:25" x14ac:dyDescent="0.15">
      <c r="A395" s="3">
        <v>706001</v>
      </c>
      <c r="B395" s="3" t="s">
        <v>561</v>
      </c>
      <c r="C395" s="3">
        <v>10000</v>
      </c>
      <c r="D395" s="27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4">
        <v>229</v>
      </c>
      <c r="K395" s="3">
        <v>7</v>
      </c>
      <c r="L395" s="3" t="s">
        <v>515</v>
      </c>
      <c r="M395" s="3">
        <v>706</v>
      </c>
      <c r="N395" s="4" t="s">
        <v>562</v>
      </c>
      <c r="O395" s="3">
        <v>1</v>
      </c>
      <c r="P395" s="27" t="s">
        <v>1605</v>
      </c>
      <c r="Q395" s="3" t="s">
        <v>563</v>
      </c>
      <c r="R395" s="3" t="str">
        <f t="shared" si="29"/>
        <v>ui_706001</v>
      </c>
      <c r="S395" s="3" t="str">
        <f t="shared" si="30"/>
        <v>706001</v>
      </c>
      <c r="T395" s="3">
        <v>1</v>
      </c>
      <c r="U395" s="3">
        <v>0</v>
      </c>
      <c r="V395" s="3">
        <v>1</v>
      </c>
      <c r="W395" s="7"/>
      <c r="X395" s="3" t="s">
        <v>561</v>
      </c>
      <c r="Y395" s="3" t="s">
        <v>564</v>
      </c>
    </row>
    <row r="396" spans="1:25" x14ac:dyDescent="0.15">
      <c r="A396" s="3">
        <v>706002</v>
      </c>
      <c r="B396" s="3" t="s">
        <v>565</v>
      </c>
      <c r="C396" s="3">
        <v>10000</v>
      </c>
      <c r="D396" s="27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4">
        <v>230</v>
      </c>
      <c r="K396" s="3">
        <v>7</v>
      </c>
      <c r="L396" s="3" t="s">
        <v>515</v>
      </c>
      <c r="M396" s="3">
        <v>706</v>
      </c>
      <c r="N396" s="4" t="s">
        <v>562</v>
      </c>
      <c r="O396" s="3">
        <v>2</v>
      </c>
      <c r="P396" s="27" t="s">
        <v>1605</v>
      </c>
      <c r="Q396" s="3" t="s">
        <v>566</v>
      </c>
      <c r="R396" s="3" t="str">
        <f t="shared" si="29"/>
        <v>ui_706002</v>
      </c>
      <c r="S396" s="3" t="str">
        <f t="shared" si="30"/>
        <v>706002</v>
      </c>
      <c r="T396" s="3">
        <v>1</v>
      </c>
      <c r="U396" s="3">
        <v>0</v>
      </c>
      <c r="V396" s="3">
        <v>1</v>
      </c>
      <c r="W396" s="7"/>
      <c r="X396" s="3" t="s">
        <v>565</v>
      </c>
      <c r="Y396" s="3" t="s">
        <v>567</v>
      </c>
    </row>
    <row r="397" spans="1:25" x14ac:dyDescent="0.15">
      <c r="A397" s="3">
        <v>706003</v>
      </c>
      <c r="B397" s="3" t="s">
        <v>568</v>
      </c>
      <c r="C397" s="3">
        <v>10000</v>
      </c>
      <c r="D397" s="27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4">
        <v>231</v>
      </c>
      <c r="K397" s="3">
        <v>7</v>
      </c>
      <c r="L397" s="3" t="s">
        <v>515</v>
      </c>
      <c r="M397" s="3">
        <v>706</v>
      </c>
      <c r="N397" s="4" t="s">
        <v>562</v>
      </c>
      <c r="O397" s="3">
        <v>3</v>
      </c>
      <c r="P397" s="27" t="s">
        <v>1605</v>
      </c>
      <c r="Q397" s="3" t="s">
        <v>569</v>
      </c>
      <c r="R397" s="3" t="str">
        <f t="shared" ref="R397:R419" si="44">CONCATENATE("ui_",A397,"")</f>
        <v>ui_706003</v>
      </c>
      <c r="S397" s="3" t="str">
        <f t="shared" ref="S397:S419" si="45">CONCATENATE(A397,"")</f>
        <v>706003</v>
      </c>
      <c r="T397" s="3">
        <v>1</v>
      </c>
      <c r="U397" s="3">
        <v>0</v>
      </c>
      <c r="V397" s="3">
        <v>1</v>
      </c>
      <c r="W397" s="7"/>
      <c r="X397" s="3" t="s">
        <v>568</v>
      </c>
      <c r="Y397" s="3" t="s">
        <v>570</v>
      </c>
    </row>
    <row r="398" spans="1:25" x14ac:dyDescent="0.15">
      <c r="A398" s="3">
        <v>707001</v>
      </c>
      <c r="B398" s="3" t="s">
        <v>1616</v>
      </c>
      <c r="C398" s="6">
        <v>10000</v>
      </c>
      <c r="D398" s="27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4">
        <v>215</v>
      </c>
      <c r="K398" s="3">
        <v>7</v>
      </c>
      <c r="L398" s="3" t="s">
        <v>515</v>
      </c>
      <c r="M398" s="3">
        <v>707</v>
      </c>
      <c r="N398" s="4" t="s">
        <v>1617</v>
      </c>
      <c r="O398" s="3">
        <v>0</v>
      </c>
      <c r="P398" s="3"/>
      <c r="Q398" s="3" t="s">
        <v>272</v>
      </c>
      <c r="R398" s="3" t="str">
        <f t="shared" si="44"/>
        <v>ui_707001</v>
      </c>
      <c r="S398" s="3" t="str">
        <f t="shared" si="45"/>
        <v>707001</v>
      </c>
      <c r="T398" s="3">
        <v>1</v>
      </c>
      <c r="U398" s="3">
        <v>0</v>
      </c>
      <c r="V398" s="3">
        <v>1</v>
      </c>
      <c r="W398" s="7"/>
      <c r="X398" s="3" t="s">
        <v>1616</v>
      </c>
      <c r="Y398" s="3" t="s">
        <v>1618</v>
      </c>
    </row>
    <row r="399" spans="1:25" x14ac:dyDescent="0.15">
      <c r="A399" s="3">
        <v>801001</v>
      </c>
      <c r="B399" s="3" t="s">
        <v>571</v>
      </c>
      <c r="C399" s="3">
        <v>0</v>
      </c>
      <c r="D399" s="27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4">
        <v>232</v>
      </c>
      <c r="K399" s="3">
        <v>8</v>
      </c>
      <c r="L399" s="3" t="s">
        <v>228</v>
      </c>
      <c r="M399" s="3">
        <v>801</v>
      </c>
      <c r="N399" s="4" t="s">
        <v>572</v>
      </c>
      <c r="O399" s="3">
        <v>0</v>
      </c>
      <c r="P399" s="3"/>
      <c r="Q399" s="3" t="s">
        <v>573</v>
      </c>
      <c r="R399" s="3" t="str">
        <f t="shared" si="44"/>
        <v>ui_801001</v>
      </c>
      <c r="S399" s="3" t="str">
        <f t="shared" si="45"/>
        <v>801001</v>
      </c>
      <c r="T399" s="3">
        <v>1</v>
      </c>
      <c r="U399" s="3">
        <v>0</v>
      </c>
      <c r="V399" s="3">
        <v>1</v>
      </c>
      <c r="W399" s="7"/>
      <c r="X399" s="3" t="s">
        <v>571</v>
      </c>
    </row>
    <row r="400" spans="1:25" x14ac:dyDescent="0.15">
      <c r="A400" s="3">
        <v>801002</v>
      </c>
      <c r="B400" s="3" t="s">
        <v>574</v>
      </c>
      <c r="C400" s="3">
        <v>0</v>
      </c>
      <c r="D400" s="27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4">
        <v>233</v>
      </c>
      <c r="K400" s="3">
        <v>8</v>
      </c>
      <c r="L400" s="3" t="s">
        <v>228</v>
      </c>
      <c r="M400" s="3">
        <v>801</v>
      </c>
      <c r="N400" s="4" t="s">
        <v>572</v>
      </c>
      <c r="O400" s="3">
        <v>0</v>
      </c>
      <c r="P400" s="3"/>
      <c r="Q400" s="3" t="s">
        <v>575</v>
      </c>
      <c r="R400" s="3" t="str">
        <f t="shared" si="44"/>
        <v>ui_801002</v>
      </c>
      <c r="S400" s="3" t="str">
        <f t="shared" si="45"/>
        <v>801002</v>
      </c>
      <c r="T400" s="3">
        <v>1</v>
      </c>
      <c r="U400" s="3">
        <v>0</v>
      </c>
      <c r="V400" s="3">
        <v>1</v>
      </c>
      <c r="W400" s="7"/>
      <c r="X400" s="3" t="s">
        <v>574</v>
      </c>
      <c r="Y400" s="3" t="s">
        <v>252</v>
      </c>
    </row>
    <row r="401" spans="1:25" x14ac:dyDescent="0.15">
      <c r="A401" s="3">
        <v>801003</v>
      </c>
      <c r="B401" s="3" t="s">
        <v>576</v>
      </c>
      <c r="C401" s="3">
        <v>0</v>
      </c>
      <c r="D401" s="27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4">
        <v>234</v>
      </c>
      <c r="K401" s="3">
        <v>8</v>
      </c>
      <c r="L401" s="3" t="s">
        <v>228</v>
      </c>
      <c r="M401" s="3">
        <v>801</v>
      </c>
      <c r="N401" s="4" t="s">
        <v>572</v>
      </c>
      <c r="O401" s="3">
        <v>0</v>
      </c>
      <c r="P401" s="3"/>
      <c r="Q401" s="27" t="s">
        <v>3617</v>
      </c>
      <c r="R401" s="3" t="str">
        <f t="shared" si="44"/>
        <v>ui_801003</v>
      </c>
      <c r="S401" s="3" t="str">
        <f t="shared" si="45"/>
        <v>801003</v>
      </c>
      <c r="T401" s="3">
        <v>1</v>
      </c>
      <c r="U401" s="3">
        <v>0</v>
      </c>
      <c r="V401" s="3">
        <v>1</v>
      </c>
      <c r="W401" s="7"/>
      <c r="X401" s="3" t="s">
        <v>576</v>
      </c>
      <c r="Y401" s="3" t="s">
        <v>252</v>
      </c>
    </row>
    <row r="402" spans="1:25" x14ac:dyDescent="0.15">
      <c r="A402" s="16">
        <v>801004</v>
      </c>
      <c r="B402" s="3" t="s">
        <v>577</v>
      </c>
      <c r="C402" s="3">
        <v>0</v>
      </c>
      <c r="D402" s="27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4">
        <v>235</v>
      </c>
      <c r="K402" s="3">
        <v>8</v>
      </c>
      <c r="L402" s="3" t="s">
        <v>228</v>
      </c>
      <c r="M402" s="3">
        <v>801</v>
      </c>
      <c r="N402" s="4" t="s">
        <v>572</v>
      </c>
      <c r="O402" s="3">
        <v>0</v>
      </c>
      <c r="P402" s="3"/>
      <c r="Q402" s="3" t="s">
        <v>578</v>
      </c>
      <c r="R402" s="3" t="str">
        <f t="shared" si="44"/>
        <v>ui_801004</v>
      </c>
      <c r="S402" s="3" t="str">
        <f t="shared" si="45"/>
        <v>801004</v>
      </c>
      <c r="T402" s="3">
        <v>1</v>
      </c>
      <c r="U402" s="3">
        <v>0</v>
      </c>
      <c r="V402" s="3">
        <v>1</v>
      </c>
      <c r="W402" s="7"/>
      <c r="X402" s="3" t="s">
        <v>577</v>
      </c>
      <c r="Y402" s="3" t="s">
        <v>252</v>
      </c>
    </row>
    <row r="403" spans="1:25" x14ac:dyDescent="0.15">
      <c r="A403" s="3">
        <v>801005</v>
      </c>
      <c r="B403" s="3" t="s">
        <v>579</v>
      </c>
      <c r="C403" s="3">
        <v>0</v>
      </c>
      <c r="D403" s="27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4">
        <v>236</v>
      </c>
      <c r="K403" s="3">
        <v>8</v>
      </c>
      <c r="L403" s="3" t="s">
        <v>228</v>
      </c>
      <c r="M403" s="3">
        <v>801</v>
      </c>
      <c r="N403" s="4" t="s">
        <v>572</v>
      </c>
      <c r="O403" s="3">
        <v>0</v>
      </c>
      <c r="P403" s="3"/>
      <c r="Q403" s="27" t="s">
        <v>3616</v>
      </c>
      <c r="R403" s="3" t="str">
        <f t="shared" si="44"/>
        <v>ui_801005</v>
      </c>
      <c r="S403" s="3" t="str">
        <f t="shared" si="45"/>
        <v>801005</v>
      </c>
      <c r="T403" s="3">
        <v>1</v>
      </c>
      <c r="U403" s="3">
        <v>0</v>
      </c>
      <c r="V403" s="3">
        <v>1</v>
      </c>
      <c r="W403" s="7"/>
      <c r="X403" s="3" t="s">
        <v>579</v>
      </c>
      <c r="Y403" s="3" t="s">
        <v>252</v>
      </c>
    </row>
    <row r="404" spans="1:25" x14ac:dyDescent="0.15">
      <c r="A404" s="16">
        <v>801006</v>
      </c>
      <c r="B404" s="3" t="s">
        <v>580</v>
      </c>
      <c r="C404" s="3">
        <v>0</v>
      </c>
      <c r="D404" s="27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4">
        <v>237</v>
      </c>
      <c r="K404" s="3">
        <v>8</v>
      </c>
      <c r="L404" s="3" t="s">
        <v>228</v>
      </c>
      <c r="M404" s="3">
        <v>801</v>
      </c>
      <c r="N404" s="4" t="s">
        <v>572</v>
      </c>
      <c r="O404" s="3">
        <v>0</v>
      </c>
      <c r="P404" s="3"/>
      <c r="Q404" s="3" t="s">
        <v>581</v>
      </c>
      <c r="R404" s="3" t="str">
        <f t="shared" si="44"/>
        <v>ui_801006</v>
      </c>
      <c r="S404" s="3" t="str">
        <f t="shared" si="45"/>
        <v>801006</v>
      </c>
      <c r="T404" s="3">
        <v>1</v>
      </c>
      <c r="U404" s="3">
        <v>0</v>
      </c>
      <c r="V404" s="3">
        <v>1</v>
      </c>
      <c r="W404" s="7"/>
      <c r="X404" s="3" t="s">
        <v>580</v>
      </c>
      <c r="Y404" s="3" t="s">
        <v>252</v>
      </c>
    </row>
    <row r="405" spans="1:25" x14ac:dyDescent="0.15">
      <c r="A405" s="3">
        <v>801007</v>
      </c>
      <c r="B405" s="3" t="s">
        <v>582</v>
      </c>
      <c r="C405" s="3">
        <v>0</v>
      </c>
      <c r="D405" s="27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4">
        <v>238</v>
      </c>
      <c r="K405" s="3">
        <v>8</v>
      </c>
      <c r="L405" s="3" t="s">
        <v>228</v>
      </c>
      <c r="M405" s="3">
        <v>801</v>
      </c>
      <c r="N405" s="4" t="s">
        <v>572</v>
      </c>
      <c r="O405" s="3">
        <v>0</v>
      </c>
      <c r="P405" s="3"/>
      <c r="Q405" s="27" t="s">
        <v>2773</v>
      </c>
      <c r="R405" s="3" t="str">
        <f t="shared" si="44"/>
        <v>ui_801007</v>
      </c>
      <c r="S405" s="3" t="str">
        <f t="shared" si="45"/>
        <v>801007</v>
      </c>
      <c r="T405" s="3">
        <v>1</v>
      </c>
      <c r="U405" s="3">
        <v>0</v>
      </c>
      <c r="V405" s="3">
        <v>1</v>
      </c>
      <c r="W405" s="7"/>
      <c r="X405" s="3" t="s">
        <v>582</v>
      </c>
      <c r="Y405" s="3" t="s">
        <v>252</v>
      </c>
    </row>
    <row r="406" spans="1:25" x14ac:dyDescent="0.15">
      <c r="A406" s="16">
        <v>801008</v>
      </c>
      <c r="B406" s="27" t="s">
        <v>2769</v>
      </c>
      <c r="C406" s="3">
        <v>0</v>
      </c>
      <c r="D406" s="27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4">
        <v>238</v>
      </c>
      <c r="K406" s="3">
        <v>8</v>
      </c>
      <c r="L406" s="3" t="s">
        <v>228</v>
      </c>
      <c r="M406" s="3">
        <v>801</v>
      </c>
      <c r="N406" s="4" t="s">
        <v>572</v>
      </c>
      <c r="O406" s="3">
        <v>0</v>
      </c>
      <c r="P406" s="3"/>
      <c r="Q406" s="27" t="s">
        <v>2771</v>
      </c>
      <c r="R406" s="3" t="str">
        <f t="shared" si="44"/>
        <v>ui_801008</v>
      </c>
      <c r="S406" s="3" t="str">
        <f t="shared" si="45"/>
        <v>801008</v>
      </c>
      <c r="T406" s="3">
        <v>1</v>
      </c>
      <c r="U406" s="3">
        <v>0</v>
      </c>
      <c r="V406" s="3">
        <v>1</v>
      </c>
      <c r="W406" s="7"/>
      <c r="X406" s="27" t="s">
        <v>2769</v>
      </c>
      <c r="Y406" s="3" t="s">
        <v>252</v>
      </c>
    </row>
    <row r="407" spans="1:25" x14ac:dyDescent="0.15">
      <c r="A407" s="3">
        <v>801009</v>
      </c>
      <c r="B407" s="27" t="s">
        <v>2770</v>
      </c>
      <c r="C407" s="3">
        <v>0</v>
      </c>
      <c r="D407" s="27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4">
        <v>238</v>
      </c>
      <c r="K407" s="3">
        <v>8</v>
      </c>
      <c r="L407" s="3" t="s">
        <v>228</v>
      </c>
      <c r="M407" s="3">
        <v>801</v>
      </c>
      <c r="N407" s="4" t="s">
        <v>572</v>
      </c>
      <c r="O407" s="3">
        <v>0</v>
      </c>
      <c r="P407" s="3"/>
      <c r="Q407" s="27" t="s">
        <v>2772</v>
      </c>
      <c r="R407" s="3" t="str">
        <f t="shared" si="44"/>
        <v>ui_801009</v>
      </c>
      <c r="S407" s="3" t="str">
        <f t="shared" si="45"/>
        <v>801009</v>
      </c>
      <c r="T407" s="3">
        <v>1</v>
      </c>
      <c r="U407" s="3">
        <v>0</v>
      </c>
      <c r="V407" s="3">
        <v>1</v>
      </c>
      <c r="W407" s="7"/>
      <c r="X407" s="27" t="s">
        <v>2770</v>
      </c>
      <c r="Y407" s="3" t="s">
        <v>252</v>
      </c>
    </row>
    <row r="408" spans="1:25" x14ac:dyDescent="0.15">
      <c r="A408" s="16">
        <v>802001</v>
      </c>
      <c r="B408" s="27" t="s">
        <v>3580</v>
      </c>
      <c r="C408" s="3">
        <v>0</v>
      </c>
      <c r="D408" s="27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4">
        <v>239</v>
      </c>
      <c r="K408" s="3">
        <v>8</v>
      </c>
      <c r="L408" s="3" t="s">
        <v>228</v>
      </c>
      <c r="M408" s="3">
        <v>802</v>
      </c>
      <c r="N408" s="4" t="s">
        <v>562</v>
      </c>
      <c r="O408" s="3">
        <v>0</v>
      </c>
      <c r="P408" s="3"/>
      <c r="Q408" s="3" t="s">
        <v>584</v>
      </c>
      <c r="R408" s="3" t="str">
        <f t="shared" si="44"/>
        <v>ui_802001</v>
      </c>
      <c r="S408" s="3" t="str">
        <f t="shared" si="45"/>
        <v>802001</v>
      </c>
      <c r="T408" s="3">
        <v>1</v>
      </c>
      <c r="U408" s="3">
        <v>0</v>
      </c>
      <c r="V408" s="3">
        <v>1</v>
      </c>
      <c r="W408" s="7"/>
      <c r="X408" s="3" t="s">
        <v>583</v>
      </c>
      <c r="Y408" s="3" t="s">
        <v>252</v>
      </c>
    </row>
    <row r="409" spans="1:25" x14ac:dyDescent="0.15">
      <c r="A409" s="16">
        <v>802002</v>
      </c>
      <c r="B409" s="3" t="s">
        <v>585</v>
      </c>
      <c r="C409" s="3">
        <v>0</v>
      </c>
      <c r="D409" s="27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4">
        <v>240</v>
      </c>
      <c r="K409" s="3">
        <v>8</v>
      </c>
      <c r="L409" s="3" t="s">
        <v>228</v>
      </c>
      <c r="M409" s="3">
        <v>802</v>
      </c>
      <c r="N409" s="4" t="s">
        <v>562</v>
      </c>
      <c r="O409" s="3">
        <v>0</v>
      </c>
      <c r="P409" s="3"/>
      <c r="Q409" s="3" t="s">
        <v>586</v>
      </c>
      <c r="R409" s="3" t="str">
        <f t="shared" si="44"/>
        <v>ui_802002</v>
      </c>
      <c r="S409" s="3" t="str">
        <f t="shared" si="45"/>
        <v>802002</v>
      </c>
      <c r="T409" s="3">
        <v>1</v>
      </c>
      <c r="U409" s="3">
        <v>0</v>
      </c>
      <c r="V409" s="3">
        <v>1</v>
      </c>
      <c r="W409" s="7"/>
      <c r="X409" s="3" t="s">
        <v>585</v>
      </c>
      <c r="Y409" s="3" t="s">
        <v>252</v>
      </c>
    </row>
    <row r="410" spans="1:25" x14ac:dyDescent="0.15">
      <c r="A410" s="16">
        <v>802003</v>
      </c>
      <c r="B410" s="3" t="s">
        <v>587</v>
      </c>
      <c r="C410" s="3">
        <v>0</v>
      </c>
      <c r="D410" s="27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4">
        <v>241</v>
      </c>
      <c r="K410" s="3">
        <v>8</v>
      </c>
      <c r="L410" s="3" t="s">
        <v>228</v>
      </c>
      <c r="M410" s="3">
        <v>802</v>
      </c>
      <c r="N410" s="4" t="s">
        <v>562</v>
      </c>
      <c r="O410" s="3">
        <v>0</v>
      </c>
      <c r="P410" s="3"/>
      <c r="Q410" s="3" t="s">
        <v>588</v>
      </c>
      <c r="R410" s="3" t="str">
        <f t="shared" si="44"/>
        <v>ui_802003</v>
      </c>
      <c r="S410" s="3" t="str">
        <f t="shared" si="45"/>
        <v>802003</v>
      </c>
      <c r="T410" s="3">
        <v>1</v>
      </c>
      <c r="U410" s="3">
        <v>0</v>
      </c>
      <c r="V410" s="3">
        <v>1</v>
      </c>
      <c r="W410" s="7"/>
      <c r="X410" s="3" t="s">
        <v>587</v>
      </c>
      <c r="Y410" s="3" t="s">
        <v>252</v>
      </c>
    </row>
    <row r="411" spans="1:25" x14ac:dyDescent="0.15">
      <c r="A411" s="16">
        <v>802004</v>
      </c>
      <c r="B411" s="3" t="s">
        <v>589</v>
      </c>
      <c r="C411" s="3">
        <v>0</v>
      </c>
      <c r="D411" s="27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4">
        <v>242</v>
      </c>
      <c r="K411" s="3">
        <v>8</v>
      </c>
      <c r="L411" s="3" t="s">
        <v>228</v>
      </c>
      <c r="M411" s="3">
        <v>802</v>
      </c>
      <c r="N411" s="4" t="s">
        <v>562</v>
      </c>
      <c r="O411" s="3">
        <v>0</v>
      </c>
      <c r="P411" s="3"/>
      <c r="Q411" s="3" t="s">
        <v>590</v>
      </c>
      <c r="R411" s="3" t="str">
        <f t="shared" si="44"/>
        <v>ui_802004</v>
      </c>
      <c r="S411" s="3" t="str">
        <f t="shared" si="45"/>
        <v>802004</v>
      </c>
      <c r="T411" s="3">
        <v>1</v>
      </c>
      <c r="U411" s="3">
        <v>0</v>
      </c>
      <c r="V411" s="3">
        <v>1</v>
      </c>
      <c r="W411" s="7"/>
      <c r="X411" s="3" t="s">
        <v>589</v>
      </c>
      <c r="Y411" s="3" t="s">
        <v>252</v>
      </c>
    </row>
    <row r="412" spans="1:25" x14ac:dyDescent="0.15">
      <c r="A412" s="16">
        <v>802005</v>
      </c>
      <c r="B412" s="3" t="s">
        <v>591</v>
      </c>
      <c r="C412" s="3">
        <v>0</v>
      </c>
      <c r="D412" s="27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4">
        <v>243</v>
      </c>
      <c r="K412" s="3">
        <v>8</v>
      </c>
      <c r="L412" s="3" t="s">
        <v>228</v>
      </c>
      <c r="M412" s="3">
        <v>802</v>
      </c>
      <c r="N412" s="4" t="s">
        <v>562</v>
      </c>
      <c r="O412" s="3">
        <v>0</v>
      </c>
      <c r="P412" s="3"/>
      <c r="Q412" s="3" t="s">
        <v>592</v>
      </c>
      <c r="R412" s="3" t="str">
        <f t="shared" si="44"/>
        <v>ui_802005</v>
      </c>
      <c r="S412" s="3" t="str">
        <f t="shared" si="45"/>
        <v>802005</v>
      </c>
      <c r="T412" s="3">
        <v>1</v>
      </c>
      <c r="U412" s="3">
        <v>0</v>
      </c>
      <c r="V412" s="3">
        <v>1</v>
      </c>
      <c r="W412" s="7"/>
      <c r="X412" s="3" t="s">
        <v>591</v>
      </c>
      <c r="Y412" s="3" t="s">
        <v>252</v>
      </c>
    </row>
    <row r="413" spans="1:25" x14ac:dyDescent="0.15">
      <c r="A413" s="16">
        <v>803001</v>
      </c>
      <c r="B413" s="3" t="s">
        <v>593</v>
      </c>
      <c r="C413" s="3">
        <v>0</v>
      </c>
      <c r="D413" s="27">
        <v>0</v>
      </c>
      <c r="E413" s="3">
        <v>0</v>
      </c>
      <c r="F413" s="3">
        <v>0</v>
      </c>
      <c r="G413" s="3">
        <v>0</v>
      </c>
      <c r="H413" s="3">
        <v>0</v>
      </c>
      <c r="I413" s="3">
        <v>1</v>
      </c>
      <c r="J413" s="4">
        <v>244</v>
      </c>
      <c r="K413" s="3">
        <v>8</v>
      </c>
      <c r="L413" s="3" t="s">
        <v>228</v>
      </c>
      <c r="M413" s="3">
        <v>803</v>
      </c>
      <c r="N413" s="4" t="s">
        <v>594</v>
      </c>
      <c r="O413" s="3">
        <v>0</v>
      </c>
      <c r="P413" s="3"/>
      <c r="Q413" s="3" t="s">
        <v>272</v>
      </c>
      <c r="R413" s="3" t="str">
        <f t="shared" si="44"/>
        <v>ui_803001</v>
      </c>
      <c r="S413" s="3" t="str">
        <f t="shared" si="45"/>
        <v>803001</v>
      </c>
      <c r="T413" s="3">
        <v>1</v>
      </c>
      <c r="U413" s="3">
        <v>0</v>
      </c>
      <c r="V413" s="3">
        <v>1</v>
      </c>
      <c r="W413" s="7"/>
      <c r="X413" s="3" t="s">
        <v>593</v>
      </c>
      <c r="Y413" s="3" t="s">
        <v>252</v>
      </c>
    </row>
    <row r="414" spans="1:25" x14ac:dyDescent="0.15">
      <c r="A414" s="16">
        <v>804001</v>
      </c>
      <c r="B414" s="27" t="s">
        <v>1956</v>
      </c>
      <c r="C414" s="3">
        <v>0</v>
      </c>
      <c r="D414" s="27">
        <v>1</v>
      </c>
      <c r="E414" s="3">
        <v>1</v>
      </c>
      <c r="F414" s="3">
        <v>0</v>
      </c>
      <c r="G414" s="3">
        <v>0</v>
      </c>
      <c r="H414" s="3">
        <v>0</v>
      </c>
      <c r="I414" s="3">
        <v>0</v>
      </c>
      <c r="J414" s="4">
        <v>245</v>
      </c>
      <c r="K414" s="3">
        <v>8</v>
      </c>
      <c r="L414" s="3" t="s">
        <v>228</v>
      </c>
      <c r="M414" s="3">
        <v>804</v>
      </c>
      <c r="N414" s="28" t="s">
        <v>1885</v>
      </c>
      <c r="O414" s="3">
        <v>0</v>
      </c>
      <c r="P414" s="3"/>
      <c r="Q414" s="27" t="s">
        <v>1886</v>
      </c>
      <c r="R414" s="3" t="str">
        <f t="shared" si="44"/>
        <v>ui_804001</v>
      </c>
      <c r="S414" s="3" t="str">
        <f t="shared" si="45"/>
        <v>804001</v>
      </c>
      <c r="T414" s="3">
        <v>10</v>
      </c>
      <c r="U414" s="3">
        <v>0</v>
      </c>
      <c r="V414" s="3">
        <v>1</v>
      </c>
      <c r="W414" s="7"/>
      <c r="X414" s="3" t="s">
        <v>595</v>
      </c>
      <c r="Y414" s="3" t="s">
        <v>252</v>
      </c>
    </row>
    <row r="415" spans="1:25" x14ac:dyDescent="0.15">
      <c r="A415" s="3">
        <v>805001</v>
      </c>
      <c r="B415" s="3" t="s">
        <v>596</v>
      </c>
      <c r="C415" s="3">
        <v>0</v>
      </c>
      <c r="D415" s="27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4">
        <v>246</v>
      </c>
      <c r="K415" s="3">
        <v>8</v>
      </c>
      <c r="L415" s="3" t="s">
        <v>228</v>
      </c>
      <c r="M415" s="3">
        <v>805</v>
      </c>
      <c r="N415" s="4" t="s">
        <v>597</v>
      </c>
      <c r="O415" s="3">
        <v>0</v>
      </c>
      <c r="P415" s="3"/>
      <c r="Q415" s="3" t="s">
        <v>598</v>
      </c>
      <c r="R415" s="3" t="str">
        <f t="shared" si="44"/>
        <v>ui_805001</v>
      </c>
      <c r="S415" s="3" t="str">
        <f t="shared" si="45"/>
        <v>805001</v>
      </c>
      <c r="T415" s="3">
        <v>1</v>
      </c>
      <c r="U415" s="3">
        <v>0</v>
      </c>
      <c r="V415" s="3">
        <v>1</v>
      </c>
      <c r="W415" s="7"/>
      <c r="X415" s="3" t="s">
        <v>596</v>
      </c>
      <c r="Y415" s="3" t="s">
        <v>252</v>
      </c>
    </row>
    <row r="416" spans="1:25" x14ac:dyDescent="0.15">
      <c r="A416" s="3">
        <v>806001</v>
      </c>
      <c r="B416" s="3" t="s">
        <v>599</v>
      </c>
      <c r="C416" s="3">
        <v>0</v>
      </c>
      <c r="D416" s="27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4">
        <v>247</v>
      </c>
      <c r="K416" s="3">
        <v>8</v>
      </c>
      <c r="L416" s="3" t="s">
        <v>228</v>
      </c>
      <c r="M416" s="3">
        <v>806</v>
      </c>
      <c r="N416" s="4" t="s">
        <v>600</v>
      </c>
      <c r="O416" s="3">
        <v>0</v>
      </c>
      <c r="P416" s="3"/>
      <c r="Q416" s="3" t="s">
        <v>601</v>
      </c>
      <c r="R416" s="3" t="str">
        <f t="shared" si="44"/>
        <v>ui_806001</v>
      </c>
      <c r="S416" s="3" t="str">
        <f t="shared" si="45"/>
        <v>806001</v>
      </c>
      <c r="T416" s="3">
        <v>1</v>
      </c>
      <c r="U416" s="3">
        <v>0</v>
      </c>
      <c r="V416" s="3">
        <v>1</v>
      </c>
      <c r="W416" s="7"/>
      <c r="X416" s="3" t="s">
        <v>599</v>
      </c>
      <c r="Y416" s="3" t="s">
        <v>252</v>
      </c>
    </row>
    <row r="417" spans="1:25" x14ac:dyDescent="0.15">
      <c r="A417" s="3">
        <v>806002</v>
      </c>
      <c r="B417" s="3" t="s">
        <v>602</v>
      </c>
      <c r="C417" s="3">
        <v>0</v>
      </c>
      <c r="D417" s="27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4">
        <v>248</v>
      </c>
      <c r="K417" s="3">
        <v>8</v>
      </c>
      <c r="L417" s="3" t="s">
        <v>228</v>
      </c>
      <c r="M417" s="3">
        <v>806</v>
      </c>
      <c r="N417" s="4" t="s">
        <v>600</v>
      </c>
      <c r="O417" s="3">
        <v>0</v>
      </c>
      <c r="P417" s="3"/>
      <c r="Q417" s="3" t="s">
        <v>601</v>
      </c>
      <c r="R417" s="3" t="str">
        <f t="shared" si="44"/>
        <v>ui_806002</v>
      </c>
      <c r="S417" s="3" t="str">
        <f t="shared" si="45"/>
        <v>806002</v>
      </c>
      <c r="T417" s="3">
        <v>1</v>
      </c>
      <c r="U417" s="3">
        <v>0</v>
      </c>
      <c r="V417" s="3">
        <v>1</v>
      </c>
      <c r="W417" s="7"/>
      <c r="X417" s="3" t="s">
        <v>602</v>
      </c>
      <c r="Y417" s="3" t="s">
        <v>252</v>
      </c>
    </row>
    <row r="418" spans="1:25" x14ac:dyDescent="0.15">
      <c r="A418" s="3">
        <v>806003</v>
      </c>
      <c r="B418" s="3" t="s">
        <v>603</v>
      </c>
      <c r="C418" s="3">
        <v>0</v>
      </c>
      <c r="D418" s="27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4">
        <v>249</v>
      </c>
      <c r="K418" s="3">
        <v>8</v>
      </c>
      <c r="L418" s="3" t="s">
        <v>228</v>
      </c>
      <c r="M418" s="3">
        <v>806</v>
      </c>
      <c r="N418" s="4" t="s">
        <v>600</v>
      </c>
      <c r="O418" s="3">
        <v>0</v>
      </c>
      <c r="P418" s="3"/>
      <c r="Q418" s="3" t="s">
        <v>601</v>
      </c>
      <c r="R418" s="3" t="str">
        <f t="shared" si="44"/>
        <v>ui_806003</v>
      </c>
      <c r="S418" s="3" t="str">
        <f t="shared" si="45"/>
        <v>806003</v>
      </c>
      <c r="T418" s="3">
        <v>1</v>
      </c>
      <c r="U418" s="3">
        <v>0</v>
      </c>
      <c r="V418" s="3">
        <v>1</v>
      </c>
      <c r="W418" s="7"/>
      <c r="X418" s="3" t="s">
        <v>603</v>
      </c>
      <c r="Y418" s="3" t="s">
        <v>252</v>
      </c>
    </row>
    <row r="419" spans="1:25" x14ac:dyDescent="0.15">
      <c r="A419" s="3">
        <v>806004</v>
      </c>
      <c r="B419" s="3" t="s">
        <v>604</v>
      </c>
      <c r="C419" s="3">
        <v>0</v>
      </c>
      <c r="D419" s="27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4">
        <v>250</v>
      </c>
      <c r="K419" s="3">
        <v>8</v>
      </c>
      <c r="L419" s="3" t="s">
        <v>228</v>
      </c>
      <c r="M419" s="3">
        <v>806</v>
      </c>
      <c r="N419" s="4" t="s">
        <v>600</v>
      </c>
      <c r="O419" s="3">
        <v>0</v>
      </c>
      <c r="P419" s="3"/>
      <c r="Q419" s="3" t="s">
        <v>601</v>
      </c>
      <c r="R419" s="3" t="str">
        <f t="shared" si="44"/>
        <v>ui_806004</v>
      </c>
      <c r="S419" s="3" t="str">
        <f t="shared" si="45"/>
        <v>806004</v>
      </c>
      <c r="T419" s="3">
        <v>1</v>
      </c>
      <c r="U419" s="3">
        <v>0</v>
      </c>
      <c r="V419" s="3">
        <v>1</v>
      </c>
      <c r="W419" s="7"/>
      <c r="X419" s="3" t="s">
        <v>604</v>
      </c>
      <c r="Y419" s="3" t="s">
        <v>252</v>
      </c>
    </row>
    <row r="420" spans="1:25" x14ac:dyDescent="0.15">
      <c r="A420" s="3">
        <v>806005</v>
      </c>
      <c r="B420" s="27" t="s">
        <v>1850</v>
      </c>
      <c r="C420" s="3">
        <v>0</v>
      </c>
      <c r="D420" s="27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4">
        <v>251</v>
      </c>
      <c r="K420" s="3">
        <v>8</v>
      </c>
      <c r="L420" s="3" t="s">
        <v>228</v>
      </c>
      <c r="M420" s="3">
        <v>806</v>
      </c>
      <c r="N420" s="4" t="s">
        <v>600</v>
      </c>
      <c r="O420" s="3">
        <v>2000</v>
      </c>
      <c r="P420" s="3" t="s">
        <v>605</v>
      </c>
      <c r="Q420" s="3" t="s">
        <v>606</v>
      </c>
      <c r="R420" s="11" t="s">
        <v>607</v>
      </c>
      <c r="S420" s="18">
        <v>416001</v>
      </c>
      <c r="T420" s="3">
        <v>1</v>
      </c>
      <c r="U420" s="3">
        <v>0</v>
      </c>
      <c r="V420" s="3">
        <v>1</v>
      </c>
      <c r="W420" s="7"/>
      <c r="X420" s="27" t="s">
        <v>1850</v>
      </c>
      <c r="Y420" s="3" t="s">
        <v>252</v>
      </c>
    </row>
    <row r="421" spans="1:25" x14ac:dyDescent="0.15">
      <c r="A421" s="3">
        <v>806006</v>
      </c>
      <c r="B421" s="3" t="s">
        <v>392</v>
      </c>
      <c r="C421" s="3">
        <v>0</v>
      </c>
      <c r="D421" s="27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4">
        <v>252</v>
      </c>
      <c r="K421" s="3">
        <v>8</v>
      </c>
      <c r="L421" s="3" t="s">
        <v>228</v>
      </c>
      <c r="M421" s="3">
        <v>806</v>
      </c>
      <c r="N421" s="4" t="s">
        <v>600</v>
      </c>
      <c r="O421" s="3">
        <v>5000</v>
      </c>
      <c r="P421" s="3" t="s">
        <v>605</v>
      </c>
      <c r="Q421" s="3" t="s">
        <v>608</v>
      </c>
      <c r="R421" s="11" t="s">
        <v>609</v>
      </c>
      <c r="S421" s="18">
        <v>416002</v>
      </c>
      <c r="T421" s="3">
        <v>1</v>
      </c>
      <c r="U421" s="3">
        <v>0</v>
      </c>
      <c r="V421" s="3">
        <v>1</v>
      </c>
      <c r="W421" s="7"/>
      <c r="X421" s="27" t="s">
        <v>1851</v>
      </c>
      <c r="Y421" s="3" t="s">
        <v>252</v>
      </c>
    </row>
    <row r="422" spans="1:25" x14ac:dyDescent="0.15">
      <c r="A422" s="3">
        <v>807001</v>
      </c>
      <c r="B422" s="3" t="s">
        <v>610</v>
      </c>
      <c r="C422" s="3">
        <v>5000</v>
      </c>
      <c r="D422" s="27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4">
        <v>253</v>
      </c>
      <c r="K422" s="3">
        <v>8</v>
      </c>
      <c r="L422" s="3" t="s">
        <v>323</v>
      </c>
      <c r="M422" s="3">
        <v>807</v>
      </c>
      <c r="N422" s="4" t="s">
        <v>347</v>
      </c>
      <c r="O422" s="3">
        <v>0</v>
      </c>
      <c r="P422" s="3"/>
      <c r="Q422" s="3" t="s">
        <v>272</v>
      </c>
      <c r="R422" s="3" t="str">
        <f t="shared" ref="R422:R429" si="46">CONCATENATE("ui_",A422,"")</f>
        <v>ui_807001</v>
      </c>
      <c r="S422" s="3" t="str">
        <f t="shared" ref="S422:S429" si="47">CONCATENATE(A422,"")</f>
        <v>807001</v>
      </c>
      <c r="T422" s="3">
        <v>50</v>
      </c>
      <c r="U422" s="3">
        <v>1</v>
      </c>
      <c r="V422" s="3">
        <v>1</v>
      </c>
      <c r="W422" s="7"/>
      <c r="X422" s="3" t="s">
        <v>610</v>
      </c>
      <c r="Y422" s="3" t="s">
        <v>252</v>
      </c>
    </row>
    <row r="423" spans="1:25" x14ac:dyDescent="0.15">
      <c r="A423" s="3">
        <v>807002</v>
      </c>
      <c r="B423" s="3" t="s">
        <v>611</v>
      </c>
      <c r="C423" s="3">
        <v>5000</v>
      </c>
      <c r="D423" s="27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4">
        <v>254</v>
      </c>
      <c r="K423" s="3">
        <v>8</v>
      </c>
      <c r="L423" s="3" t="s">
        <v>323</v>
      </c>
      <c r="M423" s="3">
        <v>807</v>
      </c>
      <c r="N423" s="4" t="s">
        <v>347</v>
      </c>
      <c r="O423" s="3">
        <v>0</v>
      </c>
      <c r="P423" s="3"/>
      <c r="Q423" s="3" t="s">
        <v>272</v>
      </c>
      <c r="R423" s="3" t="str">
        <f t="shared" si="46"/>
        <v>ui_807002</v>
      </c>
      <c r="S423" s="3" t="str">
        <f t="shared" si="47"/>
        <v>807002</v>
      </c>
      <c r="T423" s="3">
        <v>50</v>
      </c>
      <c r="U423" s="3">
        <v>1</v>
      </c>
      <c r="V423" s="3">
        <v>1</v>
      </c>
      <c r="W423" s="7"/>
      <c r="X423" s="3" t="s">
        <v>611</v>
      </c>
      <c r="Y423" s="3" t="s">
        <v>252</v>
      </c>
    </row>
    <row r="424" spans="1:25" x14ac:dyDescent="0.15">
      <c r="A424" s="3">
        <v>807003</v>
      </c>
      <c r="B424" s="3" t="s">
        <v>612</v>
      </c>
      <c r="C424" s="3">
        <v>5000</v>
      </c>
      <c r="D424" s="27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4">
        <v>255</v>
      </c>
      <c r="K424" s="3">
        <v>8</v>
      </c>
      <c r="L424" s="3" t="s">
        <v>323</v>
      </c>
      <c r="M424" s="3">
        <v>807</v>
      </c>
      <c r="N424" s="4" t="s">
        <v>347</v>
      </c>
      <c r="O424" s="3">
        <v>0</v>
      </c>
      <c r="P424" s="3"/>
      <c r="Q424" s="3" t="s">
        <v>272</v>
      </c>
      <c r="R424" s="3" t="str">
        <f t="shared" si="46"/>
        <v>ui_807003</v>
      </c>
      <c r="S424" s="3" t="str">
        <f t="shared" si="47"/>
        <v>807003</v>
      </c>
      <c r="T424" s="3">
        <v>50</v>
      </c>
      <c r="U424" s="3">
        <v>1</v>
      </c>
      <c r="V424" s="3">
        <v>1</v>
      </c>
      <c r="W424" s="7"/>
      <c r="X424" s="3" t="s">
        <v>612</v>
      </c>
      <c r="Y424" s="3" t="s">
        <v>252</v>
      </c>
    </row>
    <row r="425" spans="1:25" x14ac:dyDescent="0.15">
      <c r="A425" s="16">
        <v>808001</v>
      </c>
      <c r="B425" s="3" t="s">
        <v>613</v>
      </c>
      <c r="C425" s="3">
        <v>0</v>
      </c>
      <c r="D425" s="27">
        <v>0</v>
      </c>
      <c r="E425" s="3">
        <v>0</v>
      </c>
      <c r="F425" s="3">
        <v>0</v>
      </c>
      <c r="G425" s="3">
        <v>0</v>
      </c>
      <c r="H425" s="3">
        <v>0</v>
      </c>
      <c r="I425" s="3">
        <v>1</v>
      </c>
      <c r="J425" s="4">
        <v>256</v>
      </c>
      <c r="K425" s="3">
        <v>8</v>
      </c>
      <c r="L425" s="3" t="s">
        <v>614</v>
      </c>
      <c r="M425" s="3">
        <v>808</v>
      </c>
      <c r="N425" s="4" t="s">
        <v>614</v>
      </c>
      <c r="O425" s="3">
        <v>0</v>
      </c>
      <c r="P425" s="3"/>
      <c r="Q425" s="3" t="s">
        <v>601</v>
      </c>
      <c r="R425" s="3" t="str">
        <f t="shared" si="46"/>
        <v>ui_808001</v>
      </c>
      <c r="S425" s="3" t="str">
        <f t="shared" si="47"/>
        <v>808001</v>
      </c>
      <c r="T425" s="3">
        <v>1</v>
      </c>
      <c r="U425" s="3">
        <v>0</v>
      </c>
      <c r="V425" s="3">
        <v>1</v>
      </c>
      <c r="W425" s="7"/>
      <c r="X425" s="3" t="s">
        <v>613</v>
      </c>
      <c r="Y425" s="3" t="s">
        <v>615</v>
      </c>
    </row>
    <row r="426" spans="1:25" x14ac:dyDescent="0.15">
      <c r="A426" s="16">
        <v>809001</v>
      </c>
      <c r="B426" s="3" t="s">
        <v>616</v>
      </c>
      <c r="C426" s="3">
        <v>0</v>
      </c>
      <c r="D426" s="27">
        <v>0</v>
      </c>
      <c r="E426" s="3">
        <v>0</v>
      </c>
      <c r="F426" s="3">
        <v>0</v>
      </c>
      <c r="G426" s="3">
        <v>0</v>
      </c>
      <c r="H426" s="3">
        <v>0</v>
      </c>
      <c r="I426" s="3">
        <v>1</v>
      </c>
      <c r="J426" s="4">
        <v>257</v>
      </c>
      <c r="K426" s="3">
        <v>8</v>
      </c>
      <c r="L426" s="3" t="s">
        <v>228</v>
      </c>
      <c r="M426" s="3">
        <v>809</v>
      </c>
      <c r="N426" s="28" t="s">
        <v>1964</v>
      </c>
      <c r="O426" s="3">
        <v>0</v>
      </c>
      <c r="P426" s="3"/>
      <c r="Q426" s="3" t="s">
        <v>1717</v>
      </c>
      <c r="R426" s="3" t="str">
        <f t="shared" si="46"/>
        <v>ui_809001</v>
      </c>
      <c r="S426" s="3" t="str">
        <f t="shared" si="47"/>
        <v>809001</v>
      </c>
      <c r="T426" s="3">
        <v>1</v>
      </c>
      <c r="U426" s="3">
        <v>0</v>
      </c>
      <c r="V426" s="3">
        <v>1</v>
      </c>
      <c r="W426" s="7"/>
      <c r="X426" s="3" t="s">
        <v>616</v>
      </c>
      <c r="Y426" s="3" t="s">
        <v>617</v>
      </c>
    </row>
    <row r="427" spans="1:25" x14ac:dyDescent="0.15">
      <c r="A427" s="16">
        <v>810001</v>
      </c>
      <c r="B427" s="3" t="s">
        <v>618</v>
      </c>
      <c r="C427" s="3">
        <v>0</v>
      </c>
      <c r="D427" s="27">
        <v>0</v>
      </c>
      <c r="E427" s="3">
        <v>0</v>
      </c>
      <c r="F427" s="3">
        <v>0</v>
      </c>
      <c r="G427" s="3">
        <v>0</v>
      </c>
      <c r="H427" s="3">
        <v>0</v>
      </c>
      <c r="I427" s="3">
        <v>1</v>
      </c>
      <c r="J427" s="4">
        <v>258</v>
      </c>
      <c r="K427" s="3">
        <v>8</v>
      </c>
      <c r="L427" s="3" t="s">
        <v>228</v>
      </c>
      <c r="M427" s="3">
        <v>810</v>
      </c>
      <c r="N427" s="4" t="s">
        <v>619</v>
      </c>
      <c r="O427" s="3">
        <v>0</v>
      </c>
      <c r="P427" s="3"/>
      <c r="Q427" s="3" t="s">
        <v>620</v>
      </c>
      <c r="R427" s="3" t="str">
        <f t="shared" si="46"/>
        <v>ui_810001</v>
      </c>
      <c r="S427" s="3" t="str">
        <f t="shared" si="47"/>
        <v>810001</v>
      </c>
      <c r="T427" s="3">
        <v>1</v>
      </c>
      <c r="U427" s="3">
        <v>0</v>
      </c>
      <c r="V427" s="3">
        <v>1</v>
      </c>
      <c r="W427" s="7"/>
      <c r="X427" s="3" t="s">
        <v>618</v>
      </c>
      <c r="Y427" s="3" t="s">
        <v>621</v>
      </c>
    </row>
    <row r="428" spans="1:25" x14ac:dyDescent="0.15">
      <c r="A428" s="16">
        <v>810002</v>
      </c>
      <c r="B428" s="3" t="s">
        <v>622</v>
      </c>
      <c r="C428" s="3">
        <v>0</v>
      </c>
      <c r="D428" s="27">
        <v>0</v>
      </c>
      <c r="E428" s="3">
        <v>0</v>
      </c>
      <c r="F428" s="3">
        <v>0</v>
      </c>
      <c r="G428" s="3">
        <v>0</v>
      </c>
      <c r="H428" s="3">
        <v>0</v>
      </c>
      <c r="I428" s="3">
        <v>1</v>
      </c>
      <c r="J428" s="4">
        <v>259</v>
      </c>
      <c r="K428" s="3">
        <v>8</v>
      </c>
      <c r="L428" s="3" t="s">
        <v>228</v>
      </c>
      <c r="M428" s="3">
        <v>810</v>
      </c>
      <c r="N428" s="4" t="s">
        <v>619</v>
      </c>
      <c r="O428" s="3">
        <v>0</v>
      </c>
      <c r="P428" s="3"/>
      <c r="Q428" s="3" t="s">
        <v>1716</v>
      </c>
      <c r="R428" s="3" t="str">
        <f t="shared" si="46"/>
        <v>ui_810002</v>
      </c>
      <c r="S428" s="3" t="str">
        <f t="shared" si="47"/>
        <v>810002</v>
      </c>
      <c r="T428" s="3">
        <v>1</v>
      </c>
      <c r="U428" s="3">
        <v>0</v>
      </c>
      <c r="V428" s="3">
        <v>1</v>
      </c>
      <c r="W428" s="7"/>
      <c r="X428" s="3" t="s">
        <v>622</v>
      </c>
      <c r="Y428" s="3" t="s">
        <v>623</v>
      </c>
    </row>
    <row r="429" spans="1:25" x14ac:dyDescent="0.15">
      <c r="A429" s="16">
        <v>811001</v>
      </c>
      <c r="B429" s="3" t="s">
        <v>1713</v>
      </c>
      <c r="C429" s="3">
        <v>0</v>
      </c>
      <c r="D429" s="27">
        <v>0</v>
      </c>
      <c r="E429" s="3">
        <v>0</v>
      </c>
      <c r="F429" s="3">
        <v>0</v>
      </c>
      <c r="G429" s="3">
        <v>0</v>
      </c>
      <c r="H429" s="3">
        <v>0</v>
      </c>
      <c r="I429" s="3">
        <v>1</v>
      </c>
      <c r="J429" s="4">
        <v>257</v>
      </c>
      <c r="K429" s="3">
        <v>8</v>
      </c>
      <c r="L429" s="3" t="s">
        <v>228</v>
      </c>
      <c r="M429" s="3">
        <v>811</v>
      </c>
      <c r="N429" s="4" t="s">
        <v>1715</v>
      </c>
      <c r="O429" s="3">
        <v>0</v>
      </c>
      <c r="P429" s="3"/>
      <c r="Q429" s="3" t="s">
        <v>1714</v>
      </c>
      <c r="R429" s="3" t="str">
        <f t="shared" si="46"/>
        <v>ui_811001</v>
      </c>
      <c r="S429" s="3" t="str">
        <f t="shared" si="47"/>
        <v>811001</v>
      </c>
      <c r="T429" s="3">
        <v>1</v>
      </c>
      <c r="U429" s="3">
        <v>0</v>
      </c>
      <c r="V429" s="3">
        <v>1</v>
      </c>
      <c r="W429" s="7"/>
      <c r="X429" s="3" t="s">
        <v>1712</v>
      </c>
      <c r="Y429" s="3" t="s">
        <v>1718</v>
      </c>
    </row>
    <row r="430" spans="1:25" x14ac:dyDescent="0.15">
      <c r="A430" s="16">
        <v>812000</v>
      </c>
      <c r="B430" s="32" t="s">
        <v>1771</v>
      </c>
      <c r="C430" s="3">
        <v>0</v>
      </c>
      <c r="D430" s="27">
        <v>0</v>
      </c>
      <c r="E430" s="3">
        <v>0</v>
      </c>
      <c r="F430" s="3">
        <v>0</v>
      </c>
      <c r="G430" s="3">
        <v>0</v>
      </c>
      <c r="H430" s="3">
        <v>0</v>
      </c>
      <c r="I430" s="3">
        <v>1</v>
      </c>
      <c r="J430" s="4">
        <v>257</v>
      </c>
      <c r="K430" s="3">
        <v>8</v>
      </c>
      <c r="L430" s="27" t="s">
        <v>1781</v>
      </c>
      <c r="M430" s="3">
        <v>812</v>
      </c>
      <c r="N430" s="27" t="s">
        <v>1781</v>
      </c>
      <c r="O430" s="3">
        <v>0</v>
      </c>
      <c r="P430" s="27" t="s">
        <v>1797</v>
      </c>
      <c r="Q430" s="3" t="s">
        <v>601</v>
      </c>
      <c r="R430" s="27" t="s">
        <v>1796</v>
      </c>
      <c r="S430" s="27" t="s">
        <v>1796</v>
      </c>
      <c r="T430" s="3">
        <v>1</v>
      </c>
      <c r="U430" s="3">
        <v>0</v>
      </c>
      <c r="V430" s="3">
        <v>1</v>
      </c>
      <c r="W430" s="7"/>
      <c r="X430" s="32" t="s">
        <v>1771</v>
      </c>
      <c r="Y430" s="27" t="s">
        <v>1798</v>
      </c>
    </row>
    <row r="431" spans="1:25" x14ac:dyDescent="0.15">
      <c r="A431" s="16">
        <v>812001</v>
      </c>
      <c r="B431" s="33" t="s">
        <v>1780</v>
      </c>
      <c r="C431" s="3">
        <v>0</v>
      </c>
      <c r="D431" s="27">
        <v>0</v>
      </c>
      <c r="E431" s="3">
        <v>0</v>
      </c>
      <c r="F431" s="3">
        <v>0</v>
      </c>
      <c r="G431" s="3">
        <v>0</v>
      </c>
      <c r="H431" s="3">
        <v>0</v>
      </c>
      <c r="I431" s="3">
        <v>1</v>
      </c>
      <c r="J431" s="4">
        <v>258</v>
      </c>
      <c r="K431" s="3">
        <v>8</v>
      </c>
      <c r="L431" s="27" t="s">
        <v>1781</v>
      </c>
      <c r="M431" s="3">
        <v>812</v>
      </c>
      <c r="N431" s="27" t="s">
        <v>1781</v>
      </c>
      <c r="O431" s="3">
        <v>1</v>
      </c>
      <c r="P431" s="27" t="s">
        <v>1797</v>
      </c>
      <c r="Q431" s="3" t="s">
        <v>601</v>
      </c>
      <c r="R431" s="3" t="s">
        <v>1787</v>
      </c>
      <c r="S431" s="3" t="s">
        <v>1787</v>
      </c>
      <c r="T431" s="3">
        <v>1</v>
      </c>
      <c r="U431" s="3">
        <v>0</v>
      </c>
      <c r="V431" s="3">
        <v>1</v>
      </c>
      <c r="W431" s="7"/>
      <c r="X431" s="33" t="s">
        <v>1780</v>
      </c>
      <c r="Y431" s="27" t="s">
        <v>1782</v>
      </c>
    </row>
    <row r="432" spans="1:25" x14ac:dyDescent="0.15">
      <c r="A432" s="16">
        <v>812002</v>
      </c>
      <c r="B432" s="34" t="s">
        <v>1772</v>
      </c>
      <c r="C432" s="3">
        <v>0</v>
      </c>
      <c r="D432" s="27">
        <v>0</v>
      </c>
      <c r="E432" s="3">
        <v>0</v>
      </c>
      <c r="F432" s="3">
        <v>0</v>
      </c>
      <c r="G432" s="3">
        <v>0</v>
      </c>
      <c r="H432" s="3">
        <v>0</v>
      </c>
      <c r="I432" s="3">
        <v>1</v>
      </c>
      <c r="J432" s="4">
        <v>259</v>
      </c>
      <c r="K432" s="3">
        <v>8</v>
      </c>
      <c r="L432" s="27" t="s">
        <v>1781</v>
      </c>
      <c r="M432" s="3">
        <v>812</v>
      </c>
      <c r="N432" s="27" t="s">
        <v>1781</v>
      </c>
      <c r="O432" s="3">
        <v>2</v>
      </c>
      <c r="P432" s="27" t="s">
        <v>1797</v>
      </c>
      <c r="Q432" s="3" t="s">
        <v>601</v>
      </c>
      <c r="R432" s="3" t="s">
        <v>1788</v>
      </c>
      <c r="S432" s="3" t="s">
        <v>1788</v>
      </c>
      <c r="T432" s="3">
        <v>1</v>
      </c>
      <c r="U432" s="3">
        <v>0</v>
      </c>
      <c r="V432" s="3">
        <v>1</v>
      </c>
      <c r="W432" s="7"/>
      <c r="X432" s="34" t="s">
        <v>1772</v>
      </c>
      <c r="Y432" s="27" t="s">
        <v>1783</v>
      </c>
    </row>
    <row r="433" spans="1:25" x14ac:dyDescent="0.15">
      <c r="A433" s="16">
        <v>812003</v>
      </c>
      <c r="B433" s="34" t="s">
        <v>1773</v>
      </c>
      <c r="C433" s="3">
        <v>0</v>
      </c>
      <c r="D433" s="27">
        <v>0</v>
      </c>
      <c r="E433" s="3">
        <v>0</v>
      </c>
      <c r="F433" s="3">
        <v>0</v>
      </c>
      <c r="G433" s="3">
        <v>0</v>
      </c>
      <c r="H433" s="3">
        <v>0</v>
      </c>
      <c r="I433" s="3">
        <v>1</v>
      </c>
      <c r="J433" s="4">
        <v>260</v>
      </c>
      <c r="K433" s="3">
        <v>8</v>
      </c>
      <c r="L433" s="27" t="s">
        <v>1781</v>
      </c>
      <c r="M433" s="3">
        <v>812</v>
      </c>
      <c r="N433" s="27" t="s">
        <v>1781</v>
      </c>
      <c r="O433" s="3">
        <v>3</v>
      </c>
      <c r="P433" s="27" t="s">
        <v>1797</v>
      </c>
      <c r="Q433" s="3" t="s">
        <v>601</v>
      </c>
      <c r="R433" s="3" t="s">
        <v>1789</v>
      </c>
      <c r="S433" s="3" t="s">
        <v>1789</v>
      </c>
      <c r="T433" s="3">
        <v>1</v>
      </c>
      <c r="U433" s="3">
        <v>0</v>
      </c>
      <c r="V433" s="3">
        <v>1</v>
      </c>
      <c r="W433" s="7"/>
      <c r="X433" s="34" t="s">
        <v>1773</v>
      </c>
      <c r="Y433" s="27" t="s">
        <v>1833</v>
      </c>
    </row>
    <row r="434" spans="1:25" x14ac:dyDescent="0.15">
      <c r="A434" s="16">
        <v>812004</v>
      </c>
      <c r="B434" s="34" t="s">
        <v>1774</v>
      </c>
      <c r="C434" s="3">
        <v>0</v>
      </c>
      <c r="D434" s="27">
        <v>0</v>
      </c>
      <c r="E434" s="3">
        <v>0</v>
      </c>
      <c r="F434" s="3">
        <v>0</v>
      </c>
      <c r="G434" s="3">
        <v>0</v>
      </c>
      <c r="H434" s="3">
        <v>0</v>
      </c>
      <c r="I434" s="3">
        <v>1</v>
      </c>
      <c r="J434" s="4">
        <v>261</v>
      </c>
      <c r="K434" s="3">
        <v>8</v>
      </c>
      <c r="L434" s="27" t="s">
        <v>1781</v>
      </c>
      <c r="M434" s="3">
        <v>812</v>
      </c>
      <c r="N434" s="27" t="s">
        <v>1781</v>
      </c>
      <c r="O434" s="3">
        <v>4</v>
      </c>
      <c r="P434" s="27" t="s">
        <v>1797</v>
      </c>
      <c r="Q434" s="3" t="s">
        <v>601</v>
      </c>
      <c r="R434" s="3" t="s">
        <v>1790</v>
      </c>
      <c r="S434" s="3" t="s">
        <v>1790</v>
      </c>
      <c r="T434" s="3">
        <v>1</v>
      </c>
      <c r="U434" s="3">
        <v>0</v>
      </c>
      <c r="V434" s="3">
        <v>1</v>
      </c>
      <c r="W434" s="7"/>
      <c r="X434" s="34" t="s">
        <v>1774</v>
      </c>
      <c r="Y434" s="27" t="s">
        <v>2619</v>
      </c>
    </row>
    <row r="435" spans="1:25" x14ac:dyDescent="0.15">
      <c r="A435" s="16">
        <v>812005</v>
      </c>
      <c r="B435" s="34" t="s">
        <v>1778</v>
      </c>
      <c r="C435" s="3">
        <v>0</v>
      </c>
      <c r="D435" s="27">
        <v>0</v>
      </c>
      <c r="E435" s="3">
        <v>0</v>
      </c>
      <c r="F435" s="3">
        <v>0</v>
      </c>
      <c r="G435" s="3">
        <v>0</v>
      </c>
      <c r="H435" s="3">
        <v>0</v>
      </c>
      <c r="I435" s="3">
        <v>1</v>
      </c>
      <c r="J435" s="4">
        <v>262</v>
      </c>
      <c r="K435" s="3">
        <v>8</v>
      </c>
      <c r="L435" s="27" t="s">
        <v>1781</v>
      </c>
      <c r="M435" s="3">
        <v>812</v>
      </c>
      <c r="N435" s="27" t="s">
        <v>1781</v>
      </c>
      <c r="O435" s="3">
        <v>5</v>
      </c>
      <c r="P435" s="27" t="s">
        <v>1797</v>
      </c>
      <c r="Q435" s="3" t="s">
        <v>601</v>
      </c>
      <c r="R435" s="3" t="s">
        <v>1791</v>
      </c>
      <c r="S435" s="3" t="s">
        <v>1791</v>
      </c>
      <c r="T435" s="3">
        <v>1</v>
      </c>
      <c r="U435" s="3">
        <v>0</v>
      </c>
      <c r="V435" s="3">
        <v>1</v>
      </c>
      <c r="W435" s="7"/>
      <c r="X435" s="34" t="s">
        <v>1778</v>
      </c>
      <c r="Y435" s="27" t="s">
        <v>3441</v>
      </c>
    </row>
    <row r="436" spans="1:25" x14ac:dyDescent="0.15">
      <c r="A436" s="16">
        <v>812006</v>
      </c>
      <c r="B436" s="34" t="s">
        <v>1775</v>
      </c>
      <c r="C436" s="3">
        <v>0</v>
      </c>
      <c r="D436" s="27">
        <v>0</v>
      </c>
      <c r="E436" s="3">
        <v>0</v>
      </c>
      <c r="F436" s="3">
        <v>0</v>
      </c>
      <c r="G436" s="3">
        <v>0</v>
      </c>
      <c r="H436" s="3">
        <v>0</v>
      </c>
      <c r="I436" s="3">
        <v>1</v>
      </c>
      <c r="J436" s="4">
        <v>263</v>
      </c>
      <c r="K436" s="3">
        <v>8</v>
      </c>
      <c r="L436" s="27" t="s">
        <v>1781</v>
      </c>
      <c r="M436" s="3">
        <v>812</v>
      </c>
      <c r="N436" s="27" t="s">
        <v>1781</v>
      </c>
      <c r="O436" s="3">
        <v>6</v>
      </c>
      <c r="P436" s="27" t="s">
        <v>1797</v>
      </c>
      <c r="Q436" s="3" t="s">
        <v>601</v>
      </c>
      <c r="R436" s="3" t="s">
        <v>1792</v>
      </c>
      <c r="S436" s="3" t="s">
        <v>1792</v>
      </c>
      <c r="T436" s="3">
        <v>1</v>
      </c>
      <c r="U436" s="3">
        <v>0</v>
      </c>
      <c r="V436" s="3">
        <v>1</v>
      </c>
      <c r="W436" s="7"/>
      <c r="X436" s="34" t="s">
        <v>1775</v>
      </c>
      <c r="Y436" s="27" t="s">
        <v>1784</v>
      </c>
    </row>
    <row r="437" spans="1:25" ht="40.5" x14ac:dyDescent="0.15">
      <c r="A437" s="16">
        <v>812007</v>
      </c>
      <c r="B437" s="34" t="s">
        <v>1776</v>
      </c>
      <c r="C437" s="3">
        <v>0</v>
      </c>
      <c r="D437" s="27">
        <v>0</v>
      </c>
      <c r="E437" s="3">
        <v>0</v>
      </c>
      <c r="F437" s="3">
        <v>0</v>
      </c>
      <c r="G437" s="3">
        <v>0</v>
      </c>
      <c r="H437" s="3">
        <v>0</v>
      </c>
      <c r="I437" s="3">
        <v>1</v>
      </c>
      <c r="J437" s="4">
        <v>264</v>
      </c>
      <c r="K437" s="3">
        <v>8</v>
      </c>
      <c r="L437" s="27" t="s">
        <v>1781</v>
      </c>
      <c r="M437" s="3">
        <v>812</v>
      </c>
      <c r="N437" s="27" t="s">
        <v>1781</v>
      </c>
      <c r="O437" s="3">
        <v>7</v>
      </c>
      <c r="P437" s="27" t="s">
        <v>1797</v>
      </c>
      <c r="Q437" s="3" t="s">
        <v>601</v>
      </c>
      <c r="R437" s="3" t="s">
        <v>1793</v>
      </c>
      <c r="S437" s="3" t="s">
        <v>1793</v>
      </c>
      <c r="T437" s="3">
        <v>1</v>
      </c>
      <c r="U437" s="3">
        <v>0</v>
      </c>
      <c r="V437" s="3">
        <v>1</v>
      </c>
      <c r="W437" s="7"/>
      <c r="X437" s="34" t="s">
        <v>1776</v>
      </c>
      <c r="Y437" s="32" t="s">
        <v>1785</v>
      </c>
    </row>
    <row r="438" spans="1:25" ht="27" x14ac:dyDescent="0.15">
      <c r="A438" s="16">
        <v>812008</v>
      </c>
      <c r="B438" s="34" t="s">
        <v>1779</v>
      </c>
      <c r="C438" s="3">
        <v>0</v>
      </c>
      <c r="D438" s="27">
        <v>0</v>
      </c>
      <c r="E438" s="3">
        <v>0</v>
      </c>
      <c r="F438" s="3">
        <v>0</v>
      </c>
      <c r="G438" s="3">
        <v>0</v>
      </c>
      <c r="H438" s="3">
        <v>0</v>
      </c>
      <c r="I438" s="3">
        <v>1</v>
      </c>
      <c r="J438" s="4">
        <v>265</v>
      </c>
      <c r="K438" s="3">
        <v>8</v>
      </c>
      <c r="L438" s="27" t="s">
        <v>1781</v>
      </c>
      <c r="M438" s="3">
        <v>812</v>
      </c>
      <c r="N438" s="27" t="s">
        <v>1781</v>
      </c>
      <c r="O438" s="3">
        <v>8</v>
      </c>
      <c r="P438" s="27" t="s">
        <v>1797</v>
      </c>
      <c r="Q438" s="3" t="s">
        <v>601</v>
      </c>
      <c r="R438" s="3" t="s">
        <v>1794</v>
      </c>
      <c r="S438" s="3" t="s">
        <v>1794</v>
      </c>
      <c r="T438" s="3">
        <v>1</v>
      </c>
      <c r="U438" s="3">
        <v>0</v>
      </c>
      <c r="V438" s="3">
        <v>1</v>
      </c>
      <c r="W438" s="7"/>
      <c r="X438" s="34" t="s">
        <v>1779</v>
      </c>
      <c r="Y438" s="32" t="s">
        <v>1786</v>
      </c>
    </row>
    <row r="439" spans="1:25" ht="27" x14ac:dyDescent="0.15">
      <c r="A439" s="16">
        <v>812009</v>
      </c>
      <c r="B439" s="34" t="s">
        <v>1777</v>
      </c>
      <c r="C439" s="3">
        <v>0</v>
      </c>
      <c r="D439" s="27">
        <v>0</v>
      </c>
      <c r="E439" s="3">
        <v>0</v>
      </c>
      <c r="F439" s="3">
        <v>0</v>
      </c>
      <c r="G439" s="3">
        <v>0</v>
      </c>
      <c r="H439" s="3">
        <v>0</v>
      </c>
      <c r="I439" s="3">
        <v>1</v>
      </c>
      <c r="J439" s="4">
        <v>266</v>
      </c>
      <c r="K439" s="3">
        <v>8</v>
      </c>
      <c r="L439" s="27" t="s">
        <v>1781</v>
      </c>
      <c r="M439" s="3">
        <v>812</v>
      </c>
      <c r="N439" s="27" t="s">
        <v>1781</v>
      </c>
      <c r="O439" s="3">
        <v>9</v>
      </c>
      <c r="P439" s="27" t="s">
        <v>1797</v>
      </c>
      <c r="Q439" s="3" t="s">
        <v>601</v>
      </c>
      <c r="R439" s="3" t="s">
        <v>1795</v>
      </c>
      <c r="S439" s="3" t="s">
        <v>1795</v>
      </c>
      <c r="T439" s="3">
        <v>1</v>
      </c>
      <c r="U439" s="3">
        <v>0</v>
      </c>
      <c r="V439" s="3">
        <v>1</v>
      </c>
      <c r="W439" s="7"/>
      <c r="X439" s="34" t="s">
        <v>1777</v>
      </c>
      <c r="Y439" s="32" t="s">
        <v>1841</v>
      </c>
    </row>
    <row r="440" spans="1:25" x14ac:dyDescent="0.15">
      <c r="A440" s="3">
        <v>813001</v>
      </c>
      <c r="B440" s="27" t="s">
        <v>1802</v>
      </c>
      <c r="C440" s="3">
        <v>0</v>
      </c>
      <c r="D440" s="27">
        <v>0</v>
      </c>
      <c r="E440" s="3">
        <v>0</v>
      </c>
      <c r="F440" s="3">
        <v>0</v>
      </c>
      <c r="G440" s="3">
        <v>0</v>
      </c>
      <c r="H440" s="3">
        <v>0</v>
      </c>
      <c r="I440" s="3">
        <v>1</v>
      </c>
      <c r="J440" s="4">
        <v>267</v>
      </c>
      <c r="K440" s="3">
        <v>8</v>
      </c>
      <c r="L440" s="27" t="s">
        <v>1835</v>
      </c>
      <c r="M440" s="3">
        <v>813</v>
      </c>
      <c r="N440" s="27" t="s">
        <v>1835</v>
      </c>
      <c r="O440" s="3">
        <v>0</v>
      </c>
      <c r="P440" s="3"/>
      <c r="Q440" s="3" t="s">
        <v>601</v>
      </c>
      <c r="R440" s="3" t="s">
        <v>1834</v>
      </c>
      <c r="S440" s="3" t="str">
        <f t="shared" ref="S440:S470" si="48">CONCATENATE(A440,"")</f>
        <v>813001</v>
      </c>
      <c r="T440" s="3">
        <v>1</v>
      </c>
      <c r="U440" s="3">
        <v>0</v>
      </c>
      <c r="V440" s="3">
        <v>1</v>
      </c>
      <c r="W440" s="3"/>
      <c r="X440" s="27" t="s">
        <v>1802</v>
      </c>
      <c r="Y440" s="27" t="s">
        <v>1811</v>
      </c>
    </row>
    <row r="441" spans="1:25" x14ac:dyDescent="0.15">
      <c r="A441" s="3">
        <v>813002</v>
      </c>
      <c r="B441" s="27" t="s">
        <v>1803</v>
      </c>
      <c r="C441" s="3">
        <v>0</v>
      </c>
      <c r="D441" s="27">
        <v>0</v>
      </c>
      <c r="E441" s="3">
        <v>0</v>
      </c>
      <c r="F441" s="3">
        <v>0</v>
      </c>
      <c r="G441" s="3">
        <v>0</v>
      </c>
      <c r="H441" s="3">
        <v>0</v>
      </c>
      <c r="I441" s="3">
        <v>1</v>
      </c>
      <c r="J441" s="4">
        <v>268</v>
      </c>
      <c r="K441" s="3">
        <v>8</v>
      </c>
      <c r="L441" s="27" t="s">
        <v>1835</v>
      </c>
      <c r="M441" s="3">
        <v>813</v>
      </c>
      <c r="N441" s="27" t="s">
        <v>1835</v>
      </c>
      <c r="O441" s="3">
        <v>0</v>
      </c>
      <c r="P441" s="3"/>
      <c r="Q441" s="3" t="s">
        <v>601</v>
      </c>
      <c r="R441" s="3" t="s">
        <v>1834</v>
      </c>
      <c r="S441" s="3" t="str">
        <f t="shared" si="48"/>
        <v>813002</v>
      </c>
      <c r="T441" s="3">
        <v>1</v>
      </c>
      <c r="U441" s="3">
        <v>0</v>
      </c>
      <c r="V441" s="3">
        <v>1</v>
      </c>
      <c r="W441" s="3"/>
      <c r="X441" s="27" t="s">
        <v>1803</v>
      </c>
      <c r="Y441" s="27" t="s">
        <v>1810</v>
      </c>
    </row>
    <row r="442" spans="1:25" x14ac:dyDescent="0.15">
      <c r="A442" s="3">
        <v>813003</v>
      </c>
      <c r="B442" s="27" t="s">
        <v>1804</v>
      </c>
      <c r="C442" s="3">
        <v>0</v>
      </c>
      <c r="D442" s="27">
        <v>0</v>
      </c>
      <c r="E442" s="3">
        <v>0</v>
      </c>
      <c r="F442" s="3">
        <v>0</v>
      </c>
      <c r="G442" s="3">
        <v>0</v>
      </c>
      <c r="H442" s="3">
        <v>0</v>
      </c>
      <c r="I442" s="3">
        <v>1</v>
      </c>
      <c r="J442" s="4">
        <v>269</v>
      </c>
      <c r="K442" s="3">
        <v>8</v>
      </c>
      <c r="L442" s="27" t="s">
        <v>1835</v>
      </c>
      <c r="M442" s="3">
        <v>813</v>
      </c>
      <c r="N442" s="27" t="s">
        <v>1835</v>
      </c>
      <c r="O442" s="3">
        <v>0</v>
      </c>
      <c r="P442" s="3"/>
      <c r="Q442" s="3" t="s">
        <v>601</v>
      </c>
      <c r="R442" s="3" t="s">
        <v>1834</v>
      </c>
      <c r="S442" s="3" t="str">
        <f t="shared" si="48"/>
        <v>813003</v>
      </c>
      <c r="T442" s="3">
        <v>1</v>
      </c>
      <c r="U442" s="3">
        <v>0</v>
      </c>
      <c r="V442" s="3">
        <v>1</v>
      </c>
      <c r="W442" s="3"/>
      <c r="X442" s="27" t="s">
        <v>1804</v>
      </c>
      <c r="Y442" s="27" t="s">
        <v>1812</v>
      </c>
    </row>
    <row r="443" spans="1:25" x14ac:dyDescent="0.15">
      <c r="A443" s="3">
        <v>813004</v>
      </c>
      <c r="B443" s="27" t="s">
        <v>1805</v>
      </c>
      <c r="C443" s="3">
        <v>0</v>
      </c>
      <c r="D443" s="27">
        <v>0</v>
      </c>
      <c r="E443" s="3">
        <v>0</v>
      </c>
      <c r="F443" s="3">
        <v>0</v>
      </c>
      <c r="G443" s="3">
        <v>0</v>
      </c>
      <c r="H443" s="3">
        <v>0</v>
      </c>
      <c r="I443" s="3">
        <v>1</v>
      </c>
      <c r="J443" s="4">
        <v>270</v>
      </c>
      <c r="K443" s="3">
        <v>8</v>
      </c>
      <c r="L443" s="27" t="s">
        <v>1835</v>
      </c>
      <c r="M443" s="3">
        <v>813</v>
      </c>
      <c r="N443" s="27" t="s">
        <v>1835</v>
      </c>
      <c r="O443" s="3">
        <v>0</v>
      </c>
      <c r="P443" s="3"/>
      <c r="Q443" s="3" t="s">
        <v>601</v>
      </c>
      <c r="R443" s="3" t="s">
        <v>1834</v>
      </c>
      <c r="S443" s="3" t="str">
        <f t="shared" si="48"/>
        <v>813004</v>
      </c>
      <c r="T443" s="3">
        <v>1</v>
      </c>
      <c r="U443" s="3">
        <v>0</v>
      </c>
      <c r="V443" s="3">
        <v>1</v>
      </c>
      <c r="W443" s="3"/>
      <c r="X443" s="27" t="s">
        <v>1805</v>
      </c>
      <c r="Y443" s="27" t="s">
        <v>1813</v>
      </c>
    </row>
    <row r="444" spans="1:25" x14ac:dyDescent="0.15">
      <c r="A444" s="3">
        <v>813005</v>
      </c>
      <c r="B444" s="27" t="s">
        <v>1806</v>
      </c>
      <c r="C444" s="3">
        <v>0</v>
      </c>
      <c r="D444" s="27">
        <v>0</v>
      </c>
      <c r="E444" s="3">
        <v>0</v>
      </c>
      <c r="F444" s="3">
        <v>0</v>
      </c>
      <c r="G444" s="3">
        <v>0</v>
      </c>
      <c r="H444" s="3">
        <v>0</v>
      </c>
      <c r="I444" s="3">
        <v>1</v>
      </c>
      <c r="J444" s="4">
        <v>271</v>
      </c>
      <c r="K444" s="3">
        <v>8</v>
      </c>
      <c r="L444" s="27" t="s">
        <v>1835</v>
      </c>
      <c r="M444" s="3">
        <v>813</v>
      </c>
      <c r="N444" s="27" t="s">
        <v>1835</v>
      </c>
      <c r="O444" s="3">
        <v>0</v>
      </c>
      <c r="P444" s="3"/>
      <c r="Q444" s="3" t="s">
        <v>601</v>
      </c>
      <c r="R444" s="3" t="s">
        <v>1834</v>
      </c>
      <c r="S444" s="3" t="str">
        <f t="shared" si="48"/>
        <v>813005</v>
      </c>
      <c r="T444" s="3">
        <v>1</v>
      </c>
      <c r="U444" s="3">
        <v>0</v>
      </c>
      <c r="V444" s="3">
        <v>1</v>
      </c>
      <c r="W444" s="3"/>
      <c r="X444" s="27" t="s">
        <v>1806</v>
      </c>
      <c r="Y444" s="27" t="s">
        <v>1814</v>
      </c>
    </row>
    <row r="445" spans="1:25" x14ac:dyDescent="0.15">
      <c r="A445" s="3">
        <v>813006</v>
      </c>
      <c r="B445" s="27" t="s">
        <v>1807</v>
      </c>
      <c r="C445" s="3">
        <v>0</v>
      </c>
      <c r="D445" s="27">
        <v>0</v>
      </c>
      <c r="E445" s="3">
        <v>0</v>
      </c>
      <c r="F445" s="3">
        <v>0</v>
      </c>
      <c r="G445" s="3">
        <v>0</v>
      </c>
      <c r="H445" s="3">
        <v>0</v>
      </c>
      <c r="I445" s="3">
        <v>1</v>
      </c>
      <c r="J445" s="4">
        <v>272</v>
      </c>
      <c r="K445" s="3">
        <v>8</v>
      </c>
      <c r="L445" s="27" t="s">
        <v>1835</v>
      </c>
      <c r="M445" s="3">
        <v>813</v>
      </c>
      <c r="N445" s="27" t="s">
        <v>1835</v>
      </c>
      <c r="O445" s="3">
        <v>0</v>
      </c>
      <c r="P445" s="3"/>
      <c r="Q445" s="3" t="s">
        <v>601</v>
      </c>
      <c r="R445" s="3" t="s">
        <v>1834</v>
      </c>
      <c r="S445" s="3" t="str">
        <f t="shared" si="48"/>
        <v>813006</v>
      </c>
      <c r="T445" s="3">
        <v>1</v>
      </c>
      <c r="U445" s="3">
        <v>0</v>
      </c>
      <c r="V445" s="3">
        <v>1</v>
      </c>
      <c r="W445" s="3"/>
      <c r="X445" s="27" t="s">
        <v>1807</v>
      </c>
      <c r="Y445" s="27" t="s">
        <v>1819</v>
      </c>
    </row>
    <row r="446" spans="1:25" x14ac:dyDescent="0.15">
      <c r="A446" s="3">
        <v>813007</v>
      </c>
      <c r="B446" s="27" t="s">
        <v>1815</v>
      </c>
      <c r="C446" s="3">
        <v>0</v>
      </c>
      <c r="D446" s="27">
        <v>0</v>
      </c>
      <c r="E446" s="3">
        <v>0</v>
      </c>
      <c r="F446" s="3">
        <v>0</v>
      </c>
      <c r="G446" s="3">
        <v>0</v>
      </c>
      <c r="H446" s="3">
        <v>0</v>
      </c>
      <c r="I446" s="3">
        <v>1</v>
      </c>
      <c r="J446" s="4">
        <v>273</v>
      </c>
      <c r="K446" s="3">
        <v>8</v>
      </c>
      <c r="L446" s="27" t="s">
        <v>1835</v>
      </c>
      <c r="M446" s="3">
        <v>813</v>
      </c>
      <c r="N446" s="27" t="s">
        <v>1835</v>
      </c>
      <c r="O446" s="3">
        <v>0</v>
      </c>
      <c r="P446" s="3"/>
      <c r="Q446" s="3" t="s">
        <v>601</v>
      </c>
      <c r="R446" s="3" t="s">
        <v>1834</v>
      </c>
      <c r="S446" s="3" t="str">
        <f t="shared" si="48"/>
        <v>813007</v>
      </c>
      <c r="T446" s="3">
        <v>1</v>
      </c>
      <c r="U446" s="3">
        <v>0</v>
      </c>
      <c r="V446" s="3">
        <v>1</v>
      </c>
      <c r="W446" s="3"/>
      <c r="X446" s="27" t="s">
        <v>1815</v>
      </c>
      <c r="Y446" s="27" t="s">
        <v>1816</v>
      </c>
    </row>
    <row r="447" spans="1:25" x14ac:dyDescent="0.15">
      <c r="A447" s="3">
        <v>813008</v>
      </c>
      <c r="B447" s="27" t="s">
        <v>1808</v>
      </c>
      <c r="C447" s="3">
        <v>0</v>
      </c>
      <c r="D447" s="27">
        <v>0</v>
      </c>
      <c r="E447" s="3">
        <v>0</v>
      </c>
      <c r="F447" s="3">
        <v>0</v>
      </c>
      <c r="G447" s="3">
        <v>0</v>
      </c>
      <c r="H447" s="3">
        <v>0</v>
      </c>
      <c r="I447" s="3">
        <v>1</v>
      </c>
      <c r="J447" s="4">
        <v>274</v>
      </c>
      <c r="K447" s="3">
        <v>8</v>
      </c>
      <c r="L447" s="27" t="s">
        <v>1835</v>
      </c>
      <c r="M447" s="3">
        <v>813</v>
      </c>
      <c r="N447" s="27" t="s">
        <v>1835</v>
      </c>
      <c r="O447" s="3">
        <v>0</v>
      </c>
      <c r="P447" s="3"/>
      <c r="Q447" s="3" t="s">
        <v>601</v>
      </c>
      <c r="R447" s="3" t="s">
        <v>1834</v>
      </c>
      <c r="S447" s="3" t="str">
        <f t="shared" si="48"/>
        <v>813008</v>
      </c>
      <c r="T447" s="3">
        <v>1</v>
      </c>
      <c r="U447" s="3">
        <v>0</v>
      </c>
      <c r="V447" s="3">
        <v>1</v>
      </c>
      <c r="W447" s="3"/>
      <c r="X447" s="27" t="s">
        <v>1808</v>
      </c>
      <c r="Y447" s="27" t="s">
        <v>1818</v>
      </c>
    </row>
    <row r="448" spans="1:25" x14ac:dyDescent="0.15">
      <c r="A448" s="3">
        <v>813009</v>
      </c>
      <c r="B448" s="27" t="s">
        <v>1809</v>
      </c>
      <c r="C448" s="3">
        <v>0</v>
      </c>
      <c r="D448" s="27">
        <v>0</v>
      </c>
      <c r="E448" s="3">
        <v>0</v>
      </c>
      <c r="F448" s="3">
        <v>0</v>
      </c>
      <c r="G448" s="3">
        <v>0</v>
      </c>
      <c r="H448" s="3">
        <v>0</v>
      </c>
      <c r="I448" s="3">
        <v>1</v>
      </c>
      <c r="J448" s="4">
        <v>275</v>
      </c>
      <c r="K448" s="3">
        <v>8</v>
      </c>
      <c r="L448" s="27" t="s">
        <v>1835</v>
      </c>
      <c r="M448" s="3">
        <v>813</v>
      </c>
      <c r="N448" s="27" t="s">
        <v>1835</v>
      </c>
      <c r="O448" s="3">
        <v>0</v>
      </c>
      <c r="P448" s="3"/>
      <c r="Q448" s="3" t="s">
        <v>601</v>
      </c>
      <c r="R448" s="3" t="s">
        <v>1834</v>
      </c>
      <c r="S448" s="3" t="str">
        <f t="shared" si="48"/>
        <v>813009</v>
      </c>
      <c r="T448" s="3">
        <v>1</v>
      </c>
      <c r="U448" s="35">
        <v>0</v>
      </c>
      <c r="V448" s="35">
        <v>1</v>
      </c>
      <c r="W448" s="3"/>
      <c r="X448" s="36" t="s">
        <v>1809</v>
      </c>
      <c r="Y448" s="27" t="s">
        <v>1817</v>
      </c>
    </row>
    <row r="449" spans="1:25" x14ac:dyDescent="0.15">
      <c r="A449" s="3">
        <v>814001</v>
      </c>
      <c r="B449" s="27" t="s">
        <v>3001</v>
      </c>
      <c r="C449" s="3">
        <v>0</v>
      </c>
      <c r="D449" s="27">
        <v>0</v>
      </c>
      <c r="E449" s="3">
        <v>0</v>
      </c>
      <c r="F449" s="3">
        <v>0</v>
      </c>
      <c r="G449" s="3">
        <v>0</v>
      </c>
      <c r="H449" s="3">
        <v>0</v>
      </c>
      <c r="I449" s="3">
        <v>1</v>
      </c>
      <c r="J449" s="4">
        <v>276</v>
      </c>
      <c r="K449" s="3">
        <v>8</v>
      </c>
      <c r="L449" s="27" t="s">
        <v>3008</v>
      </c>
      <c r="M449" s="3">
        <v>814</v>
      </c>
      <c r="N449" s="27" t="s">
        <v>3008</v>
      </c>
      <c r="O449" s="3">
        <v>1</v>
      </c>
      <c r="P449" s="27" t="s">
        <v>3288</v>
      </c>
      <c r="Q449" s="3" t="s">
        <v>601</v>
      </c>
      <c r="R449" s="3" t="str">
        <f t="shared" ref="R449:R470" si="49">CONCATENATE("ui_",A449,"")</f>
        <v>ui_814001</v>
      </c>
      <c r="S449" s="3" t="str">
        <f t="shared" si="48"/>
        <v>814001</v>
      </c>
      <c r="T449" s="3">
        <v>1</v>
      </c>
      <c r="U449" s="35">
        <v>0</v>
      </c>
      <c r="V449" s="35">
        <v>1</v>
      </c>
      <c r="W449" s="3"/>
      <c r="X449" s="27" t="s">
        <v>3001</v>
      </c>
      <c r="Y449" s="27" t="s">
        <v>3011</v>
      </c>
    </row>
    <row r="450" spans="1:25" x14ac:dyDescent="0.15">
      <c r="A450" s="3">
        <v>814002</v>
      </c>
      <c r="B450" s="27" t="s">
        <v>3002</v>
      </c>
      <c r="C450" s="3">
        <v>0</v>
      </c>
      <c r="D450" s="27">
        <v>0</v>
      </c>
      <c r="E450" s="3">
        <v>0</v>
      </c>
      <c r="F450" s="3">
        <v>0</v>
      </c>
      <c r="G450" s="3">
        <v>0</v>
      </c>
      <c r="H450" s="3">
        <v>0</v>
      </c>
      <c r="I450" s="3">
        <v>1</v>
      </c>
      <c r="J450" s="4">
        <v>277</v>
      </c>
      <c r="K450" s="3">
        <v>8</v>
      </c>
      <c r="L450" s="27" t="s">
        <v>3008</v>
      </c>
      <c r="M450" s="3">
        <v>814</v>
      </c>
      <c r="N450" s="27" t="s">
        <v>3008</v>
      </c>
      <c r="O450" s="3">
        <v>2</v>
      </c>
      <c r="P450" s="27" t="s">
        <v>3288</v>
      </c>
      <c r="Q450" s="3" t="s">
        <v>601</v>
      </c>
      <c r="R450" s="3" t="str">
        <f t="shared" si="49"/>
        <v>ui_814002</v>
      </c>
      <c r="S450" s="3" t="str">
        <f t="shared" si="48"/>
        <v>814002</v>
      </c>
      <c r="T450" s="3">
        <v>1</v>
      </c>
      <c r="U450" s="35">
        <v>0</v>
      </c>
      <c r="V450" s="35">
        <v>1</v>
      </c>
      <c r="W450" s="3"/>
      <c r="X450" s="27" t="s">
        <v>3002</v>
      </c>
      <c r="Y450" s="27" t="s">
        <v>3010</v>
      </c>
    </row>
    <row r="451" spans="1:25" x14ac:dyDescent="0.15">
      <c r="A451" s="3">
        <v>814003</v>
      </c>
      <c r="B451" s="27" t="s">
        <v>3007</v>
      </c>
      <c r="C451" s="3">
        <v>0</v>
      </c>
      <c r="D451" s="27">
        <v>0</v>
      </c>
      <c r="E451" s="3">
        <v>0</v>
      </c>
      <c r="F451" s="3">
        <v>0</v>
      </c>
      <c r="G451" s="3">
        <v>0</v>
      </c>
      <c r="H451" s="3">
        <v>0</v>
      </c>
      <c r="I451" s="3">
        <v>1</v>
      </c>
      <c r="J451" s="4">
        <v>278</v>
      </c>
      <c r="K451" s="3">
        <v>8</v>
      </c>
      <c r="L451" s="27" t="s">
        <v>3008</v>
      </c>
      <c r="M451" s="3">
        <v>814</v>
      </c>
      <c r="N451" s="27" t="s">
        <v>3008</v>
      </c>
      <c r="O451" s="3">
        <v>3</v>
      </c>
      <c r="P451" s="27" t="s">
        <v>3288</v>
      </c>
      <c r="Q451" s="3" t="s">
        <v>601</v>
      </c>
      <c r="R451" s="3" t="str">
        <f t="shared" si="49"/>
        <v>ui_814003</v>
      </c>
      <c r="S451" s="3" t="str">
        <f t="shared" si="48"/>
        <v>814003</v>
      </c>
      <c r="T451" s="3">
        <v>1</v>
      </c>
      <c r="U451" s="35">
        <v>0</v>
      </c>
      <c r="V451" s="35">
        <v>1</v>
      </c>
      <c r="W451" s="3"/>
      <c r="X451" s="27" t="s">
        <v>3007</v>
      </c>
      <c r="Y451" s="27" t="s">
        <v>3012</v>
      </c>
    </row>
    <row r="452" spans="1:25" x14ac:dyDescent="0.15">
      <c r="A452" s="3">
        <v>814004</v>
      </c>
      <c r="B452" s="27" t="s">
        <v>3282</v>
      </c>
      <c r="C452" s="3">
        <v>0</v>
      </c>
      <c r="D452" s="27">
        <v>0</v>
      </c>
      <c r="E452" s="3">
        <v>0</v>
      </c>
      <c r="F452" s="3">
        <v>0</v>
      </c>
      <c r="G452" s="3">
        <v>0</v>
      </c>
      <c r="H452" s="3">
        <v>0</v>
      </c>
      <c r="I452" s="3">
        <v>1</v>
      </c>
      <c r="J452" s="4">
        <v>279</v>
      </c>
      <c r="K452" s="3">
        <v>8</v>
      </c>
      <c r="L452" s="27" t="s">
        <v>3008</v>
      </c>
      <c r="M452" s="3">
        <v>814</v>
      </c>
      <c r="N452" s="27" t="s">
        <v>3008</v>
      </c>
      <c r="O452" s="3">
        <v>4</v>
      </c>
      <c r="P452" s="27" t="s">
        <v>3288</v>
      </c>
      <c r="Q452" s="3" t="s">
        <v>601</v>
      </c>
      <c r="R452" s="3" t="str">
        <f t="shared" si="49"/>
        <v>ui_814004</v>
      </c>
      <c r="S452" s="3" t="str">
        <f t="shared" si="48"/>
        <v>814004</v>
      </c>
      <c r="T452" s="3">
        <v>1</v>
      </c>
      <c r="U452" s="35">
        <v>0</v>
      </c>
      <c r="V452" s="35">
        <v>1</v>
      </c>
      <c r="W452" s="3"/>
      <c r="X452" s="27" t="s">
        <v>3282</v>
      </c>
      <c r="Y452" s="27" t="s">
        <v>3013</v>
      </c>
    </row>
    <row r="453" spans="1:25" x14ac:dyDescent="0.15">
      <c r="A453" s="3">
        <v>814005</v>
      </c>
      <c r="B453" s="27" t="s">
        <v>3009</v>
      </c>
      <c r="C453" s="3">
        <v>0</v>
      </c>
      <c r="D453" s="27">
        <v>0</v>
      </c>
      <c r="E453" s="3">
        <v>0</v>
      </c>
      <c r="F453" s="3">
        <v>0</v>
      </c>
      <c r="G453" s="3">
        <v>0</v>
      </c>
      <c r="H453" s="3">
        <v>0</v>
      </c>
      <c r="I453" s="3">
        <v>1</v>
      </c>
      <c r="J453" s="4">
        <v>280</v>
      </c>
      <c r="K453" s="3">
        <v>8</v>
      </c>
      <c r="L453" s="27" t="s">
        <v>3008</v>
      </c>
      <c r="M453" s="3">
        <v>814</v>
      </c>
      <c r="N453" s="27" t="s">
        <v>3008</v>
      </c>
      <c r="O453" s="3">
        <v>5</v>
      </c>
      <c r="P453" s="27" t="s">
        <v>3288</v>
      </c>
      <c r="Q453" s="3" t="s">
        <v>601</v>
      </c>
      <c r="R453" s="3" t="str">
        <f t="shared" si="49"/>
        <v>ui_814005</v>
      </c>
      <c r="S453" s="3" t="str">
        <f t="shared" si="48"/>
        <v>814005</v>
      </c>
      <c r="T453" s="3">
        <v>1</v>
      </c>
      <c r="U453" s="35">
        <v>0</v>
      </c>
      <c r="V453" s="35">
        <v>1</v>
      </c>
      <c r="W453" s="3"/>
      <c r="X453" s="27" t="s">
        <v>3284</v>
      </c>
      <c r="Y453" s="27" t="s">
        <v>3014</v>
      </c>
    </row>
    <row r="454" spans="1:25" x14ac:dyDescent="0.15">
      <c r="A454" s="3">
        <v>814006</v>
      </c>
      <c r="B454" s="27" t="s">
        <v>3003</v>
      </c>
      <c r="C454" s="3">
        <v>0</v>
      </c>
      <c r="D454" s="27">
        <v>0</v>
      </c>
      <c r="E454" s="3">
        <v>0</v>
      </c>
      <c r="F454" s="3">
        <v>0</v>
      </c>
      <c r="G454" s="3">
        <v>0</v>
      </c>
      <c r="H454" s="3">
        <v>0</v>
      </c>
      <c r="I454" s="3">
        <v>1</v>
      </c>
      <c r="J454" s="4">
        <v>281</v>
      </c>
      <c r="K454" s="3">
        <v>8</v>
      </c>
      <c r="L454" s="27" t="s">
        <v>3008</v>
      </c>
      <c r="M454" s="3">
        <v>814</v>
      </c>
      <c r="N454" s="27" t="s">
        <v>3008</v>
      </c>
      <c r="O454" s="3">
        <v>6</v>
      </c>
      <c r="P454" s="27" t="s">
        <v>3288</v>
      </c>
      <c r="Q454" s="3" t="s">
        <v>601</v>
      </c>
      <c r="R454" s="3" t="str">
        <f t="shared" si="49"/>
        <v>ui_814006</v>
      </c>
      <c r="S454" s="3" t="str">
        <f t="shared" si="48"/>
        <v>814006</v>
      </c>
      <c r="T454" s="3">
        <v>1</v>
      </c>
      <c r="U454" s="35">
        <v>0</v>
      </c>
      <c r="V454" s="35">
        <v>1</v>
      </c>
      <c r="W454" s="3"/>
      <c r="X454" s="27" t="s">
        <v>3003</v>
      </c>
      <c r="Y454" s="27" t="s">
        <v>3015</v>
      </c>
    </row>
    <row r="455" spans="1:25" x14ac:dyDescent="0.15">
      <c r="A455" s="3">
        <v>814007</v>
      </c>
      <c r="B455" s="27" t="s">
        <v>3283</v>
      </c>
      <c r="C455" s="3">
        <v>0</v>
      </c>
      <c r="D455" s="27">
        <v>0</v>
      </c>
      <c r="E455" s="3">
        <v>0</v>
      </c>
      <c r="F455" s="3">
        <v>0</v>
      </c>
      <c r="G455" s="3">
        <v>0</v>
      </c>
      <c r="H455" s="3">
        <v>0</v>
      </c>
      <c r="I455" s="3">
        <v>1</v>
      </c>
      <c r="J455" s="4">
        <v>282</v>
      </c>
      <c r="K455" s="3">
        <v>8</v>
      </c>
      <c r="L455" s="27" t="s">
        <v>3008</v>
      </c>
      <c r="M455" s="3">
        <v>814</v>
      </c>
      <c r="N455" s="27" t="s">
        <v>3008</v>
      </c>
      <c r="O455" s="3">
        <v>7</v>
      </c>
      <c r="P455" s="27" t="s">
        <v>3288</v>
      </c>
      <c r="Q455" s="3" t="s">
        <v>601</v>
      </c>
      <c r="R455" s="3" t="str">
        <f t="shared" si="49"/>
        <v>ui_814007</v>
      </c>
      <c r="S455" s="3" t="str">
        <f t="shared" si="48"/>
        <v>814007</v>
      </c>
      <c r="T455" s="3">
        <v>1</v>
      </c>
      <c r="U455" s="35">
        <v>0</v>
      </c>
      <c r="V455" s="35">
        <v>1</v>
      </c>
      <c r="W455" s="3"/>
      <c r="X455" s="27" t="s">
        <v>3283</v>
      </c>
      <c r="Y455" s="27" t="s">
        <v>3016</v>
      </c>
    </row>
    <row r="456" spans="1:25" x14ac:dyDescent="0.15">
      <c r="A456" s="3">
        <v>814008</v>
      </c>
      <c r="B456" s="27" t="s">
        <v>3004</v>
      </c>
      <c r="C456" s="3">
        <v>0</v>
      </c>
      <c r="D456" s="27">
        <v>0</v>
      </c>
      <c r="E456" s="3">
        <v>0</v>
      </c>
      <c r="F456" s="3">
        <v>0</v>
      </c>
      <c r="G456" s="3">
        <v>0</v>
      </c>
      <c r="H456" s="3">
        <v>0</v>
      </c>
      <c r="I456" s="3">
        <v>1</v>
      </c>
      <c r="J456" s="4">
        <v>283</v>
      </c>
      <c r="K456" s="3">
        <v>8</v>
      </c>
      <c r="L456" s="27" t="s">
        <v>3008</v>
      </c>
      <c r="M456" s="3">
        <v>814</v>
      </c>
      <c r="N456" s="27" t="s">
        <v>3008</v>
      </c>
      <c r="O456" s="3">
        <v>8</v>
      </c>
      <c r="P456" s="27" t="s">
        <v>3288</v>
      </c>
      <c r="Q456" s="3" t="s">
        <v>601</v>
      </c>
      <c r="R456" s="3" t="str">
        <f t="shared" si="49"/>
        <v>ui_814008</v>
      </c>
      <c r="S456" s="3" t="str">
        <f t="shared" si="48"/>
        <v>814008</v>
      </c>
      <c r="T456" s="3">
        <v>1</v>
      </c>
      <c r="U456" s="35">
        <v>0</v>
      </c>
      <c r="V456" s="35">
        <v>1</v>
      </c>
      <c r="W456" s="3"/>
      <c r="X456" s="27" t="s">
        <v>3004</v>
      </c>
      <c r="Y456" s="27" t="s">
        <v>3017</v>
      </c>
    </row>
    <row r="457" spans="1:25" x14ac:dyDescent="0.15">
      <c r="A457" s="3">
        <v>814009</v>
      </c>
      <c r="B457" s="27" t="s">
        <v>3005</v>
      </c>
      <c r="C457" s="3">
        <v>0</v>
      </c>
      <c r="D457" s="27">
        <v>0</v>
      </c>
      <c r="E457" s="3">
        <v>0</v>
      </c>
      <c r="F457" s="3">
        <v>0</v>
      </c>
      <c r="G457" s="3">
        <v>0</v>
      </c>
      <c r="H457" s="3">
        <v>0</v>
      </c>
      <c r="I457" s="3">
        <v>1</v>
      </c>
      <c r="J457" s="4">
        <v>284</v>
      </c>
      <c r="K457" s="3">
        <v>8</v>
      </c>
      <c r="L457" s="27" t="s">
        <v>3008</v>
      </c>
      <c r="M457" s="3">
        <v>814</v>
      </c>
      <c r="N457" s="27" t="s">
        <v>3008</v>
      </c>
      <c r="O457" s="3">
        <v>9</v>
      </c>
      <c r="P457" s="27" t="s">
        <v>3288</v>
      </c>
      <c r="Q457" s="3" t="s">
        <v>601</v>
      </c>
      <c r="R457" s="3" t="str">
        <f t="shared" si="49"/>
        <v>ui_814009</v>
      </c>
      <c r="S457" s="3" t="str">
        <f t="shared" si="48"/>
        <v>814009</v>
      </c>
      <c r="T457" s="3">
        <v>1</v>
      </c>
      <c r="U457" s="35">
        <v>0</v>
      </c>
      <c r="V457" s="35">
        <v>1</v>
      </c>
      <c r="W457" s="3"/>
      <c r="X457" s="27" t="s">
        <v>3005</v>
      </c>
      <c r="Y457" s="27" t="s">
        <v>3018</v>
      </c>
    </row>
    <row r="458" spans="1:25" x14ac:dyDescent="0.15">
      <c r="A458" s="3">
        <v>814010</v>
      </c>
      <c r="B458" s="27" t="s">
        <v>3006</v>
      </c>
      <c r="C458" s="3">
        <v>0</v>
      </c>
      <c r="D458" s="27">
        <v>0</v>
      </c>
      <c r="E458" s="3">
        <v>0</v>
      </c>
      <c r="F458" s="3">
        <v>0</v>
      </c>
      <c r="G458" s="3">
        <v>0</v>
      </c>
      <c r="H458" s="3">
        <v>0</v>
      </c>
      <c r="I458" s="3">
        <v>1</v>
      </c>
      <c r="J458" s="4">
        <v>285</v>
      </c>
      <c r="K458" s="3">
        <v>8</v>
      </c>
      <c r="L458" s="27" t="s">
        <v>3008</v>
      </c>
      <c r="M458" s="3">
        <v>814</v>
      </c>
      <c r="N458" s="27" t="s">
        <v>3008</v>
      </c>
      <c r="O458" s="3">
        <v>10</v>
      </c>
      <c r="P458" s="27" t="s">
        <v>3288</v>
      </c>
      <c r="Q458" s="3" t="s">
        <v>601</v>
      </c>
      <c r="R458" s="3" t="str">
        <f t="shared" si="49"/>
        <v>ui_814010</v>
      </c>
      <c r="S458" s="3" t="str">
        <f t="shared" si="48"/>
        <v>814010</v>
      </c>
      <c r="T458" s="3">
        <v>1</v>
      </c>
      <c r="U458" s="35">
        <v>0</v>
      </c>
      <c r="V458" s="35">
        <v>1</v>
      </c>
      <c r="W458" s="3"/>
      <c r="X458" s="27" t="s">
        <v>3006</v>
      </c>
      <c r="Y458" s="27" t="s">
        <v>3019</v>
      </c>
    </row>
    <row r="459" spans="1:25" x14ac:dyDescent="0.15">
      <c r="A459" s="3">
        <v>815001</v>
      </c>
      <c r="B459" s="28" t="s">
        <v>3229</v>
      </c>
      <c r="C459" s="3">
        <v>20000</v>
      </c>
      <c r="D459" s="27">
        <v>0</v>
      </c>
      <c r="E459" s="3">
        <v>0</v>
      </c>
      <c r="F459" s="3">
        <v>0</v>
      </c>
      <c r="G459" s="3">
        <v>0</v>
      </c>
      <c r="H459" s="3">
        <v>0</v>
      </c>
      <c r="I459" s="3">
        <v>1</v>
      </c>
      <c r="J459" s="4">
        <v>286</v>
      </c>
      <c r="K459" s="3">
        <v>8</v>
      </c>
      <c r="L459" s="27" t="s">
        <v>3234</v>
      </c>
      <c r="M459" s="3">
        <v>815</v>
      </c>
      <c r="N459" s="27" t="s">
        <v>3234</v>
      </c>
      <c r="O459" s="3">
        <v>0</v>
      </c>
      <c r="P459" s="3"/>
      <c r="Q459" s="3" t="s">
        <v>601</v>
      </c>
      <c r="R459" s="3" t="str">
        <f t="shared" si="49"/>
        <v>ui_815001</v>
      </c>
      <c r="S459" s="3" t="str">
        <f t="shared" si="48"/>
        <v>815001</v>
      </c>
      <c r="T459" s="3">
        <v>1</v>
      </c>
      <c r="U459" s="3">
        <v>0</v>
      </c>
      <c r="V459" s="3">
        <v>1</v>
      </c>
      <c r="W459" s="3"/>
      <c r="X459" s="27" t="s">
        <v>3229</v>
      </c>
      <c r="Y459" s="27" t="s">
        <v>3331</v>
      </c>
    </row>
    <row r="460" spans="1:25" x14ac:dyDescent="0.15">
      <c r="A460" s="3">
        <v>815002</v>
      </c>
      <c r="B460" s="28" t="s">
        <v>3230</v>
      </c>
      <c r="C460" s="3">
        <v>20000</v>
      </c>
      <c r="D460" s="27">
        <v>0</v>
      </c>
      <c r="E460" s="3">
        <v>0</v>
      </c>
      <c r="F460" s="3">
        <v>0</v>
      </c>
      <c r="G460" s="3">
        <v>0</v>
      </c>
      <c r="H460" s="3">
        <v>0</v>
      </c>
      <c r="I460" s="3">
        <v>1</v>
      </c>
      <c r="J460" s="4">
        <v>287</v>
      </c>
      <c r="K460" s="3">
        <v>8</v>
      </c>
      <c r="L460" s="27" t="s">
        <v>3234</v>
      </c>
      <c r="M460" s="3">
        <v>815</v>
      </c>
      <c r="N460" s="27" t="s">
        <v>3234</v>
      </c>
      <c r="O460" s="3">
        <v>0</v>
      </c>
      <c r="P460" s="3"/>
      <c r="Q460" s="3" t="s">
        <v>601</v>
      </c>
      <c r="R460" s="3" t="str">
        <f t="shared" si="49"/>
        <v>ui_815002</v>
      </c>
      <c r="S460" s="3" t="str">
        <f t="shared" si="48"/>
        <v>815002</v>
      </c>
      <c r="T460" s="3">
        <v>1</v>
      </c>
      <c r="U460" s="3">
        <v>0</v>
      </c>
      <c r="V460" s="3">
        <v>1</v>
      </c>
      <c r="W460" s="3"/>
      <c r="X460" s="27" t="s">
        <v>3230</v>
      </c>
      <c r="Y460" s="27" t="s">
        <v>3330</v>
      </c>
    </row>
    <row r="461" spans="1:25" x14ac:dyDescent="0.15">
      <c r="A461" s="3">
        <v>815003</v>
      </c>
      <c r="B461" s="28" t="s">
        <v>3231</v>
      </c>
      <c r="C461" s="3">
        <v>20000</v>
      </c>
      <c r="D461" s="27">
        <v>0</v>
      </c>
      <c r="E461" s="3">
        <v>0</v>
      </c>
      <c r="F461" s="3">
        <v>0</v>
      </c>
      <c r="G461" s="3">
        <v>0</v>
      </c>
      <c r="H461" s="3">
        <v>0</v>
      </c>
      <c r="I461" s="3">
        <v>1</v>
      </c>
      <c r="J461" s="4">
        <v>288</v>
      </c>
      <c r="K461" s="3">
        <v>8</v>
      </c>
      <c r="L461" s="27" t="s">
        <v>3234</v>
      </c>
      <c r="M461" s="3">
        <v>815</v>
      </c>
      <c r="N461" s="27" t="s">
        <v>3234</v>
      </c>
      <c r="O461" s="3">
        <v>0</v>
      </c>
      <c r="P461" s="3"/>
      <c r="Q461" s="3" t="s">
        <v>601</v>
      </c>
      <c r="R461" s="3" t="str">
        <f t="shared" si="49"/>
        <v>ui_815003</v>
      </c>
      <c r="S461" s="3" t="str">
        <f t="shared" si="48"/>
        <v>815003</v>
      </c>
      <c r="T461" s="3">
        <v>1</v>
      </c>
      <c r="U461" s="3">
        <v>0</v>
      </c>
      <c r="V461" s="3">
        <v>1</v>
      </c>
      <c r="W461" s="3"/>
      <c r="X461" s="27" t="s">
        <v>3231</v>
      </c>
      <c r="Y461" s="27" t="s">
        <v>3329</v>
      </c>
    </row>
    <row r="462" spans="1:25" x14ac:dyDescent="0.15">
      <c r="A462" s="3">
        <v>815004</v>
      </c>
      <c r="B462" s="28" t="s">
        <v>3232</v>
      </c>
      <c r="C462" s="3">
        <v>20000</v>
      </c>
      <c r="D462" s="27">
        <v>0</v>
      </c>
      <c r="E462" s="3">
        <v>0</v>
      </c>
      <c r="F462" s="3">
        <v>0</v>
      </c>
      <c r="G462" s="3">
        <v>0</v>
      </c>
      <c r="H462" s="3">
        <v>0</v>
      </c>
      <c r="I462" s="3">
        <v>1</v>
      </c>
      <c r="J462" s="4">
        <v>289</v>
      </c>
      <c r="K462" s="3">
        <v>8</v>
      </c>
      <c r="L462" s="27" t="s">
        <v>3234</v>
      </c>
      <c r="M462" s="3">
        <v>815</v>
      </c>
      <c r="N462" s="27" t="s">
        <v>3234</v>
      </c>
      <c r="O462" s="3">
        <v>0</v>
      </c>
      <c r="P462" s="3"/>
      <c r="Q462" s="3" t="s">
        <v>601</v>
      </c>
      <c r="R462" s="3" t="str">
        <f t="shared" si="49"/>
        <v>ui_815004</v>
      </c>
      <c r="S462" s="3" t="str">
        <f t="shared" si="48"/>
        <v>815004</v>
      </c>
      <c r="T462" s="3">
        <v>1</v>
      </c>
      <c r="U462" s="3">
        <v>0</v>
      </c>
      <c r="V462" s="3">
        <v>1</v>
      </c>
      <c r="W462" s="3"/>
      <c r="X462" s="27" t="s">
        <v>3232</v>
      </c>
      <c r="Y462" s="27" t="s">
        <v>3345</v>
      </c>
    </row>
    <row r="463" spans="1:25" x14ac:dyDescent="0.15">
      <c r="A463" s="3">
        <v>815005</v>
      </c>
      <c r="B463" s="28" t="s">
        <v>3233</v>
      </c>
      <c r="C463" s="3">
        <v>20000</v>
      </c>
      <c r="D463" s="27">
        <v>0</v>
      </c>
      <c r="E463" s="3">
        <v>0</v>
      </c>
      <c r="F463" s="3">
        <v>0</v>
      </c>
      <c r="G463" s="3">
        <v>0</v>
      </c>
      <c r="H463" s="3">
        <v>0</v>
      </c>
      <c r="I463" s="3">
        <v>1</v>
      </c>
      <c r="J463" s="4">
        <v>290</v>
      </c>
      <c r="K463" s="3">
        <v>8</v>
      </c>
      <c r="L463" s="27" t="s">
        <v>3234</v>
      </c>
      <c r="M463" s="3">
        <v>815</v>
      </c>
      <c r="N463" s="27" t="s">
        <v>3234</v>
      </c>
      <c r="O463" s="3">
        <v>0</v>
      </c>
      <c r="P463" s="3"/>
      <c r="Q463" s="3" t="s">
        <v>601</v>
      </c>
      <c r="R463" s="3" t="str">
        <f t="shared" si="49"/>
        <v>ui_815005</v>
      </c>
      <c r="S463" s="3" t="str">
        <f t="shared" si="48"/>
        <v>815005</v>
      </c>
      <c r="T463" s="3">
        <v>1</v>
      </c>
      <c r="U463" s="3">
        <v>0</v>
      </c>
      <c r="V463" s="3">
        <v>1</v>
      </c>
      <c r="W463" s="3"/>
      <c r="X463" s="27" t="s">
        <v>3233</v>
      </c>
      <c r="Y463" s="27" t="s">
        <v>3328</v>
      </c>
    </row>
    <row r="464" spans="1:25" x14ac:dyDescent="0.15">
      <c r="A464" s="3">
        <v>816001</v>
      </c>
      <c r="B464" s="27" t="s">
        <v>3581</v>
      </c>
      <c r="C464" s="3">
        <v>20000</v>
      </c>
      <c r="D464" s="27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4">
        <v>218</v>
      </c>
      <c r="K464" s="3">
        <v>8</v>
      </c>
      <c r="L464" s="27" t="s">
        <v>3584</v>
      </c>
      <c r="M464" s="3">
        <v>816</v>
      </c>
      <c r="N464" s="28" t="s">
        <v>3583</v>
      </c>
      <c r="O464" s="3">
        <v>0</v>
      </c>
      <c r="P464" s="3"/>
      <c r="Q464" s="3" t="s">
        <v>601</v>
      </c>
      <c r="R464" s="3" t="str">
        <f t="shared" si="49"/>
        <v>ui_816001</v>
      </c>
      <c r="S464" s="3" t="str">
        <f t="shared" si="48"/>
        <v>816001</v>
      </c>
      <c r="T464" s="3">
        <v>1</v>
      </c>
      <c r="U464" s="3">
        <v>0</v>
      </c>
      <c r="V464" s="3">
        <v>1</v>
      </c>
      <c r="W464" s="7"/>
      <c r="X464" s="27" t="s">
        <v>3581</v>
      </c>
      <c r="Y464" s="27" t="s">
        <v>3585</v>
      </c>
    </row>
    <row r="465" spans="1:25" x14ac:dyDescent="0.15">
      <c r="A465" s="3">
        <v>816002</v>
      </c>
      <c r="B465" s="27" t="s">
        <v>3582</v>
      </c>
      <c r="C465" s="3">
        <v>20000</v>
      </c>
      <c r="D465" s="27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4">
        <v>218</v>
      </c>
      <c r="K465" s="3">
        <v>8</v>
      </c>
      <c r="L465" s="27" t="s">
        <v>3584</v>
      </c>
      <c r="M465" s="3">
        <v>816</v>
      </c>
      <c r="N465" s="28" t="s">
        <v>3583</v>
      </c>
      <c r="O465" s="3">
        <v>0</v>
      </c>
      <c r="P465" s="3"/>
      <c r="Q465" s="3" t="s">
        <v>601</v>
      </c>
      <c r="R465" s="3" t="str">
        <f t="shared" si="49"/>
        <v>ui_816002</v>
      </c>
      <c r="S465" s="3" t="str">
        <f t="shared" si="48"/>
        <v>816002</v>
      </c>
      <c r="T465" s="3">
        <v>1</v>
      </c>
      <c r="U465" s="3">
        <v>0</v>
      </c>
      <c r="V465" s="3">
        <v>1</v>
      </c>
      <c r="W465" s="7"/>
      <c r="X465" s="27" t="s">
        <v>3582</v>
      </c>
      <c r="Y465" s="27" t="s">
        <v>3586</v>
      </c>
    </row>
    <row r="466" spans="1:25" x14ac:dyDescent="0.15">
      <c r="A466" s="3">
        <v>901001</v>
      </c>
      <c r="B466" s="3" t="s">
        <v>624</v>
      </c>
      <c r="C466" s="3">
        <v>0</v>
      </c>
      <c r="D466" s="27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4">
        <v>260</v>
      </c>
      <c r="K466" s="3">
        <v>9</v>
      </c>
      <c r="L466" s="3" t="s">
        <v>625</v>
      </c>
      <c r="M466" s="3">
        <v>901</v>
      </c>
      <c r="N466" s="4" t="s">
        <v>626</v>
      </c>
      <c r="O466" s="3">
        <v>0</v>
      </c>
      <c r="P466" s="3"/>
      <c r="Q466" s="3" t="s">
        <v>601</v>
      </c>
      <c r="R466" s="3" t="str">
        <f t="shared" si="49"/>
        <v>ui_901001</v>
      </c>
      <c r="S466" s="3" t="str">
        <f t="shared" si="48"/>
        <v>901001</v>
      </c>
      <c r="T466" s="3">
        <v>1</v>
      </c>
      <c r="U466" s="3">
        <v>0</v>
      </c>
      <c r="V466" s="3">
        <v>1</v>
      </c>
      <c r="W466" s="7"/>
      <c r="X466" s="3" t="s">
        <v>624</v>
      </c>
      <c r="Y466" s="27" t="s">
        <v>3615</v>
      </c>
    </row>
    <row r="467" spans="1:25" x14ac:dyDescent="0.15">
      <c r="A467" s="3">
        <v>901002</v>
      </c>
      <c r="B467" s="3" t="s">
        <v>627</v>
      </c>
      <c r="C467" s="3">
        <v>0</v>
      </c>
      <c r="D467" s="27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4">
        <v>261</v>
      </c>
      <c r="K467" s="3">
        <v>9</v>
      </c>
      <c r="L467" s="3" t="s">
        <v>625</v>
      </c>
      <c r="M467" s="3">
        <v>901</v>
      </c>
      <c r="N467" s="4" t="s">
        <v>626</v>
      </c>
      <c r="O467" s="3">
        <v>0</v>
      </c>
      <c r="P467" s="3"/>
      <c r="Q467" s="3" t="s">
        <v>601</v>
      </c>
      <c r="R467" s="3" t="str">
        <f t="shared" si="49"/>
        <v>ui_901002</v>
      </c>
      <c r="S467" s="3" t="str">
        <f t="shared" si="48"/>
        <v>901002</v>
      </c>
      <c r="T467" s="3">
        <v>1</v>
      </c>
      <c r="U467" s="3">
        <v>0</v>
      </c>
      <c r="V467" s="3">
        <v>1</v>
      </c>
      <c r="W467" s="7"/>
      <c r="X467" s="3" t="s">
        <v>627</v>
      </c>
      <c r="Y467" s="27" t="s">
        <v>3614</v>
      </c>
    </row>
    <row r="468" spans="1:25" x14ac:dyDescent="0.15">
      <c r="A468" s="3">
        <v>901004</v>
      </c>
      <c r="B468" s="27" t="s">
        <v>3595</v>
      </c>
      <c r="C468" s="3">
        <v>0</v>
      </c>
      <c r="D468" s="27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4">
        <v>262</v>
      </c>
      <c r="K468" s="3">
        <v>9</v>
      </c>
      <c r="L468" s="3" t="s">
        <v>625</v>
      </c>
      <c r="M468" s="3">
        <v>901</v>
      </c>
      <c r="N468" s="4" t="s">
        <v>626</v>
      </c>
      <c r="O468" s="3">
        <v>0</v>
      </c>
      <c r="P468" s="3"/>
      <c r="Q468" s="3" t="s">
        <v>601</v>
      </c>
      <c r="R468" s="3" t="str">
        <f t="shared" si="49"/>
        <v>ui_901004</v>
      </c>
      <c r="S468" s="3" t="str">
        <f t="shared" si="48"/>
        <v>901004</v>
      </c>
      <c r="T468" s="3">
        <v>1</v>
      </c>
      <c r="U468" s="3">
        <v>0</v>
      </c>
      <c r="V468" s="3">
        <v>1</v>
      </c>
      <c r="W468" s="7"/>
      <c r="X468" s="3" t="s">
        <v>628</v>
      </c>
      <c r="Y468" s="3" t="s">
        <v>629</v>
      </c>
    </row>
    <row r="469" spans="1:25" x14ac:dyDescent="0.15">
      <c r="A469" s="3">
        <v>902002</v>
      </c>
      <c r="B469" s="4" t="s">
        <v>630</v>
      </c>
      <c r="C469" s="3">
        <v>2000</v>
      </c>
      <c r="D469" s="27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4">
        <v>263</v>
      </c>
      <c r="K469" s="3">
        <v>9</v>
      </c>
      <c r="L469" s="3" t="s">
        <v>625</v>
      </c>
      <c r="M469" s="3">
        <v>902</v>
      </c>
      <c r="N469" s="4" t="s">
        <v>631</v>
      </c>
      <c r="O469" s="3">
        <v>0</v>
      </c>
      <c r="P469" s="3"/>
      <c r="Q469" s="3" t="s">
        <v>601</v>
      </c>
      <c r="R469" s="3" t="str">
        <f t="shared" si="49"/>
        <v>ui_902002</v>
      </c>
      <c r="S469" s="3" t="str">
        <f t="shared" si="48"/>
        <v>902002</v>
      </c>
      <c r="T469" s="3">
        <v>1</v>
      </c>
      <c r="U469" s="3">
        <v>0</v>
      </c>
      <c r="V469" s="3">
        <v>1</v>
      </c>
      <c r="W469" s="7"/>
      <c r="X469" s="3" t="s">
        <v>630</v>
      </c>
      <c r="Y469" s="3"/>
    </row>
    <row r="470" spans="1:25" x14ac:dyDescent="0.15">
      <c r="A470" s="3">
        <v>902003</v>
      </c>
      <c r="B470" s="1" t="s">
        <v>632</v>
      </c>
      <c r="C470" s="3">
        <v>500</v>
      </c>
      <c r="D470" s="27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4">
        <v>264</v>
      </c>
      <c r="K470" s="3">
        <v>9</v>
      </c>
      <c r="L470" s="3" t="s">
        <v>625</v>
      </c>
      <c r="M470" s="3">
        <v>902</v>
      </c>
      <c r="N470" s="4" t="s">
        <v>631</v>
      </c>
      <c r="O470" s="3">
        <v>0</v>
      </c>
      <c r="P470" s="3"/>
      <c r="Q470" s="3" t="s">
        <v>601</v>
      </c>
      <c r="R470" s="3" t="str">
        <f t="shared" si="49"/>
        <v>ui_902003</v>
      </c>
      <c r="S470" s="3" t="str">
        <f t="shared" si="48"/>
        <v>902003</v>
      </c>
      <c r="T470" s="3">
        <v>1</v>
      </c>
      <c r="U470" s="3">
        <v>0</v>
      </c>
      <c r="V470" s="3">
        <v>1</v>
      </c>
      <c r="W470" s="7"/>
      <c r="X470" s="3" t="s">
        <v>632</v>
      </c>
      <c r="Y470" s="3"/>
    </row>
    <row r="471" spans="1:25" x14ac:dyDescent="0.15">
      <c r="A471" s="3">
        <v>902004</v>
      </c>
      <c r="B471" s="4" t="s">
        <v>81</v>
      </c>
      <c r="C471" s="3">
        <v>1000</v>
      </c>
      <c r="D471" s="27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4">
        <v>265</v>
      </c>
      <c r="K471" s="3">
        <v>9</v>
      </c>
      <c r="L471" s="3" t="s">
        <v>625</v>
      </c>
      <c r="M471" s="3">
        <v>902</v>
      </c>
      <c r="N471" s="4" t="s">
        <v>631</v>
      </c>
      <c r="O471" s="3">
        <v>0</v>
      </c>
      <c r="P471" s="3"/>
      <c r="Q471" s="3" t="s">
        <v>601</v>
      </c>
      <c r="R471" s="27" t="s">
        <v>2889</v>
      </c>
      <c r="S471" s="52" t="s">
        <v>2888</v>
      </c>
      <c r="T471" s="3">
        <v>1</v>
      </c>
      <c r="U471" s="3">
        <v>0</v>
      </c>
      <c r="V471" s="3">
        <v>1</v>
      </c>
      <c r="W471" s="7"/>
      <c r="X471" s="3" t="s">
        <v>81</v>
      </c>
      <c r="Y471" s="3"/>
    </row>
    <row r="472" spans="1:25" x14ac:dyDescent="0.15">
      <c r="A472" s="3">
        <v>902005</v>
      </c>
      <c r="B472" s="4" t="s">
        <v>633</v>
      </c>
      <c r="C472" s="3">
        <v>1000</v>
      </c>
      <c r="D472" s="27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4">
        <v>266</v>
      </c>
      <c r="K472" s="3">
        <v>9</v>
      </c>
      <c r="L472" s="3" t="s">
        <v>625</v>
      </c>
      <c r="M472" s="3">
        <v>902</v>
      </c>
      <c r="N472" s="4" t="s">
        <v>631</v>
      </c>
      <c r="O472" s="3">
        <v>0</v>
      </c>
      <c r="P472" s="3"/>
      <c r="Q472" s="3" t="s">
        <v>601</v>
      </c>
      <c r="R472" s="3" t="str">
        <f t="shared" ref="R472:R482" si="50">CONCATENATE("ui_",A472,"")</f>
        <v>ui_902005</v>
      </c>
      <c r="S472" s="3" t="str">
        <f t="shared" ref="S472:S482" si="51">CONCATENATE(A472,"")</f>
        <v>902005</v>
      </c>
      <c r="T472" s="3">
        <v>1</v>
      </c>
      <c r="U472" s="3">
        <v>0</v>
      </c>
      <c r="V472" s="3">
        <v>1</v>
      </c>
      <c r="W472" s="7"/>
      <c r="X472" s="3" t="s">
        <v>633</v>
      </c>
      <c r="Y472" s="3"/>
    </row>
    <row r="473" spans="1:25" x14ac:dyDescent="0.15">
      <c r="A473" s="3">
        <v>902007</v>
      </c>
      <c r="B473" s="4" t="s">
        <v>634</v>
      </c>
      <c r="C473" s="3">
        <v>500</v>
      </c>
      <c r="D473" s="27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4">
        <v>268</v>
      </c>
      <c r="K473" s="3">
        <v>9</v>
      </c>
      <c r="L473" s="3" t="s">
        <v>625</v>
      </c>
      <c r="M473" s="3">
        <v>902</v>
      </c>
      <c r="N473" s="4" t="s">
        <v>631</v>
      </c>
      <c r="O473" s="3">
        <v>0</v>
      </c>
      <c r="P473" s="3"/>
      <c r="Q473" s="3" t="s">
        <v>601</v>
      </c>
      <c r="R473" s="3" t="str">
        <f t="shared" si="50"/>
        <v>ui_902007</v>
      </c>
      <c r="S473" s="3" t="str">
        <f t="shared" si="51"/>
        <v>902007</v>
      </c>
      <c r="T473" s="3">
        <v>1</v>
      </c>
      <c r="U473" s="3">
        <v>0</v>
      </c>
      <c r="V473" s="3">
        <v>1</v>
      </c>
      <c r="W473" s="7"/>
      <c r="X473" s="3" t="s">
        <v>634</v>
      </c>
      <c r="Y473" s="3"/>
    </row>
    <row r="474" spans="1:25" x14ac:dyDescent="0.15">
      <c r="A474" s="3">
        <v>902008</v>
      </c>
      <c r="B474" s="4" t="s">
        <v>635</v>
      </c>
      <c r="C474" s="3">
        <v>1000</v>
      </c>
      <c r="D474" s="27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4">
        <v>269</v>
      </c>
      <c r="K474" s="3">
        <v>9</v>
      </c>
      <c r="L474" s="3" t="s">
        <v>625</v>
      </c>
      <c r="M474" s="3">
        <v>902</v>
      </c>
      <c r="N474" s="4" t="s">
        <v>631</v>
      </c>
      <c r="O474" s="3">
        <v>0</v>
      </c>
      <c r="P474" s="3"/>
      <c r="Q474" s="3" t="s">
        <v>601</v>
      </c>
      <c r="R474" s="3" t="str">
        <f t="shared" si="50"/>
        <v>ui_902008</v>
      </c>
      <c r="S474" s="3" t="str">
        <f t="shared" si="51"/>
        <v>902008</v>
      </c>
      <c r="T474" s="3">
        <v>1</v>
      </c>
      <c r="U474" s="3">
        <v>0</v>
      </c>
      <c r="V474" s="3">
        <v>1</v>
      </c>
      <c r="W474" s="7"/>
      <c r="X474" s="3" t="s">
        <v>635</v>
      </c>
      <c r="Y474" s="3"/>
    </row>
    <row r="475" spans="1:25" x14ac:dyDescent="0.15">
      <c r="A475" s="3">
        <v>902009</v>
      </c>
      <c r="B475" s="4" t="s">
        <v>636</v>
      </c>
      <c r="C475" s="3">
        <v>2000</v>
      </c>
      <c r="D475" s="27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4">
        <v>270</v>
      </c>
      <c r="K475" s="3">
        <v>9</v>
      </c>
      <c r="L475" s="3" t="s">
        <v>625</v>
      </c>
      <c r="M475" s="3">
        <v>902</v>
      </c>
      <c r="N475" s="4" t="s">
        <v>631</v>
      </c>
      <c r="O475" s="3">
        <v>0</v>
      </c>
      <c r="P475" s="3"/>
      <c r="Q475" s="3" t="s">
        <v>601</v>
      </c>
      <c r="R475" s="3" t="str">
        <f t="shared" si="50"/>
        <v>ui_902009</v>
      </c>
      <c r="S475" s="3" t="str">
        <f t="shared" si="51"/>
        <v>902009</v>
      </c>
      <c r="T475" s="3">
        <v>1</v>
      </c>
      <c r="U475" s="3">
        <v>0</v>
      </c>
      <c r="V475" s="3">
        <v>1</v>
      </c>
      <c r="W475" s="7"/>
      <c r="X475" s="3" t="s">
        <v>636</v>
      </c>
      <c r="Y475" s="3"/>
    </row>
    <row r="476" spans="1:25" x14ac:dyDescent="0.15">
      <c r="A476" s="3">
        <v>902010</v>
      </c>
      <c r="B476" s="3" t="s">
        <v>637</v>
      </c>
      <c r="C476" s="3">
        <v>1500</v>
      </c>
      <c r="D476" s="27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4">
        <v>271</v>
      </c>
      <c r="K476" s="3">
        <v>9</v>
      </c>
      <c r="L476" s="3" t="s">
        <v>625</v>
      </c>
      <c r="M476" s="3">
        <v>902</v>
      </c>
      <c r="N476" s="4" t="s">
        <v>631</v>
      </c>
      <c r="O476" s="3">
        <v>0</v>
      </c>
      <c r="P476" s="3"/>
      <c r="Q476" s="3" t="s">
        <v>601</v>
      </c>
      <c r="R476" s="3" t="str">
        <f t="shared" si="50"/>
        <v>ui_902010</v>
      </c>
      <c r="S476" s="3" t="str">
        <f t="shared" si="51"/>
        <v>902010</v>
      </c>
      <c r="T476" s="3">
        <v>1</v>
      </c>
      <c r="U476" s="3">
        <v>0</v>
      </c>
      <c r="V476" s="3">
        <v>1</v>
      </c>
      <c r="W476" s="7"/>
      <c r="X476" s="3" t="s">
        <v>637</v>
      </c>
      <c r="Y476" s="3"/>
    </row>
    <row r="477" spans="1:25" x14ac:dyDescent="0.15">
      <c r="A477" s="3">
        <v>902011</v>
      </c>
      <c r="B477" s="3" t="s">
        <v>638</v>
      </c>
      <c r="C477" s="3">
        <v>1500</v>
      </c>
      <c r="D477" s="27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4">
        <v>272</v>
      </c>
      <c r="K477" s="3">
        <v>9</v>
      </c>
      <c r="L477" s="3" t="s">
        <v>625</v>
      </c>
      <c r="M477" s="3">
        <v>902</v>
      </c>
      <c r="N477" s="4" t="s">
        <v>631</v>
      </c>
      <c r="O477" s="3">
        <v>0</v>
      </c>
      <c r="P477" s="3"/>
      <c r="Q477" s="3" t="s">
        <v>601</v>
      </c>
      <c r="R477" s="3" t="str">
        <f t="shared" si="50"/>
        <v>ui_902011</v>
      </c>
      <c r="S477" s="3" t="str">
        <f t="shared" si="51"/>
        <v>902011</v>
      </c>
      <c r="T477" s="3">
        <v>1</v>
      </c>
      <c r="U477" s="3">
        <v>0</v>
      </c>
      <c r="V477" s="3">
        <v>1</v>
      </c>
      <c r="W477" s="7"/>
      <c r="X477" s="3" t="s">
        <v>638</v>
      </c>
      <c r="Y477" s="3"/>
    </row>
    <row r="478" spans="1:25" x14ac:dyDescent="0.15">
      <c r="A478" s="3">
        <v>902012</v>
      </c>
      <c r="B478" s="4" t="s">
        <v>639</v>
      </c>
      <c r="C478" s="3">
        <v>500</v>
      </c>
      <c r="D478" s="27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4">
        <v>273</v>
      </c>
      <c r="K478" s="3">
        <v>9</v>
      </c>
      <c r="L478" s="3" t="s">
        <v>625</v>
      </c>
      <c r="M478" s="3">
        <v>902</v>
      </c>
      <c r="N478" s="4" t="s">
        <v>631</v>
      </c>
      <c r="O478" s="3">
        <v>0</v>
      </c>
      <c r="P478" s="3"/>
      <c r="Q478" s="3" t="s">
        <v>601</v>
      </c>
      <c r="R478" s="3" t="str">
        <f t="shared" si="50"/>
        <v>ui_902012</v>
      </c>
      <c r="S478" s="3" t="str">
        <f t="shared" si="51"/>
        <v>902012</v>
      </c>
      <c r="T478" s="3">
        <v>1</v>
      </c>
      <c r="U478" s="3">
        <v>0</v>
      </c>
      <c r="V478" s="3">
        <v>1</v>
      </c>
      <c r="W478" s="7"/>
      <c r="X478" s="3" t="s">
        <v>639</v>
      </c>
      <c r="Y478" s="3"/>
    </row>
    <row r="479" spans="1:25" x14ac:dyDescent="0.15">
      <c r="A479" s="3">
        <v>902013</v>
      </c>
      <c r="B479" s="4" t="s">
        <v>640</v>
      </c>
      <c r="C479" s="3">
        <v>500</v>
      </c>
      <c r="D479" s="27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4">
        <v>274</v>
      </c>
      <c r="K479" s="3">
        <v>9</v>
      </c>
      <c r="L479" s="3" t="s">
        <v>625</v>
      </c>
      <c r="M479" s="3">
        <v>902</v>
      </c>
      <c r="N479" s="4" t="s">
        <v>631</v>
      </c>
      <c r="O479" s="3">
        <v>0</v>
      </c>
      <c r="P479" s="3"/>
      <c r="Q479" s="3" t="s">
        <v>601</v>
      </c>
      <c r="R479" s="3" t="str">
        <f t="shared" si="50"/>
        <v>ui_902013</v>
      </c>
      <c r="S479" s="3" t="str">
        <f t="shared" si="51"/>
        <v>902013</v>
      </c>
      <c r="T479" s="3">
        <v>1</v>
      </c>
      <c r="U479" s="3">
        <v>0</v>
      </c>
      <c r="V479" s="3">
        <v>1</v>
      </c>
      <c r="W479" s="7"/>
      <c r="X479" s="3" t="s">
        <v>640</v>
      </c>
      <c r="Y479" s="3"/>
    </row>
    <row r="480" spans="1:25" x14ac:dyDescent="0.15">
      <c r="A480" s="3">
        <v>902014</v>
      </c>
      <c r="B480" s="4" t="s">
        <v>641</v>
      </c>
      <c r="C480" s="3">
        <v>2000</v>
      </c>
      <c r="D480" s="27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4">
        <v>275</v>
      </c>
      <c r="K480" s="3">
        <v>9</v>
      </c>
      <c r="L480" s="3" t="s">
        <v>625</v>
      </c>
      <c r="M480" s="3">
        <v>902</v>
      </c>
      <c r="N480" s="4" t="s">
        <v>631</v>
      </c>
      <c r="O480" s="3">
        <v>0</v>
      </c>
      <c r="P480" s="3"/>
      <c r="Q480" s="3" t="s">
        <v>601</v>
      </c>
      <c r="R480" s="3" t="str">
        <f t="shared" si="50"/>
        <v>ui_902014</v>
      </c>
      <c r="S480" s="3" t="str">
        <f t="shared" si="51"/>
        <v>902014</v>
      </c>
      <c r="T480" s="3">
        <v>1</v>
      </c>
      <c r="U480" s="3">
        <v>0</v>
      </c>
      <c r="V480" s="3">
        <v>1</v>
      </c>
      <c r="W480" s="7"/>
      <c r="X480" s="3" t="s">
        <v>641</v>
      </c>
      <c r="Y480" s="3"/>
    </row>
    <row r="481" spans="1:25" x14ac:dyDescent="0.15">
      <c r="A481" s="3">
        <v>902015</v>
      </c>
      <c r="B481" s="4" t="s">
        <v>642</v>
      </c>
      <c r="C481" s="3">
        <v>2000</v>
      </c>
      <c r="D481" s="27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4">
        <v>276</v>
      </c>
      <c r="K481" s="3">
        <v>9</v>
      </c>
      <c r="L481" s="3" t="s">
        <v>625</v>
      </c>
      <c r="M481" s="3">
        <v>902</v>
      </c>
      <c r="N481" s="4" t="s">
        <v>631</v>
      </c>
      <c r="O481" s="3">
        <v>0</v>
      </c>
      <c r="P481" s="3"/>
      <c r="Q481" s="3" t="s">
        <v>601</v>
      </c>
      <c r="R481" s="3" t="str">
        <f t="shared" si="50"/>
        <v>ui_902015</v>
      </c>
      <c r="S481" s="3" t="str">
        <f t="shared" si="51"/>
        <v>902015</v>
      </c>
      <c r="T481" s="3">
        <v>1</v>
      </c>
      <c r="U481" s="3">
        <v>0</v>
      </c>
      <c r="V481" s="3">
        <v>1</v>
      </c>
      <c r="W481" s="7"/>
      <c r="X481" s="3" t="s">
        <v>642</v>
      </c>
      <c r="Y481" s="3"/>
    </row>
    <row r="482" spans="1:25" x14ac:dyDescent="0.15">
      <c r="A482" s="3">
        <v>902016</v>
      </c>
      <c r="B482" s="4" t="s">
        <v>643</v>
      </c>
      <c r="C482" s="3">
        <v>2000</v>
      </c>
      <c r="D482" s="27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4">
        <v>277</v>
      </c>
      <c r="K482" s="3">
        <v>9</v>
      </c>
      <c r="L482" s="3" t="s">
        <v>625</v>
      </c>
      <c r="M482" s="3">
        <v>902</v>
      </c>
      <c r="N482" s="4" t="s">
        <v>631</v>
      </c>
      <c r="O482" s="3">
        <v>0</v>
      </c>
      <c r="P482" s="3"/>
      <c r="Q482" s="3" t="s">
        <v>601</v>
      </c>
      <c r="R482" s="3" t="str">
        <f t="shared" si="50"/>
        <v>ui_902016</v>
      </c>
      <c r="S482" s="3" t="str">
        <f t="shared" si="51"/>
        <v>902016</v>
      </c>
      <c r="T482" s="3">
        <v>1</v>
      </c>
      <c r="U482" s="3">
        <v>0</v>
      </c>
      <c r="V482" s="3">
        <v>1</v>
      </c>
      <c r="W482" s="7"/>
      <c r="X482" s="3" t="s">
        <v>643</v>
      </c>
      <c r="Y482" s="3"/>
    </row>
    <row r="483" spans="1:25" x14ac:dyDescent="0.15">
      <c r="A483" s="3">
        <v>902017</v>
      </c>
      <c r="B483" s="28" t="s">
        <v>2947</v>
      </c>
      <c r="C483" s="3">
        <v>2000</v>
      </c>
      <c r="D483" s="27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4">
        <v>278</v>
      </c>
      <c r="K483" s="3">
        <v>9</v>
      </c>
      <c r="L483" s="3" t="s">
        <v>625</v>
      </c>
      <c r="M483" s="3">
        <v>902</v>
      </c>
      <c r="N483" s="4" t="s">
        <v>631</v>
      </c>
      <c r="O483" s="3">
        <v>0</v>
      </c>
      <c r="P483" s="3"/>
      <c r="Q483" s="3" t="s">
        <v>601</v>
      </c>
      <c r="R483" s="52" t="s">
        <v>2948</v>
      </c>
      <c r="S483" s="52" t="s">
        <v>2949</v>
      </c>
      <c r="T483" s="3">
        <v>1</v>
      </c>
      <c r="U483" s="3">
        <v>0</v>
      </c>
      <c r="V483" s="3">
        <v>1</v>
      </c>
      <c r="W483" s="7"/>
      <c r="X483" s="3" t="s">
        <v>88</v>
      </c>
      <c r="Y483" s="3"/>
    </row>
    <row r="484" spans="1:25" x14ac:dyDescent="0.15">
      <c r="A484" s="3">
        <v>902018</v>
      </c>
      <c r="B484" s="4" t="s">
        <v>644</v>
      </c>
      <c r="C484" s="3">
        <v>2000</v>
      </c>
      <c r="D484" s="27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4">
        <v>279</v>
      </c>
      <c r="K484" s="3">
        <v>9</v>
      </c>
      <c r="L484" s="3" t="s">
        <v>625</v>
      </c>
      <c r="M484" s="3">
        <v>902</v>
      </c>
      <c r="N484" s="4" t="s">
        <v>631</v>
      </c>
      <c r="O484" s="3">
        <v>0</v>
      </c>
      <c r="P484" s="3"/>
      <c r="Q484" s="3" t="s">
        <v>601</v>
      </c>
      <c r="R484" s="27" t="s">
        <v>2950</v>
      </c>
      <c r="S484" s="52" t="s">
        <v>2951</v>
      </c>
      <c r="T484" s="3">
        <v>1</v>
      </c>
      <c r="U484" s="3">
        <v>0</v>
      </c>
      <c r="V484" s="3">
        <v>1</v>
      </c>
      <c r="W484" s="7"/>
      <c r="X484" s="3" t="s">
        <v>644</v>
      </c>
      <c r="Y484" s="27" t="s">
        <v>2946</v>
      </c>
    </row>
    <row r="485" spans="1:25" x14ac:dyDescent="0.15">
      <c r="A485" s="3">
        <v>902019</v>
      </c>
      <c r="B485" s="4" t="s">
        <v>645</v>
      </c>
      <c r="C485" s="3">
        <v>2000</v>
      </c>
      <c r="D485" s="27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4">
        <v>280</v>
      </c>
      <c r="K485" s="3">
        <v>9</v>
      </c>
      <c r="L485" s="3" t="s">
        <v>625</v>
      </c>
      <c r="M485" s="3">
        <v>902</v>
      </c>
      <c r="N485" s="4" t="s">
        <v>631</v>
      </c>
      <c r="O485" s="3">
        <v>0</v>
      </c>
      <c r="P485" s="3"/>
      <c r="Q485" s="3" t="s">
        <v>601</v>
      </c>
      <c r="R485" s="3" t="str">
        <f t="shared" ref="R485:R516" si="52">CONCATENATE("ui_",A485,"")</f>
        <v>ui_902019</v>
      </c>
      <c r="S485" s="3" t="str">
        <f t="shared" ref="S485:S516" si="53">CONCATENATE(A485,"")</f>
        <v>902019</v>
      </c>
      <c r="T485" s="3">
        <v>1</v>
      </c>
      <c r="U485" s="3">
        <v>0</v>
      </c>
      <c r="V485" s="3">
        <v>1</v>
      </c>
      <c r="W485" s="7"/>
      <c r="X485" s="3" t="s">
        <v>645</v>
      </c>
      <c r="Y485" s="27" t="s">
        <v>2763</v>
      </c>
    </row>
    <row r="486" spans="1:25" x14ac:dyDescent="0.15">
      <c r="A486" s="3">
        <v>902020</v>
      </c>
      <c r="B486" s="17" t="s">
        <v>646</v>
      </c>
      <c r="C486" s="3">
        <v>2000</v>
      </c>
      <c r="D486" s="27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4">
        <v>281</v>
      </c>
      <c r="K486" s="3">
        <v>9</v>
      </c>
      <c r="L486" s="3" t="s">
        <v>625</v>
      </c>
      <c r="M486" s="3">
        <v>902</v>
      </c>
      <c r="N486" s="4" t="s">
        <v>631</v>
      </c>
      <c r="O486" s="3">
        <v>0</v>
      </c>
      <c r="P486" s="3"/>
      <c r="Q486" s="3" t="s">
        <v>601</v>
      </c>
      <c r="R486" s="3" t="str">
        <f t="shared" si="52"/>
        <v>ui_902020</v>
      </c>
      <c r="S486" s="3" t="str">
        <f t="shared" si="53"/>
        <v>902020</v>
      </c>
      <c r="T486" s="3">
        <v>1</v>
      </c>
      <c r="U486" s="3">
        <v>0</v>
      </c>
      <c r="V486" s="3">
        <v>1</v>
      </c>
      <c r="W486" s="7"/>
      <c r="X486" s="3" t="s">
        <v>646</v>
      </c>
      <c r="Y486" s="27" t="s">
        <v>2764</v>
      </c>
    </row>
    <row r="487" spans="1:25" x14ac:dyDescent="0.15">
      <c r="A487" s="3">
        <v>902021</v>
      </c>
      <c r="B487" s="4" t="s">
        <v>647</v>
      </c>
      <c r="C487" s="3">
        <v>2000</v>
      </c>
      <c r="D487" s="27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4">
        <v>282</v>
      </c>
      <c r="K487" s="3">
        <v>9</v>
      </c>
      <c r="L487" s="3" t="s">
        <v>625</v>
      </c>
      <c r="M487" s="3">
        <v>902</v>
      </c>
      <c r="N487" s="4" t="s">
        <v>631</v>
      </c>
      <c r="O487" s="3">
        <v>0</v>
      </c>
      <c r="P487" s="3"/>
      <c r="Q487" s="3" t="s">
        <v>601</v>
      </c>
      <c r="R487" s="3" t="str">
        <f t="shared" si="52"/>
        <v>ui_902021</v>
      </c>
      <c r="S487" s="3" t="str">
        <f t="shared" si="53"/>
        <v>902021</v>
      </c>
      <c r="T487" s="3">
        <v>1</v>
      </c>
      <c r="U487" s="3">
        <v>0</v>
      </c>
      <c r="V487" s="3">
        <v>1</v>
      </c>
      <c r="W487" s="7"/>
      <c r="X487" s="3" t="s">
        <v>647</v>
      </c>
      <c r="Y487" s="27" t="s">
        <v>2765</v>
      </c>
    </row>
    <row r="488" spans="1:25" x14ac:dyDescent="0.15">
      <c r="A488" s="3">
        <v>902022</v>
      </c>
      <c r="B488" s="4" t="s">
        <v>648</v>
      </c>
      <c r="C488" s="3">
        <v>2000</v>
      </c>
      <c r="D488" s="27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4">
        <v>283</v>
      </c>
      <c r="K488" s="3">
        <v>9</v>
      </c>
      <c r="L488" s="3" t="s">
        <v>625</v>
      </c>
      <c r="M488" s="3">
        <v>902</v>
      </c>
      <c r="N488" s="4" t="s">
        <v>631</v>
      </c>
      <c r="O488" s="3">
        <v>0</v>
      </c>
      <c r="P488" s="3"/>
      <c r="Q488" s="3" t="s">
        <v>601</v>
      </c>
      <c r="R488" s="3" t="str">
        <f t="shared" si="52"/>
        <v>ui_902022</v>
      </c>
      <c r="S488" s="3" t="str">
        <f t="shared" si="53"/>
        <v>902022</v>
      </c>
      <c r="T488" s="3">
        <v>1</v>
      </c>
      <c r="U488" s="3">
        <v>0</v>
      </c>
      <c r="V488" s="3">
        <v>1</v>
      </c>
      <c r="W488" s="7"/>
      <c r="X488" s="3" t="s">
        <v>648</v>
      </c>
      <c r="Y488" s="3"/>
    </row>
    <row r="489" spans="1:25" x14ac:dyDescent="0.15">
      <c r="A489" s="3">
        <v>902023</v>
      </c>
      <c r="B489" s="17" t="s">
        <v>170</v>
      </c>
      <c r="C489" s="3">
        <v>2000</v>
      </c>
      <c r="D489" s="27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4">
        <v>284</v>
      </c>
      <c r="K489" s="3">
        <v>9</v>
      </c>
      <c r="L489" s="3" t="s">
        <v>625</v>
      </c>
      <c r="M489" s="3">
        <v>902</v>
      </c>
      <c r="N489" s="4" t="s">
        <v>631</v>
      </c>
      <c r="O489" s="3">
        <v>0</v>
      </c>
      <c r="P489" s="3"/>
      <c r="Q489" s="3" t="s">
        <v>601</v>
      </c>
      <c r="R489" s="3" t="str">
        <f t="shared" si="52"/>
        <v>ui_902023</v>
      </c>
      <c r="S489" s="3" t="str">
        <f t="shared" si="53"/>
        <v>902023</v>
      </c>
      <c r="T489" s="3">
        <v>1</v>
      </c>
      <c r="U489" s="3">
        <v>0</v>
      </c>
      <c r="V489" s="3">
        <v>1</v>
      </c>
      <c r="W489" s="7"/>
      <c r="X489" s="3" t="s">
        <v>170</v>
      </c>
      <c r="Y489" s="3"/>
    </row>
    <row r="490" spans="1:25" x14ac:dyDescent="0.15">
      <c r="A490" s="3">
        <v>902024</v>
      </c>
      <c r="B490" s="4" t="s">
        <v>173</v>
      </c>
      <c r="C490" s="3">
        <v>2000</v>
      </c>
      <c r="D490" s="27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4">
        <v>285</v>
      </c>
      <c r="K490" s="3">
        <v>9</v>
      </c>
      <c r="L490" s="3" t="s">
        <v>625</v>
      </c>
      <c r="M490" s="3">
        <v>902</v>
      </c>
      <c r="N490" s="4" t="s">
        <v>631</v>
      </c>
      <c r="O490" s="3">
        <v>0</v>
      </c>
      <c r="P490" s="3"/>
      <c r="Q490" s="3" t="s">
        <v>601</v>
      </c>
      <c r="R490" s="3" t="str">
        <f t="shared" si="52"/>
        <v>ui_902024</v>
      </c>
      <c r="S490" s="3" t="str">
        <f t="shared" si="53"/>
        <v>902024</v>
      </c>
      <c r="T490" s="3">
        <v>1</v>
      </c>
      <c r="U490" s="3">
        <v>0</v>
      </c>
      <c r="V490" s="3">
        <v>1</v>
      </c>
      <c r="W490" s="7"/>
      <c r="X490" s="3" t="s">
        <v>173</v>
      </c>
      <c r="Y490" s="3"/>
    </row>
    <row r="491" spans="1:25" x14ac:dyDescent="0.15">
      <c r="A491" s="3">
        <v>902025</v>
      </c>
      <c r="B491" s="28" t="s">
        <v>2795</v>
      </c>
      <c r="C491" s="3">
        <v>2000</v>
      </c>
      <c r="D491" s="27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4">
        <v>286</v>
      </c>
      <c r="K491" s="3">
        <v>9</v>
      </c>
      <c r="L491" s="3" t="s">
        <v>625</v>
      </c>
      <c r="M491" s="3">
        <v>902</v>
      </c>
      <c r="N491" s="4" t="s">
        <v>631</v>
      </c>
      <c r="O491" s="3">
        <v>0</v>
      </c>
      <c r="P491" s="3"/>
      <c r="Q491" s="3" t="s">
        <v>2744</v>
      </c>
      <c r="R491" s="3" t="str">
        <f t="shared" si="52"/>
        <v>ui_902025</v>
      </c>
      <c r="S491" s="3" t="str">
        <f t="shared" si="53"/>
        <v>902025</v>
      </c>
      <c r="T491" s="3">
        <v>1</v>
      </c>
      <c r="U491" s="3">
        <v>0</v>
      </c>
      <c r="V491" s="3">
        <v>1</v>
      </c>
      <c r="W491" s="7"/>
      <c r="X491" s="27" t="s">
        <v>2795</v>
      </c>
      <c r="Y491" s="3"/>
    </row>
    <row r="492" spans="1:25" x14ac:dyDescent="0.15">
      <c r="A492" s="3">
        <v>902032</v>
      </c>
      <c r="B492" s="4" t="s">
        <v>2745</v>
      </c>
      <c r="C492" s="3">
        <v>2000</v>
      </c>
      <c r="D492" s="27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4">
        <v>293</v>
      </c>
      <c r="K492" s="3">
        <v>9</v>
      </c>
      <c r="L492" s="3" t="s">
        <v>625</v>
      </c>
      <c r="M492" s="3">
        <v>902</v>
      </c>
      <c r="N492" s="4" t="s">
        <v>631</v>
      </c>
      <c r="O492" s="3">
        <v>0</v>
      </c>
      <c r="P492" s="3"/>
      <c r="Q492" s="3" t="s">
        <v>601</v>
      </c>
      <c r="R492" s="27" t="s">
        <v>3600</v>
      </c>
      <c r="S492" s="3" t="s">
        <v>3598</v>
      </c>
      <c r="T492" s="3">
        <v>1</v>
      </c>
      <c r="U492" s="3">
        <v>0</v>
      </c>
      <c r="V492" s="3">
        <v>1</v>
      </c>
      <c r="W492" s="7"/>
      <c r="X492" s="3" t="s">
        <v>649</v>
      </c>
      <c r="Y492" s="3"/>
    </row>
    <row r="493" spans="1:25" x14ac:dyDescent="0.15">
      <c r="A493" s="3">
        <v>902033</v>
      </c>
      <c r="B493" s="4" t="s">
        <v>650</v>
      </c>
      <c r="C493" s="3">
        <v>2000</v>
      </c>
      <c r="D493" s="27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4">
        <v>294</v>
      </c>
      <c r="K493" s="3">
        <v>9</v>
      </c>
      <c r="L493" s="3" t="s">
        <v>625</v>
      </c>
      <c r="M493" s="3">
        <v>902</v>
      </c>
      <c r="N493" s="4" t="s">
        <v>631</v>
      </c>
      <c r="O493" s="3">
        <v>0</v>
      </c>
      <c r="P493" s="3"/>
      <c r="Q493" s="3" t="s">
        <v>601</v>
      </c>
      <c r="R493" s="27" t="s">
        <v>3601</v>
      </c>
      <c r="S493" s="3" t="s">
        <v>3599</v>
      </c>
      <c r="T493" s="3">
        <v>1</v>
      </c>
      <c r="U493" s="3">
        <v>0</v>
      </c>
      <c r="V493" s="3">
        <v>1</v>
      </c>
      <c r="W493" s="7"/>
      <c r="X493" s="3" t="s">
        <v>650</v>
      </c>
      <c r="Y493" s="3"/>
    </row>
    <row r="494" spans="1:25" x14ac:dyDescent="0.15">
      <c r="A494" s="3">
        <v>902034</v>
      </c>
      <c r="B494" s="17" t="s">
        <v>651</v>
      </c>
      <c r="C494" s="3">
        <v>2000</v>
      </c>
      <c r="D494" s="27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4">
        <v>295</v>
      </c>
      <c r="K494" s="3">
        <v>9</v>
      </c>
      <c r="L494" s="3" t="s">
        <v>625</v>
      </c>
      <c r="M494" s="3">
        <v>902</v>
      </c>
      <c r="N494" s="4" t="s">
        <v>631</v>
      </c>
      <c r="O494" s="3">
        <v>0</v>
      </c>
      <c r="P494" s="3"/>
      <c r="Q494" s="3" t="s">
        <v>601</v>
      </c>
      <c r="R494" s="3" t="str">
        <f t="shared" si="52"/>
        <v>ui_902034</v>
      </c>
      <c r="S494" s="3" t="str">
        <f t="shared" si="53"/>
        <v>902034</v>
      </c>
      <c r="T494" s="3">
        <v>1</v>
      </c>
      <c r="U494" s="3">
        <v>0</v>
      </c>
      <c r="V494" s="3">
        <v>1</v>
      </c>
      <c r="W494" s="7"/>
      <c r="X494" s="3" t="s">
        <v>651</v>
      </c>
      <c r="Y494" s="3"/>
    </row>
    <row r="495" spans="1:25" x14ac:dyDescent="0.15">
      <c r="A495" s="3">
        <v>902035</v>
      </c>
      <c r="B495" s="4" t="s">
        <v>652</v>
      </c>
      <c r="C495" s="3">
        <v>2000</v>
      </c>
      <c r="D495" s="27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4">
        <v>296</v>
      </c>
      <c r="K495" s="3">
        <v>9</v>
      </c>
      <c r="L495" s="3" t="s">
        <v>625</v>
      </c>
      <c r="M495" s="3">
        <v>902</v>
      </c>
      <c r="N495" s="4" t="s">
        <v>631</v>
      </c>
      <c r="O495" s="3">
        <v>0</v>
      </c>
      <c r="P495" s="3"/>
      <c r="Q495" s="3" t="s">
        <v>601</v>
      </c>
      <c r="R495" s="3" t="str">
        <f t="shared" si="52"/>
        <v>ui_902035</v>
      </c>
      <c r="S495" s="3" t="str">
        <f t="shared" si="53"/>
        <v>902035</v>
      </c>
      <c r="T495" s="3">
        <v>1</v>
      </c>
      <c r="U495" s="3">
        <v>0</v>
      </c>
      <c r="V495" s="3">
        <v>1</v>
      </c>
      <c r="W495" s="7"/>
      <c r="X495" s="3" t="s">
        <v>652</v>
      </c>
      <c r="Y495" s="3"/>
    </row>
    <row r="496" spans="1:25" x14ac:dyDescent="0.15">
      <c r="A496" s="3">
        <v>902036</v>
      </c>
      <c r="B496" s="4" t="s">
        <v>3522</v>
      </c>
      <c r="C496" s="3">
        <v>2000</v>
      </c>
      <c r="D496" s="27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4">
        <v>297</v>
      </c>
      <c r="K496" s="3">
        <v>9</v>
      </c>
      <c r="L496" s="3" t="s">
        <v>625</v>
      </c>
      <c r="M496" s="3">
        <v>902</v>
      </c>
      <c r="N496" s="4" t="s">
        <v>631</v>
      </c>
      <c r="O496" s="3">
        <v>0</v>
      </c>
      <c r="P496" s="3"/>
      <c r="Q496" s="3" t="s">
        <v>601</v>
      </c>
      <c r="R496" s="3" t="str">
        <f t="shared" si="52"/>
        <v>ui_902036</v>
      </c>
      <c r="S496" s="3" t="str">
        <f t="shared" si="53"/>
        <v>902036</v>
      </c>
      <c r="T496" s="3">
        <v>1</v>
      </c>
      <c r="U496" s="3">
        <v>0</v>
      </c>
      <c r="V496" s="3">
        <v>1</v>
      </c>
      <c r="W496" s="7"/>
      <c r="X496" s="27" t="s">
        <v>3522</v>
      </c>
      <c r="Y496" s="3"/>
    </row>
    <row r="497" spans="1:25" x14ac:dyDescent="0.15">
      <c r="A497" s="3">
        <v>902037</v>
      </c>
      <c r="B497" s="4" t="s">
        <v>653</v>
      </c>
      <c r="C497" s="3">
        <v>2000</v>
      </c>
      <c r="D497" s="27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4">
        <v>298</v>
      </c>
      <c r="K497" s="3">
        <v>9</v>
      </c>
      <c r="L497" s="3" t="s">
        <v>625</v>
      </c>
      <c r="M497" s="3">
        <v>902</v>
      </c>
      <c r="N497" s="4" t="s">
        <v>631</v>
      </c>
      <c r="O497" s="3">
        <v>0</v>
      </c>
      <c r="P497" s="3"/>
      <c r="Q497" s="3" t="s">
        <v>601</v>
      </c>
      <c r="R497" s="3" t="str">
        <f t="shared" si="52"/>
        <v>ui_902037</v>
      </c>
      <c r="S497" s="3" t="str">
        <f t="shared" si="53"/>
        <v>902037</v>
      </c>
      <c r="T497" s="3">
        <v>1</v>
      </c>
      <c r="U497" s="3">
        <v>0</v>
      </c>
      <c r="V497" s="3">
        <v>1</v>
      </c>
      <c r="W497" s="7"/>
      <c r="X497" s="3" t="s">
        <v>653</v>
      </c>
      <c r="Y497" s="3"/>
    </row>
    <row r="498" spans="1:25" x14ac:dyDescent="0.15">
      <c r="A498" s="3">
        <v>902038</v>
      </c>
      <c r="B498" s="4" t="s">
        <v>654</v>
      </c>
      <c r="C498" s="3">
        <v>2000</v>
      </c>
      <c r="D498" s="27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4">
        <v>299</v>
      </c>
      <c r="K498" s="3">
        <v>9</v>
      </c>
      <c r="L498" s="3" t="s">
        <v>625</v>
      </c>
      <c r="M498" s="3">
        <v>902</v>
      </c>
      <c r="N498" s="4" t="s">
        <v>631</v>
      </c>
      <c r="O498" s="3">
        <v>0</v>
      </c>
      <c r="P498" s="3"/>
      <c r="Q498" s="3" t="s">
        <v>601</v>
      </c>
      <c r="R498" s="3" t="str">
        <f t="shared" si="52"/>
        <v>ui_902038</v>
      </c>
      <c r="S498" s="3" t="str">
        <f t="shared" si="53"/>
        <v>902038</v>
      </c>
      <c r="T498" s="3">
        <v>1</v>
      </c>
      <c r="U498" s="3">
        <v>0</v>
      </c>
      <c r="V498" s="3">
        <v>1</v>
      </c>
      <c r="W498" s="7"/>
      <c r="X498" s="3" t="s">
        <v>654</v>
      </c>
      <c r="Y498" s="3"/>
    </row>
    <row r="499" spans="1:25" x14ac:dyDescent="0.15">
      <c r="A499" s="3">
        <v>902039</v>
      </c>
      <c r="B499" s="28" t="s">
        <v>2917</v>
      </c>
      <c r="C499" s="3">
        <v>2000</v>
      </c>
      <c r="D499" s="27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4">
        <v>300</v>
      </c>
      <c r="K499" s="3">
        <v>9</v>
      </c>
      <c r="L499" s="3" t="s">
        <v>625</v>
      </c>
      <c r="M499" s="3">
        <v>902</v>
      </c>
      <c r="N499" s="4" t="s">
        <v>631</v>
      </c>
      <c r="O499" s="3">
        <v>0</v>
      </c>
      <c r="P499" s="3"/>
      <c r="Q499" s="3" t="s">
        <v>601</v>
      </c>
      <c r="R499" s="3" t="str">
        <f t="shared" si="52"/>
        <v>ui_902039</v>
      </c>
      <c r="S499" s="3" t="str">
        <f t="shared" si="53"/>
        <v>902039</v>
      </c>
      <c r="T499" s="3">
        <v>1</v>
      </c>
      <c r="U499" s="3">
        <v>0</v>
      </c>
      <c r="V499" s="3">
        <v>1</v>
      </c>
      <c r="W499" s="7"/>
      <c r="X499" s="27" t="s">
        <v>2918</v>
      </c>
      <c r="Y499" s="27" t="s">
        <v>2919</v>
      </c>
    </row>
    <row r="500" spans="1:25" x14ac:dyDescent="0.15">
      <c r="A500" s="3">
        <v>902049</v>
      </c>
      <c r="B500" s="28" t="s">
        <v>363</v>
      </c>
      <c r="C500" s="3">
        <v>2000</v>
      </c>
      <c r="D500" s="27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4">
        <v>310</v>
      </c>
      <c r="K500" s="3">
        <v>9</v>
      </c>
      <c r="L500" s="3" t="s">
        <v>625</v>
      </c>
      <c r="M500" s="3">
        <v>902</v>
      </c>
      <c r="N500" s="4" t="s">
        <v>631</v>
      </c>
      <c r="O500" s="3">
        <v>0</v>
      </c>
      <c r="P500" s="3"/>
      <c r="Q500" s="3" t="s">
        <v>601</v>
      </c>
      <c r="R500" s="3" t="str">
        <f t="shared" si="52"/>
        <v>ui_902049</v>
      </c>
      <c r="S500" s="3" t="str">
        <f t="shared" si="53"/>
        <v>902049</v>
      </c>
      <c r="T500" s="3">
        <v>1</v>
      </c>
      <c r="U500" s="3">
        <v>0</v>
      </c>
      <c r="V500" s="3">
        <v>1</v>
      </c>
      <c r="W500" s="7"/>
      <c r="X500" s="28" t="s">
        <v>363</v>
      </c>
      <c r="Y500" s="3" t="s">
        <v>2797</v>
      </c>
    </row>
    <row r="501" spans="1:25" x14ac:dyDescent="0.15">
      <c r="A501" s="3">
        <v>902026</v>
      </c>
      <c r="B501" s="28" t="s">
        <v>3533</v>
      </c>
      <c r="C501" s="3">
        <v>2000</v>
      </c>
      <c r="D501" s="27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4">
        <v>287</v>
      </c>
      <c r="K501" s="3">
        <v>9</v>
      </c>
      <c r="L501" s="3" t="s">
        <v>625</v>
      </c>
      <c r="M501" s="3">
        <v>902</v>
      </c>
      <c r="N501" s="4" t="s">
        <v>631</v>
      </c>
      <c r="O501" s="3">
        <v>0</v>
      </c>
      <c r="P501" s="3"/>
      <c r="Q501" s="3" t="s">
        <v>601</v>
      </c>
      <c r="R501" s="3" t="str">
        <f t="shared" si="52"/>
        <v>ui_902026</v>
      </c>
      <c r="S501" s="3" t="str">
        <f t="shared" si="53"/>
        <v>902026</v>
      </c>
      <c r="T501" s="3">
        <v>1</v>
      </c>
      <c r="U501" s="3">
        <v>0</v>
      </c>
      <c r="V501" s="3">
        <v>1</v>
      </c>
      <c r="W501" s="7"/>
      <c r="X501" s="28" t="s">
        <v>364</v>
      </c>
      <c r="Y501" s="3" t="s">
        <v>2798</v>
      </c>
    </row>
    <row r="502" spans="1:25" x14ac:dyDescent="0.15">
      <c r="A502" s="3">
        <v>902029</v>
      </c>
      <c r="B502" s="4" t="s">
        <v>365</v>
      </c>
      <c r="C502" s="3">
        <v>2000</v>
      </c>
      <c r="D502" s="27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4">
        <v>290</v>
      </c>
      <c r="K502" s="3">
        <v>9</v>
      </c>
      <c r="L502" s="3" t="s">
        <v>625</v>
      </c>
      <c r="M502" s="3">
        <v>902</v>
      </c>
      <c r="N502" s="4" t="s">
        <v>631</v>
      </c>
      <c r="O502" s="3">
        <v>0</v>
      </c>
      <c r="P502" s="3"/>
      <c r="Q502" s="3" t="s">
        <v>601</v>
      </c>
      <c r="R502" s="3" t="str">
        <f t="shared" si="52"/>
        <v>ui_902029</v>
      </c>
      <c r="S502" s="3" t="str">
        <f t="shared" si="53"/>
        <v>902029</v>
      </c>
      <c r="T502" s="3">
        <v>1</v>
      </c>
      <c r="U502" s="3">
        <v>0</v>
      </c>
      <c r="V502" s="3">
        <v>1</v>
      </c>
      <c r="W502" s="7"/>
      <c r="X502" s="4" t="s">
        <v>365</v>
      </c>
      <c r="Y502" s="3" t="s">
        <v>2799</v>
      </c>
    </row>
    <row r="503" spans="1:25" x14ac:dyDescent="0.15">
      <c r="A503" s="3">
        <v>902040</v>
      </c>
      <c r="B503" s="4" t="s">
        <v>366</v>
      </c>
      <c r="C503" s="3">
        <v>2000</v>
      </c>
      <c r="D503" s="27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4">
        <v>301</v>
      </c>
      <c r="K503" s="3">
        <v>9</v>
      </c>
      <c r="L503" s="3" t="s">
        <v>625</v>
      </c>
      <c r="M503" s="3">
        <v>902</v>
      </c>
      <c r="N503" s="4" t="s">
        <v>631</v>
      </c>
      <c r="O503" s="3">
        <v>0</v>
      </c>
      <c r="P503" s="3"/>
      <c r="Q503" s="3" t="s">
        <v>601</v>
      </c>
      <c r="R503" s="3" t="str">
        <f t="shared" si="52"/>
        <v>ui_902040</v>
      </c>
      <c r="S503" s="3" t="str">
        <f t="shared" si="53"/>
        <v>902040</v>
      </c>
      <c r="T503" s="3">
        <v>1</v>
      </c>
      <c r="U503" s="3">
        <v>0</v>
      </c>
      <c r="V503" s="3">
        <v>1</v>
      </c>
      <c r="W503" s="7"/>
      <c r="X503" s="4" t="s">
        <v>366</v>
      </c>
      <c r="Y503" s="3" t="s">
        <v>2800</v>
      </c>
    </row>
    <row r="504" spans="1:25" x14ac:dyDescent="0.15">
      <c r="A504" s="3">
        <v>902043</v>
      </c>
      <c r="B504" s="4" t="s">
        <v>367</v>
      </c>
      <c r="C504" s="3">
        <v>2000</v>
      </c>
      <c r="D504" s="27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4">
        <v>304</v>
      </c>
      <c r="K504" s="3">
        <v>9</v>
      </c>
      <c r="L504" s="3" t="s">
        <v>625</v>
      </c>
      <c r="M504" s="3">
        <v>902</v>
      </c>
      <c r="N504" s="4" t="s">
        <v>631</v>
      </c>
      <c r="O504" s="3">
        <v>0</v>
      </c>
      <c r="P504" s="3"/>
      <c r="Q504" s="3" t="s">
        <v>601</v>
      </c>
      <c r="R504" s="3" t="str">
        <f t="shared" si="52"/>
        <v>ui_902043</v>
      </c>
      <c r="S504" s="3" t="str">
        <f t="shared" si="53"/>
        <v>902043</v>
      </c>
      <c r="T504" s="3">
        <v>1</v>
      </c>
      <c r="U504" s="3">
        <v>0</v>
      </c>
      <c r="V504" s="3">
        <v>1</v>
      </c>
      <c r="W504" s="7"/>
      <c r="X504" s="4" t="s">
        <v>367</v>
      </c>
      <c r="Y504" s="3" t="s">
        <v>2801</v>
      </c>
    </row>
    <row r="505" spans="1:25" x14ac:dyDescent="0.15">
      <c r="A505" s="3">
        <v>902046</v>
      </c>
      <c r="B505" s="4" t="s">
        <v>368</v>
      </c>
      <c r="C505" s="3">
        <v>2000</v>
      </c>
      <c r="D505" s="27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4">
        <v>307</v>
      </c>
      <c r="K505" s="3">
        <v>9</v>
      </c>
      <c r="L505" s="3" t="s">
        <v>625</v>
      </c>
      <c r="M505" s="3">
        <v>902</v>
      </c>
      <c r="N505" s="4" t="s">
        <v>631</v>
      </c>
      <c r="O505" s="3">
        <v>0</v>
      </c>
      <c r="P505" s="3"/>
      <c r="Q505" s="3" t="s">
        <v>601</v>
      </c>
      <c r="R505" s="3" t="str">
        <f t="shared" si="52"/>
        <v>ui_902046</v>
      </c>
      <c r="S505" s="3" t="str">
        <f t="shared" si="53"/>
        <v>902046</v>
      </c>
      <c r="T505" s="3">
        <v>1</v>
      </c>
      <c r="U505" s="3">
        <v>0</v>
      </c>
      <c r="V505" s="3">
        <v>1</v>
      </c>
      <c r="W505" s="7"/>
      <c r="X505" s="4" t="s">
        <v>368</v>
      </c>
      <c r="Y505" s="3" t="s">
        <v>2802</v>
      </c>
    </row>
    <row r="506" spans="1:25" x14ac:dyDescent="0.15">
      <c r="A506" s="3">
        <v>902068</v>
      </c>
      <c r="B506" s="4" t="s">
        <v>369</v>
      </c>
      <c r="C506" s="3">
        <v>2000</v>
      </c>
      <c r="D506" s="27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4">
        <v>328</v>
      </c>
      <c r="K506" s="3">
        <v>9</v>
      </c>
      <c r="L506" s="3" t="s">
        <v>625</v>
      </c>
      <c r="M506" s="3">
        <v>902</v>
      </c>
      <c r="N506" s="4" t="s">
        <v>631</v>
      </c>
      <c r="O506" s="3">
        <v>0</v>
      </c>
      <c r="P506" s="3"/>
      <c r="Q506" s="3" t="s">
        <v>601</v>
      </c>
      <c r="R506" s="3" t="str">
        <f t="shared" si="52"/>
        <v>ui_902068</v>
      </c>
      <c r="S506" s="3" t="str">
        <f t="shared" si="53"/>
        <v>902068</v>
      </c>
      <c r="T506" s="3">
        <v>1</v>
      </c>
      <c r="U506" s="3">
        <v>0</v>
      </c>
      <c r="V506" s="3">
        <v>1</v>
      </c>
      <c r="W506" s="7"/>
      <c r="X506" s="4" t="s">
        <v>369</v>
      </c>
      <c r="Y506" s="3" t="s">
        <v>2803</v>
      </c>
    </row>
    <row r="507" spans="1:25" x14ac:dyDescent="0.15">
      <c r="A507" s="3">
        <v>902071</v>
      </c>
      <c r="B507" s="4" t="s">
        <v>370</v>
      </c>
      <c r="C507" s="3">
        <v>2000</v>
      </c>
      <c r="D507" s="27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4">
        <v>331</v>
      </c>
      <c r="K507" s="3">
        <v>9</v>
      </c>
      <c r="L507" s="3" t="s">
        <v>625</v>
      </c>
      <c r="M507" s="3">
        <v>902</v>
      </c>
      <c r="N507" s="4" t="s">
        <v>631</v>
      </c>
      <c r="O507" s="3">
        <v>0</v>
      </c>
      <c r="P507" s="3"/>
      <c r="Q507" s="3" t="s">
        <v>601</v>
      </c>
      <c r="R507" s="3" t="str">
        <f t="shared" si="52"/>
        <v>ui_902071</v>
      </c>
      <c r="S507" s="3" t="str">
        <f t="shared" si="53"/>
        <v>902071</v>
      </c>
      <c r="T507" s="3">
        <v>1</v>
      </c>
      <c r="U507" s="3">
        <v>0</v>
      </c>
      <c r="V507" s="3">
        <v>1</v>
      </c>
      <c r="W507" s="7"/>
      <c r="X507" s="4" t="s">
        <v>370</v>
      </c>
      <c r="Y507" s="3" t="s">
        <v>2804</v>
      </c>
    </row>
    <row r="508" spans="1:25" x14ac:dyDescent="0.15">
      <c r="A508" s="3">
        <v>902050</v>
      </c>
      <c r="B508" s="4" t="s">
        <v>383</v>
      </c>
      <c r="C508" s="3">
        <v>2000</v>
      </c>
      <c r="D508" s="27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4">
        <v>311</v>
      </c>
      <c r="K508" s="3">
        <v>9</v>
      </c>
      <c r="L508" s="3" t="s">
        <v>625</v>
      </c>
      <c r="M508" s="3">
        <v>902</v>
      </c>
      <c r="N508" s="4" t="s">
        <v>631</v>
      </c>
      <c r="O508" s="3">
        <v>0</v>
      </c>
      <c r="P508" s="3"/>
      <c r="Q508" s="3" t="s">
        <v>601</v>
      </c>
      <c r="R508" s="3" t="str">
        <f t="shared" si="52"/>
        <v>ui_902050</v>
      </c>
      <c r="S508" s="3" t="str">
        <f t="shared" si="53"/>
        <v>902050</v>
      </c>
      <c r="T508" s="3">
        <v>1</v>
      </c>
      <c r="U508" s="3">
        <v>0</v>
      </c>
      <c r="V508" s="3">
        <v>1</v>
      </c>
      <c r="W508" s="7"/>
      <c r="X508" s="4" t="s">
        <v>383</v>
      </c>
      <c r="Y508" s="3"/>
    </row>
    <row r="509" spans="1:25" x14ac:dyDescent="0.15">
      <c r="A509" s="3">
        <v>902027</v>
      </c>
      <c r="B509" s="28" t="s">
        <v>384</v>
      </c>
      <c r="C509" s="3">
        <v>2000</v>
      </c>
      <c r="D509" s="27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4">
        <v>288</v>
      </c>
      <c r="K509" s="3">
        <v>9</v>
      </c>
      <c r="L509" s="3" t="s">
        <v>625</v>
      </c>
      <c r="M509" s="3">
        <v>902</v>
      </c>
      <c r="N509" s="4" t="s">
        <v>631</v>
      </c>
      <c r="O509" s="3">
        <v>0</v>
      </c>
      <c r="P509" s="3"/>
      <c r="Q509" s="3" t="s">
        <v>601</v>
      </c>
      <c r="R509" s="3" t="str">
        <f t="shared" si="52"/>
        <v>ui_902027</v>
      </c>
      <c r="S509" s="3" t="str">
        <f t="shared" si="53"/>
        <v>902027</v>
      </c>
      <c r="T509" s="3">
        <v>1</v>
      </c>
      <c r="U509" s="3">
        <v>0</v>
      </c>
      <c r="V509" s="3">
        <v>1</v>
      </c>
      <c r="W509" s="7"/>
      <c r="X509" s="28" t="s">
        <v>384</v>
      </c>
      <c r="Y509" s="3"/>
    </row>
    <row r="510" spans="1:25" x14ac:dyDescent="0.15">
      <c r="A510" s="3">
        <v>902030</v>
      </c>
      <c r="B510" s="4" t="s">
        <v>385</v>
      </c>
      <c r="C510" s="3">
        <v>2000</v>
      </c>
      <c r="D510" s="27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4">
        <v>291</v>
      </c>
      <c r="K510" s="3">
        <v>9</v>
      </c>
      <c r="L510" s="3" t="s">
        <v>625</v>
      </c>
      <c r="M510" s="3">
        <v>902</v>
      </c>
      <c r="N510" s="4" t="s">
        <v>631</v>
      </c>
      <c r="O510" s="3">
        <v>0</v>
      </c>
      <c r="P510" s="3"/>
      <c r="Q510" s="3" t="s">
        <v>601</v>
      </c>
      <c r="R510" s="3" t="str">
        <f t="shared" si="52"/>
        <v>ui_902030</v>
      </c>
      <c r="S510" s="3" t="str">
        <f t="shared" si="53"/>
        <v>902030</v>
      </c>
      <c r="T510" s="3">
        <v>1</v>
      </c>
      <c r="U510" s="3">
        <v>0</v>
      </c>
      <c r="V510" s="3">
        <v>1</v>
      </c>
      <c r="W510" s="7"/>
      <c r="X510" s="4" t="s">
        <v>385</v>
      </c>
      <c r="Y510" s="3"/>
    </row>
    <row r="511" spans="1:25" x14ac:dyDescent="0.15">
      <c r="A511" s="3">
        <v>902041</v>
      </c>
      <c r="B511" s="4" t="s">
        <v>386</v>
      </c>
      <c r="C511" s="3">
        <v>2000</v>
      </c>
      <c r="D511" s="27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4">
        <v>302</v>
      </c>
      <c r="K511" s="3">
        <v>9</v>
      </c>
      <c r="L511" s="3" t="s">
        <v>625</v>
      </c>
      <c r="M511" s="3">
        <v>902</v>
      </c>
      <c r="N511" s="4" t="s">
        <v>631</v>
      </c>
      <c r="O511" s="3">
        <v>0</v>
      </c>
      <c r="P511" s="3"/>
      <c r="Q511" s="3" t="s">
        <v>601</v>
      </c>
      <c r="R511" s="3" t="str">
        <f t="shared" si="52"/>
        <v>ui_902041</v>
      </c>
      <c r="S511" s="3" t="str">
        <f t="shared" si="53"/>
        <v>902041</v>
      </c>
      <c r="T511" s="3">
        <v>1</v>
      </c>
      <c r="U511" s="3">
        <v>0</v>
      </c>
      <c r="V511" s="3">
        <v>1</v>
      </c>
      <c r="W511" s="7"/>
      <c r="X511" s="4" t="s">
        <v>386</v>
      </c>
      <c r="Y511" s="3"/>
    </row>
    <row r="512" spans="1:25" x14ac:dyDescent="0.15">
      <c r="A512" s="3">
        <v>902044</v>
      </c>
      <c r="B512" s="4" t="s">
        <v>387</v>
      </c>
      <c r="C512" s="3">
        <v>2000</v>
      </c>
      <c r="D512" s="27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4">
        <v>305</v>
      </c>
      <c r="K512" s="3">
        <v>9</v>
      </c>
      <c r="L512" s="3" t="s">
        <v>625</v>
      </c>
      <c r="M512" s="3">
        <v>902</v>
      </c>
      <c r="N512" s="4" t="s">
        <v>631</v>
      </c>
      <c r="O512" s="3">
        <v>0</v>
      </c>
      <c r="P512" s="3"/>
      <c r="Q512" s="3" t="s">
        <v>601</v>
      </c>
      <c r="R512" s="3" t="str">
        <f t="shared" si="52"/>
        <v>ui_902044</v>
      </c>
      <c r="S512" s="3" t="str">
        <f t="shared" si="53"/>
        <v>902044</v>
      </c>
      <c r="T512" s="3">
        <v>1</v>
      </c>
      <c r="U512" s="3">
        <v>0</v>
      </c>
      <c r="V512" s="3">
        <v>1</v>
      </c>
      <c r="W512" s="7"/>
      <c r="X512" s="4" t="s">
        <v>387</v>
      </c>
      <c r="Y512" s="3"/>
    </row>
    <row r="513" spans="1:25" x14ac:dyDescent="0.15">
      <c r="A513" s="3">
        <v>902047</v>
      </c>
      <c r="B513" s="4" t="s">
        <v>388</v>
      </c>
      <c r="C513" s="3">
        <v>2000</v>
      </c>
      <c r="D513" s="27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4">
        <v>308</v>
      </c>
      <c r="K513" s="3">
        <v>9</v>
      </c>
      <c r="L513" s="3" t="s">
        <v>625</v>
      </c>
      <c r="M513" s="3">
        <v>902</v>
      </c>
      <c r="N513" s="4" t="s">
        <v>631</v>
      </c>
      <c r="O513" s="3">
        <v>0</v>
      </c>
      <c r="P513" s="3"/>
      <c r="Q513" s="3" t="s">
        <v>601</v>
      </c>
      <c r="R513" s="3" t="str">
        <f t="shared" si="52"/>
        <v>ui_902047</v>
      </c>
      <c r="S513" s="3" t="str">
        <f t="shared" si="53"/>
        <v>902047</v>
      </c>
      <c r="T513" s="3">
        <v>1</v>
      </c>
      <c r="U513" s="3">
        <v>0</v>
      </c>
      <c r="V513" s="3">
        <v>1</v>
      </c>
      <c r="W513" s="7"/>
      <c r="X513" s="4" t="s">
        <v>388</v>
      </c>
      <c r="Y513" s="3"/>
    </row>
    <row r="514" spans="1:25" x14ac:dyDescent="0.15">
      <c r="A514" s="3">
        <v>902069</v>
      </c>
      <c r="B514" s="4" t="s">
        <v>389</v>
      </c>
      <c r="C514" s="3">
        <v>2000</v>
      </c>
      <c r="D514" s="27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4">
        <v>329</v>
      </c>
      <c r="K514" s="3">
        <v>9</v>
      </c>
      <c r="L514" s="3" t="s">
        <v>625</v>
      </c>
      <c r="M514" s="3">
        <v>902</v>
      </c>
      <c r="N514" s="4" t="s">
        <v>631</v>
      </c>
      <c r="O514" s="3">
        <v>0</v>
      </c>
      <c r="P514" s="3"/>
      <c r="Q514" s="3" t="s">
        <v>601</v>
      </c>
      <c r="R514" s="3" t="str">
        <f t="shared" si="52"/>
        <v>ui_902069</v>
      </c>
      <c r="S514" s="3" t="str">
        <f t="shared" si="53"/>
        <v>902069</v>
      </c>
      <c r="T514" s="3">
        <v>1</v>
      </c>
      <c r="U514" s="3">
        <v>0</v>
      </c>
      <c r="V514" s="3">
        <v>1</v>
      </c>
      <c r="W514" s="7"/>
      <c r="X514" s="4" t="s">
        <v>389</v>
      </c>
      <c r="Y514" s="3"/>
    </row>
    <row r="515" spans="1:25" x14ac:dyDescent="0.15">
      <c r="A515" s="3">
        <v>902072</v>
      </c>
      <c r="B515" s="4" t="s">
        <v>390</v>
      </c>
      <c r="C515" s="3">
        <v>2000</v>
      </c>
      <c r="D515" s="27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4">
        <v>332</v>
      </c>
      <c r="K515" s="3">
        <v>9</v>
      </c>
      <c r="L515" s="3" t="s">
        <v>625</v>
      </c>
      <c r="M515" s="3">
        <v>902</v>
      </c>
      <c r="N515" s="4" t="s">
        <v>631</v>
      </c>
      <c r="O515" s="3">
        <v>0</v>
      </c>
      <c r="P515" s="3"/>
      <c r="Q515" s="3" t="s">
        <v>601</v>
      </c>
      <c r="R515" s="3" t="str">
        <f t="shared" si="52"/>
        <v>ui_902072</v>
      </c>
      <c r="S515" s="3" t="str">
        <f t="shared" si="53"/>
        <v>902072</v>
      </c>
      <c r="T515" s="3">
        <v>1</v>
      </c>
      <c r="U515" s="3">
        <v>0</v>
      </c>
      <c r="V515" s="3">
        <v>1</v>
      </c>
      <c r="W515" s="7"/>
      <c r="X515" s="4" t="s">
        <v>390</v>
      </c>
      <c r="Y515" s="3"/>
    </row>
    <row r="516" spans="1:25" x14ac:dyDescent="0.15">
      <c r="A516" s="3">
        <v>902051</v>
      </c>
      <c r="B516" s="28" t="s">
        <v>373</v>
      </c>
      <c r="C516" s="3">
        <v>2000</v>
      </c>
      <c r="D516" s="27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4">
        <v>312</v>
      </c>
      <c r="K516" s="3">
        <v>9</v>
      </c>
      <c r="L516" s="3" t="s">
        <v>625</v>
      </c>
      <c r="M516" s="3">
        <v>902</v>
      </c>
      <c r="N516" s="4" t="s">
        <v>631</v>
      </c>
      <c r="O516" s="3">
        <v>0</v>
      </c>
      <c r="P516" s="3"/>
      <c r="Q516" s="3" t="s">
        <v>601</v>
      </c>
      <c r="R516" s="3" t="str">
        <f t="shared" si="52"/>
        <v>ui_902051</v>
      </c>
      <c r="S516" s="3" t="str">
        <f t="shared" si="53"/>
        <v>902051</v>
      </c>
      <c r="T516" s="3">
        <v>1</v>
      </c>
      <c r="U516" s="3">
        <v>0</v>
      </c>
      <c r="V516" s="3">
        <v>1</v>
      </c>
      <c r="W516" s="7"/>
      <c r="X516" s="28" t="s">
        <v>373</v>
      </c>
      <c r="Y516" s="3"/>
    </row>
    <row r="517" spans="1:25" x14ac:dyDescent="0.15">
      <c r="A517" s="3">
        <v>902028</v>
      </c>
      <c r="B517" s="28" t="s">
        <v>374</v>
      </c>
      <c r="C517" s="3">
        <v>2000</v>
      </c>
      <c r="D517" s="27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4">
        <v>289</v>
      </c>
      <c r="K517" s="3">
        <v>9</v>
      </c>
      <c r="L517" s="3" t="s">
        <v>625</v>
      </c>
      <c r="M517" s="3">
        <v>902</v>
      </c>
      <c r="N517" s="4" t="s">
        <v>631</v>
      </c>
      <c r="O517" s="3">
        <v>0</v>
      </c>
      <c r="P517" s="3"/>
      <c r="Q517" s="3" t="s">
        <v>601</v>
      </c>
      <c r="R517" s="3" t="str">
        <f t="shared" ref="R517:R534" si="54">CONCATENATE("ui_",A517,"")</f>
        <v>ui_902028</v>
      </c>
      <c r="S517" s="3" t="str">
        <f t="shared" ref="S517:S534" si="55">CONCATENATE(A517,"")</f>
        <v>902028</v>
      </c>
      <c r="T517" s="3">
        <v>1</v>
      </c>
      <c r="U517" s="3">
        <v>0</v>
      </c>
      <c r="V517" s="3">
        <v>1</v>
      </c>
      <c r="W517" s="7"/>
      <c r="X517" s="28" t="s">
        <v>374</v>
      </c>
      <c r="Y517" s="3"/>
    </row>
    <row r="518" spans="1:25" x14ac:dyDescent="0.15">
      <c r="A518" s="3">
        <v>902031</v>
      </c>
      <c r="B518" s="4" t="s">
        <v>375</v>
      </c>
      <c r="C518" s="3">
        <v>2000</v>
      </c>
      <c r="D518" s="27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4">
        <v>292</v>
      </c>
      <c r="K518" s="3">
        <v>9</v>
      </c>
      <c r="L518" s="3" t="s">
        <v>625</v>
      </c>
      <c r="M518" s="3">
        <v>902</v>
      </c>
      <c r="N518" s="4" t="s">
        <v>631</v>
      </c>
      <c r="O518" s="3">
        <v>0</v>
      </c>
      <c r="P518" s="3"/>
      <c r="Q518" s="3" t="s">
        <v>601</v>
      </c>
      <c r="R518" s="3" t="str">
        <f t="shared" si="54"/>
        <v>ui_902031</v>
      </c>
      <c r="S518" s="3" t="str">
        <f t="shared" si="55"/>
        <v>902031</v>
      </c>
      <c r="T518" s="3">
        <v>1</v>
      </c>
      <c r="U518" s="3">
        <v>0</v>
      </c>
      <c r="V518" s="3">
        <v>1</v>
      </c>
      <c r="W518" s="7"/>
      <c r="X518" s="4" t="s">
        <v>375</v>
      </c>
      <c r="Y518" s="3"/>
    </row>
    <row r="519" spans="1:25" x14ac:dyDescent="0.15">
      <c r="A519" s="3">
        <v>902042</v>
      </c>
      <c r="B519" s="4" t="s">
        <v>376</v>
      </c>
      <c r="C519" s="3">
        <v>2000</v>
      </c>
      <c r="D519" s="27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4">
        <v>303</v>
      </c>
      <c r="K519" s="3">
        <v>9</v>
      </c>
      <c r="L519" s="3" t="s">
        <v>625</v>
      </c>
      <c r="M519" s="3">
        <v>902</v>
      </c>
      <c r="N519" s="4" t="s">
        <v>631</v>
      </c>
      <c r="O519" s="3">
        <v>0</v>
      </c>
      <c r="P519" s="3"/>
      <c r="Q519" s="3" t="s">
        <v>601</v>
      </c>
      <c r="R519" s="3" t="str">
        <f t="shared" si="54"/>
        <v>ui_902042</v>
      </c>
      <c r="S519" s="3" t="str">
        <f t="shared" si="55"/>
        <v>902042</v>
      </c>
      <c r="T519" s="3">
        <v>1</v>
      </c>
      <c r="U519" s="3">
        <v>0</v>
      </c>
      <c r="V519" s="3">
        <v>1</v>
      </c>
      <c r="W519" s="7"/>
      <c r="X519" s="4" t="s">
        <v>376</v>
      </c>
      <c r="Y519" s="3"/>
    </row>
    <row r="520" spans="1:25" x14ac:dyDescent="0.15">
      <c r="A520" s="3">
        <v>902045</v>
      </c>
      <c r="B520" s="4" t="s">
        <v>377</v>
      </c>
      <c r="C520" s="3">
        <v>2000</v>
      </c>
      <c r="D520" s="27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4">
        <v>306</v>
      </c>
      <c r="K520" s="3">
        <v>9</v>
      </c>
      <c r="L520" s="3" t="s">
        <v>625</v>
      </c>
      <c r="M520" s="3">
        <v>902</v>
      </c>
      <c r="N520" s="4" t="s">
        <v>631</v>
      </c>
      <c r="O520" s="3">
        <v>0</v>
      </c>
      <c r="P520" s="3"/>
      <c r="Q520" s="3" t="s">
        <v>601</v>
      </c>
      <c r="R520" s="3" t="str">
        <f t="shared" si="54"/>
        <v>ui_902045</v>
      </c>
      <c r="S520" s="3" t="str">
        <f t="shared" si="55"/>
        <v>902045</v>
      </c>
      <c r="T520" s="3">
        <v>1</v>
      </c>
      <c r="U520" s="3">
        <v>0</v>
      </c>
      <c r="V520" s="3">
        <v>1</v>
      </c>
      <c r="W520" s="7"/>
      <c r="X520" s="4" t="s">
        <v>377</v>
      </c>
      <c r="Y520" s="3"/>
    </row>
    <row r="521" spans="1:25" x14ac:dyDescent="0.15">
      <c r="A521" s="3">
        <v>902048</v>
      </c>
      <c r="B521" s="4" t="s">
        <v>378</v>
      </c>
      <c r="C521" s="3">
        <v>2000</v>
      </c>
      <c r="D521" s="27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4">
        <v>309</v>
      </c>
      <c r="K521" s="3">
        <v>9</v>
      </c>
      <c r="L521" s="3" t="s">
        <v>625</v>
      </c>
      <c r="M521" s="3">
        <v>902</v>
      </c>
      <c r="N521" s="4" t="s">
        <v>631</v>
      </c>
      <c r="O521" s="3">
        <v>0</v>
      </c>
      <c r="P521" s="3"/>
      <c r="Q521" s="3" t="s">
        <v>601</v>
      </c>
      <c r="R521" s="3" t="str">
        <f t="shared" si="54"/>
        <v>ui_902048</v>
      </c>
      <c r="S521" s="3" t="str">
        <f t="shared" si="55"/>
        <v>902048</v>
      </c>
      <c r="T521" s="3">
        <v>1</v>
      </c>
      <c r="U521" s="3">
        <v>0</v>
      </c>
      <c r="V521" s="3">
        <v>1</v>
      </c>
      <c r="W521" s="7"/>
      <c r="X521" s="4" t="s">
        <v>378</v>
      </c>
      <c r="Y521" s="3"/>
    </row>
    <row r="522" spans="1:25" x14ac:dyDescent="0.15">
      <c r="A522" s="3">
        <v>902070</v>
      </c>
      <c r="B522" s="4" t="s">
        <v>379</v>
      </c>
      <c r="C522" s="3">
        <v>2000</v>
      </c>
      <c r="D522" s="27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4">
        <v>330</v>
      </c>
      <c r="K522" s="3">
        <v>9</v>
      </c>
      <c r="L522" s="3" t="s">
        <v>625</v>
      </c>
      <c r="M522" s="3">
        <v>902</v>
      </c>
      <c r="N522" s="4" t="s">
        <v>631</v>
      </c>
      <c r="O522" s="3">
        <v>0</v>
      </c>
      <c r="P522" s="3"/>
      <c r="Q522" s="3" t="s">
        <v>601</v>
      </c>
      <c r="R522" s="3" t="str">
        <f t="shared" si="54"/>
        <v>ui_902070</v>
      </c>
      <c r="S522" s="3" t="str">
        <f t="shared" si="55"/>
        <v>902070</v>
      </c>
      <c r="T522" s="3">
        <v>1</v>
      </c>
      <c r="U522" s="3">
        <v>0</v>
      </c>
      <c r="V522" s="3">
        <v>1</v>
      </c>
      <c r="W522" s="7"/>
      <c r="X522" s="4" t="s">
        <v>379</v>
      </c>
      <c r="Y522" s="3"/>
    </row>
    <row r="523" spans="1:25" x14ac:dyDescent="0.15">
      <c r="A523" s="3">
        <v>902073</v>
      </c>
      <c r="B523" s="4" t="s">
        <v>380</v>
      </c>
      <c r="C523" s="3">
        <v>2000</v>
      </c>
      <c r="D523" s="27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4">
        <v>333</v>
      </c>
      <c r="K523" s="3">
        <v>9</v>
      </c>
      <c r="L523" s="3" t="s">
        <v>625</v>
      </c>
      <c r="M523" s="3">
        <v>902</v>
      </c>
      <c r="N523" s="4" t="s">
        <v>631</v>
      </c>
      <c r="O523" s="3">
        <v>0</v>
      </c>
      <c r="P523" s="3"/>
      <c r="Q523" s="3" t="s">
        <v>601</v>
      </c>
      <c r="R523" s="3" t="str">
        <f t="shared" si="54"/>
        <v>ui_902073</v>
      </c>
      <c r="S523" s="3" t="str">
        <f t="shared" si="55"/>
        <v>902073</v>
      </c>
      <c r="T523" s="3">
        <v>1</v>
      </c>
      <c r="U523" s="3">
        <v>0</v>
      </c>
      <c r="V523" s="3">
        <v>1</v>
      </c>
      <c r="W523" s="7"/>
      <c r="X523" s="4" t="s">
        <v>380</v>
      </c>
      <c r="Y523" s="3"/>
    </row>
    <row r="524" spans="1:25" x14ac:dyDescent="0.15">
      <c r="A524" s="3">
        <v>902052</v>
      </c>
      <c r="B524" s="4" t="s">
        <v>655</v>
      </c>
      <c r="C524" s="3">
        <v>2000</v>
      </c>
      <c r="D524" s="27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4">
        <v>313</v>
      </c>
      <c r="K524" s="3">
        <v>9</v>
      </c>
      <c r="L524" s="3" t="s">
        <v>625</v>
      </c>
      <c r="M524" s="3">
        <v>902</v>
      </c>
      <c r="N524" s="4" t="s">
        <v>631</v>
      </c>
      <c r="O524" s="3">
        <v>0</v>
      </c>
      <c r="P524" s="3"/>
      <c r="Q524" s="3" t="s">
        <v>601</v>
      </c>
      <c r="R524" s="3" t="str">
        <f t="shared" si="54"/>
        <v>ui_902052</v>
      </c>
      <c r="S524" s="3" t="str">
        <f t="shared" si="55"/>
        <v>902052</v>
      </c>
      <c r="T524" s="3">
        <v>1</v>
      </c>
      <c r="U524" s="3">
        <v>0</v>
      </c>
      <c r="V524" s="3">
        <v>1</v>
      </c>
      <c r="W524" s="7"/>
      <c r="X524" s="3" t="s">
        <v>655</v>
      </c>
      <c r="Y524" s="3"/>
    </row>
    <row r="525" spans="1:25" x14ac:dyDescent="0.15">
      <c r="A525" s="3">
        <v>902053</v>
      </c>
      <c r="B525" s="4" t="s">
        <v>656</v>
      </c>
      <c r="C525" s="3">
        <v>2000</v>
      </c>
      <c r="D525" s="27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4">
        <v>314</v>
      </c>
      <c r="K525" s="3">
        <v>9</v>
      </c>
      <c r="L525" s="3" t="s">
        <v>625</v>
      </c>
      <c r="M525" s="3">
        <v>902</v>
      </c>
      <c r="N525" s="4" t="s">
        <v>631</v>
      </c>
      <c r="O525" s="3">
        <v>0</v>
      </c>
      <c r="P525" s="3"/>
      <c r="Q525" s="3" t="s">
        <v>601</v>
      </c>
      <c r="R525" s="3" t="str">
        <f t="shared" si="54"/>
        <v>ui_902053</v>
      </c>
      <c r="S525" s="3" t="str">
        <f t="shared" si="55"/>
        <v>902053</v>
      </c>
      <c r="T525" s="3">
        <v>1</v>
      </c>
      <c r="U525" s="3">
        <v>0</v>
      </c>
      <c r="V525" s="3">
        <v>1</v>
      </c>
      <c r="W525" s="7"/>
      <c r="X525" s="3" t="s">
        <v>656</v>
      </c>
      <c r="Y525" s="3"/>
    </row>
    <row r="526" spans="1:25" x14ac:dyDescent="0.15">
      <c r="A526" s="3">
        <v>902054</v>
      </c>
      <c r="B526" s="4" t="s">
        <v>657</v>
      </c>
      <c r="C526" s="3">
        <v>2000</v>
      </c>
      <c r="D526" s="27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4">
        <v>315</v>
      </c>
      <c r="K526" s="3">
        <v>9</v>
      </c>
      <c r="L526" s="3" t="s">
        <v>625</v>
      </c>
      <c r="M526" s="3">
        <v>902</v>
      </c>
      <c r="N526" s="4" t="s">
        <v>631</v>
      </c>
      <c r="O526" s="3">
        <v>0</v>
      </c>
      <c r="P526" s="3"/>
      <c r="Q526" s="3" t="s">
        <v>601</v>
      </c>
      <c r="R526" s="3" t="str">
        <f t="shared" si="54"/>
        <v>ui_902054</v>
      </c>
      <c r="S526" s="3" t="str">
        <f t="shared" si="55"/>
        <v>902054</v>
      </c>
      <c r="T526" s="3">
        <v>1</v>
      </c>
      <c r="U526" s="3">
        <v>0</v>
      </c>
      <c r="V526" s="3">
        <v>1</v>
      </c>
      <c r="W526" s="7"/>
      <c r="X526" s="3" t="s">
        <v>657</v>
      </c>
      <c r="Y526" s="3"/>
    </row>
    <row r="527" spans="1:25" x14ac:dyDescent="0.15">
      <c r="A527" s="3">
        <v>902055</v>
      </c>
      <c r="B527" s="4" t="s">
        <v>372</v>
      </c>
      <c r="C527" s="3">
        <v>2000</v>
      </c>
      <c r="D527" s="27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4">
        <v>316</v>
      </c>
      <c r="K527" s="3">
        <v>9</v>
      </c>
      <c r="L527" s="3" t="s">
        <v>625</v>
      </c>
      <c r="M527" s="3">
        <v>902</v>
      </c>
      <c r="N527" s="4" t="s">
        <v>631</v>
      </c>
      <c r="O527" s="3">
        <v>0</v>
      </c>
      <c r="P527" s="3"/>
      <c r="Q527" s="3" t="s">
        <v>601</v>
      </c>
      <c r="R527" s="3" t="str">
        <f t="shared" si="54"/>
        <v>ui_902055</v>
      </c>
      <c r="S527" s="3" t="str">
        <f t="shared" si="55"/>
        <v>902055</v>
      </c>
      <c r="T527" s="3">
        <v>1</v>
      </c>
      <c r="U527" s="3">
        <v>0</v>
      </c>
      <c r="V527" s="3">
        <v>1</v>
      </c>
      <c r="W527" s="7"/>
      <c r="X527" s="3" t="s">
        <v>372</v>
      </c>
      <c r="Y527" s="3"/>
    </row>
    <row r="528" spans="1:25" x14ac:dyDescent="0.15">
      <c r="A528" s="3">
        <v>902056</v>
      </c>
      <c r="B528" s="4" t="s">
        <v>658</v>
      </c>
      <c r="C528" s="3">
        <v>2000</v>
      </c>
      <c r="D528" s="27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4">
        <v>317</v>
      </c>
      <c r="K528" s="3">
        <v>9</v>
      </c>
      <c r="L528" s="3" t="s">
        <v>625</v>
      </c>
      <c r="M528" s="3">
        <v>902</v>
      </c>
      <c r="N528" s="4" t="s">
        <v>631</v>
      </c>
      <c r="O528" s="3">
        <v>0</v>
      </c>
      <c r="P528" s="3"/>
      <c r="Q528" s="3" t="s">
        <v>601</v>
      </c>
      <c r="R528" s="3" t="str">
        <f t="shared" si="54"/>
        <v>ui_902056</v>
      </c>
      <c r="S528" s="3" t="str">
        <f t="shared" si="55"/>
        <v>902056</v>
      </c>
      <c r="T528" s="3">
        <v>1</v>
      </c>
      <c r="U528" s="3">
        <v>0</v>
      </c>
      <c r="V528" s="3">
        <v>1</v>
      </c>
      <c r="W528" s="7"/>
      <c r="X528" s="3" t="s">
        <v>658</v>
      </c>
      <c r="Y528" s="3"/>
    </row>
    <row r="529" spans="1:25" x14ac:dyDescent="0.15">
      <c r="A529" s="3">
        <v>902057</v>
      </c>
      <c r="B529" s="27" t="s">
        <v>2721</v>
      </c>
      <c r="C529" s="3">
        <v>2000</v>
      </c>
      <c r="D529" s="27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4">
        <v>318</v>
      </c>
      <c r="K529" s="3">
        <v>9</v>
      </c>
      <c r="L529" s="3" t="s">
        <v>625</v>
      </c>
      <c r="M529" s="3">
        <v>902</v>
      </c>
      <c r="N529" s="4" t="s">
        <v>631</v>
      </c>
      <c r="O529" s="3">
        <v>0</v>
      </c>
      <c r="P529" s="3"/>
      <c r="Q529" s="3" t="s">
        <v>601</v>
      </c>
      <c r="R529" s="3" t="str">
        <f t="shared" si="54"/>
        <v>ui_902057</v>
      </c>
      <c r="S529" s="3" t="str">
        <f t="shared" si="55"/>
        <v>902057</v>
      </c>
      <c r="T529" s="3">
        <v>1</v>
      </c>
      <c r="U529" s="3">
        <v>0</v>
      </c>
      <c r="V529" s="3">
        <v>1</v>
      </c>
      <c r="W529" s="7"/>
      <c r="X529" s="27" t="s">
        <v>2722</v>
      </c>
      <c r="Y529" s="3"/>
    </row>
    <row r="530" spans="1:25" x14ac:dyDescent="0.15">
      <c r="A530" s="3">
        <v>902059</v>
      </c>
      <c r="B530" s="3" t="s">
        <v>2746</v>
      </c>
      <c r="C530" s="3">
        <v>2000</v>
      </c>
      <c r="D530" s="27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4">
        <v>320</v>
      </c>
      <c r="K530" s="3">
        <v>9</v>
      </c>
      <c r="L530" s="3" t="s">
        <v>625</v>
      </c>
      <c r="M530" s="3">
        <v>902</v>
      </c>
      <c r="N530" s="4" t="s">
        <v>631</v>
      </c>
      <c r="O530" s="3">
        <v>0</v>
      </c>
      <c r="P530" s="3"/>
      <c r="Q530" s="3" t="s">
        <v>601</v>
      </c>
      <c r="R530" s="3" t="str">
        <f t="shared" si="54"/>
        <v>ui_902059</v>
      </c>
      <c r="S530" s="3" t="str">
        <f t="shared" si="55"/>
        <v>902059</v>
      </c>
      <c r="T530" s="3">
        <v>1</v>
      </c>
      <c r="U530" s="3">
        <v>0</v>
      </c>
      <c r="V530" s="3">
        <v>1</v>
      </c>
      <c r="W530" s="7"/>
      <c r="X530" s="27" t="s">
        <v>1972</v>
      </c>
      <c r="Y530" s="3"/>
    </row>
    <row r="531" spans="1:25" x14ac:dyDescent="0.15">
      <c r="A531" s="3">
        <v>902060</v>
      </c>
      <c r="B531" s="3" t="s">
        <v>1970</v>
      </c>
      <c r="C531" s="3">
        <v>2000</v>
      </c>
      <c r="D531" s="27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4">
        <v>321</v>
      </c>
      <c r="K531" s="3">
        <v>9</v>
      </c>
      <c r="L531" s="3" t="s">
        <v>625</v>
      </c>
      <c r="M531" s="3">
        <v>902</v>
      </c>
      <c r="N531" s="4" t="s">
        <v>631</v>
      </c>
      <c r="O531" s="3">
        <v>0</v>
      </c>
      <c r="P531" s="3"/>
      <c r="Q531" s="3" t="s">
        <v>601</v>
      </c>
      <c r="R531" s="3" t="str">
        <f t="shared" si="54"/>
        <v>ui_902060</v>
      </c>
      <c r="S531" s="3" t="str">
        <f t="shared" si="55"/>
        <v>902060</v>
      </c>
      <c r="T531" s="3">
        <v>1</v>
      </c>
      <c r="U531" s="3">
        <v>0</v>
      </c>
      <c r="V531" s="3">
        <v>1</v>
      </c>
      <c r="W531" s="7"/>
      <c r="X531" s="3" t="s">
        <v>1970</v>
      </c>
      <c r="Y531" s="3"/>
    </row>
    <row r="532" spans="1:25" x14ac:dyDescent="0.15">
      <c r="A532" s="3">
        <v>902061</v>
      </c>
      <c r="B532" s="4" t="s">
        <v>71</v>
      </c>
      <c r="C532" s="3">
        <v>1000</v>
      </c>
      <c r="D532" s="27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4">
        <v>322</v>
      </c>
      <c r="K532" s="3">
        <v>9</v>
      </c>
      <c r="L532" s="3" t="s">
        <v>625</v>
      </c>
      <c r="M532" s="3">
        <v>902</v>
      </c>
      <c r="N532" s="4" t="s">
        <v>631</v>
      </c>
      <c r="O532" s="3">
        <v>0</v>
      </c>
      <c r="P532" s="3"/>
      <c r="Q532" s="3" t="s">
        <v>601</v>
      </c>
      <c r="R532" s="3" t="str">
        <f t="shared" si="54"/>
        <v>ui_902061</v>
      </c>
      <c r="S532" s="3" t="str">
        <f t="shared" si="55"/>
        <v>902061</v>
      </c>
      <c r="T532" s="3">
        <v>1</v>
      </c>
      <c r="U532" s="3">
        <v>0</v>
      </c>
      <c r="V532" s="3">
        <v>1</v>
      </c>
      <c r="W532" s="7"/>
      <c r="X532" s="3" t="s">
        <v>71</v>
      </c>
      <c r="Y532" s="3"/>
    </row>
    <row r="533" spans="1:25" x14ac:dyDescent="0.15">
      <c r="A533" s="3">
        <v>902063</v>
      </c>
      <c r="B533" s="4" t="s">
        <v>2747</v>
      </c>
      <c r="C533" s="3">
        <v>1000</v>
      </c>
      <c r="D533" s="27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4">
        <v>324</v>
      </c>
      <c r="K533" s="3">
        <v>9</v>
      </c>
      <c r="L533" s="3" t="s">
        <v>625</v>
      </c>
      <c r="M533" s="3">
        <v>902</v>
      </c>
      <c r="N533" s="4" t="s">
        <v>631</v>
      </c>
      <c r="O533" s="3">
        <v>0</v>
      </c>
      <c r="P533" s="3"/>
      <c r="Q533" s="3" t="s">
        <v>601</v>
      </c>
      <c r="R533" s="3" t="str">
        <f t="shared" si="54"/>
        <v>ui_902063</v>
      </c>
      <c r="S533" s="3" t="str">
        <f t="shared" si="55"/>
        <v>902063</v>
      </c>
      <c r="T533" s="3">
        <v>1</v>
      </c>
      <c r="U533" s="3">
        <v>0</v>
      </c>
      <c r="V533" s="3">
        <v>1</v>
      </c>
      <c r="W533" s="7"/>
      <c r="X533" s="3" t="s">
        <v>659</v>
      </c>
      <c r="Y533" s="3"/>
    </row>
    <row r="534" spans="1:25" x14ac:dyDescent="0.15">
      <c r="A534" s="3">
        <v>902064</v>
      </c>
      <c r="B534" s="4" t="s">
        <v>660</v>
      </c>
      <c r="C534" s="3">
        <v>1000</v>
      </c>
      <c r="D534" s="27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4">
        <v>325</v>
      </c>
      <c r="K534" s="3">
        <v>9</v>
      </c>
      <c r="L534" s="3" t="s">
        <v>625</v>
      </c>
      <c r="M534" s="3">
        <v>902</v>
      </c>
      <c r="N534" s="4" t="s">
        <v>631</v>
      </c>
      <c r="O534" s="3">
        <v>0</v>
      </c>
      <c r="P534" s="3"/>
      <c r="Q534" s="3" t="s">
        <v>601</v>
      </c>
      <c r="R534" s="3" t="str">
        <f t="shared" si="54"/>
        <v>ui_902064</v>
      </c>
      <c r="S534" s="3" t="str">
        <f t="shared" si="55"/>
        <v>902064</v>
      </c>
      <c r="T534" s="3">
        <v>1</v>
      </c>
      <c r="U534" s="3">
        <v>0</v>
      </c>
      <c r="V534" s="3">
        <v>1</v>
      </c>
      <c r="W534" s="7"/>
      <c r="X534" s="3" t="s">
        <v>660</v>
      </c>
      <c r="Y534" s="3"/>
    </row>
    <row r="535" spans="1:25" x14ac:dyDescent="0.15">
      <c r="A535" s="3">
        <v>902065</v>
      </c>
      <c r="B535" s="4" t="s">
        <v>661</v>
      </c>
      <c r="C535" s="3">
        <v>1000</v>
      </c>
      <c r="D535" s="27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4">
        <v>326</v>
      </c>
      <c r="K535" s="3">
        <v>9</v>
      </c>
      <c r="L535" s="3" t="s">
        <v>625</v>
      </c>
      <c r="M535" s="3">
        <v>902</v>
      </c>
      <c r="N535" s="4" t="s">
        <v>631</v>
      </c>
      <c r="O535" s="3">
        <v>0</v>
      </c>
      <c r="P535" s="3"/>
      <c r="Q535" s="3" t="s">
        <v>601</v>
      </c>
      <c r="R535" s="27" t="s">
        <v>2884</v>
      </c>
      <c r="S535" s="52" t="s">
        <v>2885</v>
      </c>
      <c r="T535" s="3">
        <v>1</v>
      </c>
      <c r="U535" s="3">
        <v>0</v>
      </c>
      <c r="V535" s="3">
        <v>1</v>
      </c>
      <c r="W535" s="7"/>
      <c r="X535" s="3" t="s">
        <v>661</v>
      </c>
      <c r="Y535" s="3"/>
    </row>
    <row r="536" spans="1:25" x14ac:dyDescent="0.15">
      <c r="A536" s="3">
        <v>902066</v>
      </c>
      <c r="B536" s="4" t="s">
        <v>662</v>
      </c>
      <c r="C536" s="3">
        <v>1000</v>
      </c>
      <c r="D536" s="27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4">
        <v>327</v>
      </c>
      <c r="K536" s="3">
        <v>9</v>
      </c>
      <c r="L536" s="3" t="s">
        <v>625</v>
      </c>
      <c r="M536" s="3">
        <v>902</v>
      </c>
      <c r="N536" s="4" t="s">
        <v>631</v>
      </c>
      <c r="O536" s="3">
        <v>0</v>
      </c>
      <c r="P536" s="3"/>
      <c r="Q536" s="3" t="s">
        <v>601</v>
      </c>
      <c r="R536" s="3" t="str">
        <f>CONCATENATE("ui_",A536,"")</f>
        <v>ui_902066</v>
      </c>
      <c r="S536" s="3" t="str">
        <f>CONCATENATE(A536,"")</f>
        <v>902066</v>
      </c>
      <c r="T536" s="3">
        <v>1</v>
      </c>
      <c r="U536" s="3">
        <v>0</v>
      </c>
      <c r="V536" s="3">
        <v>1</v>
      </c>
      <c r="W536" s="7"/>
      <c r="X536" s="3" t="s">
        <v>662</v>
      </c>
      <c r="Y536" s="3"/>
    </row>
    <row r="537" spans="1:25" x14ac:dyDescent="0.15">
      <c r="A537" s="3">
        <v>902074</v>
      </c>
      <c r="B537" s="4" t="s">
        <v>209</v>
      </c>
      <c r="C537" s="3">
        <v>2000</v>
      </c>
      <c r="D537" s="27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4">
        <v>334</v>
      </c>
      <c r="K537" s="3">
        <v>9</v>
      </c>
      <c r="L537" s="3" t="s">
        <v>625</v>
      </c>
      <c r="M537" s="3">
        <v>902</v>
      </c>
      <c r="N537" s="4" t="s">
        <v>631</v>
      </c>
      <c r="O537" s="3">
        <v>0</v>
      </c>
      <c r="P537" s="3"/>
      <c r="Q537" s="3" t="s">
        <v>601</v>
      </c>
      <c r="R537" s="27" t="s">
        <v>2979</v>
      </c>
      <c r="S537" s="53" t="s">
        <v>2978</v>
      </c>
      <c r="T537" s="3">
        <v>1</v>
      </c>
      <c r="U537" s="3">
        <v>0</v>
      </c>
      <c r="V537" s="3">
        <v>1</v>
      </c>
      <c r="W537" s="7"/>
      <c r="X537" s="3" t="s">
        <v>209</v>
      </c>
      <c r="Y537" s="3"/>
    </row>
    <row r="538" spans="1:25" x14ac:dyDescent="0.15">
      <c r="A538" s="3">
        <v>902075</v>
      </c>
      <c r="B538" s="4" t="s">
        <v>113</v>
      </c>
      <c r="C538" s="3">
        <v>500</v>
      </c>
      <c r="D538" s="27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4">
        <v>335</v>
      </c>
      <c r="K538" s="3">
        <v>9</v>
      </c>
      <c r="L538" s="3" t="s">
        <v>625</v>
      </c>
      <c r="M538" s="3">
        <v>902</v>
      </c>
      <c r="N538" s="4" t="s">
        <v>631</v>
      </c>
      <c r="O538" s="3">
        <v>0</v>
      </c>
      <c r="P538" s="3"/>
      <c r="Q538" s="3" t="s">
        <v>601</v>
      </c>
      <c r="R538" s="3" t="str">
        <f t="shared" ref="R538:R545" si="56">CONCATENATE("ui_",A538,"")</f>
        <v>ui_902075</v>
      </c>
      <c r="S538" s="3" t="str">
        <f t="shared" ref="S538:S545" si="57">CONCATENATE(A538,"")</f>
        <v>902075</v>
      </c>
      <c r="T538" s="3">
        <v>1</v>
      </c>
      <c r="U538" s="3">
        <v>0</v>
      </c>
      <c r="V538" s="3">
        <v>1</v>
      </c>
      <c r="W538" s="7"/>
      <c r="X538" s="3" t="s">
        <v>113</v>
      </c>
      <c r="Y538" s="3"/>
    </row>
    <row r="539" spans="1:25" x14ac:dyDescent="0.15">
      <c r="A539" s="3">
        <v>902077</v>
      </c>
      <c r="B539" s="48" t="s">
        <v>663</v>
      </c>
      <c r="C539" s="3">
        <v>500</v>
      </c>
      <c r="D539" s="27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4">
        <v>337</v>
      </c>
      <c r="K539" s="3">
        <v>9</v>
      </c>
      <c r="L539" s="3" t="s">
        <v>625</v>
      </c>
      <c r="M539" s="3">
        <v>902</v>
      </c>
      <c r="N539" s="4" t="s">
        <v>631</v>
      </c>
      <c r="O539" s="3">
        <v>0</v>
      </c>
      <c r="P539" s="3"/>
      <c r="Q539" s="3" t="s">
        <v>601</v>
      </c>
      <c r="R539" s="3" t="str">
        <f t="shared" si="56"/>
        <v>ui_902077</v>
      </c>
      <c r="S539" s="3" t="str">
        <f t="shared" si="57"/>
        <v>902077</v>
      </c>
      <c r="T539" s="3">
        <v>1</v>
      </c>
      <c r="U539" s="3">
        <v>0</v>
      </c>
      <c r="V539" s="3">
        <v>1</v>
      </c>
      <c r="W539" s="7"/>
      <c r="X539" s="5" t="s">
        <v>663</v>
      </c>
      <c r="Y539" s="27" t="s">
        <v>2856</v>
      </c>
    </row>
    <row r="540" spans="1:25" x14ac:dyDescent="0.15">
      <c r="A540" s="3">
        <v>902078</v>
      </c>
      <c r="B540" s="51" t="s">
        <v>2760</v>
      </c>
      <c r="C540" s="3">
        <v>500</v>
      </c>
      <c r="D540" s="27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4">
        <v>338</v>
      </c>
      <c r="K540" s="3">
        <v>9</v>
      </c>
      <c r="L540" s="3" t="s">
        <v>625</v>
      </c>
      <c r="M540" s="3">
        <v>902</v>
      </c>
      <c r="N540" s="4" t="s">
        <v>631</v>
      </c>
      <c r="O540" s="3">
        <v>0</v>
      </c>
      <c r="P540" s="3"/>
      <c r="Q540" s="3" t="s">
        <v>601</v>
      </c>
      <c r="R540" s="3" t="str">
        <f t="shared" si="56"/>
        <v>ui_902078</v>
      </c>
      <c r="S540" s="3" t="str">
        <f t="shared" si="57"/>
        <v>902078</v>
      </c>
      <c r="T540" s="3">
        <v>1</v>
      </c>
      <c r="U540" s="3">
        <v>0</v>
      </c>
      <c r="V540" s="3">
        <v>1</v>
      </c>
      <c r="W540" s="7"/>
      <c r="X540" s="5" t="s">
        <v>664</v>
      </c>
      <c r="Y540" s="20" t="s">
        <v>665</v>
      </c>
    </row>
    <row r="541" spans="1:25" x14ac:dyDescent="0.15">
      <c r="A541" s="3">
        <v>902080</v>
      </c>
      <c r="B541" s="48" t="s">
        <v>666</v>
      </c>
      <c r="C541" s="3">
        <v>500</v>
      </c>
      <c r="D541" s="27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4">
        <v>340</v>
      </c>
      <c r="K541" s="3">
        <v>9</v>
      </c>
      <c r="L541" s="3" t="s">
        <v>625</v>
      </c>
      <c r="M541" s="3">
        <v>902</v>
      </c>
      <c r="N541" s="4" t="s">
        <v>631</v>
      </c>
      <c r="O541" s="3">
        <v>0</v>
      </c>
      <c r="P541" s="3"/>
      <c r="Q541" s="3" t="s">
        <v>601</v>
      </c>
      <c r="R541" s="3" t="str">
        <f t="shared" si="56"/>
        <v>ui_902080</v>
      </c>
      <c r="S541" s="3" t="str">
        <f t="shared" si="57"/>
        <v>902080</v>
      </c>
      <c r="T541" s="3">
        <v>1</v>
      </c>
      <c r="U541" s="3">
        <v>0</v>
      </c>
      <c r="V541" s="3">
        <v>1</v>
      </c>
      <c r="W541" s="7"/>
      <c r="X541" s="5" t="s">
        <v>666</v>
      </c>
      <c r="Y541" s="20" t="s">
        <v>667</v>
      </c>
    </row>
    <row r="542" spans="1:25" x14ac:dyDescent="0.15">
      <c r="A542" s="3">
        <v>902081</v>
      </c>
      <c r="B542" s="48" t="s">
        <v>668</v>
      </c>
      <c r="C542" s="3">
        <v>500</v>
      </c>
      <c r="D542" s="27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4">
        <v>341</v>
      </c>
      <c r="K542" s="3">
        <v>9</v>
      </c>
      <c r="L542" s="3" t="s">
        <v>625</v>
      </c>
      <c r="M542" s="3">
        <v>902</v>
      </c>
      <c r="N542" s="4" t="s">
        <v>631</v>
      </c>
      <c r="O542" s="3">
        <v>0</v>
      </c>
      <c r="P542" s="3"/>
      <c r="Q542" s="3" t="s">
        <v>601</v>
      </c>
      <c r="R542" s="3" t="str">
        <f t="shared" si="56"/>
        <v>ui_902081</v>
      </c>
      <c r="S542" s="3" t="str">
        <f t="shared" si="57"/>
        <v>902081</v>
      </c>
      <c r="T542" s="3">
        <v>1</v>
      </c>
      <c r="U542" s="3">
        <v>0</v>
      </c>
      <c r="V542" s="3">
        <v>1</v>
      </c>
      <c r="W542" s="7"/>
      <c r="X542" s="5" t="s">
        <v>668</v>
      </c>
      <c r="Y542" s="20" t="s">
        <v>669</v>
      </c>
    </row>
    <row r="543" spans="1:25" x14ac:dyDescent="0.15">
      <c r="A543" s="3">
        <v>902082</v>
      </c>
      <c r="B543" s="48" t="s">
        <v>670</v>
      </c>
      <c r="C543" s="3">
        <v>500</v>
      </c>
      <c r="D543" s="27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4">
        <v>342</v>
      </c>
      <c r="K543" s="3">
        <v>9</v>
      </c>
      <c r="L543" s="3" t="s">
        <v>625</v>
      </c>
      <c r="M543" s="3">
        <v>902</v>
      </c>
      <c r="N543" s="4" t="s">
        <v>631</v>
      </c>
      <c r="O543" s="3">
        <v>0</v>
      </c>
      <c r="P543" s="3"/>
      <c r="Q543" s="3" t="s">
        <v>601</v>
      </c>
      <c r="R543" s="3" t="str">
        <f t="shared" si="56"/>
        <v>ui_902082</v>
      </c>
      <c r="S543" s="3" t="str">
        <f t="shared" si="57"/>
        <v>902082</v>
      </c>
      <c r="T543" s="3">
        <v>1</v>
      </c>
      <c r="U543" s="3">
        <v>0</v>
      </c>
      <c r="V543" s="3">
        <v>1</v>
      </c>
      <c r="W543" s="7"/>
      <c r="X543" s="5" t="s">
        <v>670</v>
      </c>
      <c r="Y543" s="20" t="s">
        <v>671</v>
      </c>
    </row>
    <row r="544" spans="1:25" ht="27" x14ac:dyDescent="0.15">
      <c r="A544" s="3">
        <v>902083</v>
      </c>
      <c r="B544" s="48" t="s">
        <v>672</v>
      </c>
      <c r="C544" s="3">
        <v>500</v>
      </c>
      <c r="D544" s="27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4">
        <v>343</v>
      </c>
      <c r="K544" s="3">
        <v>9</v>
      </c>
      <c r="L544" s="3" t="s">
        <v>625</v>
      </c>
      <c r="M544" s="3">
        <v>902</v>
      </c>
      <c r="N544" s="4" t="s">
        <v>631</v>
      </c>
      <c r="O544" s="3">
        <v>0</v>
      </c>
      <c r="P544" s="3"/>
      <c r="Q544" s="3" t="s">
        <v>601</v>
      </c>
      <c r="R544" s="3" t="str">
        <f t="shared" si="56"/>
        <v>ui_902083</v>
      </c>
      <c r="S544" s="3" t="str">
        <f t="shared" si="57"/>
        <v>902083</v>
      </c>
      <c r="T544" s="3">
        <v>1</v>
      </c>
      <c r="U544" s="3">
        <v>0</v>
      </c>
      <c r="V544" s="3">
        <v>1</v>
      </c>
      <c r="W544" s="7"/>
      <c r="X544" s="5" t="s">
        <v>672</v>
      </c>
      <c r="Y544" s="47" t="s">
        <v>2625</v>
      </c>
    </row>
    <row r="545" spans="1:25" x14ac:dyDescent="0.15">
      <c r="A545" s="3">
        <v>902084</v>
      </c>
      <c r="B545" s="19" t="s">
        <v>673</v>
      </c>
      <c r="C545" s="3">
        <v>500</v>
      </c>
      <c r="D545" s="27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4">
        <v>344</v>
      </c>
      <c r="K545" s="3">
        <v>9</v>
      </c>
      <c r="L545" s="3" t="s">
        <v>625</v>
      </c>
      <c r="M545" s="3">
        <v>902</v>
      </c>
      <c r="N545" s="4" t="s">
        <v>631</v>
      </c>
      <c r="O545" s="3">
        <v>0</v>
      </c>
      <c r="P545" s="3"/>
      <c r="Q545" s="3" t="s">
        <v>601</v>
      </c>
      <c r="R545" s="3" t="str">
        <f t="shared" si="56"/>
        <v>ui_902084</v>
      </c>
      <c r="S545" s="3" t="str">
        <f t="shared" si="57"/>
        <v>902084</v>
      </c>
      <c r="T545" s="3">
        <v>1</v>
      </c>
      <c r="U545" s="3">
        <v>0</v>
      </c>
      <c r="V545" s="3">
        <v>1</v>
      </c>
      <c r="W545" s="7"/>
      <c r="X545" s="5" t="s">
        <v>673</v>
      </c>
      <c r="Y545" s="20"/>
    </row>
    <row r="546" spans="1:25" x14ac:dyDescent="0.15">
      <c r="A546" s="3">
        <v>902085</v>
      </c>
      <c r="B546" s="3" t="s">
        <v>2748</v>
      </c>
      <c r="C546" s="3">
        <v>100000</v>
      </c>
      <c r="D546" s="27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4">
        <v>345</v>
      </c>
      <c r="K546" s="3">
        <v>9</v>
      </c>
      <c r="L546" s="3" t="s">
        <v>625</v>
      </c>
      <c r="M546" s="3">
        <v>902</v>
      </c>
      <c r="N546" s="4" t="s">
        <v>631</v>
      </c>
      <c r="O546" s="3">
        <v>0</v>
      </c>
      <c r="P546" s="3"/>
      <c r="Q546" s="3" t="s">
        <v>601</v>
      </c>
      <c r="R546" s="27" t="s">
        <v>2809</v>
      </c>
      <c r="S546" s="52" t="s">
        <v>2814</v>
      </c>
      <c r="T546" s="3">
        <v>1</v>
      </c>
      <c r="U546" s="3">
        <v>0</v>
      </c>
      <c r="V546" s="3">
        <v>1</v>
      </c>
      <c r="W546" s="7"/>
      <c r="X546" s="3" t="s">
        <v>555</v>
      </c>
      <c r="Y546" s="3"/>
    </row>
    <row r="547" spans="1:25" x14ac:dyDescent="0.15">
      <c r="A547" s="3">
        <v>902086</v>
      </c>
      <c r="B547" s="3" t="s">
        <v>557</v>
      </c>
      <c r="C547" s="3">
        <v>100000</v>
      </c>
      <c r="D547" s="27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4">
        <v>346</v>
      </c>
      <c r="K547" s="3">
        <v>9</v>
      </c>
      <c r="L547" s="3" t="s">
        <v>625</v>
      </c>
      <c r="M547" s="3">
        <v>902</v>
      </c>
      <c r="N547" s="4" t="s">
        <v>631</v>
      </c>
      <c r="O547" s="3">
        <v>0</v>
      </c>
      <c r="P547" s="3"/>
      <c r="Q547" s="3" t="s">
        <v>601</v>
      </c>
      <c r="R547" s="3" t="s">
        <v>2810</v>
      </c>
      <c r="S547" s="52" t="s">
        <v>2815</v>
      </c>
      <c r="T547" s="3">
        <v>1</v>
      </c>
      <c r="U547" s="3">
        <v>0</v>
      </c>
      <c r="V547" s="3">
        <v>1</v>
      </c>
      <c r="W547" s="7"/>
      <c r="X547" s="3" t="s">
        <v>557</v>
      </c>
      <c r="Y547" s="3"/>
    </row>
    <row r="548" spans="1:25" x14ac:dyDescent="0.15">
      <c r="A548" s="3">
        <v>902087</v>
      </c>
      <c r="B548" s="3" t="s">
        <v>558</v>
      </c>
      <c r="C548" s="3">
        <v>100000</v>
      </c>
      <c r="D548" s="27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4">
        <v>347</v>
      </c>
      <c r="K548" s="3">
        <v>9</v>
      </c>
      <c r="L548" s="3" t="s">
        <v>625</v>
      </c>
      <c r="M548" s="3">
        <v>902</v>
      </c>
      <c r="N548" s="4" t="s">
        <v>631</v>
      </c>
      <c r="O548" s="3">
        <v>0</v>
      </c>
      <c r="P548" s="3"/>
      <c r="Q548" s="3" t="s">
        <v>601</v>
      </c>
      <c r="R548" s="3" t="s">
        <v>2811</v>
      </c>
      <c r="S548" s="52" t="s">
        <v>2816</v>
      </c>
      <c r="T548" s="3">
        <v>1</v>
      </c>
      <c r="U548" s="3">
        <v>0</v>
      </c>
      <c r="V548" s="3">
        <v>1</v>
      </c>
      <c r="W548" s="7"/>
      <c r="X548" s="3" t="s">
        <v>558</v>
      </c>
      <c r="Y548" s="3"/>
    </row>
    <row r="549" spans="1:25" x14ac:dyDescent="0.15">
      <c r="A549" s="3">
        <v>902088</v>
      </c>
      <c r="B549" s="3" t="s">
        <v>559</v>
      </c>
      <c r="C549" s="3">
        <v>100000</v>
      </c>
      <c r="D549" s="27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4">
        <v>348</v>
      </c>
      <c r="K549" s="3">
        <v>9</v>
      </c>
      <c r="L549" s="3" t="s">
        <v>625</v>
      </c>
      <c r="M549" s="3">
        <v>902</v>
      </c>
      <c r="N549" s="4" t="s">
        <v>631</v>
      </c>
      <c r="O549" s="3">
        <v>0</v>
      </c>
      <c r="P549" s="3"/>
      <c r="Q549" s="3" t="s">
        <v>601</v>
      </c>
      <c r="R549" s="3" t="s">
        <v>2812</v>
      </c>
      <c r="S549" s="52" t="s">
        <v>2817</v>
      </c>
      <c r="T549" s="3">
        <v>1</v>
      </c>
      <c r="U549" s="3">
        <v>0</v>
      </c>
      <c r="V549" s="3">
        <v>1</v>
      </c>
      <c r="W549" s="7"/>
      <c r="X549" s="3" t="s">
        <v>559</v>
      </c>
      <c r="Y549" s="3"/>
    </row>
    <row r="550" spans="1:25" x14ac:dyDescent="0.15">
      <c r="A550" s="3">
        <v>902089</v>
      </c>
      <c r="B550" s="3" t="s">
        <v>560</v>
      </c>
      <c r="C550" s="3">
        <v>100000</v>
      </c>
      <c r="D550" s="27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4">
        <v>349</v>
      </c>
      <c r="K550" s="3">
        <v>9</v>
      </c>
      <c r="L550" s="3" t="s">
        <v>625</v>
      </c>
      <c r="M550" s="3">
        <v>902</v>
      </c>
      <c r="N550" s="4" t="s">
        <v>631</v>
      </c>
      <c r="O550" s="3">
        <v>0</v>
      </c>
      <c r="P550" s="3"/>
      <c r="Q550" s="3" t="s">
        <v>601</v>
      </c>
      <c r="R550" s="3" t="s">
        <v>2813</v>
      </c>
      <c r="S550" s="52" t="s">
        <v>2818</v>
      </c>
      <c r="T550" s="3">
        <v>1</v>
      </c>
      <c r="U550" s="3">
        <v>0</v>
      </c>
      <c r="V550" s="3">
        <v>1</v>
      </c>
      <c r="W550" s="7"/>
      <c r="X550" s="3" t="s">
        <v>560</v>
      </c>
      <c r="Y550" s="3"/>
    </row>
    <row r="551" spans="1:25" x14ac:dyDescent="0.15">
      <c r="A551" s="3">
        <v>902090</v>
      </c>
      <c r="B551" s="3" t="s">
        <v>2749</v>
      </c>
      <c r="C551" s="3">
        <v>500</v>
      </c>
      <c r="D551" s="27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4">
        <v>350</v>
      </c>
      <c r="K551" s="3">
        <v>9</v>
      </c>
      <c r="L551" s="3" t="s">
        <v>625</v>
      </c>
      <c r="M551" s="3">
        <v>902</v>
      </c>
      <c r="N551" s="4" t="s">
        <v>631</v>
      </c>
      <c r="O551" s="3">
        <v>0</v>
      </c>
      <c r="P551" s="3"/>
      <c r="Q551" s="3" t="s">
        <v>601</v>
      </c>
      <c r="R551" s="3" t="str">
        <f t="shared" ref="R551:R559" si="58">CONCATENATE("ui_",A551,"")</f>
        <v>ui_902090</v>
      </c>
      <c r="S551" s="3" t="str">
        <f t="shared" ref="S551:S559" si="59">CONCATENATE(A551,"")</f>
        <v>902090</v>
      </c>
      <c r="T551" s="3">
        <v>1</v>
      </c>
      <c r="U551" s="3">
        <v>0</v>
      </c>
      <c r="V551" s="3">
        <v>1</v>
      </c>
      <c r="W551" s="7"/>
      <c r="X551" s="3" t="s">
        <v>62</v>
      </c>
      <c r="Y551" s="3"/>
    </row>
    <row r="552" spans="1:25" x14ac:dyDescent="0.15">
      <c r="A552" s="3">
        <v>902091</v>
      </c>
      <c r="B552" s="3" t="s">
        <v>674</v>
      </c>
      <c r="C552" s="3">
        <v>500</v>
      </c>
      <c r="D552" s="27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4">
        <v>351</v>
      </c>
      <c r="K552" s="3">
        <v>9</v>
      </c>
      <c r="L552" s="3" t="s">
        <v>625</v>
      </c>
      <c r="M552" s="3">
        <v>902</v>
      </c>
      <c r="N552" s="4" t="s">
        <v>631</v>
      </c>
      <c r="O552" s="3">
        <v>0</v>
      </c>
      <c r="P552" s="3"/>
      <c r="Q552" s="3" t="s">
        <v>601</v>
      </c>
      <c r="R552" s="3" t="str">
        <f t="shared" si="58"/>
        <v>ui_902091</v>
      </c>
      <c r="S552" s="3" t="str">
        <f t="shared" si="59"/>
        <v>902091</v>
      </c>
      <c r="T552" s="3">
        <v>1</v>
      </c>
      <c r="U552" s="3">
        <v>0</v>
      </c>
      <c r="V552" s="3">
        <v>1</v>
      </c>
      <c r="W552" s="7"/>
      <c r="X552" s="3" t="s">
        <v>674</v>
      </c>
      <c r="Y552" s="3"/>
    </row>
    <row r="553" spans="1:25" x14ac:dyDescent="0.15">
      <c r="A553" s="3">
        <v>902092</v>
      </c>
      <c r="B553" s="3" t="s">
        <v>2750</v>
      </c>
      <c r="C553" s="3">
        <v>500</v>
      </c>
      <c r="D553" s="27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4">
        <v>352</v>
      </c>
      <c r="K553" s="3">
        <v>9</v>
      </c>
      <c r="L553" s="3" t="s">
        <v>625</v>
      </c>
      <c r="M553" s="3">
        <v>902</v>
      </c>
      <c r="N553" s="4" t="s">
        <v>631</v>
      </c>
      <c r="O553" s="3">
        <v>0</v>
      </c>
      <c r="P553" s="3"/>
      <c r="Q553" s="3" t="s">
        <v>601</v>
      </c>
      <c r="R553" s="3" t="str">
        <f t="shared" si="58"/>
        <v>ui_902092</v>
      </c>
      <c r="S553" s="3" t="str">
        <f t="shared" si="59"/>
        <v>902092</v>
      </c>
      <c r="T553" s="3">
        <v>1</v>
      </c>
      <c r="U553" s="3">
        <v>0</v>
      </c>
      <c r="V553" s="3">
        <v>1</v>
      </c>
      <c r="W553" s="7"/>
      <c r="X553" s="3" t="s">
        <v>212</v>
      </c>
      <c r="Y553" s="3"/>
    </row>
    <row r="554" spans="1:25" x14ac:dyDescent="0.15">
      <c r="A554" s="3">
        <v>902093</v>
      </c>
      <c r="B554" s="3" t="s">
        <v>565</v>
      </c>
      <c r="C554" s="3">
        <v>500</v>
      </c>
      <c r="D554" s="27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4">
        <v>353</v>
      </c>
      <c r="K554" s="3">
        <v>9</v>
      </c>
      <c r="L554" s="3" t="s">
        <v>625</v>
      </c>
      <c r="M554" s="3">
        <v>902</v>
      </c>
      <c r="N554" s="4" t="s">
        <v>631</v>
      </c>
      <c r="O554" s="3">
        <v>0</v>
      </c>
      <c r="P554" s="3"/>
      <c r="Q554" s="3" t="s">
        <v>601</v>
      </c>
      <c r="R554" s="3" t="str">
        <f t="shared" si="58"/>
        <v>ui_902093</v>
      </c>
      <c r="S554" s="3" t="str">
        <f t="shared" si="59"/>
        <v>902093</v>
      </c>
      <c r="T554" s="3">
        <v>1</v>
      </c>
      <c r="U554" s="3">
        <v>0</v>
      </c>
      <c r="V554" s="3">
        <v>1</v>
      </c>
      <c r="W554" s="7"/>
      <c r="X554" s="3" t="s">
        <v>565</v>
      </c>
      <c r="Y554" s="3"/>
    </row>
    <row r="555" spans="1:25" x14ac:dyDescent="0.15">
      <c r="A555" s="3">
        <v>902094</v>
      </c>
      <c r="B555" s="49" t="s">
        <v>675</v>
      </c>
      <c r="C555" s="3">
        <v>500</v>
      </c>
      <c r="D555" s="27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4">
        <v>354</v>
      </c>
      <c r="K555" s="3">
        <v>9</v>
      </c>
      <c r="L555" s="3" t="s">
        <v>625</v>
      </c>
      <c r="M555" s="3">
        <v>902</v>
      </c>
      <c r="N555" s="4" t="s">
        <v>631</v>
      </c>
      <c r="O555" s="3">
        <v>0</v>
      </c>
      <c r="P555" s="3"/>
      <c r="Q555" s="3" t="s">
        <v>601</v>
      </c>
      <c r="R555" s="3" t="str">
        <f t="shared" si="58"/>
        <v>ui_902094</v>
      </c>
      <c r="S555" s="3" t="str">
        <f t="shared" si="59"/>
        <v>902094</v>
      </c>
      <c r="T555" s="3">
        <v>1</v>
      </c>
      <c r="U555" s="3">
        <v>0</v>
      </c>
      <c r="V555" s="3">
        <v>1</v>
      </c>
      <c r="W555" s="7"/>
      <c r="X555" s="3" t="s">
        <v>675</v>
      </c>
      <c r="Y555" s="3"/>
    </row>
    <row r="556" spans="1:25" x14ac:dyDescent="0.15">
      <c r="A556" s="3">
        <v>902095</v>
      </c>
      <c r="B556" s="3" t="s">
        <v>2751</v>
      </c>
      <c r="C556" s="3">
        <v>500</v>
      </c>
      <c r="D556" s="27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4">
        <v>355</v>
      </c>
      <c r="K556" s="3">
        <v>9</v>
      </c>
      <c r="L556" s="3" t="s">
        <v>625</v>
      </c>
      <c r="M556" s="3">
        <v>902</v>
      </c>
      <c r="N556" s="4" t="s">
        <v>631</v>
      </c>
      <c r="O556" s="3">
        <v>0</v>
      </c>
      <c r="P556" s="3"/>
      <c r="Q556" s="3" t="s">
        <v>601</v>
      </c>
      <c r="R556" s="3" t="str">
        <f t="shared" si="58"/>
        <v>ui_902095</v>
      </c>
      <c r="S556" s="3" t="str">
        <f t="shared" si="59"/>
        <v>902095</v>
      </c>
      <c r="T556" s="3">
        <v>1</v>
      </c>
      <c r="U556" s="3">
        <v>0</v>
      </c>
      <c r="V556" s="3">
        <v>1</v>
      </c>
      <c r="W556" s="7"/>
      <c r="X556" s="3" t="s">
        <v>568</v>
      </c>
      <c r="Y556" s="3"/>
    </row>
    <row r="557" spans="1:25" x14ac:dyDescent="0.15">
      <c r="A557" s="3">
        <v>902096</v>
      </c>
      <c r="B557" s="27" t="s">
        <v>2752</v>
      </c>
      <c r="C557" s="3">
        <v>500</v>
      </c>
      <c r="D557" s="27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4">
        <v>356</v>
      </c>
      <c r="K557" s="3">
        <v>9</v>
      </c>
      <c r="L557" s="3" t="s">
        <v>625</v>
      </c>
      <c r="M557" s="3">
        <v>902</v>
      </c>
      <c r="N557" s="4" t="s">
        <v>631</v>
      </c>
      <c r="O557" s="3">
        <v>0</v>
      </c>
      <c r="P557" s="3"/>
      <c r="Q557" s="3" t="s">
        <v>601</v>
      </c>
      <c r="R557" s="3" t="str">
        <f t="shared" si="58"/>
        <v>ui_902096</v>
      </c>
      <c r="S557" s="3" t="str">
        <f t="shared" si="59"/>
        <v>902096</v>
      </c>
      <c r="T557" s="3">
        <v>1</v>
      </c>
      <c r="U557" s="3">
        <v>0</v>
      </c>
      <c r="V557" s="3">
        <v>1</v>
      </c>
      <c r="W557" s="7"/>
      <c r="X557" s="27" t="s">
        <v>1564</v>
      </c>
      <c r="Y557" s="3"/>
    </row>
    <row r="558" spans="1:25" x14ac:dyDescent="0.15">
      <c r="A558" s="3">
        <v>902097</v>
      </c>
      <c r="B558" s="3" t="s">
        <v>2753</v>
      </c>
      <c r="C558" s="3">
        <v>500</v>
      </c>
      <c r="D558" s="27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4">
        <v>357</v>
      </c>
      <c r="K558" s="3">
        <v>9</v>
      </c>
      <c r="L558" s="3" t="s">
        <v>625</v>
      </c>
      <c r="M558" s="3">
        <v>902</v>
      </c>
      <c r="N558" s="4" t="s">
        <v>631</v>
      </c>
      <c r="O558" s="3">
        <v>0</v>
      </c>
      <c r="P558" s="3"/>
      <c r="Q558" s="3" t="s">
        <v>601</v>
      </c>
      <c r="R558" s="3" t="str">
        <f t="shared" si="58"/>
        <v>ui_902097</v>
      </c>
      <c r="S558" s="3" t="str">
        <f t="shared" si="59"/>
        <v>902097</v>
      </c>
      <c r="T558" s="3">
        <v>1</v>
      </c>
      <c r="U558" s="3">
        <v>0</v>
      </c>
      <c r="V558" s="3">
        <v>1</v>
      </c>
      <c r="W558" s="7"/>
      <c r="X558" s="3" t="s">
        <v>411</v>
      </c>
      <c r="Y558" s="3"/>
    </row>
    <row r="559" spans="1:25" x14ac:dyDescent="0.15">
      <c r="A559" s="3">
        <v>902098</v>
      </c>
      <c r="B559" s="50" t="s">
        <v>2761</v>
      </c>
      <c r="C559" s="3">
        <v>500</v>
      </c>
      <c r="D559" s="27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4">
        <v>358</v>
      </c>
      <c r="K559" s="3">
        <v>9</v>
      </c>
      <c r="L559" s="3" t="s">
        <v>625</v>
      </c>
      <c r="M559" s="3">
        <v>902</v>
      </c>
      <c r="N559" s="4" t="s">
        <v>631</v>
      </c>
      <c r="O559" s="3">
        <v>0</v>
      </c>
      <c r="P559" s="3"/>
      <c r="Q559" s="3" t="s">
        <v>601</v>
      </c>
      <c r="R559" s="3" t="str">
        <f t="shared" si="58"/>
        <v>ui_902098</v>
      </c>
      <c r="S559" s="3" t="str">
        <f t="shared" si="59"/>
        <v>902098</v>
      </c>
      <c r="T559" s="3">
        <v>1</v>
      </c>
      <c r="U559" s="3">
        <v>0</v>
      </c>
      <c r="V559" s="3">
        <v>1</v>
      </c>
      <c r="W559" s="7"/>
      <c r="X559" s="3" t="s">
        <v>676</v>
      </c>
      <c r="Y559" s="3" t="s">
        <v>677</v>
      </c>
    </row>
    <row r="560" spans="1:25" x14ac:dyDescent="0.15">
      <c r="A560" s="3">
        <v>902099</v>
      </c>
      <c r="B560" s="3" t="s">
        <v>678</v>
      </c>
      <c r="C560" s="3">
        <v>500</v>
      </c>
      <c r="D560" s="27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4">
        <v>359</v>
      </c>
      <c r="K560" s="3">
        <v>9</v>
      </c>
      <c r="L560" s="3" t="s">
        <v>625</v>
      </c>
      <c r="M560" s="3">
        <v>902</v>
      </c>
      <c r="N560" s="4" t="s">
        <v>631</v>
      </c>
      <c r="O560" s="3">
        <v>0</v>
      </c>
      <c r="P560" s="3"/>
      <c r="Q560" s="3" t="s">
        <v>601</v>
      </c>
      <c r="R560" s="27" t="s">
        <v>2887</v>
      </c>
      <c r="S560" s="52" t="s">
        <v>2886</v>
      </c>
      <c r="T560" s="3">
        <v>1</v>
      </c>
      <c r="U560" s="3">
        <v>0</v>
      </c>
      <c r="V560" s="3">
        <v>1</v>
      </c>
      <c r="W560" s="7"/>
      <c r="X560" s="3" t="s">
        <v>678</v>
      </c>
      <c r="Y560" s="3"/>
    </row>
    <row r="561" spans="1:25" x14ac:dyDescent="0.15">
      <c r="A561" s="3">
        <v>902100</v>
      </c>
      <c r="B561" s="3" t="s">
        <v>2754</v>
      </c>
      <c r="C561" s="3">
        <v>500</v>
      </c>
      <c r="D561" s="27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4">
        <v>360</v>
      </c>
      <c r="K561" s="3">
        <v>9</v>
      </c>
      <c r="L561" s="3" t="s">
        <v>625</v>
      </c>
      <c r="M561" s="3">
        <v>902</v>
      </c>
      <c r="N561" s="4" t="s">
        <v>631</v>
      </c>
      <c r="O561" s="3">
        <v>0</v>
      </c>
      <c r="P561" s="3"/>
      <c r="Q561" s="3" t="s">
        <v>601</v>
      </c>
      <c r="R561" s="3" t="str">
        <f>CONCATENATE("ui_",A561,"")</f>
        <v>ui_902100</v>
      </c>
      <c r="S561" s="3" t="str">
        <f>CONCATENATE(A561,"")</f>
        <v>902100</v>
      </c>
      <c r="T561" s="3">
        <v>1</v>
      </c>
      <c r="U561" s="3">
        <v>0</v>
      </c>
      <c r="V561" s="3">
        <v>1</v>
      </c>
      <c r="W561" s="7"/>
      <c r="X561" s="3" t="s">
        <v>413</v>
      </c>
      <c r="Y561" s="3"/>
    </row>
    <row r="562" spans="1:25" ht="14.25" customHeight="1" x14ac:dyDescent="0.15">
      <c r="A562" s="3">
        <v>902101</v>
      </c>
      <c r="B562" s="27" t="s">
        <v>1558</v>
      </c>
      <c r="C562" s="3">
        <v>500</v>
      </c>
      <c r="D562" s="27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4">
        <v>361</v>
      </c>
      <c r="K562" s="3">
        <v>9</v>
      </c>
      <c r="L562" s="3" t="s">
        <v>625</v>
      </c>
      <c r="M562" s="3">
        <v>902</v>
      </c>
      <c r="N562" s="4" t="s">
        <v>631</v>
      </c>
      <c r="O562" s="3">
        <v>0</v>
      </c>
      <c r="P562" s="3"/>
      <c r="Q562" s="3" t="s">
        <v>601</v>
      </c>
      <c r="R562" s="27" t="s">
        <v>2890</v>
      </c>
      <c r="S562" s="52" t="s">
        <v>2891</v>
      </c>
      <c r="T562" s="3">
        <v>1</v>
      </c>
      <c r="U562" s="3">
        <v>0</v>
      </c>
      <c r="V562" s="3">
        <v>1</v>
      </c>
      <c r="W562" s="7"/>
      <c r="X562" s="27" t="s">
        <v>1558</v>
      </c>
      <c r="Y562" s="27"/>
    </row>
    <row r="563" spans="1:25" x14ac:dyDescent="0.15">
      <c r="A563" s="3">
        <v>902102</v>
      </c>
      <c r="B563" s="27" t="s">
        <v>1595</v>
      </c>
      <c r="C563" s="3">
        <v>500</v>
      </c>
      <c r="D563" s="27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4">
        <v>362</v>
      </c>
      <c r="K563" s="3">
        <v>9</v>
      </c>
      <c r="L563" s="3" t="s">
        <v>625</v>
      </c>
      <c r="M563" s="3">
        <v>902</v>
      </c>
      <c r="N563" s="4" t="s">
        <v>631</v>
      </c>
      <c r="O563" s="3">
        <v>0</v>
      </c>
      <c r="P563" s="3"/>
      <c r="Q563" s="3" t="s">
        <v>601</v>
      </c>
      <c r="R563" s="3" t="str">
        <f>CONCATENATE("ui_",A563,"")</f>
        <v>ui_902102</v>
      </c>
      <c r="S563" s="3" t="str">
        <f>CONCATENATE(A563,"")</f>
        <v>902102</v>
      </c>
      <c r="T563" s="3">
        <v>1</v>
      </c>
      <c r="U563" s="3">
        <v>0</v>
      </c>
      <c r="V563" s="3">
        <v>1</v>
      </c>
      <c r="W563" s="7"/>
      <c r="X563" s="27" t="s">
        <v>1595</v>
      </c>
      <c r="Y563" s="3" t="s">
        <v>1596</v>
      </c>
    </row>
    <row r="564" spans="1:25" x14ac:dyDescent="0.15">
      <c r="A564" s="3">
        <v>902103</v>
      </c>
      <c r="B564" s="27" t="s">
        <v>1679</v>
      </c>
      <c r="C564" s="3">
        <v>500</v>
      </c>
      <c r="D564" s="27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4">
        <v>363</v>
      </c>
      <c r="K564" s="3">
        <v>9</v>
      </c>
      <c r="L564" s="3" t="s">
        <v>625</v>
      </c>
      <c r="M564" s="3">
        <v>902</v>
      </c>
      <c r="N564" s="4" t="s">
        <v>631</v>
      </c>
      <c r="O564" s="3">
        <v>0</v>
      </c>
      <c r="P564" s="3"/>
      <c r="Q564" s="3" t="s">
        <v>601</v>
      </c>
      <c r="R564" s="3" t="str">
        <f>CONCATENATE("ui_",A564,"")</f>
        <v>ui_902103</v>
      </c>
      <c r="S564" s="3" t="str">
        <f>CONCATENATE(A564,"")</f>
        <v>902103</v>
      </c>
      <c r="T564" s="3">
        <v>1</v>
      </c>
      <c r="U564" s="3">
        <v>0</v>
      </c>
      <c r="V564" s="3">
        <v>1</v>
      </c>
      <c r="W564" s="7"/>
      <c r="X564" s="27" t="s">
        <v>1679</v>
      </c>
      <c r="Y564" s="3"/>
    </row>
    <row r="565" spans="1:25" x14ac:dyDescent="0.15">
      <c r="A565" s="3">
        <v>902104</v>
      </c>
      <c r="B565" s="27" t="s">
        <v>2756</v>
      </c>
      <c r="C565" s="3">
        <v>500</v>
      </c>
      <c r="D565" s="27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4">
        <v>364</v>
      </c>
      <c r="K565" s="3">
        <v>9</v>
      </c>
      <c r="L565" s="3" t="s">
        <v>625</v>
      </c>
      <c r="M565" s="3">
        <v>902</v>
      </c>
      <c r="N565" s="4" t="s">
        <v>631</v>
      </c>
      <c r="O565" s="3">
        <v>0</v>
      </c>
      <c r="P565" s="3"/>
      <c r="Q565" s="3" t="s">
        <v>601</v>
      </c>
      <c r="R565" s="27" t="s">
        <v>2892</v>
      </c>
      <c r="S565" s="52" t="s">
        <v>2893</v>
      </c>
      <c r="T565" s="3">
        <v>1</v>
      </c>
      <c r="U565" s="3">
        <v>0</v>
      </c>
      <c r="V565" s="3">
        <v>1</v>
      </c>
      <c r="W565" s="7"/>
      <c r="X565" s="27" t="s">
        <v>1770</v>
      </c>
      <c r="Y565" s="3"/>
    </row>
    <row r="566" spans="1:25" x14ac:dyDescent="0.15">
      <c r="A566" s="3">
        <v>902105</v>
      </c>
      <c r="B566" s="27" t="s">
        <v>2755</v>
      </c>
      <c r="C566" s="3">
        <v>500</v>
      </c>
      <c r="D566" s="27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4">
        <v>365</v>
      </c>
      <c r="K566" s="3">
        <v>9</v>
      </c>
      <c r="L566" s="3" t="s">
        <v>625</v>
      </c>
      <c r="M566" s="3">
        <v>902</v>
      </c>
      <c r="N566" s="4" t="s">
        <v>631</v>
      </c>
      <c r="O566" s="3">
        <v>0</v>
      </c>
      <c r="P566" s="3"/>
      <c r="Q566" s="3" t="s">
        <v>601</v>
      </c>
      <c r="R566" s="3" t="str">
        <f>CONCATENATE("ui_",A566,"")</f>
        <v>ui_902105</v>
      </c>
      <c r="S566" s="3" t="str">
        <f>CONCATENATE(A566,"")</f>
        <v>902105</v>
      </c>
      <c r="T566" s="3">
        <v>1</v>
      </c>
      <c r="U566" s="3">
        <v>0</v>
      </c>
      <c r="V566" s="3">
        <v>1</v>
      </c>
      <c r="W566" s="7"/>
      <c r="X566" s="27" t="s">
        <v>1766</v>
      </c>
      <c r="Y566" s="3"/>
    </row>
    <row r="567" spans="1:25" x14ac:dyDescent="0.15">
      <c r="A567" s="3">
        <v>902106</v>
      </c>
      <c r="B567" s="27" t="s">
        <v>1801</v>
      </c>
      <c r="C567" s="3">
        <v>500</v>
      </c>
      <c r="D567" s="27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4">
        <v>365</v>
      </c>
      <c r="K567" s="3">
        <v>9</v>
      </c>
      <c r="L567" s="3" t="s">
        <v>625</v>
      </c>
      <c r="M567" s="3">
        <v>902</v>
      </c>
      <c r="N567" s="4" t="s">
        <v>631</v>
      </c>
      <c r="O567" s="3">
        <v>0</v>
      </c>
      <c r="P567" s="3"/>
      <c r="Q567" s="3" t="s">
        <v>601</v>
      </c>
      <c r="R567" s="27" t="s">
        <v>2894</v>
      </c>
      <c r="S567" s="52" t="s">
        <v>2895</v>
      </c>
      <c r="T567" s="3">
        <v>1</v>
      </c>
      <c r="U567" s="3">
        <v>0</v>
      </c>
      <c r="V567" s="3">
        <v>1</v>
      </c>
      <c r="W567" s="7"/>
      <c r="X567" s="27" t="s">
        <v>1801</v>
      </c>
      <c r="Y567" s="3"/>
    </row>
    <row r="568" spans="1:25" x14ac:dyDescent="0.15">
      <c r="A568" s="3">
        <v>902108</v>
      </c>
      <c r="B568" s="27" t="s">
        <v>1843</v>
      </c>
      <c r="C568" s="3">
        <v>500</v>
      </c>
      <c r="D568" s="27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4">
        <v>365</v>
      </c>
      <c r="K568" s="3">
        <v>9</v>
      </c>
      <c r="L568" s="3" t="s">
        <v>625</v>
      </c>
      <c r="M568" s="3">
        <v>902</v>
      </c>
      <c r="N568" s="4" t="s">
        <v>631</v>
      </c>
      <c r="O568" s="3">
        <v>0</v>
      </c>
      <c r="P568" s="3"/>
      <c r="Q568" s="3" t="s">
        <v>601</v>
      </c>
      <c r="R568" s="3" t="str">
        <f t="shared" ref="R568:R577" si="60">CONCATENATE("ui_",A568,"")</f>
        <v>ui_902108</v>
      </c>
      <c r="S568" s="3" t="str">
        <f t="shared" ref="S568:S577" si="61">CONCATENATE(A568,"")</f>
        <v>902108</v>
      </c>
      <c r="T568" s="3">
        <v>1</v>
      </c>
      <c r="U568" s="3">
        <v>0</v>
      </c>
      <c r="V568" s="3">
        <v>1</v>
      </c>
      <c r="W568" s="7"/>
      <c r="X568" s="27" t="s">
        <v>1843</v>
      </c>
      <c r="Y568" s="3"/>
    </row>
    <row r="569" spans="1:25" x14ac:dyDescent="0.15">
      <c r="A569" s="3">
        <v>902109</v>
      </c>
      <c r="B569" s="27" t="s">
        <v>1858</v>
      </c>
      <c r="C569" s="3">
        <v>500</v>
      </c>
      <c r="D569" s="27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4">
        <v>365</v>
      </c>
      <c r="K569" s="3">
        <v>9</v>
      </c>
      <c r="L569" s="3" t="s">
        <v>625</v>
      </c>
      <c r="M569" s="3">
        <v>902</v>
      </c>
      <c r="N569" s="4" t="s">
        <v>631</v>
      </c>
      <c r="O569" s="3">
        <v>0</v>
      </c>
      <c r="P569" s="3"/>
      <c r="Q569" s="3" t="s">
        <v>601</v>
      </c>
      <c r="R569" s="3" t="str">
        <f t="shared" si="60"/>
        <v>ui_902109</v>
      </c>
      <c r="S569" s="3" t="str">
        <f t="shared" si="61"/>
        <v>902109</v>
      </c>
      <c r="T569" s="3">
        <v>1</v>
      </c>
      <c r="U569" s="3">
        <v>0</v>
      </c>
      <c r="V569" s="3">
        <v>1</v>
      </c>
      <c r="W569" s="7"/>
      <c r="X569" s="27" t="s">
        <v>1859</v>
      </c>
      <c r="Y569" s="3"/>
    </row>
    <row r="570" spans="1:25" x14ac:dyDescent="0.15">
      <c r="A570" s="3">
        <v>902110</v>
      </c>
      <c r="B570" s="50" t="s">
        <v>1860</v>
      </c>
      <c r="C570" s="3">
        <v>500</v>
      </c>
      <c r="D570" s="27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4">
        <v>365</v>
      </c>
      <c r="K570" s="3">
        <v>9</v>
      </c>
      <c r="L570" s="3" t="s">
        <v>625</v>
      </c>
      <c r="M570" s="3">
        <v>902</v>
      </c>
      <c r="N570" s="4" t="s">
        <v>631</v>
      </c>
      <c r="O570" s="3">
        <v>0</v>
      </c>
      <c r="P570" s="3"/>
      <c r="Q570" s="3" t="s">
        <v>601</v>
      </c>
      <c r="R570" s="3" t="str">
        <f t="shared" si="60"/>
        <v>ui_902110</v>
      </c>
      <c r="S570" s="3" t="str">
        <f t="shared" si="61"/>
        <v>902110</v>
      </c>
      <c r="T570" s="3">
        <v>1</v>
      </c>
      <c r="U570" s="3">
        <v>0</v>
      </c>
      <c r="V570" s="3">
        <v>1</v>
      </c>
      <c r="W570" s="7"/>
      <c r="X570" s="27" t="s">
        <v>1860</v>
      </c>
      <c r="Y570" s="27" t="s">
        <v>2082</v>
      </c>
    </row>
    <row r="571" spans="1:25" x14ac:dyDescent="0.15">
      <c r="A571" s="3">
        <v>902111</v>
      </c>
      <c r="B571" s="50" t="s">
        <v>1863</v>
      </c>
      <c r="C571" s="3">
        <v>500</v>
      </c>
      <c r="D571" s="27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4">
        <v>365</v>
      </c>
      <c r="K571" s="3">
        <v>9</v>
      </c>
      <c r="L571" s="3" t="s">
        <v>625</v>
      </c>
      <c r="M571" s="3">
        <v>902</v>
      </c>
      <c r="N571" s="4" t="s">
        <v>631</v>
      </c>
      <c r="O571" s="3">
        <v>0</v>
      </c>
      <c r="P571" s="3"/>
      <c r="Q571" s="3" t="s">
        <v>601</v>
      </c>
      <c r="R571" s="3" t="str">
        <f t="shared" si="60"/>
        <v>ui_902111</v>
      </c>
      <c r="S571" s="3" t="str">
        <f t="shared" si="61"/>
        <v>902111</v>
      </c>
      <c r="T571" s="3">
        <v>1</v>
      </c>
      <c r="U571" s="3">
        <v>0</v>
      </c>
      <c r="V571" s="3">
        <v>1</v>
      </c>
      <c r="W571" s="7"/>
      <c r="X571" s="38" t="s">
        <v>1863</v>
      </c>
      <c r="Y571" s="27" t="s">
        <v>1861</v>
      </c>
    </row>
    <row r="572" spans="1:25" x14ac:dyDescent="0.15">
      <c r="A572" s="3">
        <v>902112</v>
      </c>
      <c r="B572" s="27" t="s">
        <v>1864</v>
      </c>
      <c r="C572" s="3">
        <v>500</v>
      </c>
      <c r="D572" s="27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4">
        <v>365</v>
      </c>
      <c r="K572" s="3">
        <v>9</v>
      </c>
      <c r="L572" s="3" t="s">
        <v>625</v>
      </c>
      <c r="M572" s="3">
        <v>902</v>
      </c>
      <c r="N572" s="4" t="s">
        <v>631</v>
      </c>
      <c r="O572" s="3">
        <v>0</v>
      </c>
      <c r="P572" s="3"/>
      <c r="Q572" s="3" t="s">
        <v>601</v>
      </c>
      <c r="R572" s="3" t="str">
        <f t="shared" si="60"/>
        <v>ui_902112</v>
      </c>
      <c r="S572" s="3" t="str">
        <f t="shared" si="61"/>
        <v>902112</v>
      </c>
      <c r="T572" s="3">
        <v>1</v>
      </c>
      <c r="U572" s="3">
        <v>0</v>
      </c>
      <c r="V572" s="3">
        <v>1</v>
      </c>
      <c r="W572" s="7"/>
      <c r="X572" s="3" t="str">
        <f t="shared" ref="X572:X577" si="62">B572</f>
        <v>启蒙书</v>
      </c>
      <c r="Y572" s="27"/>
    </row>
    <row r="573" spans="1:25" x14ac:dyDescent="0.15">
      <c r="A573" s="3">
        <v>902113</v>
      </c>
      <c r="B573" s="27" t="s">
        <v>2758</v>
      </c>
      <c r="C573" s="3">
        <v>500</v>
      </c>
      <c r="D573" s="27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4">
        <v>365</v>
      </c>
      <c r="K573" s="3">
        <v>9</v>
      </c>
      <c r="L573" s="3" t="s">
        <v>625</v>
      </c>
      <c r="M573" s="3">
        <v>902</v>
      </c>
      <c r="N573" s="4" t="s">
        <v>631</v>
      </c>
      <c r="O573" s="3">
        <v>0</v>
      </c>
      <c r="P573" s="3"/>
      <c r="Q573" s="3" t="s">
        <v>601</v>
      </c>
      <c r="R573" s="3" t="str">
        <f t="shared" si="60"/>
        <v>ui_902113</v>
      </c>
      <c r="S573" s="3" t="str">
        <f t="shared" si="61"/>
        <v>902113</v>
      </c>
      <c r="T573" s="3">
        <v>1</v>
      </c>
      <c r="U573" s="3">
        <v>0</v>
      </c>
      <c r="V573" s="3">
        <v>1</v>
      </c>
      <c r="W573" s="7"/>
      <c r="X573" s="3" t="str">
        <f t="shared" si="62"/>
        <v>磨坊</v>
      </c>
      <c r="Y573" s="27"/>
    </row>
    <row r="574" spans="1:25" x14ac:dyDescent="0.15">
      <c r="A574" s="3">
        <v>902114</v>
      </c>
      <c r="B574" s="27" t="s">
        <v>1895</v>
      </c>
      <c r="C574" s="6">
        <v>500</v>
      </c>
      <c r="D574" s="27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4">
        <v>365</v>
      </c>
      <c r="K574" s="3">
        <v>9</v>
      </c>
      <c r="L574" s="3" t="s">
        <v>625</v>
      </c>
      <c r="M574" s="3">
        <v>902</v>
      </c>
      <c r="N574" s="4" t="s">
        <v>631</v>
      </c>
      <c r="O574" s="3">
        <v>0</v>
      </c>
      <c r="P574" s="27"/>
      <c r="Q574" s="3" t="s">
        <v>601</v>
      </c>
      <c r="R574" s="3" t="str">
        <f t="shared" si="60"/>
        <v>ui_902114</v>
      </c>
      <c r="S574" s="3" t="str">
        <f t="shared" si="61"/>
        <v>902114</v>
      </c>
      <c r="T574" s="3">
        <v>1</v>
      </c>
      <c r="U574" s="3">
        <v>0</v>
      </c>
      <c r="V574" s="3">
        <v>1</v>
      </c>
      <c r="W574" s="7"/>
      <c r="X574" s="3" t="str">
        <f t="shared" si="62"/>
        <v>心灵书</v>
      </c>
      <c r="Y574" s="27"/>
    </row>
    <row r="575" spans="1:25" x14ac:dyDescent="0.15">
      <c r="A575" s="3">
        <v>902115</v>
      </c>
      <c r="B575" s="27" t="s">
        <v>1897</v>
      </c>
      <c r="C575" s="6">
        <v>500</v>
      </c>
      <c r="D575" s="27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4">
        <v>365</v>
      </c>
      <c r="K575" s="3">
        <v>9</v>
      </c>
      <c r="L575" s="3" t="s">
        <v>625</v>
      </c>
      <c r="M575" s="3">
        <v>902</v>
      </c>
      <c r="N575" s="4" t="s">
        <v>631</v>
      </c>
      <c r="O575" s="3">
        <v>0</v>
      </c>
      <c r="P575" s="27"/>
      <c r="Q575" s="3" t="s">
        <v>601</v>
      </c>
      <c r="R575" s="3" t="str">
        <f t="shared" si="60"/>
        <v>ui_902115</v>
      </c>
      <c r="S575" s="3" t="str">
        <f t="shared" si="61"/>
        <v>902115</v>
      </c>
      <c r="T575" s="3">
        <v>1</v>
      </c>
      <c r="U575" s="3">
        <v>0</v>
      </c>
      <c r="V575" s="3">
        <v>1</v>
      </c>
      <c r="W575" s="7"/>
      <c r="X575" s="3" t="str">
        <f t="shared" si="62"/>
        <v>野营</v>
      </c>
      <c r="Y575" s="27"/>
    </row>
    <row r="576" spans="1:25" x14ac:dyDescent="0.15">
      <c r="A576" s="3">
        <v>902116</v>
      </c>
      <c r="B576" s="27" t="s">
        <v>1903</v>
      </c>
      <c r="C576" s="6">
        <v>500</v>
      </c>
      <c r="D576" s="27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4">
        <v>365</v>
      </c>
      <c r="K576" s="3">
        <v>9</v>
      </c>
      <c r="L576" s="3" t="s">
        <v>625</v>
      </c>
      <c r="M576" s="3">
        <v>902</v>
      </c>
      <c r="N576" s="4" t="s">
        <v>631</v>
      </c>
      <c r="O576" s="3">
        <v>0</v>
      </c>
      <c r="P576" s="27"/>
      <c r="Q576" s="3" t="s">
        <v>601</v>
      </c>
      <c r="R576" s="3" t="str">
        <f t="shared" si="60"/>
        <v>ui_902116</v>
      </c>
      <c r="S576" s="3" t="str">
        <f t="shared" si="61"/>
        <v>902116</v>
      </c>
      <c r="T576" s="3">
        <v>1</v>
      </c>
      <c r="U576" s="3">
        <v>0</v>
      </c>
      <c r="V576" s="3">
        <v>1</v>
      </c>
      <c r="W576" s="7"/>
      <c r="X576" s="3" t="str">
        <f t="shared" si="62"/>
        <v>蘑菇培育</v>
      </c>
      <c r="Y576" s="27"/>
    </row>
    <row r="577" spans="1:25" x14ac:dyDescent="0.15">
      <c r="A577" s="3">
        <v>902117</v>
      </c>
      <c r="B577" s="50" t="s">
        <v>3518</v>
      </c>
      <c r="C577" s="6">
        <v>500</v>
      </c>
      <c r="D577" s="27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4">
        <v>365</v>
      </c>
      <c r="K577" s="3">
        <v>9</v>
      </c>
      <c r="L577" s="3" t="s">
        <v>625</v>
      </c>
      <c r="M577" s="3">
        <v>902</v>
      </c>
      <c r="N577" s="4" t="s">
        <v>631</v>
      </c>
      <c r="O577" s="3">
        <v>0</v>
      </c>
      <c r="P577" s="27"/>
      <c r="Q577" s="3" t="s">
        <v>601</v>
      </c>
      <c r="R577" s="3" t="str">
        <f t="shared" si="60"/>
        <v>ui_902117</v>
      </c>
      <c r="S577" s="3" t="str">
        <f t="shared" si="61"/>
        <v>902117</v>
      </c>
      <c r="T577" s="3">
        <v>1</v>
      </c>
      <c r="U577" s="3">
        <v>0</v>
      </c>
      <c r="V577" s="3">
        <v>1</v>
      </c>
      <c r="W577" s="7"/>
      <c r="X577" s="3" t="str">
        <f t="shared" si="62"/>
        <v>倾诉</v>
      </c>
      <c r="Y577" s="27" t="s">
        <v>3519</v>
      </c>
    </row>
    <row r="578" spans="1:25" ht="14.25" customHeight="1" x14ac:dyDescent="0.15">
      <c r="A578" s="3">
        <v>902118</v>
      </c>
      <c r="B578" s="3" t="s">
        <v>2757</v>
      </c>
      <c r="C578" s="6">
        <v>500</v>
      </c>
      <c r="D578" s="27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4">
        <v>365</v>
      </c>
      <c r="K578" s="3">
        <v>9</v>
      </c>
      <c r="L578" s="3" t="s">
        <v>625</v>
      </c>
      <c r="M578" s="3">
        <v>902</v>
      </c>
      <c r="N578" s="4" t="s">
        <v>631</v>
      </c>
      <c r="O578" s="3">
        <v>0</v>
      </c>
      <c r="P578" s="27"/>
      <c r="Q578" s="3" t="s">
        <v>601</v>
      </c>
      <c r="R578" s="27" t="s">
        <v>2896</v>
      </c>
      <c r="S578" s="52" t="s">
        <v>2898</v>
      </c>
      <c r="T578" s="3">
        <v>1</v>
      </c>
      <c r="U578" s="3">
        <v>0</v>
      </c>
      <c r="V578" s="3">
        <v>1</v>
      </c>
      <c r="W578" s="7"/>
      <c r="X578" s="27" t="s">
        <v>1937</v>
      </c>
      <c r="Y578" s="27"/>
    </row>
    <row r="579" spans="1:25" x14ac:dyDescent="0.15">
      <c r="A579" s="3">
        <v>902119</v>
      </c>
      <c r="B579" s="3" t="s">
        <v>1938</v>
      </c>
      <c r="C579" s="6">
        <v>500</v>
      </c>
      <c r="D579" s="27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4">
        <v>365</v>
      </c>
      <c r="K579" s="3">
        <v>9</v>
      </c>
      <c r="L579" s="3" t="s">
        <v>625</v>
      </c>
      <c r="M579" s="3">
        <v>902</v>
      </c>
      <c r="N579" s="4" t="s">
        <v>631</v>
      </c>
      <c r="O579" s="3">
        <v>0</v>
      </c>
      <c r="P579" s="27"/>
      <c r="Q579" s="3" t="s">
        <v>601</v>
      </c>
      <c r="R579" s="27" t="s">
        <v>2897</v>
      </c>
      <c r="S579" s="52" t="s">
        <v>2899</v>
      </c>
      <c r="T579" s="3">
        <v>1</v>
      </c>
      <c r="U579" s="3">
        <v>0</v>
      </c>
      <c r="V579" s="3">
        <v>1</v>
      </c>
      <c r="W579" s="7"/>
      <c r="X579" s="27" t="s">
        <v>1939</v>
      </c>
      <c r="Y579" s="27"/>
    </row>
    <row r="580" spans="1:25" x14ac:dyDescent="0.15">
      <c r="A580" s="3">
        <v>902120</v>
      </c>
      <c r="B580" s="27" t="s">
        <v>1973</v>
      </c>
      <c r="C580" s="3">
        <v>2000</v>
      </c>
      <c r="D580" s="27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4">
        <v>321</v>
      </c>
      <c r="K580" s="3">
        <v>9</v>
      </c>
      <c r="L580" s="3" t="s">
        <v>625</v>
      </c>
      <c r="M580" s="3">
        <v>902</v>
      </c>
      <c r="N580" s="4" t="s">
        <v>631</v>
      </c>
      <c r="O580" s="3">
        <v>0</v>
      </c>
      <c r="P580" s="3"/>
      <c r="Q580" s="3" t="s">
        <v>601</v>
      </c>
      <c r="R580" s="3" t="str">
        <f t="shared" ref="R580:R587" si="63">CONCATENATE("ui_",A580,"")</f>
        <v>ui_902120</v>
      </c>
      <c r="S580" s="3" t="str">
        <f t="shared" ref="S580:S587" si="64">CONCATENATE(A580,"")</f>
        <v>902120</v>
      </c>
      <c r="T580" s="3">
        <v>1</v>
      </c>
      <c r="U580" s="3">
        <v>0</v>
      </c>
      <c r="V580" s="3">
        <v>1</v>
      </c>
      <c r="W580" s="7"/>
      <c r="X580" s="27" t="s">
        <v>1973</v>
      </c>
      <c r="Y580" s="3"/>
    </row>
    <row r="581" spans="1:25" x14ac:dyDescent="0.15">
      <c r="A581" s="3">
        <v>902122</v>
      </c>
      <c r="B581" s="27" t="s">
        <v>2115</v>
      </c>
      <c r="C581" s="3">
        <v>2000</v>
      </c>
      <c r="D581" s="27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4">
        <v>321</v>
      </c>
      <c r="K581" s="3">
        <v>9</v>
      </c>
      <c r="L581" s="3" t="s">
        <v>625</v>
      </c>
      <c r="M581" s="3">
        <v>902</v>
      </c>
      <c r="N581" s="4" t="s">
        <v>631</v>
      </c>
      <c r="O581" s="3">
        <v>0</v>
      </c>
      <c r="P581" s="3"/>
      <c r="Q581" s="3" t="s">
        <v>601</v>
      </c>
      <c r="R581" s="3" t="str">
        <f t="shared" si="63"/>
        <v>ui_902122</v>
      </c>
      <c r="S581" s="3" t="str">
        <f t="shared" si="64"/>
        <v>902122</v>
      </c>
      <c r="T581" s="3">
        <v>1</v>
      </c>
      <c r="U581" s="3">
        <v>0</v>
      </c>
      <c r="V581" s="3">
        <v>1</v>
      </c>
      <c r="W581" s="7"/>
      <c r="X581" s="27" t="s">
        <v>2115</v>
      </c>
      <c r="Y581" s="3"/>
    </row>
    <row r="582" spans="1:25" x14ac:dyDescent="0.15">
      <c r="A582" s="3">
        <v>902123</v>
      </c>
      <c r="B582" s="27" t="s">
        <v>2571</v>
      </c>
      <c r="C582" s="3">
        <v>2000</v>
      </c>
      <c r="D582" s="27">
        <v>0</v>
      </c>
      <c r="E582" s="3">
        <v>0</v>
      </c>
      <c r="F582" s="3">
        <v>0</v>
      </c>
      <c r="G582" s="46">
        <v>0</v>
      </c>
      <c r="H582" s="3">
        <v>0</v>
      </c>
      <c r="I582" s="46">
        <v>0</v>
      </c>
      <c r="J582" s="4">
        <v>0</v>
      </c>
      <c r="K582" s="3">
        <v>9</v>
      </c>
      <c r="L582" s="3" t="s">
        <v>625</v>
      </c>
      <c r="M582" s="3">
        <v>902</v>
      </c>
      <c r="N582" s="4" t="s">
        <v>631</v>
      </c>
      <c r="O582" s="3">
        <v>0</v>
      </c>
      <c r="P582" s="27"/>
      <c r="Q582" s="3" t="s">
        <v>601</v>
      </c>
      <c r="R582" s="3" t="str">
        <f t="shared" si="63"/>
        <v>ui_902123</v>
      </c>
      <c r="S582" s="3" t="str">
        <f t="shared" si="64"/>
        <v>902123</v>
      </c>
      <c r="T582" s="3">
        <v>1</v>
      </c>
      <c r="U582" s="3">
        <v>0</v>
      </c>
      <c r="V582" s="3">
        <v>1</v>
      </c>
      <c r="W582" s="7"/>
      <c r="X582" s="27" t="s">
        <v>2571</v>
      </c>
      <c r="Y582" s="27"/>
    </row>
    <row r="583" spans="1:25" x14ac:dyDescent="0.15">
      <c r="A583" s="3">
        <v>902124</v>
      </c>
      <c r="B583" s="50" t="s">
        <v>2762</v>
      </c>
      <c r="C583" s="3">
        <v>2000</v>
      </c>
      <c r="D583" s="27">
        <v>0</v>
      </c>
      <c r="E583" s="3">
        <v>0</v>
      </c>
      <c r="F583" s="3">
        <v>0</v>
      </c>
      <c r="G583" s="46">
        <v>0</v>
      </c>
      <c r="H583" s="3">
        <v>0</v>
      </c>
      <c r="I583" s="46">
        <v>0</v>
      </c>
      <c r="J583" s="4">
        <v>0</v>
      </c>
      <c r="K583" s="3">
        <v>9</v>
      </c>
      <c r="L583" s="3" t="s">
        <v>625</v>
      </c>
      <c r="M583" s="3">
        <v>902</v>
      </c>
      <c r="N583" s="4" t="s">
        <v>631</v>
      </c>
      <c r="O583" s="3">
        <v>0</v>
      </c>
      <c r="P583" s="27"/>
      <c r="Q583" s="3" t="s">
        <v>601</v>
      </c>
      <c r="R583" s="3" t="str">
        <f t="shared" si="63"/>
        <v>ui_902124</v>
      </c>
      <c r="S583" s="3" t="str">
        <f t="shared" si="64"/>
        <v>902124</v>
      </c>
      <c r="T583" s="3">
        <v>1</v>
      </c>
      <c r="U583" s="3">
        <v>0</v>
      </c>
      <c r="V583" s="3">
        <v>1</v>
      </c>
      <c r="W583" s="7"/>
      <c r="X583" s="27" t="s">
        <v>2627</v>
      </c>
      <c r="Y583" s="27" t="s">
        <v>2630</v>
      </c>
    </row>
    <row r="584" spans="1:25" x14ac:dyDescent="0.15">
      <c r="A584" s="3">
        <v>902125</v>
      </c>
      <c r="B584" s="50" t="s">
        <v>2628</v>
      </c>
      <c r="C584" s="3">
        <v>2000</v>
      </c>
      <c r="D584" s="27">
        <v>0</v>
      </c>
      <c r="E584" s="3">
        <v>0</v>
      </c>
      <c r="F584" s="3">
        <v>0</v>
      </c>
      <c r="G584" s="46">
        <v>0</v>
      </c>
      <c r="H584" s="3">
        <v>0</v>
      </c>
      <c r="I584" s="46">
        <v>0</v>
      </c>
      <c r="J584" s="4">
        <v>0</v>
      </c>
      <c r="K584" s="3">
        <v>9</v>
      </c>
      <c r="L584" s="3" t="s">
        <v>625</v>
      </c>
      <c r="M584" s="3">
        <v>902</v>
      </c>
      <c r="N584" s="4" t="s">
        <v>631</v>
      </c>
      <c r="O584" s="3">
        <v>0</v>
      </c>
      <c r="P584" s="27"/>
      <c r="Q584" s="3" t="s">
        <v>601</v>
      </c>
      <c r="R584" s="3" t="str">
        <f t="shared" si="63"/>
        <v>ui_902125</v>
      </c>
      <c r="S584" s="3" t="str">
        <f t="shared" si="64"/>
        <v>902125</v>
      </c>
      <c r="T584" s="3">
        <v>1</v>
      </c>
      <c r="U584" s="3">
        <v>0</v>
      </c>
      <c r="V584" s="3">
        <v>1</v>
      </c>
      <c r="W584" s="7"/>
      <c r="X584" s="27" t="s">
        <v>2628</v>
      </c>
      <c r="Y584" s="27" t="s">
        <v>2631</v>
      </c>
    </row>
    <row r="585" spans="1:25" x14ac:dyDescent="0.15">
      <c r="A585" s="3">
        <v>902126</v>
      </c>
      <c r="B585" s="50" t="s">
        <v>2629</v>
      </c>
      <c r="C585" s="3">
        <v>2000</v>
      </c>
      <c r="D585" s="27">
        <v>0</v>
      </c>
      <c r="E585" s="3">
        <v>0</v>
      </c>
      <c r="F585" s="3">
        <v>0</v>
      </c>
      <c r="G585" s="46">
        <v>0</v>
      </c>
      <c r="H585" s="3">
        <v>0</v>
      </c>
      <c r="I585" s="46">
        <v>0</v>
      </c>
      <c r="J585" s="4">
        <v>0</v>
      </c>
      <c r="K585" s="3">
        <v>9</v>
      </c>
      <c r="L585" s="3" t="s">
        <v>625</v>
      </c>
      <c r="M585" s="3">
        <v>902</v>
      </c>
      <c r="N585" s="4" t="s">
        <v>631</v>
      </c>
      <c r="O585" s="3">
        <v>0</v>
      </c>
      <c r="P585" s="27"/>
      <c r="Q585" s="3" t="s">
        <v>601</v>
      </c>
      <c r="R585" s="3" t="str">
        <f t="shared" si="63"/>
        <v>ui_902126</v>
      </c>
      <c r="S585" s="3" t="str">
        <f t="shared" si="64"/>
        <v>902126</v>
      </c>
      <c r="T585" s="3">
        <v>1</v>
      </c>
      <c r="U585" s="3">
        <v>0</v>
      </c>
      <c r="V585" s="3">
        <v>1</v>
      </c>
      <c r="W585" s="7"/>
      <c r="X585" s="27" t="s">
        <v>2629</v>
      </c>
      <c r="Y585" s="27" t="s">
        <v>2632</v>
      </c>
    </row>
    <row r="586" spans="1:25" x14ac:dyDescent="0.15">
      <c r="A586" s="3">
        <v>902127</v>
      </c>
      <c r="B586" s="27" t="s">
        <v>2683</v>
      </c>
      <c r="C586" s="3">
        <v>2000</v>
      </c>
      <c r="D586" s="27">
        <v>0</v>
      </c>
      <c r="E586" s="3">
        <v>0</v>
      </c>
      <c r="F586" s="3">
        <v>0</v>
      </c>
      <c r="G586" s="46">
        <v>0</v>
      </c>
      <c r="H586" s="3">
        <v>0</v>
      </c>
      <c r="I586" s="46">
        <v>0</v>
      </c>
      <c r="J586" s="4">
        <v>0</v>
      </c>
      <c r="K586" s="3">
        <v>9</v>
      </c>
      <c r="L586" s="3" t="s">
        <v>625</v>
      </c>
      <c r="M586" s="3">
        <v>902</v>
      </c>
      <c r="N586" s="4" t="s">
        <v>631</v>
      </c>
      <c r="O586" s="3">
        <v>0</v>
      </c>
      <c r="P586" s="27"/>
      <c r="Q586" s="3" t="s">
        <v>601</v>
      </c>
      <c r="R586" s="3" t="str">
        <f t="shared" si="63"/>
        <v>ui_902127</v>
      </c>
      <c r="S586" s="3" t="str">
        <f t="shared" si="64"/>
        <v>902127</v>
      </c>
      <c r="T586" s="3">
        <v>1</v>
      </c>
      <c r="U586" s="3">
        <v>0</v>
      </c>
      <c r="V586" s="3">
        <v>1</v>
      </c>
      <c r="W586" s="7"/>
      <c r="X586" s="27" t="s">
        <v>2683</v>
      </c>
      <c r="Y586" s="27"/>
    </row>
    <row r="587" spans="1:25" x14ac:dyDescent="0.15">
      <c r="A587" s="3">
        <v>902128</v>
      </c>
      <c r="B587" s="27" t="s">
        <v>2720</v>
      </c>
      <c r="C587" s="3">
        <v>2000</v>
      </c>
      <c r="D587" s="27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4">
        <v>318</v>
      </c>
      <c r="K587" s="3">
        <v>9</v>
      </c>
      <c r="L587" s="3" t="s">
        <v>625</v>
      </c>
      <c r="M587" s="3">
        <v>902</v>
      </c>
      <c r="N587" s="4" t="s">
        <v>631</v>
      </c>
      <c r="O587" s="3">
        <v>0</v>
      </c>
      <c r="P587" s="3"/>
      <c r="Q587" s="3" t="s">
        <v>601</v>
      </c>
      <c r="R587" s="3" t="str">
        <f t="shared" si="63"/>
        <v>ui_902128</v>
      </c>
      <c r="S587" s="3" t="str">
        <f t="shared" si="64"/>
        <v>902128</v>
      </c>
      <c r="T587" s="3">
        <v>1</v>
      </c>
      <c r="U587" s="3">
        <v>0</v>
      </c>
      <c r="V587" s="3">
        <v>1</v>
      </c>
      <c r="W587" s="7"/>
      <c r="X587" s="27" t="s">
        <v>2720</v>
      </c>
      <c r="Y587" s="3"/>
    </row>
    <row r="588" spans="1:25" x14ac:dyDescent="0.15">
      <c r="A588" s="3">
        <v>902129</v>
      </c>
      <c r="B588" s="27" t="s">
        <v>2736</v>
      </c>
      <c r="C588" s="3">
        <v>2000</v>
      </c>
      <c r="D588" s="27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4">
        <v>318</v>
      </c>
      <c r="K588" s="3">
        <v>9</v>
      </c>
      <c r="L588" s="3" t="s">
        <v>625</v>
      </c>
      <c r="M588" s="3">
        <v>902</v>
      </c>
      <c r="N588" s="4" t="s">
        <v>631</v>
      </c>
      <c r="O588" s="3">
        <v>0</v>
      </c>
      <c r="P588" s="3"/>
      <c r="Q588" s="3" t="s">
        <v>601</v>
      </c>
      <c r="R588" s="27" t="s">
        <v>3363</v>
      </c>
      <c r="S588" s="52" t="s">
        <v>3364</v>
      </c>
      <c r="T588" s="3">
        <v>1</v>
      </c>
      <c r="U588" s="3">
        <v>0</v>
      </c>
      <c r="V588" s="3">
        <v>1</v>
      </c>
      <c r="W588" s="7"/>
      <c r="X588" s="27" t="s">
        <v>2736</v>
      </c>
      <c r="Y588" s="3"/>
    </row>
    <row r="589" spans="1:25" x14ac:dyDescent="0.15">
      <c r="A589" s="3">
        <v>902130</v>
      </c>
      <c r="B589" s="27" t="s">
        <v>2742</v>
      </c>
      <c r="C589" s="3">
        <v>2000</v>
      </c>
      <c r="D589" s="27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4">
        <v>318</v>
      </c>
      <c r="K589" s="3">
        <v>9</v>
      </c>
      <c r="L589" s="3" t="s">
        <v>625</v>
      </c>
      <c r="M589" s="3">
        <v>902</v>
      </c>
      <c r="N589" s="4" t="s">
        <v>631</v>
      </c>
      <c r="O589" s="3">
        <v>0</v>
      </c>
      <c r="P589" s="3"/>
      <c r="Q589" s="3" t="s">
        <v>601</v>
      </c>
      <c r="R589" s="3" t="str">
        <f>CONCATENATE("ui_",A589,"")</f>
        <v>ui_902130</v>
      </c>
      <c r="S589" s="3" t="str">
        <f>CONCATENATE(A589,"")</f>
        <v>902130</v>
      </c>
      <c r="T589" s="3">
        <v>1</v>
      </c>
      <c r="U589" s="3">
        <v>0</v>
      </c>
      <c r="V589" s="3">
        <v>1</v>
      </c>
      <c r="W589" s="7"/>
      <c r="X589" s="27" t="s">
        <v>2742</v>
      </c>
      <c r="Y589" s="3"/>
    </row>
    <row r="590" spans="1:25" x14ac:dyDescent="0.15">
      <c r="A590" s="3">
        <v>902131</v>
      </c>
      <c r="B590" s="50" t="s">
        <v>2743</v>
      </c>
      <c r="C590" s="3">
        <v>2000</v>
      </c>
      <c r="D590" s="27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4">
        <v>318</v>
      </c>
      <c r="K590" s="3">
        <v>9</v>
      </c>
      <c r="L590" s="3" t="s">
        <v>625</v>
      </c>
      <c r="M590" s="3">
        <v>902</v>
      </c>
      <c r="N590" s="4" t="s">
        <v>631</v>
      </c>
      <c r="O590" s="3">
        <v>0</v>
      </c>
      <c r="P590" s="3"/>
      <c r="Q590" s="3" t="s">
        <v>601</v>
      </c>
      <c r="R590" s="3" t="str">
        <f>CONCATENATE("ui_",A590,"")</f>
        <v>ui_902131</v>
      </c>
      <c r="S590" s="3" t="str">
        <f>CONCATENATE(A590,"")</f>
        <v>902131</v>
      </c>
      <c r="T590" s="3">
        <v>1</v>
      </c>
      <c r="U590" s="3">
        <v>0</v>
      </c>
      <c r="V590" s="3">
        <v>1</v>
      </c>
      <c r="W590" s="7"/>
      <c r="X590" s="27" t="s">
        <v>2743</v>
      </c>
      <c r="Y590" s="3"/>
    </row>
    <row r="591" spans="1:25" x14ac:dyDescent="0.15">
      <c r="A591" s="3">
        <v>902132</v>
      </c>
      <c r="B591" s="50" t="s">
        <v>2759</v>
      </c>
      <c r="C591" s="3">
        <v>2000</v>
      </c>
      <c r="D591" s="27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4">
        <v>318</v>
      </c>
      <c r="K591" s="3">
        <v>9</v>
      </c>
      <c r="L591" s="3" t="s">
        <v>625</v>
      </c>
      <c r="M591" s="3">
        <v>902</v>
      </c>
      <c r="N591" s="4" t="s">
        <v>631</v>
      </c>
      <c r="O591" s="3">
        <v>0</v>
      </c>
      <c r="P591" s="3"/>
      <c r="Q591" s="3" t="s">
        <v>601</v>
      </c>
      <c r="R591" s="3" t="s">
        <v>3479</v>
      </c>
      <c r="S591" s="52" t="s">
        <v>3480</v>
      </c>
      <c r="T591" s="3">
        <v>1</v>
      </c>
      <c r="U591" s="3">
        <v>0</v>
      </c>
      <c r="V591" s="3">
        <v>1</v>
      </c>
      <c r="W591" s="7"/>
      <c r="X591" s="27" t="s">
        <v>2759</v>
      </c>
      <c r="Y591" s="3"/>
    </row>
    <row r="592" spans="1:25" x14ac:dyDescent="0.15">
      <c r="A592" s="3">
        <v>902133</v>
      </c>
      <c r="B592" s="40" t="s">
        <v>2121</v>
      </c>
      <c r="C592" s="3">
        <v>2000</v>
      </c>
      <c r="D592" s="27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4">
        <v>318</v>
      </c>
      <c r="K592" s="3">
        <v>9</v>
      </c>
      <c r="L592" s="3" t="s">
        <v>625</v>
      </c>
      <c r="M592" s="3">
        <v>902</v>
      </c>
      <c r="N592" s="4" t="s">
        <v>631</v>
      </c>
      <c r="O592" s="3">
        <v>0</v>
      </c>
      <c r="P592" s="3"/>
      <c r="Q592" s="3" t="s">
        <v>601</v>
      </c>
      <c r="R592" s="27" t="s">
        <v>2876</v>
      </c>
      <c r="S592" s="52" t="s">
        <v>2877</v>
      </c>
      <c r="T592" s="3">
        <v>1</v>
      </c>
      <c r="U592" s="3">
        <v>0</v>
      </c>
      <c r="V592" s="3">
        <v>1</v>
      </c>
      <c r="W592" s="7"/>
      <c r="X592" s="27" t="s">
        <v>2121</v>
      </c>
      <c r="Y592" s="27"/>
    </row>
    <row r="593" spans="1:25" x14ac:dyDescent="0.15">
      <c r="A593" s="3">
        <v>902134</v>
      </c>
      <c r="B593" s="27" t="s">
        <v>2806</v>
      </c>
      <c r="C593" s="3">
        <v>2000</v>
      </c>
      <c r="D593" s="27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4">
        <v>318</v>
      </c>
      <c r="K593" s="3">
        <v>9</v>
      </c>
      <c r="L593" s="3" t="s">
        <v>625</v>
      </c>
      <c r="M593" s="3">
        <v>902</v>
      </c>
      <c r="N593" s="4" t="s">
        <v>631</v>
      </c>
      <c r="O593" s="3">
        <v>0</v>
      </c>
      <c r="P593" s="3"/>
      <c r="Q593" s="3" t="s">
        <v>601</v>
      </c>
      <c r="R593" s="3" t="str">
        <f>CONCATENATE("ui_",A593,"")</f>
        <v>ui_902134</v>
      </c>
      <c r="S593" s="3" t="str">
        <f>CONCATENATE(A593,"")</f>
        <v>902134</v>
      </c>
      <c r="T593" s="3">
        <v>1</v>
      </c>
      <c r="U593" s="3">
        <v>0</v>
      </c>
      <c r="V593" s="3">
        <v>1</v>
      </c>
      <c r="W593" s="7"/>
      <c r="X593" s="27" t="s">
        <v>2806</v>
      </c>
      <c r="Y593" s="27" t="s">
        <v>2807</v>
      </c>
    </row>
    <row r="594" spans="1:25" x14ac:dyDescent="0.15">
      <c r="A594" s="3">
        <v>902135</v>
      </c>
      <c r="B594" s="27" t="s">
        <v>2820</v>
      </c>
      <c r="C594" s="3">
        <v>2000</v>
      </c>
      <c r="D594" s="27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4">
        <v>318</v>
      </c>
      <c r="K594" s="3">
        <v>9</v>
      </c>
      <c r="L594" s="3" t="s">
        <v>625</v>
      </c>
      <c r="M594" s="3">
        <v>902</v>
      </c>
      <c r="N594" s="4" t="s">
        <v>631</v>
      </c>
      <c r="O594" s="3">
        <v>0</v>
      </c>
      <c r="P594" s="3"/>
      <c r="Q594" s="3" t="s">
        <v>601</v>
      </c>
      <c r="R594" s="27" t="s">
        <v>2832</v>
      </c>
      <c r="S594" s="52" t="s">
        <v>2831</v>
      </c>
      <c r="T594" s="3">
        <v>1</v>
      </c>
      <c r="U594" s="3">
        <v>0</v>
      </c>
      <c r="V594" s="3">
        <v>1</v>
      </c>
      <c r="W594" s="7"/>
      <c r="X594" s="27" t="s">
        <v>2820</v>
      </c>
      <c r="Y594" s="27"/>
    </row>
    <row r="595" spans="1:25" x14ac:dyDescent="0.15">
      <c r="A595" s="3">
        <v>902136</v>
      </c>
      <c r="B595" s="28" t="s">
        <v>2821</v>
      </c>
      <c r="C595" s="3">
        <v>2000</v>
      </c>
      <c r="D595" s="27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4">
        <v>318</v>
      </c>
      <c r="K595" s="3">
        <v>9</v>
      </c>
      <c r="L595" s="3" t="s">
        <v>625</v>
      </c>
      <c r="M595" s="3">
        <v>902</v>
      </c>
      <c r="N595" s="4" t="s">
        <v>631</v>
      </c>
      <c r="O595" s="3">
        <v>0</v>
      </c>
      <c r="P595" s="3"/>
      <c r="Q595" s="3" t="s">
        <v>601</v>
      </c>
      <c r="R595" s="27" t="s">
        <v>2833</v>
      </c>
      <c r="S595" s="52" t="s">
        <v>2834</v>
      </c>
      <c r="T595" s="3">
        <v>1</v>
      </c>
      <c r="U595" s="3">
        <v>0</v>
      </c>
      <c r="V595" s="3">
        <v>1</v>
      </c>
      <c r="W595" s="7"/>
      <c r="X595" s="28" t="s">
        <v>2821</v>
      </c>
      <c r="Y595" s="27"/>
    </row>
    <row r="596" spans="1:25" x14ac:dyDescent="0.15">
      <c r="A596" s="3">
        <v>902137</v>
      </c>
      <c r="B596" s="28" t="s">
        <v>2822</v>
      </c>
      <c r="C596" s="3">
        <v>2000</v>
      </c>
      <c r="D596" s="27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4">
        <v>318</v>
      </c>
      <c r="K596" s="3">
        <v>9</v>
      </c>
      <c r="L596" s="3" t="s">
        <v>625</v>
      </c>
      <c r="M596" s="3">
        <v>902</v>
      </c>
      <c r="N596" s="4" t="s">
        <v>631</v>
      </c>
      <c r="O596" s="3">
        <v>0</v>
      </c>
      <c r="P596" s="3"/>
      <c r="Q596" s="3" t="s">
        <v>601</v>
      </c>
      <c r="R596" s="27" t="s">
        <v>2835</v>
      </c>
      <c r="S596" s="52" t="s">
        <v>2836</v>
      </c>
      <c r="T596" s="3">
        <v>1</v>
      </c>
      <c r="U596" s="3">
        <v>0</v>
      </c>
      <c r="V596" s="3">
        <v>1</v>
      </c>
      <c r="W596" s="7"/>
      <c r="X596" s="28" t="s">
        <v>2822</v>
      </c>
      <c r="Y596" s="27"/>
    </row>
    <row r="597" spans="1:25" x14ac:dyDescent="0.15">
      <c r="A597" s="3">
        <v>902138</v>
      </c>
      <c r="B597" s="28" t="s">
        <v>2823</v>
      </c>
      <c r="C597" s="3">
        <v>2000</v>
      </c>
      <c r="D597" s="27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4">
        <v>318</v>
      </c>
      <c r="K597" s="3">
        <v>9</v>
      </c>
      <c r="L597" s="3" t="s">
        <v>625</v>
      </c>
      <c r="M597" s="3">
        <v>902</v>
      </c>
      <c r="N597" s="4" t="s">
        <v>631</v>
      </c>
      <c r="O597" s="3">
        <v>0</v>
      </c>
      <c r="P597" s="3"/>
      <c r="Q597" s="3" t="s">
        <v>601</v>
      </c>
      <c r="R597" s="27" t="s">
        <v>2837</v>
      </c>
      <c r="S597" s="52" t="s">
        <v>2838</v>
      </c>
      <c r="T597" s="3">
        <v>1</v>
      </c>
      <c r="U597" s="3">
        <v>0</v>
      </c>
      <c r="V597" s="3">
        <v>1</v>
      </c>
      <c r="W597" s="7"/>
      <c r="X597" s="28" t="s">
        <v>2823</v>
      </c>
      <c r="Y597" s="27"/>
    </row>
    <row r="598" spans="1:25" x14ac:dyDescent="0.15">
      <c r="A598" s="3">
        <v>902139</v>
      </c>
      <c r="B598" s="28" t="s">
        <v>2824</v>
      </c>
      <c r="C598" s="3">
        <v>2000</v>
      </c>
      <c r="D598" s="27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4">
        <v>318</v>
      </c>
      <c r="K598" s="3">
        <v>9</v>
      </c>
      <c r="L598" s="3" t="s">
        <v>625</v>
      </c>
      <c r="M598" s="3">
        <v>902</v>
      </c>
      <c r="N598" s="4" t="s">
        <v>631</v>
      </c>
      <c r="O598" s="3">
        <v>0</v>
      </c>
      <c r="P598" s="3"/>
      <c r="Q598" s="3" t="s">
        <v>601</v>
      </c>
      <c r="R598" s="27" t="s">
        <v>2839</v>
      </c>
      <c r="S598" s="52" t="s">
        <v>2840</v>
      </c>
      <c r="T598" s="3">
        <v>1</v>
      </c>
      <c r="U598" s="3">
        <v>0</v>
      </c>
      <c r="V598" s="3">
        <v>1</v>
      </c>
      <c r="W598" s="7"/>
      <c r="X598" s="28" t="s">
        <v>2824</v>
      </c>
      <c r="Y598" s="27"/>
    </row>
    <row r="599" spans="1:25" x14ac:dyDescent="0.15">
      <c r="A599" s="3">
        <v>902140</v>
      </c>
      <c r="B599" s="28" t="s">
        <v>2853</v>
      </c>
      <c r="C599" s="3">
        <v>2000</v>
      </c>
      <c r="D599" s="27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4">
        <v>318</v>
      </c>
      <c r="K599" s="3">
        <v>9</v>
      </c>
      <c r="L599" s="3" t="s">
        <v>625</v>
      </c>
      <c r="M599" s="3">
        <v>902</v>
      </c>
      <c r="N599" s="4" t="s">
        <v>631</v>
      </c>
      <c r="O599" s="3">
        <v>0</v>
      </c>
      <c r="P599" s="3"/>
      <c r="Q599" s="3" t="s">
        <v>601</v>
      </c>
      <c r="R599" s="27" t="s">
        <v>2865</v>
      </c>
      <c r="S599" s="52" t="s">
        <v>2866</v>
      </c>
      <c r="T599" s="3">
        <v>1</v>
      </c>
      <c r="U599" s="3">
        <v>0</v>
      </c>
      <c r="V599" s="3">
        <v>1</v>
      </c>
      <c r="W599" s="7"/>
      <c r="X599" s="28" t="s">
        <v>2853</v>
      </c>
      <c r="Y599" s="27"/>
    </row>
    <row r="600" spans="1:25" x14ac:dyDescent="0.15">
      <c r="A600" s="3">
        <v>902141</v>
      </c>
      <c r="B600" s="28" t="s">
        <v>2845</v>
      </c>
      <c r="C600" s="3">
        <v>2000</v>
      </c>
      <c r="D600" s="27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4">
        <v>318</v>
      </c>
      <c r="K600" s="3">
        <v>9</v>
      </c>
      <c r="L600" s="3" t="s">
        <v>625</v>
      </c>
      <c r="M600" s="3">
        <v>902</v>
      </c>
      <c r="N600" s="4" t="s">
        <v>631</v>
      </c>
      <c r="O600" s="3">
        <v>0</v>
      </c>
      <c r="P600" s="3"/>
      <c r="Q600" s="3" t="s">
        <v>601</v>
      </c>
      <c r="R600" s="27" t="s">
        <v>2854</v>
      </c>
      <c r="S600" s="52" t="s">
        <v>2855</v>
      </c>
      <c r="T600" s="3">
        <v>1</v>
      </c>
      <c r="U600" s="3">
        <v>0</v>
      </c>
      <c r="V600" s="3">
        <v>1</v>
      </c>
      <c r="W600" s="7"/>
      <c r="X600" s="28" t="s">
        <v>2845</v>
      </c>
      <c r="Y600" s="27"/>
    </row>
    <row r="601" spans="1:25" x14ac:dyDescent="0.15">
      <c r="A601" s="3">
        <v>902142</v>
      </c>
      <c r="B601" s="28" t="s">
        <v>2872</v>
      </c>
      <c r="C601" s="3">
        <v>2000</v>
      </c>
      <c r="D601" s="27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4">
        <v>318</v>
      </c>
      <c r="K601" s="3">
        <v>9</v>
      </c>
      <c r="L601" s="3" t="s">
        <v>625</v>
      </c>
      <c r="M601" s="3">
        <v>902</v>
      </c>
      <c r="N601" s="4" t="s">
        <v>631</v>
      </c>
      <c r="O601" s="3">
        <v>0</v>
      </c>
      <c r="P601" s="3"/>
      <c r="Q601" s="3" t="s">
        <v>601</v>
      </c>
      <c r="R601" s="27" t="s">
        <v>2873</v>
      </c>
      <c r="S601" s="52" t="s">
        <v>2874</v>
      </c>
      <c r="T601" s="3">
        <v>1</v>
      </c>
      <c r="U601" s="3">
        <v>0</v>
      </c>
      <c r="V601" s="3">
        <v>1</v>
      </c>
      <c r="W601" s="7"/>
      <c r="X601" s="28" t="s">
        <v>2872</v>
      </c>
      <c r="Y601" s="27"/>
    </row>
    <row r="602" spans="1:25" x14ac:dyDescent="0.15">
      <c r="A602" s="3">
        <v>902143</v>
      </c>
      <c r="B602" s="27" t="s">
        <v>2952</v>
      </c>
      <c r="C602" s="3">
        <v>2000</v>
      </c>
      <c r="D602" s="27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4">
        <v>318</v>
      </c>
      <c r="K602" s="3">
        <v>9</v>
      </c>
      <c r="L602" s="3" t="s">
        <v>625</v>
      </c>
      <c r="M602" s="3">
        <v>902</v>
      </c>
      <c r="N602" s="4" t="s">
        <v>631</v>
      </c>
      <c r="O602" s="3">
        <v>0</v>
      </c>
      <c r="P602" s="3"/>
      <c r="Q602" s="3" t="s">
        <v>601</v>
      </c>
      <c r="R602" s="52" t="s">
        <v>2954</v>
      </c>
      <c r="S602" s="52" t="s">
        <v>2955</v>
      </c>
      <c r="T602" s="3">
        <v>1</v>
      </c>
      <c r="U602" s="3">
        <v>0</v>
      </c>
      <c r="V602" s="3">
        <v>1</v>
      </c>
      <c r="W602" s="7"/>
      <c r="X602" s="27" t="s">
        <v>2952</v>
      </c>
      <c r="Y602" s="27"/>
    </row>
    <row r="603" spans="1:25" x14ac:dyDescent="0.15">
      <c r="A603" s="3">
        <v>902144</v>
      </c>
      <c r="B603" s="27" t="s">
        <v>2964</v>
      </c>
      <c r="C603" s="3">
        <v>2000</v>
      </c>
      <c r="D603" s="27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4">
        <v>318</v>
      </c>
      <c r="K603" s="3">
        <v>9</v>
      </c>
      <c r="L603" s="3" t="s">
        <v>625</v>
      </c>
      <c r="M603" s="3">
        <v>902</v>
      </c>
      <c r="N603" s="4" t="s">
        <v>631</v>
      </c>
      <c r="O603" s="3">
        <v>0</v>
      </c>
      <c r="P603" s="3"/>
      <c r="Q603" s="3" t="s">
        <v>601</v>
      </c>
      <c r="R603" s="27" t="s">
        <v>2962</v>
      </c>
      <c r="S603" s="52" t="s">
        <v>2963</v>
      </c>
      <c r="T603" s="3">
        <v>1</v>
      </c>
      <c r="U603" s="3">
        <v>0</v>
      </c>
      <c r="V603" s="3">
        <v>1</v>
      </c>
      <c r="W603" s="7"/>
      <c r="X603" s="27" t="s">
        <v>2964</v>
      </c>
      <c r="Y603" s="27"/>
    </row>
    <row r="604" spans="1:25" x14ac:dyDescent="0.15">
      <c r="A604" s="3">
        <v>902145</v>
      </c>
      <c r="B604" s="27" t="s">
        <v>2966</v>
      </c>
      <c r="C604" s="3">
        <v>100000</v>
      </c>
      <c r="D604" s="27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4">
        <v>318</v>
      </c>
      <c r="K604" s="3">
        <v>9</v>
      </c>
      <c r="L604" s="3" t="s">
        <v>625</v>
      </c>
      <c r="M604" s="3">
        <v>902</v>
      </c>
      <c r="N604" s="4" t="s">
        <v>631</v>
      </c>
      <c r="O604" s="3">
        <v>0</v>
      </c>
      <c r="P604" s="3"/>
      <c r="Q604" s="3" t="s">
        <v>601</v>
      </c>
      <c r="R604" s="27" t="s">
        <v>2968</v>
      </c>
      <c r="S604" s="52" t="s">
        <v>2969</v>
      </c>
      <c r="T604" s="3">
        <v>1</v>
      </c>
      <c r="U604" s="3">
        <v>0</v>
      </c>
      <c r="V604" s="3">
        <v>1</v>
      </c>
      <c r="W604" s="7"/>
      <c r="X604" s="27" t="s">
        <v>2966</v>
      </c>
      <c r="Y604" s="27"/>
    </row>
    <row r="605" spans="1:25" x14ac:dyDescent="0.15">
      <c r="A605" s="3">
        <v>902146</v>
      </c>
      <c r="B605" s="27" t="s">
        <v>2980</v>
      </c>
      <c r="C605" s="3">
        <v>2000</v>
      </c>
      <c r="D605" s="27">
        <v>0</v>
      </c>
      <c r="E605" s="3">
        <v>0</v>
      </c>
      <c r="F605" s="3">
        <v>0</v>
      </c>
      <c r="G605" s="46">
        <v>0</v>
      </c>
      <c r="H605" s="3">
        <v>0</v>
      </c>
      <c r="I605" s="46">
        <v>0</v>
      </c>
      <c r="J605" s="4">
        <v>0</v>
      </c>
      <c r="K605" s="3">
        <v>9</v>
      </c>
      <c r="L605" s="3" t="s">
        <v>625</v>
      </c>
      <c r="M605" s="3">
        <v>902</v>
      </c>
      <c r="N605" s="4" t="s">
        <v>631</v>
      </c>
      <c r="O605" s="3">
        <v>0</v>
      </c>
      <c r="P605" s="27"/>
      <c r="Q605" s="3" t="s">
        <v>601</v>
      </c>
      <c r="R605" s="3" t="str">
        <f>CONCATENATE("ui_",A605,"")</f>
        <v>ui_902146</v>
      </c>
      <c r="S605" s="3" t="str">
        <f>CONCATENATE(A605,"")</f>
        <v>902146</v>
      </c>
      <c r="T605" s="3">
        <v>1</v>
      </c>
      <c r="U605" s="3">
        <v>0</v>
      </c>
      <c r="V605" s="3">
        <v>1</v>
      </c>
      <c r="W605" s="7"/>
      <c r="X605" s="27" t="s">
        <v>2980</v>
      </c>
      <c r="Y605" s="27" t="s">
        <v>2981</v>
      </c>
    </row>
    <row r="606" spans="1:25" x14ac:dyDescent="0.15">
      <c r="A606" s="3">
        <v>902147</v>
      </c>
      <c r="B606" s="27" t="s">
        <v>2982</v>
      </c>
      <c r="C606" s="3">
        <v>2000</v>
      </c>
      <c r="D606" s="27">
        <v>0</v>
      </c>
      <c r="E606" s="3">
        <v>0</v>
      </c>
      <c r="F606" s="3">
        <v>0</v>
      </c>
      <c r="G606" s="46">
        <v>0</v>
      </c>
      <c r="H606" s="3">
        <v>0</v>
      </c>
      <c r="I606" s="46">
        <v>0</v>
      </c>
      <c r="J606" s="4">
        <v>0</v>
      </c>
      <c r="K606" s="3">
        <v>9</v>
      </c>
      <c r="L606" s="3" t="s">
        <v>625</v>
      </c>
      <c r="M606" s="3">
        <v>902</v>
      </c>
      <c r="N606" s="4" t="s">
        <v>631</v>
      </c>
      <c r="O606" s="3">
        <v>0</v>
      </c>
      <c r="P606" s="27"/>
      <c r="Q606" s="3" t="s">
        <v>601</v>
      </c>
      <c r="R606" s="3" t="str">
        <f>CONCATENATE("ui_",A606,"")</f>
        <v>ui_902147</v>
      </c>
      <c r="S606" s="3" t="str">
        <f>CONCATENATE(A606,"")</f>
        <v>902147</v>
      </c>
      <c r="T606" s="3">
        <v>1</v>
      </c>
      <c r="U606" s="3">
        <v>0</v>
      </c>
      <c r="V606" s="3">
        <v>1</v>
      </c>
      <c r="W606" s="7"/>
      <c r="X606" s="27" t="s">
        <v>2983</v>
      </c>
      <c r="Y606" s="27" t="s">
        <v>2984</v>
      </c>
    </row>
    <row r="607" spans="1:25" x14ac:dyDescent="0.15">
      <c r="A607" s="3">
        <v>902148</v>
      </c>
      <c r="B607" s="27" t="s">
        <v>2994</v>
      </c>
      <c r="C607" s="3">
        <v>2000</v>
      </c>
      <c r="D607" s="27">
        <v>0</v>
      </c>
      <c r="E607" s="3">
        <v>0</v>
      </c>
      <c r="F607" s="3">
        <v>0</v>
      </c>
      <c r="G607" s="46">
        <v>0</v>
      </c>
      <c r="H607" s="3">
        <v>0</v>
      </c>
      <c r="I607" s="46">
        <v>0</v>
      </c>
      <c r="J607" s="4">
        <v>0</v>
      </c>
      <c r="K607" s="3">
        <v>9</v>
      </c>
      <c r="L607" s="3" t="s">
        <v>625</v>
      </c>
      <c r="M607" s="3">
        <v>902</v>
      </c>
      <c r="N607" s="4" t="s">
        <v>631</v>
      </c>
      <c r="O607" s="3">
        <v>0</v>
      </c>
      <c r="P607" s="27"/>
      <c r="Q607" s="3" t="s">
        <v>601</v>
      </c>
      <c r="R607" s="27" t="s">
        <v>2996</v>
      </c>
      <c r="S607" s="52" t="s">
        <v>2997</v>
      </c>
      <c r="T607" s="3">
        <v>1</v>
      </c>
      <c r="U607" s="3">
        <v>0</v>
      </c>
      <c r="V607" s="3">
        <v>1</v>
      </c>
      <c r="W607" s="7"/>
      <c r="X607" s="27" t="s">
        <v>2994</v>
      </c>
      <c r="Y607" s="27"/>
    </row>
    <row r="608" spans="1:25" x14ac:dyDescent="0.15">
      <c r="A608" s="3">
        <v>902149</v>
      </c>
      <c r="B608" s="27" t="s">
        <v>3360</v>
      </c>
      <c r="C608" s="3">
        <v>2000</v>
      </c>
      <c r="D608" s="27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4">
        <v>321</v>
      </c>
      <c r="K608" s="3">
        <v>9</v>
      </c>
      <c r="L608" s="3" t="s">
        <v>625</v>
      </c>
      <c r="M608" s="3">
        <v>902</v>
      </c>
      <c r="N608" s="4" t="s">
        <v>631</v>
      </c>
      <c r="O608" s="3">
        <v>0</v>
      </c>
      <c r="P608" s="3"/>
      <c r="Q608" s="3" t="s">
        <v>601</v>
      </c>
      <c r="R608" s="52" t="s">
        <v>3361</v>
      </c>
      <c r="S608" s="52" t="s">
        <v>3362</v>
      </c>
      <c r="T608" s="3">
        <v>1</v>
      </c>
      <c r="U608" s="3">
        <v>0</v>
      </c>
      <c r="V608" s="3">
        <v>1</v>
      </c>
      <c r="W608" s="7"/>
      <c r="X608" s="3" t="str">
        <f>B608</f>
        <v>兵法书</v>
      </c>
      <c r="Y608" s="3"/>
    </row>
    <row r="609" spans="1:25" x14ac:dyDescent="0.15">
      <c r="A609" s="3">
        <v>902150</v>
      </c>
      <c r="B609" s="27" t="s">
        <v>2626</v>
      </c>
      <c r="C609" s="3">
        <v>2000</v>
      </c>
      <c r="D609" s="27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4">
        <v>321</v>
      </c>
      <c r="K609" s="3">
        <v>9</v>
      </c>
      <c r="L609" s="3" t="s">
        <v>625</v>
      </c>
      <c r="M609" s="3">
        <v>902</v>
      </c>
      <c r="N609" s="4" t="s">
        <v>631</v>
      </c>
      <c r="O609" s="3">
        <v>0</v>
      </c>
      <c r="P609" s="3"/>
      <c r="Q609" s="3" t="s">
        <v>601</v>
      </c>
      <c r="R609" s="52" t="s">
        <v>3358</v>
      </c>
      <c r="S609" s="52" t="s">
        <v>3356</v>
      </c>
      <c r="T609" s="3">
        <v>1</v>
      </c>
      <c r="U609" s="3">
        <v>0</v>
      </c>
      <c r="V609" s="3">
        <v>1</v>
      </c>
      <c r="W609" s="7"/>
      <c r="X609" s="3" t="str">
        <f>B609</f>
        <v>管理书</v>
      </c>
      <c r="Y609" s="3"/>
    </row>
    <row r="610" spans="1:25" x14ac:dyDescent="0.15">
      <c r="A610" s="3">
        <v>902151</v>
      </c>
      <c r="B610" s="27" t="s">
        <v>2624</v>
      </c>
      <c r="C610" s="3">
        <v>2000</v>
      </c>
      <c r="D610" s="27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4">
        <v>321</v>
      </c>
      <c r="K610" s="3">
        <v>9</v>
      </c>
      <c r="L610" s="3" t="s">
        <v>625</v>
      </c>
      <c r="M610" s="3">
        <v>902</v>
      </c>
      <c r="N610" s="4" t="s">
        <v>631</v>
      </c>
      <c r="O610" s="3">
        <v>0</v>
      </c>
      <c r="P610" s="3"/>
      <c r="Q610" s="3" t="s">
        <v>601</v>
      </c>
      <c r="R610" s="52" t="s">
        <v>3359</v>
      </c>
      <c r="S610" s="52" t="s">
        <v>3357</v>
      </c>
      <c r="T610" s="3">
        <v>1</v>
      </c>
      <c r="U610" s="3">
        <v>0</v>
      </c>
      <c r="V610" s="3">
        <v>1</v>
      </c>
      <c r="W610" s="7"/>
      <c r="X610" s="3" t="str">
        <f>B610</f>
        <v>忠义书</v>
      </c>
      <c r="Y610" s="3"/>
    </row>
    <row r="611" spans="1:25" x14ac:dyDescent="0.15">
      <c r="A611" s="3">
        <v>902152</v>
      </c>
      <c r="B611" s="27" t="s">
        <v>3410</v>
      </c>
      <c r="C611" s="3">
        <v>2000</v>
      </c>
      <c r="D611" s="27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4">
        <v>321</v>
      </c>
      <c r="K611" s="3">
        <v>9</v>
      </c>
      <c r="L611" s="3" t="s">
        <v>625</v>
      </c>
      <c r="M611" s="3">
        <v>902</v>
      </c>
      <c r="N611" s="4" t="s">
        <v>631</v>
      </c>
      <c r="O611" s="3">
        <v>0</v>
      </c>
      <c r="P611" s="3"/>
      <c r="Q611" s="3" t="s">
        <v>601</v>
      </c>
      <c r="R611" s="52" t="s">
        <v>3411</v>
      </c>
      <c r="S611" s="52" t="s">
        <v>3412</v>
      </c>
      <c r="T611" s="3">
        <v>1</v>
      </c>
      <c r="U611" s="3">
        <v>0</v>
      </c>
      <c r="V611" s="3">
        <v>1</v>
      </c>
      <c r="W611" s="7"/>
      <c r="X611" s="3" t="str">
        <f>B611</f>
        <v>高效收纳</v>
      </c>
      <c r="Y611" s="27" t="s">
        <v>3413</v>
      </c>
    </row>
    <row r="612" spans="1:25" x14ac:dyDescent="0.15">
      <c r="A612" s="3">
        <v>902153</v>
      </c>
      <c r="B612" s="27" t="s">
        <v>3467</v>
      </c>
      <c r="C612" s="3">
        <v>2000</v>
      </c>
      <c r="D612" s="27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4">
        <v>321</v>
      </c>
      <c r="K612" s="3">
        <v>9</v>
      </c>
      <c r="L612" s="3" t="s">
        <v>625</v>
      </c>
      <c r="M612" s="3">
        <v>902</v>
      </c>
      <c r="N612" s="4" t="s">
        <v>631</v>
      </c>
      <c r="O612" s="3">
        <v>0</v>
      </c>
      <c r="P612" s="3"/>
      <c r="Q612" s="3" t="s">
        <v>601</v>
      </c>
      <c r="R612" s="52" t="s">
        <v>3470</v>
      </c>
      <c r="S612" s="52" t="s">
        <v>3473</v>
      </c>
      <c r="T612" s="3">
        <v>1</v>
      </c>
      <c r="U612" s="3">
        <v>0</v>
      </c>
      <c r="V612" s="3">
        <v>1</v>
      </c>
      <c r="W612" s="7"/>
      <c r="X612" s="3" t="str">
        <f t="shared" ref="X612:X614" si="65">B612</f>
        <v>熏肉</v>
      </c>
      <c r="Y612" s="27" t="s">
        <v>3476</v>
      </c>
    </row>
    <row r="613" spans="1:25" x14ac:dyDescent="0.15">
      <c r="A613" s="3">
        <v>902154</v>
      </c>
      <c r="B613" s="27" t="s">
        <v>3468</v>
      </c>
      <c r="C613" s="3">
        <v>2000</v>
      </c>
      <c r="D613" s="27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4">
        <v>321</v>
      </c>
      <c r="K613" s="3">
        <v>9</v>
      </c>
      <c r="L613" s="3" t="s">
        <v>625</v>
      </c>
      <c r="M613" s="3">
        <v>902</v>
      </c>
      <c r="N613" s="4" t="s">
        <v>631</v>
      </c>
      <c r="O613" s="3">
        <v>0</v>
      </c>
      <c r="P613" s="3"/>
      <c r="Q613" s="3" t="s">
        <v>601</v>
      </c>
      <c r="R613" s="52" t="s">
        <v>3471</v>
      </c>
      <c r="S613" s="52" t="s">
        <v>3474</v>
      </c>
      <c r="T613" s="3">
        <v>1</v>
      </c>
      <c r="U613" s="3">
        <v>0</v>
      </c>
      <c r="V613" s="3">
        <v>1</v>
      </c>
      <c r="W613" s="7"/>
      <c r="X613" s="3" t="str">
        <f t="shared" si="65"/>
        <v>糕点</v>
      </c>
      <c r="Y613" s="27" t="s">
        <v>3477</v>
      </c>
    </row>
    <row r="614" spans="1:25" x14ac:dyDescent="0.15">
      <c r="A614" s="3">
        <v>902155</v>
      </c>
      <c r="B614" s="27" t="s">
        <v>3469</v>
      </c>
      <c r="C614" s="3">
        <v>2000</v>
      </c>
      <c r="D614" s="27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4">
        <v>321</v>
      </c>
      <c r="K614" s="3">
        <v>9</v>
      </c>
      <c r="L614" s="3" t="s">
        <v>625</v>
      </c>
      <c r="M614" s="3">
        <v>902</v>
      </c>
      <c r="N614" s="4" t="s">
        <v>631</v>
      </c>
      <c r="O614" s="3">
        <v>0</v>
      </c>
      <c r="P614" s="3"/>
      <c r="Q614" s="3" t="s">
        <v>601</v>
      </c>
      <c r="R614" s="52" t="s">
        <v>3472</v>
      </c>
      <c r="S614" s="52" t="s">
        <v>3475</v>
      </c>
      <c r="T614" s="3">
        <v>1</v>
      </c>
      <c r="U614" s="3">
        <v>0</v>
      </c>
      <c r="V614" s="3">
        <v>1</v>
      </c>
      <c r="W614" s="7"/>
      <c r="X614" s="3" t="str">
        <f t="shared" si="65"/>
        <v>零食</v>
      </c>
      <c r="Y614" s="27" t="s">
        <v>3478</v>
      </c>
    </row>
    <row r="615" spans="1:25" x14ac:dyDescent="0.15">
      <c r="A615" s="3">
        <v>902156</v>
      </c>
      <c r="B615" s="27" t="s">
        <v>3502</v>
      </c>
      <c r="C615" s="3">
        <v>2000</v>
      </c>
      <c r="D615" s="27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4">
        <v>321</v>
      </c>
      <c r="K615" s="3">
        <v>9</v>
      </c>
      <c r="L615" s="3" t="s">
        <v>625</v>
      </c>
      <c r="M615" s="3">
        <v>902</v>
      </c>
      <c r="N615" s="4" t="s">
        <v>631</v>
      </c>
      <c r="O615" s="3">
        <v>0</v>
      </c>
      <c r="P615" s="3"/>
      <c r="Q615" s="3" t="s">
        <v>601</v>
      </c>
      <c r="R615" s="52" t="s">
        <v>3494</v>
      </c>
      <c r="S615" s="52" t="s">
        <v>3498</v>
      </c>
      <c r="T615" s="3">
        <v>1</v>
      </c>
      <c r="U615" s="3">
        <v>0</v>
      </c>
      <c r="V615" s="3">
        <v>1</v>
      </c>
      <c r="W615" s="7"/>
      <c r="X615" s="3" t="str">
        <f t="shared" ref="X615:X618" si="66">B615</f>
        <v>药茶</v>
      </c>
      <c r="Y615" s="3"/>
    </row>
    <row r="616" spans="1:25" x14ac:dyDescent="0.15">
      <c r="A616" s="3">
        <v>902157</v>
      </c>
      <c r="B616" s="3" t="s">
        <v>3492</v>
      </c>
      <c r="C616" s="3">
        <v>2000</v>
      </c>
      <c r="D616" s="27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4">
        <v>321</v>
      </c>
      <c r="K616" s="3">
        <v>9</v>
      </c>
      <c r="L616" s="3" t="s">
        <v>625</v>
      </c>
      <c r="M616" s="3">
        <v>902</v>
      </c>
      <c r="N616" s="4" t="s">
        <v>631</v>
      </c>
      <c r="O616" s="3">
        <v>0</v>
      </c>
      <c r="P616" s="3"/>
      <c r="Q616" s="3" t="s">
        <v>601</v>
      </c>
      <c r="R616" s="52" t="s">
        <v>3495</v>
      </c>
      <c r="S616" s="52" t="s">
        <v>3499</v>
      </c>
      <c r="T616" s="3">
        <v>1</v>
      </c>
      <c r="U616" s="3">
        <v>0</v>
      </c>
      <c r="V616" s="3">
        <v>1</v>
      </c>
      <c r="W616" s="7"/>
      <c r="X616" s="3" t="str">
        <f t="shared" si="66"/>
        <v>糖</v>
      </c>
      <c r="Y616" s="27"/>
    </row>
    <row r="617" spans="1:25" x14ac:dyDescent="0.15">
      <c r="A617" s="3">
        <v>902158</v>
      </c>
      <c r="B617" s="3" t="s">
        <v>393</v>
      </c>
      <c r="C617" s="3">
        <v>2000</v>
      </c>
      <c r="D617" s="27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4">
        <v>321</v>
      </c>
      <c r="K617" s="3">
        <v>9</v>
      </c>
      <c r="L617" s="3" t="s">
        <v>625</v>
      </c>
      <c r="M617" s="3">
        <v>902</v>
      </c>
      <c r="N617" s="4" t="s">
        <v>631</v>
      </c>
      <c r="O617" s="3">
        <v>0</v>
      </c>
      <c r="P617" s="3"/>
      <c r="Q617" s="3" t="s">
        <v>601</v>
      </c>
      <c r="R617" s="52" t="s">
        <v>3496</v>
      </c>
      <c r="S617" s="52" t="s">
        <v>3500</v>
      </c>
      <c r="T617" s="3">
        <v>1</v>
      </c>
      <c r="U617" s="3">
        <v>0</v>
      </c>
      <c r="V617" s="3">
        <v>1</v>
      </c>
      <c r="W617" s="7"/>
      <c r="X617" s="3" t="str">
        <f t="shared" si="66"/>
        <v>蘑菇精华</v>
      </c>
      <c r="Y617" s="3"/>
    </row>
    <row r="618" spans="1:25" x14ac:dyDescent="0.15">
      <c r="A618" s="3">
        <v>902159</v>
      </c>
      <c r="B618" s="3" t="s">
        <v>3493</v>
      </c>
      <c r="C618" s="3">
        <v>2000</v>
      </c>
      <c r="D618" s="27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4">
        <v>321</v>
      </c>
      <c r="K618" s="3">
        <v>9</v>
      </c>
      <c r="L618" s="3" t="s">
        <v>625</v>
      </c>
      <c r="M618" s="3">
        <v>902</v>
      </c>
      <c r="N618" s="4" t="s">
        <v>631</v>
      </c>
      <c r="O618" s="3">
        <v>0</v>
      </c>
      <c r="P618" s="3"/>
      <c r="Q618" s="3" t="s">
        <v>601</v>
      </c>
      <c r="R618" s="52" t="s">
        <v>3497</v>
      </c>
      <c r="S618" s="52" t="s">
        <v>3501</v>
      </c>
      <c r="T618" s="3">
        <v>1</v>
      </c>
      <c r="U618" s="3">
        <v>0</v>
      </c>
      <c r="V618" s="3">
        <v>1</v>
      </c>
      <c r="W618" s="7"/>
      <c r="X618" s="3" t="str">
        <f t="shared" si="66"/>
        <v>养颜丹</v>
      </c>
      <c r="Y618" s="27"/>
    </row>
    <row r="619" spans="1:25" x14ac:dyDescent="0.15">
      <c r="A619" s="3">
        <v>902160</v>
      </c>
      <c r="B619" s="3" t="s">
        <v>3523</v>
      </c>
      <c r="C619" s="3">
        <v>2000</v>
      </c>
      <c r="D619" s="27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4">
        <v>321</v>
      </c>
      <c r="K619" s="3">
        <v>9</v>
      </c>
      <c r="L619" s="3" t="s">
        <v>625</v>
      </c>
      <c r="M619" s="3">
        <v>902</v>
      </c>
      <c r="N619" s="4" t="s">
        <v>631</v>
      </c>
      <c r="O619" s="3">
        <v>0</v>
      </c>
      <c r="P619" s="3"/>
      <c r="Q619" s="3" t="s">
        <v>601</v>
      </c>
      <c r="R619" s="52" t="s">
        <v>3524</v>
      </c>
      <c r="S619" s="52" t="s">
        <v>3525</v>
      </c>
      <c r="T619" s="3">
        <v>1</v>
      </c>
      <c r="U619" s="3">
        <v>0</v>
      </c>
      <c r="V619" s="3">
        <v>1</v>
      </c>
      <c r="W619" s="7"/>
      <c r="X619" s="3" t="s">
        <v>129</v>
      </c>
      <c r="Y619" s="27"/>
    </row>
    <row r="620" spans="1:25" x14ac:dyDescent="0.15">
      <c r="A620" s="3">
        <v>902161</v>
      </c>
      <c r="B620" s="31" t="s">
        <v>3543</v>
      </c>
      <c r="C620" s="3">
        <v>2000</v>
      </c>
      <c r="D620" s="27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4">
        <v>321</v>
      </c>
      <c r="K620" s="3">
        <v>9</v>
      </c>
      <c r="L620" s="3" t="s">
        <v>625</v>
      </c>
      <c r="M620" s="3">
        <v>902</v>
      </c>
      <c r="N620" s="4" t="s">
        <v>631</v>
      </c>
      <c r="O620" s="3">
        <v>0</v>
      </c>
      <c r="P620" s="3"/>
      <c r="Q620" s="3" t="s">
        <v>601</v>
      </c>
      <c r="R620" s="52" t="s">
        <v>3545</v>
      </c>
      <c r="S620" s="52" t="s">
        <v>3544</v>
      </c>
      <c r="T620" s="3">
        <v>1</v>
      </c>
      <c r="U620" s="3">
        <v>0</v>
      </c>
      <c r="V620" s="3">
        <v>1</v>
      </c>
      <c r="W620" s="7"/>
      <c r="X620" s="27" t="s">
        <v>3543</v>
      </c>
      <c r="Y620" s="27" t="s">
        <v>3546</v>
      </c>
    </row>
    <row r="621" spans="1:25" x14ac:dyDescent="0.15">
      <c r="A621" s="3">
        <v>902162</v>
      </c>
      <c r="B621" s="27" t="s">
        <v>3557</v>
      </c>
      <c r="C621" s="3">
        <v>100000</v>
      </c>
      <c r="D621" s="27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4">
        <v>321</v>
      </c>
      <c r="K621" s="3">
        <v>9</v>
      </c>
      <c r="L621" s="3" t="s">
        <v>625</v>
      </c>
      <c r="M621" s="3">
        <v>902</v>
      </c>
      <c r="N621" s="4" t="s">
        <v>631</v>
      </c>
      <c r="O621" s="3">
        <v>0</v>
      </c>
      <c r="P621" s="3"/>
      <c r="Q621" s="3" t="s">
        <v>601</v>
      </c>
      <c r="R621" s="27" t="s">
        <v>3587</v>
      </c>
      <c r="S621" s="52" t="s">
        <v>3588</v>
      </c>
      <c r="T621" s="3">
        <v>1</v>
      </c>
      <c r="U621" s="3">
        <v>0</v>
      </c>
      <c r="V621" s="3">
        <v>1</v>
      </c>
      <c r="W621" s="7"/>
      <c r="X621" s="27" t="s">
        <v>3557</v>
      </c>
      <c r="Y621" s="27"/>
    </row>
    <row r="622" spans="1:25" x14ac:dyDescent="0.15">
      <c r="A622" s="3">
        <v>902163</v>
      </c>
      <c r="B622" s="28" t="s">
        <v>3596</v>
      </c>
      <c r="C622" s="3">
        <v>2000</v>
      </c>
      <c r="D622" s="27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4">
        <v>321</v>
      </c>
      <c r="K622" s="3">
        <v>9</v>
      </c>
      <c r="L622" s="3" t="s">
        <v>625</v>
      </c>
      <c r="M622" s="3">
        <v>902</v>
      </c>
      <c r="N622" s="4" t="s">
        <v>631</v>
      </c>
      <c r="O622" s="3">
        <v>0</v>
      </c>
      <c r="P622" s="3"/>
      <c r="Q622" s="3" t="s">
        <v>601</v>
      </c>
      <c r="R622" s="3" t="s">
        <v>3597</v>
      </c>
      <c r="S622" s="52" t="s">
        <v>3602</v>
      </c>
      <c r="T622" s="3">
        <v>1</v>
      </c>
      <c r="U622" s="3">
        <v>0</v>
      </c>
      <c r="V622" s="3">
        <v>1</v>
      </c>
      <c r="W622" s="7"/>
      <c r="X622" s="27" t="s">
        <v>3603</v>
      </c>
      <c r="Y622" s="3"/>
    </row>
  </sheetData>
  <phoneticPr fontId="6" type="noConversion"/>
  <conditionalFormatting sqref="D1:D1048576">
    <cfRule type="colorScale" priority="53">
      <colorScale>
        <cfvo type="min"/>
        <cfvo type="max"/>
        <color rgb="FFFCFCFF"/>
        <color rgb="FF63BE7B"/>
      </colorScale>
    </cfRule>
  </conditionalFormatting>
  <conditionalFormatting sqref="G28:H29">
    <cfRule type="colorScale" priority="331">
      <colorScale>
        <cfvo type="min"/>
        <cfvo type="max"/>
        <color rgb="FFFCFCFF"/>
        <color rgb="FFF8696B"/>
      </colorScale>
    </cfRule>
  </conditionalFormatting>
  <conditionalFormatting sqref="G33:H34">
    <cfRule type="colorScale" priority="321">
      <colorScale>
        <cfvo type="min"/>
        <cfvo type="max"/>
        <color rgb="FFFCFCFF"/>
        <color rgb="FFF8696B"/>
      </colorScale>
    </cfRule>
  </conditionalFormatting>
  <conditionalFormatting sqref="G82:H82">
    <cfRule type="colorScale" priority="337">
      <colorScale>
        <cfvo type="min"/>
        <cfvo type="max"/>
        <color rgb="FFFCFCFF"/>
        <color rgb="FFF8696B"/>
      </colorScale>
    </cfRule>
  </conditionalFormatting>
  <conditionalFormatting sqref="G83:H83">
    <cfRule type="colorScale" priority="339">
      <colorScale>
        <cfvo type="min"/>
        <cfvo type="max"/>
        <color rgb="FFFCFCFF"/>
        <color rgb="FFF8696B"/>
      </colorScale>
    </cfRule>
  </conditionalFormatting>
  <conditionalFormatting sqref="G84:H84">
    <cfRule type="colorScale" priority="309">
      <colorScale>
        <cfvo type="min"/>
        <cfvo type="max"/>
        <color rgb="FFFCFCFF"/>
        <color rgb="FFF8696B"/>
      </colorScale>
    </cfRule>
  </conditionalFormatting>
  <conditionalFormatting sqref="G85:H85">
    <cfRule type="colorScale" priority="285">
      <colorScale>
        <cfvo type="min"/>
        <cfvo type="max"/>
        <color rgb="FFFCFCFF"/>
        <color rgb="FFF8696B"/>
      </colorScale>
    </cfRule>
  </conditionalFormatting>
  <conditionalFormatting sqref="G86:H93">
    <cfRule type="colorScale" priority="2704">
      <colorScale>
        <cfvo type="min"/>
        <cfvo type="max"/>
        <color rgb="FFFCFCFF"/>
        <color rgb="FFF8696B"/>
      </colorScale>
    </cfRule>
  </conditionalFormatting>
  <conditionalFormatting sqref="G88:H93">
    <cfRule type="colorScale" priority="2705">
      <colorScale>
        <cfvo type="min"/>
        <cfvo type="max"/>
        <color rgb="FFFCFCFF"/>
        <color rgb="FFF8696B"/>
      </colorScale>
    </cfRule>
  </conditionalFormatting>
  <conditionalFormatting sqref="G89:H93">
    <cfRule type="colorScale" priority="2706">
      <colorScale>
        <cfvo type="min"/>
        <cfvo type="max"/>
        <color rgb="FFFCFCFF"/>
        <color rgb="FFF8696B"/>
      </colorScale>
    </cfRule>
  </conditionalFormatting>
  <conditionalFormatting sqref="G95:H96">
    <cfRule type="colorScale" priority="229">
      <colorScale>
        <cfvo type="min"/>
        <cfvo type="max"/>
        <color rgb="FFFCFCFF"/>
        <color rgb="FFF8696B"/>
      </colorScale>
    </cfRule>
  </conditionalFormatting>
  <conditionalFormatting sqref="G99:H100">
    <cfRule type="colorScale" priority="142">
      <colorScale>
        <cfvo type="min"/>
        <cfvo type="max"/>
        <color rgb="FFFCFCFF"/>
        <color rgb="FFF8696B"/>
      </colorScale>
    </cfRule>
  </conditionalFormatting>
  <conditionalFormatting sqref="G104:H104">
    <cfRule type="colorScale" priority="233">
      <colorScale>
        <cfvo type="min"/>
        <cfvo type="max"/>
        <color rgb="FFFCFCFF"/>
        <color rgb="FFF8696B"/>
      </colorScale>
    </cfRule>
  </conditionalFormatting>
  <conditionalFormatting sqref="G105:H105">
    <cfRule type="colorScale" priority="231">
      <colorScale>
        <cfvo type="min"/>
        <cfvo type="max"/>
        <color rgb="FFFCFCFF"/>
        <color rgb="FFF8696B"/>
      </colorScale>
    </cfRule>
  </conditionalFormatting>
  <conditionalFormatting sqref="G111:H114">
    <cfRule type="colorScale" priority="3359">
      <colorScale>
        <cfvo type="min"/>
        <cfvo type="max"/>
        <color rgb="FFFCFCFF"/>
        <color rgb="FFF8696B"/>
      </colorScale>
    </cfRule>
  </conditionalFormatting>
  <conditionalFormatting sqref="G112:H114">
    <cfRule type="colorScale" priority="3360">
      <colorScale>
        <cfvo type="min"/>
        <cfvo type="max"/>
        <color rgb="FFFCFCFF"/>
        <color rgb="FFF8696B"/>
      </colorScale>
    </cfRule>
  </conditionalFormatting>
  <conditionalFormatting sqref="G116:H116">
    <cfRule type="colorScale" priority="75">
      <colorScale>
        <cfvo type="min"/>
        <cfvo type="max"/>
        <color rgb="FFFCFCFF"/>
        <color rgb="FFF8696B"/>
      </colorScale>
    </cfRule>
    <cfRule type="colorScale" priority="76">
      <colorScale>
        <cfvo type="min"/>
        <cfvo type="max"/>
        <color rgb="FFFCFCFF"/>
        <color rgb="FFF8696B"/>
      </colorScale>
    </cfRule>
  </conditionalFormatting>
  <conditionalFormatting sqref="G117:H117">
    <cfRule type="colorScale" priority="68">
      <colorScale>
        <cfvo type="min"/>
        <cfvo type="max"/>
        <color rgb="FFFCFCFF"/>
        <color rgb="FFF8696B"/>
      </colorScale>
    </cfRule>
  </conditionalFormatting>
  <conditionalFormatting sqref="G131:H135">
    <cfRule type="colorScale" priority="3498">
      <colorScale>
        <cfvo type="min"/>
        <cfvo type="max"/>
        <color rgb="FFFCFCFF"/>
        <color rgb="FFF8696B"/>
      </colorScale>
    </cfRule>
  </conditionalFormatting>
  <conditionalFormatting sqref="G138:H141 G392:H397">
    <cfRule type="colorScale" priority="273">
      <colorScale>
        <cfvo type="min"/>
        <cfvo type="max"/>
        <color rgb="FFFCFCFF"/>
        <color rgb="FFF8696B"/>
      </colorScale>
    </cfRule>
  </conditionalFormatting>
  <conditionalFormatting sqref="G168:H168">
    <cfRule type="colorScale" priority="257">
      <colorScale>
        <cfvo type="min"/>
        <cfvo type="max"/>
        <color rgb="FFFCFCFF"/>
        <color rgb="FFF8696B"/>
      </colorScale>
    </cfRule>
  </conditionalFormatting>
  <conditionalFormatting sqref="G169:H169">
    <cfRule type="colorScale" priority="221">
      <colorScale>
        <cfvo type="min"/>
        <cfvo type="max"/>
        <color rgb="FFFCFCFF"/>
        <color rgb="FFF8696B"/>
      </colorScale>
    </cfRule>
  </conditionalFormatting>
  <conditionalFormatting sqref="G172:H172">
    <cfRule type="colorScale" priority="517">
      <colorScale>
        <cfvo type="min"/>
        <cfvo type="max"/>
        <color rgb="FFFCFCFF"/>
        <color rgb="FFF8696B"/>
      </colorScale>
    </cfRule>
  </conditionalFormatting>
  <conditionalFormatting sqref="G247:H248">
    <cfRule type="colorScale" priority="249">
      <colorScale>
        <cfvo type="min"/>
        <cfvo type="max"/>
        <color rgb="FFFCFCFF"/>
        <color rgb="FFF8696B"/>
      </colorScale>
    </cfRule>
  </conditionalFormatting>
  <conditionalFormatting sqref="G249:H263 G268:H271 G337:H338">
    <cfRule type="colorScale" priority="3430">
      <colorScale>
        <cfvo type="min"/>
        <cfvo type="max"/>
        <color rgb="FFFCFCFF"/>
        <color rgb="FFF8696B"/>
      </colorScale>
    </cfRule>
  </conditionalFormatting>
  <conditionalFormatting sqref="G264:H264 G266:H266">
    <cfRule type="colorScale" priority="1634">
      <colorScale>
        <cfvo type="min"/>
        <cfvo type="max"/>
        <color rgb="FFFCFCFF"/>
        <color rgb="FFF8696B"/>
      </colorScale>
    </cfRule>
  </conditionalFormatting>
  <conditionalFormatting sqref="G298:H298">
    <cfRule type="colorScale" priority="251">
      <colorScale>
        <cfvo type="min"/>
        <cfvo type="max"/>
        <color rgb="FFFCFCFF"/>
        <color rgb="FFF8696B"/>
      </colorScale>
    </cfRule>
  </conditionalFormatting>
  <conditionalFormatting sqref="G323:H323">
    <cfRule type="colorScale" priority="263">
      <colorScale>
        <cfvo type="min"/>
        <cfvo type="max"/>
        <color rgb="FFFCFCFF"/>
        <color rgb="FFF8696B"/>
      </colorScale>
    </cfRule>
  </conditionalFormatting>
  <conditionalFormatting sqref="G324:H324">
    <cfRule type="colorScale" priority="259">
      <colorScale>
        <cfvo type="min"/>
        <cfvo type="max"/>
        <color rgb="FFFCFCFF"/>
        <color rgb="FFF8696B"/>
      </colorScale>
    </cfRule>
  </conditionalFormatting>
  <conditionalFormatting sqref="G325:H325">
    <cfRule type="colorScale" priority="217">
      <colorScale>
        <cfvo type="min"/>
        <cfvo type="max"/>
        <color rgb="FFFCFCFF"/>
        <color rgb="FFF8696B"/>
      </colorScale>
    </cfRule>
  </conditionalFormatting>
  <conditionalFormatting sqref="G326:H326">
    <cfRule type="colorScale" priority="214">
      <colorScale>
        <cfvo type="min"/>
        <cfvo type="max"/>
        <color rgb="FFFCFCFF"/>
        <color rgb="FFF8696B"/>
      </colorScale>
    </cfRule>
  </conditionalFormatting>
  <conditionalFormatting sqref="G327:H333 G302:H304">
    <cfRule type="colorScale" priority="1002">
      <colorScale>
        <cfvo type="min"/>
        <cfvo type="max"/>
        <color rgb="FFFCFCFF"/>
        <color rgb="FFF8696B"/>
      </colorScale>
    </cfRule>
  </conditionalFormatting>
  <conditionalFormatting sqref="G334:H334 G265:H265 G267:H267">
    <cfRule type="colorScale" priority="1474">
      <colorScale>
        <cfvo type="min"/>
        <cfvo type="max"/>
        <color rgb="FFFCFCFF"/>
        <color rgb="FFF8696B"/>
      </colorScale>
    </cfRule>
  </conditionalFormatting>
  <conditionalFormatting sqref="G359:H359">
    <cfRule type="colorScale" priority="303">
      <colorScale>
        <cfvo type="min"/>
        <cfvo type="max"/>
        <color rgb="FFFCFCFF"/>
        <color rgb="FFF8696B"/>
      </colorScale>
    </cfRule>
  </conditionalFormatting>
  <conditionalFormatting sqref="G360:H360">
    <cfRule type="colorScale" priority="299">
      <colorScale>
        <cfvo type="min"/>
        <cfvo type="max"/>
        <color rgb="FFFCFCFF"/>
        <color rgb="FFF8696B"/>
      </colorScale>
    </cfRule>
  </conditionalFormatting>
  <conditionalFormatting sqref="G361:H361">
    <cfRule type="colorScale" priority="301">
      <colorScale>
        <cfvo type="min"/>
        <cfvo type="max"/>
        <color rgb="FFFCFCFF"/>
        <color rgb="FFF8696B"/>
      </colorScale>
    </cfRule>
  </conditionalFormatting>
  <conditionalFormatting sqref="G362:H362">
    <cfRule type="colorScale" priority="297">
      <colorScale>
        <cfvo type="min"/>
        <cfvo type="max"/>
        <color rgb="FFFCFCFF"/>
        <color rgb="FFF8696B"/>
      </colorScale>
    </cfRule>
  </conditionalFormatting>
  <conditionalFormatting sqref="G363:H363">
    <cfRule type="colorScale" priority="293">
      <colorScale>
        <cfvo type="min"/>
        <cfvo type="max"/>
        <color rgb="FFFCFCFF"/>
        <color rgb="FFF8696B"/>
      </colorScale>
    </cfRule>
  </conditionalFormatting>
  <conditionalFormatting sqref="G364:H364">
    <cfRule type="colorScale" priority="291">
      <colorScale>
        <cfvo type="min"/>
        <cfvo type="max"/>
        <color rgb="FFFCFCFF"/>
        <color rgb="FFF8696B"/>
      </colorScale>
    </cfRule>
  </conditionalFormatting>
  <conditionalFormatting sqref="G365:H365">
    <cfRule type="colorScale" priority="289">
      <colorScale>
        <cfvo type="min"/>
        <cfvo type="max"/>
        <color rgb="FFFCFCFF"/>
        <color rgb="FFF8696B"/>
      </colorScale>
    </cfRule>
  </conditionalFormatting>
  <conditionalFormatting sqref="G388:H388">
    <cfRule type="colorScale" priority="281">
      <colorScale>
        <cfvo type="min"/>
        <cfvo type="max"/>
        <color rgb="FFFCFCFF"/>
        <color rgb="FFF8696B"/>
      </colorScale>
    </cfRule>
  </conditionalFormatting>
  <conditionalFormatting sqref="G389:H389">
    <cfRule type="colorScale" priority="204">
      <colorScale>
        <cfvo type="min"/>
        <cfvo type="max"/>
        <color rgb="FFFCFCFF"/>
        <color rgb="FFF8696B"/>
      </colorScale>
    </cfRule>
  </conditionalFormatting>
  <conditionalFormatting sqref="G390:H390">
    <cfRule type="colorScale" priority="207">
      <colorScale>
        <cfvo type="min"/>
        <cfvo type="max"/>
        <color rgb="FFFCFCFF"/>
        <color rgb="FFF8696B"/>
      </colorScale>
    </cfRule>
  </conditionalFormatting>
  <conditionalFormatting sqref="G391:H391">
    <cfRule type="colorScale" priority="275">
      <colorScale>
        <cfvo type="min"/>
        <cfvo type="max"/>
        <color rgb="FFFCFCFF"/>
        <color rgb="FFF8696B"/>
      </colorScale>
    </cfRule>
  </conditionalFormatting>
  <conditionalFormatting sqref="G398:H398 G366:H387">
    <cfRule type="colorScale" priority="4120">
      <colorScale>
        <cfvo type="min"/>
        <cfvo type="max"/>
        <color rgb="FFFCFCFF"/>
        <color rgb="FFF8696B"/>
      </colorScale>
    </cfRule>
  </conditionalFormatting>
  <conditionalFormatting sqref="G398:H398">
    <cfRule type="colorScale" priority="4122">
      <colorScale>
        <cfvo type="min"/>
        <cfvo type="max"/>
        <color rgb="FFFCFCFF"/>
        <color rgb="FFF8696B"/>
      </colorScale>
    </cfRule>
  </conditionalFormatting>
  <conditionalFormatting sqref="G415:H415">
    <cfRule type="colorScale" priority="261">
      <colorScale>
        <cfvo type="min"/>
        <cfvo type="max"/>
        <color rgb="FFFCFCFF"/>
        <color rgb="FFF8696B"/>
      </colorScale>
    </cfRule>
  </conditionalFormatting>
  <conditionalFormatting sqref="G420:H420">
    <cfRule type="colorScale" priority="317">
      <colorScale>
        <cfvo type="min"/>
        <cfvo type="max"/>
        <color rgb="FFFCFCFF"/>
        <color rgb="FFF8696B"/>
      </colorScale>
    </cfRule>
  </conditionalFormatting>
  <conditionalFormatting sqref="G421:H421">
    <cfRule type="colorScale" priority="315">
      <colorScale>
        <cfvo type="min"/>
        <cfvo type="max"/>
        <color rgb="FFFCFCFF"/>
        <color rgb="FFF8696B"/>
      </colorScale>
    </cfRule>
  </conditionalFormatting>
  <conditionalFormatting sqref="G425:H425">
    <cfRule type="colorScale" priority="255">
      <colorScale>
        <cfvo type="min"/>
        <cfvo type="max"/>
        <color rgb="FFFCFCFF"/>
        <color rgb="FFF8696B"/>
      </colorScale>
    </cfRule>
  </conditionalFormatting>
  <conditionalFormatting sqref="G426:H427 G429:H463 G272:H273">
    <cfRule type="colorScale" priority="4113">
      <colorScale>
        <cfvo type="min"/>
        <cfvo type="max"/>
        <color rgb="FFFCFCFF"/>
        <color rgb="FFF8696B"/>
      </colorScale>
    </cfRule>
  </conditionalFormatting>
  <conditionalFormatting sqref="G428:H428">
    <cfRule type="colorScale" priority="224">
      <colorScale>
        <cfvo type="min"/>
        <cfvo type="max"/>
        <color rgb="FFFCFCFF"/>
        <color rgb="FFF8696B"/>
      </colorScale>
    </cfRule>
  </conditionalFormatting>
  <conditionalFormatting sqref="G464:H464">
    <cfRule type="colorScale" priority="17">
      <colorScale>
        <cfvo type="min"/>
        <cfvo type="max"/>
        <color rgb="FFFCFCFF"/>
        <color rgb="FFF8696B"/>
      </colorScale>
    </cfRule>
  </conditionalFormatting>
  <conditionalFormatting sqref="G465:H465">
    <cfRule type="colorScale" priority="15">
      <colorScale>
        <cfvo type="min"/>
        <cfvo type="max"/>
        <color rgb="FFFCFCFF"/>
        <color rgb="FFF8696B"/>
      </colorScale>
    </cfRule>
  </conditionalFormatting>
  <conditionalFormatting sqref="G477:H477">
    <cfRule type="colorScale" priority="247">
      <colorScale>
        <cfvo type="min"/>
        <cfvo type="max"/>
        <color rgb="FFFCFCFF"/>
        <color rgb="FFF8696B"/>
      </colorScale>
    </cfRule>
  </conditionalFormatting>
  <conditionalFormatting sqref="G481:H481">
    <cfRule type="colorScale" priority="343">
      <colorScale>
        <cfvo type="min"/>
        <cfvo type="max"/>
        <color rgb="FFFCFCFF"/>
        <color rgb="FFF8696B"/>
      </colorScale>
    </cfRule>
  </conditionalFormatting>
  <conditionalFormatting sqref="G498:H498">
    <cfRule type="colorScale" priority="305">
      <colorScale>
        <cfvo type="min"/>
        <cfvo type="max"/>
        <color rgb="FFFCFCFF"/>
        <color rgb="FFF8696B"/>
      </colorScale>
    </cfRule>
  </conditionalFormatting>
  <conditionalFormatting sqref="G499:H499">
    <cfRule type="colorScale" priority="287">
      <colorScale>
        <cfvo type="min"/>
        <cfvo type="max"/>
        <color rgb="FFFCFCFF"/>
        <color rgb="FFF8696B"/>
      </colorScale>
    </cfRule>
  </conditionalFormatting>
  <conditionalFormatting sqref="G522:H523 G514:H515 G506:H507">
    <cfRule type="colorScale" priority="2220">
      <colorScale>
        <cfvo type="min"/>
        <cfvo type="max"/>
        <color rgb="FFFCFCFF"/>
        <color rgb="FFF8696B"/>
      </colorScale>
    </cfRule>
  </conditionalFormatting>
  <conditionalFormatting sqref="G530:H531">
    <cfRule type="colorScale" priority="347">
      <colorScale>
        <cfvo type="min"/>
        <cfvo type="max"/>
        <color rgb="FFFCFCFF"/>
        <color rgb="FFF8696B"/>
      </colorScale>
    </cfRule>
  </conditionalFormatting>
  <conditionalFormatting sqref="G532:H532">
    <cfRule type="colorScale" priority="357">
      <colorScale>
        <cfvo type="min"/>
        <cfvo type="max"/>
        <color rgb="FFFCFCFF"/>
        <color rgb="FFF8696B"/>
      </colorScale>
    </cfRule>
  </conditionalFormatting>
  <conditionalFormatting sqref="G533:H533">
    <cfRule type="colorScale" priority="333">
      <colorScale>
        <cfvo type="min"/>
        <cfvo type="max"/>
        <color rgb="FFFCFCFF"/>
        <color rgb="FFF8696B"/>
      </colorScale>
    </cfRule>
  </conditionalFormatting>
  <conditionalFormatting sqref="G534:H534">
    <cfRule type="colorScale" priority="335">
      <colorScale>
        <cfvo type="min"/>
        <cfvo type="max"/>
        <color rgb="FFFCFCFF"/>
        <color rgb="FFF8696B"/>
      </colorScale>
    </cfRule>
  </conditionalFormatting>
  <conditionalFormatting sqref="G535:H535">
    <cfRule type="colorScale" priority="329">
      <colorScale>
        <cfvo type="min"/>
        <cfvo type="max"/>
        <color rgb="FFFCFCFF"/>
        <color rgb="FFF8696B"/>
      </colorScale>
    </cfRule>
  </conditionalFormatting>
  <conditionalFormatting sqref="G536:H536">
    <cfRule type="colorScale" priority="319">
      <colorScale>
        <cfvo type="min"/>
        <cfvo type="max"/>
        <color rgb="FFFCFCFF"/>
        <color rgb="FFF8696B"/>
      </colorScale>
    </cfRule>
  </conditionalFormatting>
  <conditionalFormatting sqref="G537:H573">
    <cfRule type="colorScale" priority="3308">
      <colorScale>
        <cfvo type="min"/>
        <cfvo type="max"/>
        <color rgb="FFFCFCFF"/>
        <color rgb="FFF8696B"/>
      </colorScale>
    </cfRule>
  </conditionalFormatting>
  <conditionalFormatting sqref="G562:H573">
    <cfRule type="colorScale" priority="2264">
      <colorScale>
        <cfvo type="min"/>
        <cfvo type="max"/>
        <color rgb="FFFCFCFF"/>
        <color rgb="FFF8696B"/>
      </colorScale>
    </cfRule>
    <cfRule type="colorScale" priority="2265">
      <colorScale>
        <cfvo type="min"/>
        <cfvo type="max"/>
        <color rgb="FFFCFCFF"/>
        <color rgb="FFF8696B"/>
      </colorScale>
    </cfRule>
  </conditionalFormatting>
  <conditionalFormatting sqref="G574:H579">
    <cfRule type="colorScale" priority="2300">
      <colorScale>
        <cfvo type="min"/>
        <cfvo type="max"/>
        <color rgb="FFFCFCFF"/>
        <color rgb="FFF8696B"/>
      </colorScale>
    </cfRule>
  </conditionalFormatting>
  <conditionalFormatting sqref="G580:H586">
    <cfRule type="colorScale" priority="3015">
      <colorScale>
        <cfvo type="min"/>
        <cfvo type="max"/>
        <color rgb="FFFCFCFF"/>
        <color rgb="FFF8696B"/>
      </colorScale>
    </cfRule>
  </conditionalFormatting>
  <conditionalFormatting sqref="G582:H586">
    <cfRule type="colorScale" priority="2598">
      <colorScale>
        <cfvo type="min"/>
        <cfvo type="max"/>
        <color rgb="FFFCFCFF"/>
        <color rgb="FFF8696B"/>
      </colorScale>
    </cfRule>
  </conditionalFormatting>
  <conditionalFormatting sqref="G602:H602">
    <cfRule type="colorScale" priority="121">
      <colorScale>
        <cfvo type="min"/>
        <cfvo type="max"/>
        <color rgb="FFFCFCFF"/>
        <color rgb="FFF8696B"/>
      </colorScale>
    </cfRule>
    <cfRule type="colorScale" priority="123">
      <colorScale>
        <cfvo type="min"/>
        <cfvo type="max"/>
        <color rgb="FFFCFCFF"/>
        <color rgb="FFF8696B"/>
      </colorScale>
    </cfRule>
  </conditionalFormatting>
  <conditionalFormatting sqref="G603:H603">
    <cfRule type="colorScale" priority="115">
      <colorScale>
        <cfvo type="min"/>
        <cfvo type="max"/>
        <color rgb="FFFCFCFF"/>
        <color rgb="FFF8696B"/>
      </colorScale>
    </cfRule>
    <cfRule type="colorScale" priority="117">
      <colorScale>
        <cfvo type="min"/>
        <cfvo type="max"/>
        <color rgb="FFFCFCFF"/>
        <color rgb="FFF8696B"/>
      </colorScale>
    </cfRule>
  </conditionalFormatting>
  <conditionalFormatting sqref="G604:H604">
    <cfRule type="colorScale" priority="109">
      <colorScale>
        <cfvo type="min"/>
        <cfvo type="max"/>
        <color rgb="FFFCFCFF"/>
        <color rgb="FFF8696B"/>
      </colorScale>
    </cfRule>
    <cfRule type="colorScale" priority="108">
      <colorScale>
        <cfvo type="min"/>
        <cfvo type="max"/>
        <color rgb="FFFCFCFF"/>
        <color rgb="FFF8696B"/>
      </colorScale>
    </cfRule>
  </conditionalFormatting>
  <conditionalFormatting sqref="G605:H605">
    <cfRule type="colorScale" priority="100">
      <colorScale>
        <cfvo type="min"/>
        <cfvo type="max"/>
        <color rgb="FFFCFCFF"/>
        <color rgb="FFF8696B"/>
      </colorScale>
    </cfRule>
    <cfRule type="colorScale" priority="102">
      <colorScale>
        <cfvo type="min"/>
        <cfvo type="max"/>
        <color rgb="FFFCFCFF"/>
        <color rgb="FFF8696B"/>
      </colorScale>
    </cfRule>
    <cfRule type="colorScale" priority="99">
      <colorScale>
        <cfvo type="min"/>
        <cfvo type="max"/>
        <color rgb="FFFCFCFF"/>
        <color rgb="FFF8696B"/>
      </colorScale>
    </cfRule>
  </conditionalFormatting>
  <conditionalFormatting sqref="G606:H606">
    <cfRule type="colorScale" priority="93">
      <colorScale>
        <cfvo type="min"/>
        <cfvo type="max"/>
        <color rgb="FFFCFCFF"/>
        <color rgb="FFF8696B"/>
      </colorScale>
    </cfRule>
    <cfRule type="colorScale" priority="90">
      <colorScale>
        <cfvo type="min"/>
        <cfvo type="max"/>
        <color rgb="FFFCFCFF"/>
        <color rgb="FFF8696B"/>
      </colorScale>
    </cfRule>
    <cfRule type="colorScale" priority="91">
      <colorScale>
        <cfvo type="min"/>
        <cfvo type="max"/>
        <color rgb="FFFCFCFF"/>
        <color rgb="FFF8696B"/>
      </colorScale>
    </cfRule>
  </conditionalFormatting>
  <conditionalFormatting sqref="G607:H607">
    <cfRule type="colorScale" priority="81">
      <colorScale>
        <cfvo type="min"/>
        <cfvo type="max"/>
        <color rgb="FFFCFCFF"/>
        <color rgb="FFF8696B"/>
      </colorScale>
    </cfRule>
    <cfRule type="colorScale" priority="82">
      <colorScale>
        <cfvo type="min"/>
        <cfvo type="max"/>
        <color rgb="FFFCFCFF"/>
        <color rgb="FFF8696B"/>
      </colorScale>
    </cfRule>
    <cfRule type="colorScale" priority="84">
      <colorScale>
        <cfvo type="min"/>
        <cfvo type="max"/>
        <color rgb="FFFCFCFF"/>
        <color rgb="FFF8696B"/>
      </colorScale>
    </cfRule>
  </conditionalFormatting>
  <conditionalFormatting sqref="G609:H609">
    <cfRule type="colorScale" priority="64">
      <colorScale>
        <cfvo type="min"/>
        <cfvo type="max"/>
        <color rgb="FFFCFCFF"/>
        <color rgb="FFF8696B"/>
      </colorScale>
    </cfRule>
    <cfRule type="colorScale" priority="63">
      <colorScale>
        <cfvo type="min"/>
        <cfvo type="max"/>
        <color rgb="FFFCFCFF"/>
        <color rgb="FFF8696B"/>
      </colorScale>
    </cfRule>
  </conditionalFormatting>
  <conditionalFormatting sqref="G610:H610 G608:H608">
    <cfRule type="colorScale" priority="57">
      <colorScale>
        <cfvo type="min"/>
        <cfvo type="max"/>
        <color rgb="FFFCFCFF"/>
        <color rgb="FFF8696B"/>
      </colorScale>
    </cfRule>
  </conditionalFormatting>
  <conditionalFormatting sqref="G611:H611">
    <cfRule type="colorScale" priority="51">
      <colorScale>
        <cfvo type="min"/>
        <cfvo type="max"/>
        <color rgb="FFFCFCFF"/>
        <color rgb="FFF8696B"/>
      </colorScale>
    </cfRule>
  </conditionalFormatting>
  <conditionalFormatting sqref="G612:H612">
    <cfRule type="colorScale" priority="43">
      <colorScale>
        <cfvo type="min"/>
        <cfvo type="max"/>
        <color rgb="FFFCFCFF"/>
        <color rgb="FFF8696B"/>
      </colorScale>
    </cfRule>
  </conditionalFormatting>
  <conditionalFormatting sqref="G613:H613">
    <cfRule type="colorScale" priority="41">
      <colorScale>
        <cfvo type="min"/>
        <cfvo type="max"/>
        <color rgb="FFFCFCFF"/>
        <color rgb="FFF8696B"/>
      </colorScale>
    </cfRule>
  </conditionalFormatting>
  <conditionalFormatting sqref="G614:H618">
    <cfRule type="colorScale" priority="39">
      <colorScale>
        <cfvo type="min"/>
        <cfvo type="max"/>
        <color rgb="FFFCFCFF"/>
        <color rgb="FFF8696B"/>
      </colorScale>
    </cfRule>
  </conditionalFormatting>
  <conditionalFormatting sqref="G619:H619">
    <cfRule type="colorScale" priority="35">
      <colorScale>
        <cfvo type="min"/>
        <cfvo type="max"/>
        <color rgb="FFFCFCFF"/>
        <color rgb="FFF8696B"/>
      </colorScale>
    </cfRule>
  </conditionalFormatting>
  <conditionalFormatting sqref="G620:H620">
    <cfRule type="colorScale" priority="25">
      <colorScale>
        <cfvo type="min"/>
        <cfvo type="max"/>
        <color rgb="FFFCFCFF"/>
        <color rgb="FFF8696B"/>
      </colorScale>
    </cfRule>
  </conditionalFormatting>
  <conditionalFormatting sqref="G621:H621">
    <cfRule type="colorScale" priority="10">
      <colorScale>
        <cfvo type="min"/>
        <cfvo type="max"/>
        <color rgb="FFFCFCFF"/>
        <color rgb="FFF8696B"/>
      </colorScale>
    </cfRule>
    <cfRule type="colorScale" priority="11">
      <colorScale>
        <cfvo type="min"/>
        <cfvo type="max"/>
        <color rgb="FFFCFCFF"/>
        <color rgb="FFF8696B"/>
      </colorScale>
    </cfRule>
  </conditionalFormatting>
  <conditionalFormatting sqref="G622:H622">
    <cfRule type="colorScale" priority="5">
      <colorScale>
        <cfvo type="min"/>
        <cfvo type="max"/>
        <color rgb="FFFCFCFF"/>
        <color rgb="FFF8696B"/>
      </colorScale>
    </cfRule>
    <cfRule type="colorScale" priority="3">
      <colorScale>
        <cfvo type="min"/>
        <cfvo type="max"/>
        <color rgb="FFFCFCFF"/>
        <color rgb="FFF8696B"/>
      </colorScale>
    </cfRule>
  </conditionalFormatting>
  <conditionalFormatting sqref="G788:H1048576 G599:G601 G1:H598">
    <cfRule type="colorScale" priority="145">
      <colorScale>
        <cfvo type="min"/>
        <cfvo type="max"/>
        <color rgb="FFFCFCFF"/>
        <color rgb="FFF8696B"/>
      </colorScale>
    </cfRule>
  </conditionalFormatting>
  <conditionalFormatting sqref="G788:H1048576 G106:H110 G416:H419 G478:H480 G466:H476 G422:H424 G482:H497 G500:H505 G508:H513 G516:H521 G524:H529 G94:H94 G170:H171 G97:H98 G266:H267 G274:H297 G399:H414 G30:H32 H24:H31 G587:H598 H33:H34 H138:H163 G305:H322 G334:H336 H102:H114 G101:H103 G599:G601 H62:H100 H301:H334 G299:H301 G173:H246 G115:H115 H116 H176:H298 G117:H137 H166:H174 G142:H167 G1:H27 H337:H338 G339:H358 H345:H591 G35:H81">
    <cfRule type="colorScale" priority="3242">
      <colorScale>
        <cfvo type="min"/>
        <cfvo type="max"/>
        <color rgb="FFFCFCFF"/>
        <color rgb="FFF8696B"/>
      </colorScale>
    </cfRule>
  </conditionalFormatting>
  <conditionalFormatting sqref="G264:I264 G266:I266">
    <cfRule type="colorScale" priority="1636">
      <colorScale>
        <cfvo type="min"/>
        <cfvo type="max"/>
        <color rgb="FFFCFCFF"/>
        <color rgb="FFF8696B"/>
      </colorScale>
    </cfRule>
  </conditionalFormatting>
  <conditionalFormatting sqref="G325:I325">
    <cfRule type="colorScale" priority="216">
      <colorScale>
        <cfvo type="min"/>
        <cfvo type="max"/>
        <color rgb="FFFCFCFF"/>
        <color rgb="FFF8696B"/>
      </colorScale>
    </cfRule>
  </conditionalFormatting>
  <conditionalFormatting sqref="G326:I326">
    <cfRule type="colorScale" priority="213">
      <colorScale>
        <cfvo type="min"/>
        <cfvo type="max"/>
        <color rgb="FFFCFCFF"/>
        <color rgb="FFF8696B"/>
      </colorScale>
    </cfRule>
  </conditionalFormatting>
  <conditionalFormatting sqref="G327:I333 G302:I304">
    <cfRule type="colorScale" priority="1008">
      <colorScale>
        <cfvo type="min"/>
        <cfvo type="max"/>
        <color rgb="FFFCFCFF"/>
        <color rgb="FFF8696B"/>
      </colorScale>
    </cfRule>
  </conditionalFormatting>
  <conditionalFormatting sqref="G334:I334 G265:I265 G267:I267">
    <cfRule type="colorScale" priority="1505">
      <colorScale>
        <cfvo type="min"/>
        <cfvo type="max"/>
        <color rgb="FFFCFCFF"/>
        <color rgb="FFF8696B"/>
      </colorScale>
    </cfRule>
  </conditionalFormatting>
  <conditionalFormatting sqref="G389:I389">
    <cfRule type="colorScale" priority="203">
      <colorScale>
        <cfvo type="min"/>
        <cfvo type="max"/>
        <color rgb="FFFCFCFF"/>
        <color rgb="FFF8696B"/>
      </colorScale>
    </cfRule>
  </conditionalFormatting>
  <conditionalFormatting sqref="G390:I390">
    <cfRule type="colorScale" priority="206">
      <colorScale>
        <cfvo type="min"/>
        <cfvo type="max"/>
        <color rgb="FFFCFCFF"/>
        <color rgb="FFF8696B"/>
      </colorScale>
    </cfRule>
  </conditionalFormatting>
  <conditionalFormatting sqref="G602:I602">
    <cfRule type="colorScale" priority="122">
      <colorScale>
        <cfvo type="min"/>
        <cfvo type="max"/>
        <color rgb="FFFCFCFF"/>
        <color rgb="FFF8696B"/>
      </colorScale>
    </cfRule>
  </conditionalFormatting>
  <conditionalFormatting sqref="G603:I603">
    <cfRule type="colorScale" priority="116">
      <colorScale>
        <cfvo type="min"/>
        <cfvo type="max"/>
        <color rgb="FFFCFCFF"/>
        <color rgb="FFF8696B"/>
      </colorScale>
    </cfRule>
  </conditionalFormatting>
  <conditionalFormatting sqref="G604:I604">
    <cfRule type="colorScale" priority="111">
      <colorScale>
        <cfvo type="min"/>
        <cfvo type="max"/>
        <color rgb="FFFCFCFF"/>
        <color rgb="FFF8696B"/>
      </colorScale>
    </cfRule>
  </conditionalFormatting>
  <conditionalFormatting sqref="G605:I605">
    <cfRule type="colorScale" priority="104">
      <colorScale>
        <cfvo type="min"/>
        <cfvo type="max"/>
        <color rgb="FFFCFCFF"/>
        <color rgb="FFF8696B"/>
      </colorScale>
    </cfRule>
  </conditionalFormatting>
  <conditionalFormatting sqref="G606:I606">
    <cfRule type="colorScale" priority="95">
      <colorScale>
        <cfvo type="min"/>
        <cfvo type="max"/>
        <color rgb="FFFCFCFF"/>
        <color rgb="FFF8696B"/>
      </colorScale>
    </cfRule>
  </conditionalFormatting>
  <conditionalFormatting sqref="G607:I607">
    <cfRule type="colorScale" priority="86">
      <colorScale>
        <cfvo type="min"/>
        <cfvo type="max"/>
        <color rgb="FFFCFCFF"/>
        <color rgb="FFF8696B"/>
      </colorScale>
    </cfRule>
  </conditionalFormatting>
  <conditionalFormatting sqref="G609:I609">
    <cfRule type="colorScale" priority="66">
      <colorScale>
        <cfvo type="min"/>
        <cfvo type="max"/>
        <color rgb="FFFCFCFF"/>
        <color rgb="FFF8696B"/>
      </colorScale>
    </cfRule>
  </conditionalFormatting>
  <conditionalFormatting sqref="G610:I610 G608:I608">
    <cfRule type="colorScale" priority="59">
      <colorScale>
        <cfvo type="min"/>
        <cfvo type="max"/>
        <color rgb="FFFCFCFF"/>
        <color rgb="FFF8696B"/>
      </colorScale>
    </cfRule>
  </conditionalFormatting>
  <conditionalFormatting sqref="G611:I611">
    <cfRule type="colorScale" priority="52">
      <colorScale>
        <cfvo type="min"/>
        <cfvo type="max"/>
        <color rgb="FFFCFCFF"/>
        <color rgb="FFF8696B"/>
      </colorScale>
    </cfRule>
  </conditionalFormatting>
  <conditionalFormatting sqref="G612:I612">
    <cfRule type="colorScale" priority="44">
      <colorScale>
        <cfvo type="min"/>
        <cfvo type="max"/>
        <color rgb="FFFCFCFF"/>
        <color rgb="FFF8696B"/>
      </colorScale>
    </cfRule>
  </conditionalFormatting>
  <conditionalFormatting sqref="G613:I613">
    <cfRule type="colorScale" priority="42">
      <colorScale>
        <cfvo type="min"/>
        <cfvo type="max"/>
        <color rgb="FFFCFCFF"/>
        <color rgb="FFF8696B"/>
      </colorScale>
    </cfRule>
  </conditionalFormatting>
  <conditionalFormatting sqref="G614:I618">
    <cfRule type="colorScale" priority="40">
      <colorScale>
        <cfvo type="min"/>
        <cfvo type="max"/>
        <color rgb="FFFCFCFF"/>
        <color rgb="FFF8696B"/>
      </colorScale>
    </cfRule>
  </conditionalFormatting>
  <conditionalFormatting sqref="G619:I619">
    <cfRule type="colorScale" priority="36">
      <colorScale>
        <cfvo type="min"/>
        <cfvo type="max"/>
        <color rgb="FFFCFCFF"/>
        <color rgb="FFF8696B"/>
      </colorScale>
    </cfRule>
  </conditionalFormatting>
  <conditionalFormatting sqref="G620:I620">
    <cfRule type="colorScale" priority="26">
      <colorScale>
        <cfvo type="min"/>
        <cfvo type="max"/>
        <color rgb="FFFCFCFF"/>
        <color rgb="FFF8696B"/>
      </colorScale>
    </cfRule>
  </conditionalFormatting>
  <conditionalFormatting sqref="G621:I621">
    <cfRule type="colorScale" priority="13">
      <colorScale>
        <cfvo type="min"/>
        <cfvo type="max"/>
        <color rgb="FFFCFCFF"/>
        <color rgb="FFF8696B"/>
      </colorScale>
    </cfRule>
  </conditionalFormatting>
  <conditionalFormatting sqref="G622:I622">
    <cfRule type="colorScale" priority="4">
      <colorScale>
        <cfvo type="min"/>
        <cfvo type="max"/>
        <color rgb="FFFCFCFF"/>
        <color rgb="FFF8696B"/>
      </colorScale>
    </cfRule>
  </conditionalFormatting>
  <conditionalFormatting sqref="G788:I1048576 H176:H268 H388:H392 G305:I324 G599:G601 H301:H334 G266:I301 G391:I598 G1:I263 G334:I388">
    <cfRule type="colorScale" priority="3179">
      <colorScale>
        <cfvo type="min"/>
        <cfvo type="max"/>
        <color rgb="FFFCFCFF"/>
        <color rgb="FFF8696B"/>
      </colorScale>
    </cfRule>
  </conditionalFormatting>
  <conditionalFormatting sqref="H599">
    <cfRule type="colorScale" priority="137">
      <colorScale>
        <cfvo type="min"/>
        <cfvo type="max"/>
        <color rgb="FFFCFCFF"/>
        <color rgb="FFF8696B"/>
      </colorScale>
    </cfRule>
    <cfRule type="colorScale" priority="133">
      <colorScale>
        <cfvo type="min"/>
        <cfvo type="max"/>
        <color rgb="FFFCFCFF"/>
        <color rgb="FFF8696B"/>
      </colorScale>
    </cfRule>
    <cfRule type="colorScale" priority="135">
      <colorScale>
        <cfvo type="min"/>
        <cfvo type="max"/>
        <color rgb="FFFCFCFF"/>
        <color rgb="FFF8696B"/>
      </colorScale>
    </cfRule>
  </conditionalFormatting>
  <conditionalFormatting sqref="H600:H601">
    <cfRule type="colorScale" priority="127">
      <colorScale>
        <cfvo type="min"/>
        <cfvo type="max"/>
        <color rgb="FFFCFCFF"/>
        <color rgb="FFF8696B"/>
      </colorScale>
    </cfRule>
    <cfRule type="colorScale" priority="129">
      <colorScale>
        <cfvo type="min"/>
        <cfvo type="max"/>
        <color rgb="FFFCFCFF"/>
        <color rgb="FFF8696B"/>
      </colorScale>
    </cfRule>
    <cfRule type="colorScale" priority="131">
      <colorScale>
        <cfvo type="min"/>
        <cfvo type="max"/>
        <color rgb="FFFCFCFF"/>
        <color rgb="FFF8696B"/>
      </colorScale>
    </cfRule>
  </conditionalFormatting>
  <conditionalFormatting sqref="H602">
    <cfRule type="colorScale" priority="119">
      <colorScale>
        <cfvo type="min"/>
        <cfvo type="max"/>
        <color rgb="FFFCFCFF"/>
        <color rgb="FFF8696B"/>
      </colorScale>
    </cfRule>
  </conditionalFormatting>
  <conditionalFormatting sqref="H603">
    <cfRule type="colorScale" priority="113">
      <colorScale>
        <cfvo type="min"/>
        <cfvo type="max"/>
        <color rgb="FFFCFCFF"/>
        <color rgb="FFF8696B"/>
      </colorScale>
    </cfRule>
  </conditionalFormatting>
  <conditionalFormatting sqref="H604">
    <cfRule type="colorScale" priority="112">
      <colorScale>
        <cfvo type="min"/>
        <cfvo type="max"/>
        <color rgb="FFFCFCFF"/>
        <color rgb="FFF8696B"/>
      </colorScale>
    </cfRule>
    <cfRule type="colorScale" priority="106">
      <colorScale>
        <cfvo type="min"/>
        <cfvo type="max"/>
        <color rgb="FFFCFCFF"/>
        <color rgb="FFF8696B"/>
      </colorScale>
    </cfRule>
  </conditionalFormatting>
  <conditionalFormatting sqref="H605">
    <cfRule type="colorScale" priority="97">
      <colorScale>
        <cfvo type="min"/>
        <cfvo type="max"/>
        <color rgb="FFFCFCFF"/>
        <color rgb="FFF8696B"/>
      </colorScale>
    </cfRule>
    <cfRule type="colorScale" priority="105">
      <colorScale>
        <cfvo type="min"/>
        <cfvo type="max"/>
        <color rgb="FFFCFCFF"/>
        <color rgb="FFF8696B"/>
      </colorScale>
    </cfRule>
  </conditionalFormatting>
  <conditionalFormatting sqref="H606">
    <cfRule type="colorScale" priority="96">
      <colorScale>
        <cfvo type="min"/>
        <cfvo type="max"/>
        <color rgb="FFFCFCFF"/>
        <color rgb="FFF8696B"/>
      </colorScale>
    </cfRule>
    <cfRule type="colorScale" priority="88">
      <colorScale>
        <cfvo type="min"/>
        <cfvo type="max"/>
        <color rgb="FFFCFCFF"/>
        <color rgb="FFF8696B"/>
      </colorScale>
    </cfRule>
  </conditionalFormatting>
  <conditionalFormatting sqref="H607">
    <cfRule type="colorScale" priority="79">
      <colorScale>
        <cfvo type="min"/>
        <cfvo type="max"/>
        <color rgb="FFFCFCFF"/>
        <color rgb="FFF8696B"/>
      </colorScale>
    </cfRule>
    <cfRule type="colorScale" priority="87">
      <colorScale>
        <cfvo type="min"/>
        <cfvo type="max"/>
        <color rgb="FFFCFCFF"/>
        <color rgb="FFF8696B"/>
      </colorScale>
    </cfRule>
  </conditionalFormatting>
  <conditionalFormatting sqref="H609">
    <cfRule type="colorScale" priority="67">
      <colorScale>
        <cfvo type="min"/>
        <cfvo type="max"/>
        <color rgb="FFFCFCFF"/>
        <color rgb="FFF8696B"/>
      </colorScale>
    </cfRule>
    <cfRule type="colorScale" priority="61">
      <colorScale>
        <cfvo type="min"/>
        <cfvo type="max"/>
        <color rgb="FFFCFCFF"/>
        <color rgb="FFF8696B"/>
      </colorScale>
    </cfRule>
  </conditionalFormatting>
  <conditionalFormatting sqref="H610:H611 H608">
    <cfRule type="colorScale" priority="60">
      <colorScale>
        <cfvo type="min"/>
        <cfvo type="max"/>
        <color rgb="FFFCFCFF"/>
        <color rgb="FFF8696B"/>
      </colorScale>
    </cfRule>
  </conditionalFormatting>
  <conditionalFormatting sqref="H612:H618">
    <cfRule type="colorScale" priority="46">
      <colorScale>
        <cfvo type="min"/>
        <cfvo type="max"/>
        <color rgb="FFFCFCFF"/>
        <color rgb="FFF8696B"/>
      </colorScale>
    </cfRule>
  </conditionalFormatting>
  <conditionalFormatting sqref="H619">
    <cfRule type="colorScale" priority="38">
      <colorScale>
        <cfvo type="min"/>
        <cfvo type="max"/>
        <color rgb="FFFCFCFF"/>
        <color rgb="FFF8696B"/>
      </colorScale>
    </cfRule>
  </conditionalFormatting>
  <conditionalFormatting sqref="H620">
    <cfRule type="colorScale" priority="28">
      <colorScale>
        <cfvo type="min"/>
        <cfvo type="max"/>
        <color rgb="FFFCFCFF"/>
        <color rgb="FFF8696B"/>
      </colorScale>
    </cfRule>
  </conditionalFormatting>
  <conditionalFormatting sqref="H621">
    <cfRule type="colorScale" priority="8">
      <colorScale>
        <cfvo type="min"/>
        <cfvo type="max"/>
        <color rgb="FFFCFCFF"/>
        <color rgb="FFF8696B"/>
      </colorScale>
    </cfRule>
    <cfRule type="colorScale" priority="14">
      <colorScale>
        <cfvo type="min"/>
        <cfvo type="max"/>
        <color rgb="FFFCFCFF"/>
        <color rgb="FFF8696B"/>
      </colorScale>
    </cfRule>
  </conditionalFormatting>
  <conditionalFormatting sqref="H622">
    <cfRule type="colorScale" priority="1">
      <colorScale>
        <cfvo type="min"/>
        <cfvo type="max"/>
        <color rgb="FFFCFCFF"/>
        <color rgb="FFF8696B"/>
      </colorScale>
    </cfRule>
  </conditionalFormatting>
  <conditionalFormatting sqref="H652:H1048576 H1:H598">
    <cfRule type="colorScale" priority="139">
      <colorScale>
        <cfvo type="min"/>
        <cfvo type="max"/>
        <color rgb="FFFCFCFF"/>
        <color rgb="FFF8696B"/>
      </colorScale>
    </cfRule>
  </conditionalFormatting>
  <conditionalFormatting sqref="H599:I599">
    <cfRule type="colorScale" priority="136">
      <colorScale>
        <cfvo type="min"/>
        <cfvo type="max"/>
        <color rgb="FFFCFCFF"/>
        <color rgb="FFF8696B"/>
      </colorScale>
    </cfRule>
  </conditionalFormatting>
  <conditionalFormatting sqref="H600:I600">
    <cfRule type="colorScale" priority="130">
      <colorScale>
        <cfvo type="min"/>
        <cfvo type="max"/>
        <color rgb="FFFCFCFF"/>
        <color rgb="FFF8696B"/>
      </colorScale>
    </cfRule>
  </conditionalFormatting>
  <conditionalFormatting sqref="H601:I601">
    <cfRule type="colorScale" priority="126">
      <colorScale>
        <cfvo type="min"/>
        <cfvo type="max"/>
        <color rgb="FFFCFCFF"/>
        <color rgb="FFF8696B"/>
      </colorScale>
    </cfRule>
  </conditionalFormatting>
  <conditionalFormatting sqref="I1:I1048576">
    <cfRule type="colorScale" priority="7">
      <colorScale>
        <cfvo type="min"/>
        <cfvo type="max"/>
        <color rgb="FFFCFCFF"/>
        <color rgb="FFF8696B"/>
      </colorScale>
    </cfRule>
  </conditionalFormatting>
  <conditionalFormatting sqref="I28:I29">
    <cfRule type="colorScale" priority="332">
      <colorScale>
        <cfvo type="min"/>
        <cfvo type="max"/>
        <color rgb="FFFCFCFF"/>
        <color rgb="FFF8696B"/>
      </colorScale>
    </cfRule>
  </conditionalFormatting>
  <conditionalFormatting sqref="I33:I34">
    <cfRule type="colorScale" priority="322">
      <colorScale>
        <cfvo type="min"/>
        <cfvo type="max"/>
        <color rgb="FFFCFCFF"/>
        <color rgb="FFF8696B"/>
      </colorScale>
    </cfRule>
  </conditionalFormatting>
  <conditionalFormatting sqref="I82">
    <cfRule type="colorScale" priority="338">
      <colorScale>
        <cfvo type="min"/>
        <cfvo type="max"/>
        <color rgb="FFFCFCFF"/>
        <color rgb="FFF8696B"/>
      </colorScale>
    </cfRule>
  </conditionalFormatting>
  <conditionalFormatting sqref="I83">
    <cfRule type="colorScale" priority="340">
      <colorScale>
        <cfvo type="min"/>
        <cfvo type="max"/>
        <color rgb="FFFCFCFF"/>
        <color rgb="FFF8696B"/>
      </colorScale>
    </cfRule>
  </conditionalFormatting>
  <conditionalFormatting sqref="I84">
    <cfRule type="colorScale" priority="310">
      <colorScale>
        <cfvo type="min"/>
        <cfvo type="max"/>
        <color rgb="FFFCFCFF"/>
        <color rgb="FFF8696B"/>
      </colorScale>
    </cfRule>
  </conditionalFormatting>
  <conditionalFormatting sqref="I85">
    <cfRule type="colorScale" priority="286">
      <colorScale>
        <cfvo type="min"/>
        <cfvo type="max"/>
        <color rgb="FFFCFCFF"/>
        <color rgb="FFF8696B"/>
      </colorScale>
    </cfRule>
  </conditionalFormatting>
  <conditionalFormatting sqref="I86:I93">
    <cfRule type="colorScale" priority="2754">
      <colorScale>
        <cfvo type="min"/>
        <cfvo type="max"/>
        <color rgb="FFFCFCFF"/>
        <color rgb="FFF8696B"/>
      </colorScale>
    </cfRule>
  </conditionalFormatting>
  <conditionalFormatting sqref="I88:I93">
    <cfRule type="colorScale" priority="2755">
      <colorScale>
        <cfvo type="min"/>
        <cfvo type="max"/>
        <color rgb="FFFCFCFF"/>
        <color rgb="FFF8696B"/>
      </colorScale>
    </cfRule>
  </conditionalFormatting>
  <conditionalFormatting sqref="I89:I93">
    <cfRule type="colorScale" priority="2756">
      <colorScale>
        <cfvo type="min"/>
        <cfvo type="max"/>
        <color rgb="FFFCFCFF"/>
        <color rgb="FFF8696B"/>
      </colorScale>
    </cfRule>
  </conditionalFormatting>
  <conditionalFormatting sqref="I95:I96">
    <cfRule type="colorScale" priority="230">
      <colorScale>
        <cfvo type="min"/>
        <cfvo type="max"/>
        <color rgb="FFFCFCFF"/>
        <color rgb="FFF8696B"/>
      </colorScale>
    </cfRule>
  </conditionalFormatting>
  <conditionalFormatting sqref="I99:I100">
    <cfRule type="colorScale" priority="143">
      <colorScale>
        <cfvo type="min"/>
        <cfvo type="max"/>
        <color rgb="FFFCFCFF"/>
        <color rgb="FFF8696B"/>
      </colorScale>
    </cfRule>
  </conditionalFormatting>
  <conditionalFormatting sqref="I104">
    <cfRule type="colorScale" priority="234">
      <colorScale>
        <cfvo type="min"/>
        <cfvo type="max"/>
        <color rgb="FFFCFCFF"/>
        <color rgb="FFF8696B"/>
      </colorScale>
    </cfRule>
  </conditionalFormatting>
  <conditionalFormatting sqref="I105">
    <cfRule type="colorScale" priority="232">
      <colorScale>
        <cfvo type="min"/>
        <cfvo type="max"/>
        <color rgb="FFFCFCFF"/>
        <color rgb="FFF8696B"/>
      </colorScale>
    </cfRule>
  </conditionalFormatting>
  <conditionalFormatting sqref="I111:I114">
    <cfRule type="colorScale" priority="3426">
      <colorScale>
        <cfvo type="min"/>
        <cfvo type="max"/>
        <color rgb="FFFCFCFF"/>
        <color rgb="FFF8696B"/>
      </colorScale>
    </cfRule>
  </conditionalFormatting>
  <conditionalFormatting sqref="I112:I114">
    <cfRule type="colorScale" priority="3427">
      <colorScale>
        <cfvo type="min"/>
        <cfvo type="max"/>
        <color rgb="FFFCFCFF"/>
        <color rgb="FFF8696B"/>
      </colorScale>
    </cfRule>
  </conditionalFormatting>
  <conditionalFormatting sqref="I116">
    <cfRule type="colorScale" priority="77">
      <colorScale>
        <cfvo type="min"/>
        <cfvo type="max"/>
        <color rgb="FFFCFCFF"/>
        <color rgb="FFF8696B"/>
      </colorScale>
    </cfRule>
    <cfRule type="colorScale" priority="78">
      <colorScale>
        <cfvo type="min"/>
        <cfvo type="max"/>
        <color rgb="FFFCFCFF"/>
        <color rgb="FFF8696B"/>
      </colorScale>
    </cfRule>
  </conditionalFormatting>
  <conditionalFormatting sqref="I117">
    <cfRule type="colorScale" priority="69">
      <colorScale>
        <cfvo type="min"/>
        <cfvo type="max"/>
        <color rgb="FFFCFCFF"/>
        <color rgb="FFF8696B"/>
      </colorScale>
    </cfRule>
  </conditionalFormatting>
  <conditionalFormatting sqref="I131:I135">
    <cfRule type="colorScale" priority="3567">
      <colorScale>
        <cfvo type="min"/>
        <cfvo type="max"/>
        <color rgb="FFFCFCFF"/>
        <color rgb="FFF8696B"/>
      </colorScale>
    </cfRule>
  </conditionalFormatting>
  <conditionalFormatting sqref="I138:I141 I392:I397">
    <cfRule type="colorScale" priority="274">
      <colorScale>
        <cfvo type="min"/>
        <cfvo type="max"/>
        <color rgb="FFFCFCFF"/>
        <color rgb="FFF8696B"/>
      </colorScale>
    </cfRule>
  </conditionalFormatting>
  <conditionalFormatting sqref="I168">
    <cfRule type="colorScale" priority="258">
      <colorScale>
        <cfvo type="min"/>
        <cfvo type="max"/>
        <color rgb="FFFCFCFF"/>
        <color rgb="FFF8696B"/>
      </colorScale>
    </cfRule>
  </conditionalFormatting>
  <conditionalFormatting sqref="I169">
    <cfRule type="colorScale" priority="222">
      <colorScale>
        <cfvo type="min"/>
        <cfvo type="max"/>
        <color rgb="FFFCFCFF"/>
        <color rgb="FFF8696B"/>
      </colorScale>
    </cfRule>
  </conditionalFormatting>
  <conditionalFormatting sqref="I172">
    <cfRule type="colorScale" priority="516">
      <colorScale>
        <cfvo type="min"/>
        <cfvo type="max"/>
        <color rgb="FFFCFCFF"/>
        <color rgb="FFF8696B"/>
      </colorScale>
    </cfRule>
  </conditionalFormatting>
  <conditionalFormatting sqref="I247:I248">
    <cfRule type="colorScale" priority="250">
      <colorScale>
        <cfvo type="min"/>
        <cfvo type="max"/>
        <color rgb="FFFCFCFF"/>
        <color rgb="FFF8696B"/>
      </colorScale>
    </cfRule>
  </conditionalFormatting>
  <conditionalFormatting sqref="I249:I263 I268:I271 I337:I345">
    <cfRule type="colorScale" priority="3497">
      <colorScale>
        <cfvo type="min"/>
        <cfvo type="max"/>
        <color rgb="FFFCFCFF"/>
        <color rgb="FFF8696B"/>
      </colorScale>
    </cfRule>
  </conditionalFormatting>
  <conditionalFormatting sqref="I266 I264">
    <cfRule type="colorScale" priority="1638">
      <colorScale>
        <cfvo type="min"/>
        <cfvo type="max"/>
        <color rgb="FFFCFCFF"/>
        <color rgb="FFF8696B"/>
      </colorScale>
    </cfRule>
  </conditionalFormatting>
  <conditionalFormatting sqref="I298">
    <cfRule type="colorScale" priority="252">
      <colorScale>
        <cfvo type="min"/>
        <cfvo type="max"/>
        <color rgb="FFFCFCFF"/>
        <color rgb="FFF8696B"/>
      </colorScale>
    </cfRule>
  </conditionalFormatting>
  <conditionalFormatting sqref="I299">
    <cfRule type="colorScale" priority="125">
      <colorScale>
        <cfvo type="min"/>
        <cfvo type="max"/>
        <color rgb="FFFCFCFF"/>
        <color rgb="FFF8696B"/>
      </colorScale>
    </cfRule>
  </conditionalFormatting>
  <conditionalFormatting sqref="I323">
    <cfRule type="colorScale" priority="264">
      <colorScale>
        <cfvo type="min"/>
        <cfvo type="max"/>
        <color rgb="FFFCFCFF"/>
        <color rgb="FFF8696B"/>
      </colorScale>
    </cfRule>
  </conditionalFormatting>
  <conditionalFormatting sqref="I324">
    <cfRule type="colorScale" priority="260">
      <colorScale>
        <cfvo type="min"/>
        <cfvo type="max"/>
        <color rgb="FFFCFCFF"/>
        <color rgb="FFF8696B"/>
      </colorScale>
    </cfRule>
  </conditionalFormatting>
  <conditionalFormatting sqref="I325">
    <cfRule type="colorScale" priority="218">
      <colorScale>
        <cfvo type="min"/>
        <cfvo type="max"/>
        <color rgb="FFFCFCFF"/>
        <color rgb="FFF8696B"/>
      </colorScale>
    </cfRule>
  </conditionalFormatting>
  <conditionalFormatting sqref="I326">
    <cfRule type="colorScale" priority="215">
      <colorScale>
        <cfvo type="min"/>
        <cfvo type="max"/>
        <color rgb="FFFCFCFF"/>
        <color rgb="FFF8696B"/>
      </colorScale>
    </cfRule>
  </conditionalFormatting>
  <conditionalFormatting sqref="I327:I333 I302:I304">
    <cfRule type="colorScale" priority="1050">
      <colorScale>
        <cfvo type="min"/>
        <cfvo type="max"/>
        <color rgb="FFFCFCFF"/>
        <color rgb="FFF8696B"/>
      </colorScale>
    </cfRule>
  </conditionalFormatting>
  <conditionalFormatting sqref="I334 I265 I267">
    <cfRule type="colorScale" priority="1519">
      <colorScale>
        <cfvo type="min"/>
        <cfvo type="max"/>
        <color rgb="FFFCFCFF"/>
        <color rgb="FFF8696B"/>
      </colorScale>
    </cfRule>
  </conditionalFormatting>
  <conditionalFormatting sqref="I339">
    <cfRule type="colorScale" priority="24">
      <colorScale>
        <cfvo type="min"/>
        <cfvo type="max"/>
        <color rgb="FFFCFCFF"/>
        <color rgb="FFF8696B"/>
      </colorScale>
    </cfRule>
  </conditionalFormatting>
  <conditionalFormatting sqref="I340">
    <cfRule type="colorScale" priority="23">
      <colorScale>
        <cfvo type="min"/>
        <cfvo type="max"/>
        <color rgb="FFFCFCFF"/>
        <color rgb="FFF8696B"/>
      </colorScale>
    </cfRule>
  </conditionalFormatting>
  <conditionalFormatting sqref="I341">
    <cfRule type="colorScale" priority="22">
      <colorScale>
        <cfvo type="min"/>
        <cfvo type="max"/>
        <color rgb="FFFCFCFF"/>
        <color rgb="FFF8696B"/>
      </colorScale>
    </cfRule>
  </conditionalFormatting>
  <conditionalFormatting sqref="I342">
    <cfRule type="colorScale" priority="19">
      <colorScale>
        <cfvo type="min"/>
        <cfvo type="max"/>
        <color rgb="FFFCFCFF"/>
        <color rgb="FFF8696B"/>
      </colorScale>
    </cfRule>
  </conditionalFormatting>
  <conditionalFormatting sqref="I343">
    <cfRule type="colorScale" priority="21">
      <colorScale>
        <cfvo type="min"/>
        <cfvo type="max"/>
        <color rgb="FFFCFCFF"/>
        <color rgb="FFF8696B"/>
      </colorScale>
    </cfRule>
  </conditionalFormatting>
  <conditionalFormatting sqref="I344">
    <cfRule type="colorScale" priority="20">
      <colorScale>
        <cfvo type="min"/>
        <cfvo type="max"/>
        <color rgb="FFFCFCFF"/>
        <color rgb="FFF8696B"/>
      </colorScale>
    </cfRule>
  </conditionalFormatting>
  <conditionalFormatting sqref="I359">
    <cfRule type="colorScale" priority="304">
      <colorScale>
        <cfvo type="min"/>
        <cfvo type="max"/>
        <color rgb="FFFCFCFF"/>
        <color rgb="FFF8696B"/>
      </colorScale>
    </cfRule>
  </conditionalFormatting>
  <conditionalFormatting sqref="I360">
    <cfRule type="colorScale" priority="300">
      <colorScale>
        <cfvo type="min"/>
        <cfvo type="max"/>
        <color rgb="FFFCFCFF"/>
        <color rgb="FFF8696B"/>
      </colorScale>
    </cfRule>
  </conditionalFormatting>
  <conditionalFormatting sqref="I361">
    <cfRule type="colorScale" priority="302">
      <colorScale>
        <cfvo type="min"/>
        <cfvo type="max"/>
        <color rgb="FFFCFCFF"/>
        <color rgb="FFF8696B"/>
      </colorScale>
    </cfRule>
  </conditionalFormatting>
  <conditionalFormatting sqref="I362">
    <cfRule type="colorScale" priority="298">
      <colorScale>
        <cfvo type="min"/>
        <cfvo type="max"/>
        <color rgb="FFFCFCFF"/>
        <color rgb="FFF8696B"/>
      </colorScale>
    </cfRule>
  </conditionalFormatting>
  <conditionalFormatting sqref="I363">
    <cfRule type="colorScale" priority="294">
      <colorScale>
        <cfvo type="min"/>
        <cfvo type="max"/>
        <color rgb="FFFCFCFF"/>
        <color rgb="FFF8696B"/>
      </colorScale>
    </cfRule>
  </conditionalFormatting>
  <conditionalFormatting sqref="I364">
    <cfRule type="colorScale" priority="292">
      <colorScale>
        <cfvo type="min"/>
        <cfvo type="max"/>
        <color rgb="FFFCFCFF"/>
        <color rgb="FFF8696B"/>
      </colorScale>
    </cfRule>
  </conditionalFormatting>
  <conditionalFormatting sqref="I365">
    <cfRule type="colorScale" priority="290">
      <colorScale>
        <cfvo type="min"/>
        <cfvo type="max"/>
        <color rgb="FFFCFCFF"/>
        <color rgb="FFF8696B"/>
      </colorScale>
    </cfRule>
  </conditionalFormatting>
  <conditionalFormatting sqref="I366:I387 I398">
    <cfRule type="colorScale" priority="4187">
      <colorScale>
        <cfvo type="min"/>
        <cfvo type="max"/>
        <color rgb="FFFCFCFF"/>
        <color rgb="FFF8696B"/>
      </colorScale>
    </cfRule>
  </conditionalFormatting>
  <conditionalFormatting sqref="I388">
    <cfRule type="colorScale" priority="282">
      <colorScale>
        <cfvo type="min"/>
        <cfvo type="max"/>
        <color rgb="FFFCFCFF"/>
        <color rgb="FFF8696B"/>
      </colorScale>
    </cfRule>
  </conditionalFormatting>
  <conditionalFormatting sqref="I389">
    <cfRule type="colorScale" priority="205">
      <colorScale>
        <cfvo type="min"/>
        <cfvo type="max"/>
        <color rgb="FFFCFCFF"/>
        <color rgb="FFF8696B"/>
      </colorScale>
    </cfRule>
  </conditionalFormatting>
  <conditionalFormatting sqref="I390">
    <cfRule type="colorScale" priority="208">
      <colorScale>
        <cfvo type="min"/>
        <cfvo type="max"/>
        <color rgb="FFFCFCFF"/>
        <color rgb="FFF8696B"/>
      </colorScale>
    </cfRule>
  </conditionalFormatting>
  <conditionalFormatting sqref="I391">
    <cfRule type="colorScale" priority="276">
      <colorScale>
        <cfvo type="min"/>
        <cfvo type="max"/>
        <color rgb="FFFCFCFF"/>
        <color rgb="FFF8696B"/>
      </colorScale>
    </cfRule>
  </conditionalFormatting>
  <conditionalFormatting sqref="I398">
    <cfRule type="colorScale" priority="4189">
      <colorScale>
        <cfvo type="min"/>
        <cfvo type="max"/>
        <color rgb="FFFCFCFF"/>
        <color rgb="FFF8696B"/>
      </colorScale>
    </cfRule>
  </conditionalFormatting>
  <conditionalFormatting sqref="I415">
    <cfRule type="colorScale" priority="262">
      <colorScale>
        <cfvo type="min"/>
        <cfvo type="max"/>
        <color rgb="FFFCFCFF"/>
        <color rgb="FFF8696B"/>
      </colorScale>
    </cfRule>
  </conditionalFormatting>
  <conditionalFormatting sqref="I420">
    <cfRule type="colorScale" priority="318">
      <colorScale>
        <cfvo type="min"/>
        <cfvo type="max"/>
        <color rgb="FFFCFCFF"/>
        <color rgb="FFF8696B"/>
      </colorScale>
    </cfRule>
  </conditionalFormatting>
  <conditionalFormatting sqref="I421">
    <cfRule type="colorScale" priority="316">
      <colorScale>
        <cfvo type="min"/>
        <cfvo type="max"/>
        <color rgb="FFFCFCFF"/>
        <color rgb="FFF8696B"/>
      </colorScale>
    </cfRule>
  </conditionalFormatting>
  <conditionalFormatting sqref="I425">
    <cfRule type="colorScale" priority="256">
      <colorScale>
        <cfvo type="min"/>
        <cfvo type="max"/>
        <color rgb="FFFCFCFF"/>
        <color rgb="FFF8696B"/>
      </colorScale>
    </cfRule>
  </conditionalFormatting>
  <conditionalFormatting sqref="I426:I427 I429:I463 I272:I273">
    <cfRule type="colorScale" priority="4116">
      <colorScale>
        <cfvo type="min"/>
        <cfvo type="max"/>
        <color rgb="FFFCFCFF"/>
        <color rgb="FFF8696B"/>
      </colorScale>
    </cfRule>
  </conditionalFormatting>
  <conditionalFormatting sqref="I428">
    <cfRule type="colorScale" priority="223">
      <colorScale>
        <cfvo type="min"/>
        <cfvo type="max"/>
        <color rgb="FFFCFCFF"/>
        <color rgb="FFF8696B"/>
      </colorScale>
    </cfRule>
  </conditionalFormatting>
  <conditionalFormatting sqref="I464">
    <cfRule type="colorScale" priority="18">
      <colorScale>
        <cfvo type="min"/>
        <cfvo type="max"/>
        <color rgb="FFFCFCFF"/>
        <color rgb="FFF8696B"/>
      </colorScale>
    </cfRule>
  </conditionalFormatting>
  <conditionalFormatting sqref="I465">
    <cfRule type="colorScale" priority="16">
      <colorScale>
        <cfvo type="min"/>
        <cfvo type="max"/>
        <color rgb="FFFCFCFF"/>
        <color rgb="FFF8696B"/>
      </colorScale>
    </cfRule>
  </conditionalFormatting>
  <conditionalFormatting sqref="I477">
    <cfRule type="colorScale" priority="248">
      <colorScale>
        <cfvo type="min"/>
        <cfvo type="max"/>
        <color rgb="FFFCFCFF"/>
        <color rgb="FFF8696B"/>
      </colorScale>
    </cfRule>
  </conditionalFormatting>
  <conditionalFormatting sqref="I481">
    <cfRule type="colorScale" priority="344">
      <colorScale>
        <cfvo type="min"/>
        <cfvo type="max"/>
        <color rgb="FFFCFCFF"/>
        <color rgb="FFF8696B"/>
      </colorScale>
    </cfRule>
  </conditionalFormatting>
  <conditionalFormatting sqref="I498">
    <cfRule type="colorScale" priority="306">
      <colorScale>
        <cfvo type="min"/>
        <cfvo type="max"/>
        <color rgb="FFFCFCFF"/>
        <color rgb="FFF8696B"/>
      </colorScale>
    </cfRule>
  </conditionalFormatting>
  <conditionalFormatting sqref="I499">
    <cfRule type="colorScale" priority="288">
      <colorScale>
        <cfvo type="min"/>
        <cfvo type="max"/>
        <color rgb="FFFCFCFF"/>
        <color rgb="FFF8696B"/>
      </colorScale>
    </cfRule>
  </conditionalFormatting>
  <conditionalFormatting sqref="I522:I523 I514:I515 I506:I507">
    <cfRule type="colorScale" priority="2225">
      <colorScale>
        <cfvo type="min"/>
        <cfvo type="max"/>
        <color rgb="FFFCFCFF"/>
        <color rgb="FFF8696B"/>
      </colorScale>
    </cfRule>
  </conditionalFormatting>
  <conditionalFormatting sqref="I530:I531">
    <cfRule type="colorScale" priority="348">
      <colorScale>
        <cfvo type="min"/>
        <cfvo type="max"/>
        <color rgb="FFFCFCFF"/>
        <color rgb="FFF8696B"/>
      </colorScale>
    </cfRule>
  </conditionalFormatting>
  <conditionalFormatting sqref="I532">
    <cfRule type="colorScale" priority="356">
      <colorScale>
        <cfvo type="min"/>
        <cfvo type="max"/>
        <color rgb="FFFCFCFF"/>
        <color rgb="FFF8696B"/>
      </colorScale>
    </cfRule>
  </conditionalFormatting>
  <conditionalFormatting sqref="I533">
    <cfRule type="colorScale" priority="334">
      <colorScale>
        <cfvo type="min"/>
        <cfvo type="max"/>
        <color rgb="FFFCFCFF"/>
        <color rgb="FFF8696B"/>
      </colorScale>
    </cfRule>
  </conditionalFormatting>
  <conditionalFormatting sqref="I534">
    <cfRule type="colorScale" priority="336">
      <colorScale>
        <cfvo type="min"/>
        <cfvo type="max"/>
        <color rgb="FFFCFCFF"/>
        <color rgb="FFF8696B"/>
      </colorScale>
    </cfRule>
  </conditionalFormatting>
  <conditionalFormatting sqref="I535">
    <cfRule type="colorScale" priority="330">
      <colorScale>
        <cfvo type="min"/>
        <cfvo type="max"/>
        <color rgb="FFFCFCFF"/>
        <color rgb="FFF8696B"/>
      </colorScale>
    </cfRule>
  </conditionalFormatting>
  <conditionalFormatting sqref="I536">
    <cfRule type="colorScale" priority="320">
      <colorScale>
        <cfvo type="min"/>
        <cfvo type="max"/>
        <color rgb="FFFCFCFF"/>
        <color rgb="FFF8696B"/>
      </colorScale>
    </cfRule>
  </conditionalFormatting>
  <conditionalFormatting sqref="I537:I573">
    <cfRule type="colorScale" priority="3358">
      <colorScale>
        <cfvo type="min"/>
        <cfvo type="max"/>
        <color rgb="FFFCFCFF"/>
        <color rgb="FFF8696B"/>
      </colorScale>
    </cfRule>
  </conditionalFormatting>
  <conditionalFormatting sqref="I562:I573">
    <cfRule type="colorScale" priority="2299">
      <colorScale>
        <cfvo type="min"/>
        <cfvo type="max"/>
        <color rgb="FFFCFCFF"/>
        <color rgb="FFF8696B"/>
      </colorScale>
    </cfRule>
    <cfRule type="colorScale" priority="2298">
      <colorScale>
        <cfvo type="min"/>
        <cfvo type="max"/>
        <color rgb="FFFCFCFF"/>
        <color rgb="FFF8696B"/>
      </colorScale>
    </cfRule>
  </conditionalFormatting>
  <conditionalFormatting sqref="I574:I579">
    <cfRule type="colorScale" priority="2333">
      <colorScale>
        <cfvo type="min"/>
        <cfvo type="max"/>
        <color rgb="FFFCFCFF"/>
        <color rgb="FFF8696B"/>
      </colorScale>
    </cfRule>
  </conditionalFormatting>
  <conditionalFormatting sqref="I580:I586">
    <cfRule type="colorScale" priority="3134">
      <colorScale>
        <cfvo type="min"/>
        <cfvo type="max"/>
        <color rgb="FFFCFCFF"/>
        <color rgb="FFF8696B"/>
      </colorScale>
    </cfRule>
  </conditionalFormatting>
  <conditionalFormatting sqref="I582:I586">
    <cfRule type="colorScale" priority="2633">
      <colorScale>
        <cfvo type="min"/>
        <cfvo type="max"/>
        <color rgb="FFFCFCFF"/>
        <color rgb="FFF8696B"/>
      </colorScale>
    </cfRule>
  </conditionalFormatting>
  <conditionalFormatting sqref="I599">
    <cfRule type="colorScale" priority="138">
      <colorScale>
        <cfvo type="min"/>
        <cfvo type="max"/>
        <color rgb="FFFCFCFF"/>
        <color rgb="FFF8696B"/>
      </colorScale>
    </cfRule>
    <cfRule type="colorScale" priority="134">
      <colorScale>
        <cfvo type="min"/>
        <cfvo type="max"/>
        <color rgb="FFFCFCFF"/>
        <color rgb="FFF8696B"/>
      </colorScale>
    </cfRule>
  </conditionalFormatting>
  <conditionalFormatting sqref="I600:I601">
    <cfRule type="colorScale" priority="132">
      <colorScale>
        <cfvo type="min"/>
        <cfvo type="max"/>
        <color rgb="FFFCFCFF"/>
        <color rgb="FFF8696B"/>
      </colorScale>
    </cfRule>
    <cfRule type="colorScale" priority="128">
      <colorScale>
        <cfvo type="min"/>
        <cfvo type="max"/>
        <color rgb="FFFCFCFF"/>
        <color rgb="FFF8696B"/>
      </colorScale>
    </cfRule>
  </conditionalFormatting>
  <conditionalFormatting sqref="I602">
    <cfRule type="colorScale" priority="120">
      <colorScale>
        <cfvo type="min"/>
        <cfvo type="max"/>
        <color rgb="FFFCFCFF"/>
        <color rgb="FFF8696B"/>
      </colorScale>
    </cfRule>
    <cfRule type="colorScale" priority="124">
      <colorScale>
        <cfvo type="min"/>
        <cfvo type="max"/>
        <color rgb="FFFCFCFF"/>
        <color rgb="FFF8696B"/>
      </colorScale>
    </cfRule>
  </conditionalFormatting>
  <conditionalFormatting sqref="I603">
    <cfRule type="colorScale" priority="114">
      <colorScale>
        <cfvo type="min"/>
        <cfvo type="max"/>
        <color rgb="FFFCFCFF"/>
        <color rgb="FFF8696B"/>
      </colorScale>
    </cfRule>
    <cfRule type="colorScale" priority="118">
      <colorScale>
        <cfvo type="min"/>
        <cfvo type="max"/>
        <color rgb="FFFCFCFF"/>
        <color rgb="FFF8696B"/>
      </colorScale>
    </cfRule>
  </conditionalFormatting>
  <conditionalFormatting sqref="I604">
    <cfRule type="colorScale" priority="107">
      <colorScale>
        <cfvo type="min"/>
        <cfvo type="max"/>
        <color rgb="FFFCFCFF"/>
        <color rgb="FFF8696B"/>
      </colorScale>
    </cfRule>
    <cfRule type="colorScale" priority="110">
      <colorScale>
        <cfvo type="min"/>
        <cfvo type="max"/>
        <color rgb="FFFCFCFF"/>
        <color rgb="FFF8696B"/>
      </colorScale>
    </cfRule>
  </conditionalFormatting>
  <conditionalFormatting sqref="I605">
    <cfRule type="colorScale" priority="98">
      <colorScale>
        <cfvo type="min"/>
        <cfvo type="max"/>
        <color rgb="FFFCFCFF"/>
        <color rgb="FFF8696B"/>
      </colorScale>
    </cfRule>
    <cfRule type="colorScale" priority="101">
      <colorScale>
        <cfvo type="min"/>
        <cfvo type="max"/>
        <color rgb="FFFCFCFF"/>
        <color rgb="FFF8696B"/>
      </colorScale>
    </cfRule>
    <cfRule type="colorScale" priority="103">
      <colorScale>
        <cfvo type="min"/>
        <cfvo type="max"/>
        <color rgb="FFFCFCFF"/>
        <color rgb="FFF8696B"/>
      </colorScale>
    </cfRule>
  </conditionalFormatting>
  <conditionalFormatting sqref="I606">
    <cfRule type="colorScale" priority="94">
      <colorScale>
        <cfvo type="min"/>
        <cfvo type="max"/>
        <color rgb="FFFCFCFF"/>
        <color rgb="FFF8696B"/>
      </colorScale>
    </cfRule>
    <cfRule type="colorScale" priority="89">
      <colorScale>
        <cfvo type="min"/>
        <cfvo type="max"/>
        <color rgb="FFFCFCFF"/>
        <color rgb="FFF8696B"/>
      </colorScale>
    </cfRule>
    <cfRule type="colorScale" priority="92">
      <colorScale>
        <cfvo type="min"/>
        <cfvo type="max"/>
        <color rgb="FFFCFCFF"/>
        <color rgb="FFF8696B"/>
      </colorScale>
    </cfRule>
  </conditionalFormatting>
  <conditionalFormatting sqref="I607">
    <cfRule type="colorScale" priority="80">
      <colorScale>
        <cfvo type="min"/>
        <cfvo type="max"/>
        <color rgb="FFFCFCFF"/>
        <color rgb="FFF8696B"/>
      </colorScale>
    </cfRule>
    <cfRule type="colorScale" priority="83">
      <colorScale>
        <cfvo type="min"/>
        <cfvo type="max"/>
        <color rgb="FFFCFCFF"/>
        <color rgb="FFF8696B"/>
      </colorScale>
    </cfRule>
    <cfRule type="colorScale" priority="85">
      <colorScale>
        <cfvo type="min"/>
        <cfvo type="max"/>
        <color rgb="FFFCFCFF"/>
        <color rgb="FFF8696B"/>
      </colorScale>
    </cfRule>
  </conditionalFormatting>
  <conditionalFormatting sqref="I609">
    <cfRule type="colorScale" priority="62">
      <colorScale>
        <cfvo type="min"/>
        <cfvo type="max"/>
        <color rgb="FFFCFCFF"/>
        <color rgb="FFF8696B"/>
      </colorScale>
    </cfRule>
    <cfRule type="colorScale" priority="65">
      <colorScale>
        <cfvo type="min"/>
        <cfvo type="max"/>
        <color rgb="FFFCFCFF"/>
        <color rgb="FFF8696B"/>
      </colorScale>
    </cfRule>
  </conditionalFormatting>
  <conditionalFormatting sqref="I610:I611 I608">
    <cfRule type="colorScale" priority="58">
      <colorScale>
        <cfvo type="min"/>
        <cfvo type="max"/>
        <color rgb="FFFCFCFF"/>
        <color rgb="FFF8696B"/>
      </colorScale>
    </cfRule>
  </conditionalFormatting>
  <conditionalFormatting sqref="I612:I618">
    <cfRule type="colorScale" priority="45">
      <colorScale>
        <cfvo type="min"/>
        <cfvo type="max"/>
        <color rgb="FFFCFCFF"/>
        <color rgb="FFF8696B"/>
      </colorScale>
    </cfRule>
  </conditionalFormatting>
  <conditionalFormatting sqref="I619">
    <cfRule type="colorScale" priority="37">
      <colorScale>
        <cfvo type="min"/>
        <cfvo type="max"/>
        <color rgb="FFFCFCFF"/>
        <color rgb="FFF8696B"/>
      </colorScale>
    </cfRule>
  </conditionalFormatting>
  <conditionalFormatting sqref="I620">
    <cfRule type="colorScale" priority="27">
      <colorScale>
        <cfvo type="min"/>
        <cfvo type="max"/>
        <color rgb="FFFCFCFF"/>
        <color rgb="FFF8696B"/>
      </colorScale>
    </cfRule>
  </conditionalFormatting>
  <conditionalFormatting sqref="I621">
    <cfRule type="colorScale" priority="12">
      <colorScale>
        <cfvo type="min"/>
        <cfvo type="max"/>
        <color rgb="FFFCFCFF"/>
        <color rgb="FFF8696B"/>
      </colorScale>
    </cfRule>
    <cfRule type="colorScale" priority="9">
      <colorScale>
        <cfvo type="min"/>
        <cfvo type="max"/>
        <color rgb="FFFCFCFF"/>
        <color rgb="FFF8696B"/>
      </colorScale>
    </cfRule>
  </conditionalFormatting>
  <conditionalFormatting sqref="I622">
    <cfRule type="colorScale" priority="6">
      <colorScale>
        <cfvo type="min"/>
        <cfvo type="max"/>
        <color rgb="FFFCFCFF"/>
        <color rgb="FFF8696B"/>
      </colorScale>
    </cfRule>
    <cfRule type="colorScale" priority="2">
      <colorScale>
        <cfvo type="min"/>
        <cfvo type="max"/>
        <color rgb="FFFCFCFF"/>
        <color rgb="FFF8696B"/>
      </colorScale>
    </cfRule>
  </conditionalFormatting>
  <conditionalFormatting sqref="I788:I1048576 I1:I598">
    <cfRule type="colorScale" priority="144">
      <colorScale>
        <cfvo type="min"/>
        <cfvo type="max"/>
        <color rgb="FFFCFCFF"/>
        <color rgb="FFF8696B"/>
      </colorScale>
    </cfRule>
  </conditionalFormatting>
  <conditionalFormatting sqref="I788:I1048576 I106:I110 I466:I476 I422:I424 I416:I419 I482:I497 I500:I505 I508:I513 I516:I521 I524:I529 I478:I480 I94 I170:I171 I97:I98 I266:I267 I274:I297 I399:I414 I30:I32 I587:I598 I305:I322 I334:I336 I345:I358 I101:I103 I300:I301 I173:I246 I115 I117:I137 I142:I167 I1:I27 I35:I81">
    <cfRule type="colorScale" priority="3307">
      <colorScale>
        <cfvo type="min"/>
        <cfvo type="max"/>
        <color rgb="FFFCFCFF"/>
        <color rgb="FFF8696B"/>
      </colorScale>
    </cfRule>
  </conditionalFormatting>
  <conditionalFormatting sqref="W346">
    <cfRule type="colorScale" priority="20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222"/>
  <sheetViews>
    <sheetView topLeftCell="A1087" workbookViewId="0">
      <selection activeCell="B1087" sqref="B1:B1048576"/>
    </sheetView>
  </sheetViews>
  <sheetFormatPr defaultRowHeight="13.5" x14ac:dyDescent="0.15"/>
  <cols>
    <col min="8" max="8" width="3" customWidth="1"/>
    <col min="16" max="16" width="13.75" customWidth="1"/>
    <col min="17" max="17" width="15.25" customWidth="1"/>
    <col min="18" max="18" width="12.125" customWidth="1"/>
    <col min="25" max="25" width="37.25" customWidth="1"/>
  </cols>
  <sheetData>
    <row r="1" spans="1:25" ht="148.5" x14ac:dyDescent="0.15">
      <c r="A1" s="3" t="s">
        <v>0</v>
      </c>
      <c r="B1" s="3" t="s">
        <v>1857</v>
      </c>
      <c r="C1" s="27" t="s">
        <v>3368</v>
      </c>
      <c r="D1" s="32" t="s">
        <v>3367</v>
      </c>
      <c r="E1" s="25" t="s">
        <v>1553</v>
      </c>
      <c r="F1" s="3" t="s">
        <v>2</v>
      </c>
      <c r="G1" s="3" t="s">
        <v>3</v>
      </c>
      <c r="H1" s="32" t="s">
        <v>2775</v>
      </c>
      <c r="I1" s="27" t="s">
        <v>2776</v>
      </c>
      <c r="J1" s="28" t="s">
        <v>2777</v>
      </c>
      <c r="K1" s="3" t="s">
        <v>6</v>
      </c>
      <c r="L1" s="3" t="s">
        <v>7</v>
      </c>
      <c r="M1" s="3" t="s">
        <v>8</v>
      </c>
      <c r="N1" s="4" t="s">
        <v>9</v>
      </c>
      <c r="O1" s="3" t="s">
        <v>10</v>
      </c>
      <c r="P1" s="3" t="s">
        <v>11</v>
      </c>
      <c r="Q1" s="3" t="s">
        <v>1619</v>
      </c>
      <c r="R1" s="3" t="s">
        <v>12</v>
      </c>
      <c r="S1" s="3" t="s">
        <v>12</v>
      </c>
      <c r="T1" s="3" t="s">
        <v>13</v>
      </c>
      <c r="U1" s="27" t="s">
        <v>2097</v>
      </c>
      <c r="V1" s="3" t="s">
        <v>14</v>
      </c>
      <c r="W1" s="7" t="s">
        <v>15</v>
      </c>
      <c r="X1" s="8" t="s">
        <v>16</v>
      </c>
      <c r="Y1" s="8" t="s">
        <v>16</v>
      </c>
    </row>
    <row r="2" spans="1:25" x14ac:dyDescent="0.15">
      <c r="A2" s="3" t="s">
        <v>17</v>
      </c>
      <c r="B2" s="3" t="s">
        <v>18</v>
      </c>
      <c r="C2" s="3" t="s">
        <v>19</v>
      </c>
      <c r="D2" s="27" t="s">
        <v>3366</v>
      </c>
      <c r="E2" s="26" t="s">
        <v>1551</v>
      </c>
      <c r="F2" s="3" t="s">
        <v>20</v>
      </c>
      <c r="G2" s="3" t="s">
        <v>21</v>
      </c>
      <c r="H2" s="27" t="s">
        <v>2774</v>
      </c>
      <c r="I2" s="3" t="s">
        <v>22</v>
      </c>
      <c r="J2" s="4" t="s">
        <v>23</v>
      </c>
      <c r="K2" s="3" t="s">
        <v>24</v>
      </c>
      <c r="L2" s="3" t="s">
        <v>3553</v>
      </c>
      <c r="M2" s="3" t="s">
        <v>25</v>
      </c>
      <c r="N2" s="4" t="s">
        <v>26</v>
      </c>
      <c r="O2" s="3" t="s">
        <v>27</v>
      </c>
      <c r="P2" s="3" t="s">
        <v>28</v>
      </c>
      <c r="Q2" s="3" t="s">
        <v>29</v>
      </c>
      <c r="R2" s="3" t="s">
        <v>30</v>
      </c>
      <c r="S2" s="3" t="s">
        <v>31</v>
      </c>
      <c r="T2" s="3" t="s">
        <v>32</v>
      </c>
      <c r="U2" s="3" t="s">
        <v>33</v>
      </c>
      <c r="V2" s="3" t="s">
        <v>34</v>
      </c>
      <c r="W2" s="7" t="s">
        <v>35</v>
      </c>
      <c r="X2" t="str">
        <f t="shared" ref="X2" si="0">CONCATENATE("stuff_name",X1,"#str")</f>
        <v>stuff_namezh-CN#str</v>
      </c>
      <c r="Y2" t="str">
        <f t="shared" ref="Y2" si="1">CONCATENATE("desc",Y1,"#str")</f>
        <v>desczh-CN#str</v>
      </c>
    </row>
    <row r="3" spans="1:25" x14ac:dyDescent="0.15">
      <c r="A3" s="3">
        <v>203001</v>
      </c>
      <c r="B3" s="4" t="s">
        <v>721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4">
        <v>397</v>
      </c>
      <c r="K3" s="3">
        <v>2</v>
      </c>
      <c r="L3" s="3" t="s">
        <v>722</v>
      </c>
      <c r="M3" s="3">
        <v>203</v>
      </c>
      <c r="N3" s="4" t="s">
        <v>723</v>
      </c>
      <c r="O3" s="3">
        <v>4</v>
      </c>
      <c r="P3" s="27" t="s">
        <v>3458</v>
      </c>
      <c r="Q3" s="3" t="s">
        <v>724</v>
      </c>
      <c r="R3" s="3" t="str">
        <f t="shared" ref="R3:R34" si="2">CONCATENATE("ic_",Q3)</f>
        <v>ic_monster1</v>
      </c>
      <c r="S3" s="3" t="str">
        <f t="shared" ref="S3:S34" si="3">Q3</f>
        <v>monster1</v>
      </c>
      <c r="T3" s="3">
        <v>1</v>
      </c>
      <c r="U3" s="3">
        <v>0</v>
      </c>
      <c r="V3" s="3">
        <v>1</v>
      </c>
      <c r="W3" s="7"/>
      <c r="X3" s="3" t="s">
        <v>721</v>
      </c>
      <c r="Y3" s="27" t="s">
        <v>1742</v>
      </c>
    </row>
    <row r="4" spans="1:25" x14ac:dyDescent="0.15">
      <c r="A4" s="3">
        <v>203002</v>
      </c>
      <c r="B4" s="4" t="s">
        <v>725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4">
        <v>398</v>
      </c>
      <c r="K4" s="3">
        <v>2</v>
      </c>
      <c r="L4" s="3" t="s">
        <v>722</v>
      </c>
      <c r="M4" s="3">
        <v>203</v>
      </c>
      <c r="N4" s="4" t="s">
        <v>723</v>
      </c>
      <c r="O4" s="3">
        <v>4</v>
      </c>
      <c r="P4" s="27" t="s">
        <v>3458</v>
      </c>
      <c r="Q4" s="27" t="s">
        <v>2970</v>
      </c>
      <c r="R4" s="3" t="str">
        <f t="shared" si="2"/>
        <v>ic_monster2</v>
      </c>
      <c r="S4" s="3" t="str">
        <f t="shared" si="3"/>
        <v>monster2</v>
      </c>
      <c r="T4" s="3">
        <v>1</v>
      </c>
      <c r="U4" s="3">
        <v>0</v>
      </c>
      <c r="V4" s="3">
        <v>1</v>
      </c>
      <c r="W4" s="7"/>
      <c r="X4" s="3" t="s">
        <v>725</v>
      </c>
      <c r="Y4" s="27" t="s">
        <v>1754</v>
      </c>
    </row>
    <row r="5" spans="1:25" x14ac:dyDescent="0.15">
      <c r="A5" s="3">
        <v>203003</v>
      </c>
      <c r="B5" s="28" t="s">
        <v>1883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4">
        <v>399</v>
      </c>
      <c r="K5" s="3">
        <v>2</v>
      </c>
      <c r="L5" s="3" t="s">
        <v>722</v>
      </c>
      <c r="M5" s="3">
        <v>203</v>
      </c>
      <c r="N5" s="4" t="s">
        <v>723</v>
      </c>
      <c r="O5" s="3">
        <v>4</v>
      </c>
      <c r="P5" s="27" t="s">
        <v>3458</v>
      </c>
      <c r="Q5" s="3" t="s">
        <v>728</v>
      </c>
      <c r="R5" s="3" t="str">
        <f t="shared" si="2"/>
        <v>ic_monster3</v>
      </c>
      <c r="S5" s="3" t="str">
        <f t="shared" si="3"/>
        <v>monster3</v>
      </c>
      <c r="T5" s="3">
        <v>1</v>
      </c>
      <c r="U5" s="3">
        <v>0</v>
      </c>
      <c r="V5" s="3">
        <v>1</v>
      </c>
      <c r="W5" s="7"/>
      <c r="X5" s="3" t="s">
        <v>727</v>
      </c>
      <c r="Y5" s="27" t="s">
        <v>1743</v>
      </c>
    </row>
    <row r="6" spans="1:25" x14ac:dyDescent="0.15">
      <c r="A6" s="3">
        <v>203004</v>
      </c>
      <c r="B6" s="4" t="s">
        <v>729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4">
        <v>400</v>
      </c>
      <c r="K6" s="3">
        <v>2</v>
      </c>
      <c r="L6" s="3" t="s">
        <v>722</v>
      </c>
      <c r="M6" s="3">
        <v>203</v>
      </c>
      <c r="N6" s="4" t="s">
        <v>723</v>
      </c>
      <c r="O6" s="3">
        <v>4</v>
      </c>
      <c r="P6" s="27" t="s">
        <v>3458</v>
      </c>
      <c r="Q6" s="3" t="s">
        <v>730</v>
      </c>
      <c r="R6" s="3" t="str">
        <f t="shared" si="2"/>
        <v>ic_monster4</v>
      </c>
      <c r="S6" s="3" t="str">
        <f t="shared" si="3"/>
        <v>monster4</v>
      </c>
      <c r="T6" s="3">
        <v>1</v>
      </c>
      <c r="U6" s="3">
        <v>0</v>
      </c>
      <c r="V6" s="3">
        <v>1</v>
      </c>
      <c r="W6" s="7"/>
      <c r="X6" s="3" t="s">
        <v>729</v>
      </c>
      <c r="Y6" s="3" t="s">
        <v>731</v>
      </c>
    </row>
    <row r="7" spans="1:25" x14ac:dyDescent="0.15">
      <c r="A7" s="3">
        <v>203005</v>
      </c>
      <c r="B7" s="4" t="s">
        <v>732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4">
        <v>401</v>
      </c>
      <c r="K7" s="3">
        <v>2</v>
      </c>
      <c r="L7" s="3" t="s">
        <v>722</v>
      </c>
      <c r="M7" s="3">
        <v>203</v>
      </c>
      <c r="N7" s="4" t="s">
        <v>723</v>
      </c>
      <c r="O7" s="3">
        <v>4</v>
      </c>
      <c r="P7" s="27" t="s">
        <v>3458</v>
      </c>
      <c r="Q7" s="3" t="s">
        <v>733</v>
      </c>
      <c r="R7" s="3" t="str">
        <f t="shared" si="2"/>
        <v>ic_monster5</v>
      </c>
      <c r="S7" s="3" t="str">
        <f t="shared" si="3"/>
        <v>monster5</v>
      </c>
      <c r="T7" s="3">
        <v>1</v>
      </c>
      <c r="U7" s="3">
        <v>0</v>
      </c>
      <c r="V7" s="3">
        <v>1</v>
      </c>
      <c r="W7" s="7"/>
      <c r="X7" s="3" t="s">
        <v>732</v>
      </c>
      <c r="Y7" s="27" t="s">
        <v>1744</v>
      </c>
    </row>
    <row r="8" spans="1:25" ht="14.25" x14ac:dyDescent="0.15">
      <c r="A8" s="3">
        <v>203006</v>
      </c>
      <c r="B8" s="21" t="s">
        <v>734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4">
        <v>402</v>
      </c>
      <c r="K8" s="3">
        <v>2</v>
      </c>
      <c r="L8" s="3" t="s">
        <v>722</v>
      </c>
      <c r="M8" s="3">
        <v>203</v>
      </c>
      <c r="N8" s="4" t="s">
        <v>723</v>
      </c>
      <c r="O8" s="3">
        <v>4</v>
      </c>
      <c r="P8" s="27" t="s">
        <v>3458</v>
      </c>
      <c r="Q8" s="3" t="s">
        <v>735</v>
      </c>
      <c r="R8" s="3" t="str">
        <f t="shared" si="2"/>
        <v>ic_monster6</v>
      </c>
      <c r="S8" s="3" t="str">
        <f t="shared" si="3"/>
        <v>monster6</v>
      </c>
      <c r="T8" s="3">
        <v>1</v>
      </c>
      <c r="U8" s="3">
        <v>0</v>
      </c>
      <c r="V8" s="3">
        <v>1</v>
      </c>
      <c r="W8" s="7"/>
      <c r="X8" s="3" t="s">
        <v>734</v>
      </c>
      <c r="Y8" s="3" t="s">
        <v>736</v>
      </c>
    </row>
    <row r="9" spans="1:25" x14ac:dyDescent="0.15">
      <c r="A9" s="3">
        <v>203007</v>
      </c>
      <c r="B9" s="4" t="s">
        <v>737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4">
        <v>403</v>
      </c>
      <c r="K9" s="3">
        <v>2</v>
      </c>
      <c r="L9" s="3" t="s">
        <v>722</v>
      </c>
      <c r="M9" s="3">
        <v>203</v>
      </c>
      <c r="N9" s="4" t="s">
        <v>723</v>
      </c>
      <c r="O9" s="3">
        <v>4</v>
      </c>
      <c r="P9" s="27" t="s">
        <v>3458</v>
      </c>
      <c r="Q9" s="3" t="s">
        <v>738</v>
      </c>
      <c r="R9" s="3" t="str">
        <f t="shared" si="2"/>
        <v>ic_monster7</v>
      </c>
      <c r="S9" s="3" t="str">
        <f t="shared" si="3"/>
        <v>monster7</v>
      </c>
      <c r="T9" s="3">
        <v>1</v>
      </c>
      <c r="U9" s="3">
        <v>0</v>
      </c>
      <c r="V9" s="3">
        <v>1</v>
      </c>
      <c r="W9" s="7"/>
      <c r="X9" s="3" t="s">
        <v>737</v>
      </c>
      <c r="Y9" s="3" t="s">
        <v>739</v>
      </c>
    </row>
    <row r="10" spans="1:25" x14ac:dyDescent="0.15">
      <c r="A10" s="3">
        <v>203008</v>
      </c>
      <c r="B10" s="4" t="s">
        <v>740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4">
        <v>404</v>
      </c>
      <c r="K10" s="3">
        <v>2</v>
      </c>
      <c r="L10" s="3" t="s">
        <v>722</v>
      </c>
      <c r="M10" s="3">
        <v>203</v>
      </c>
      <c r="N10" s="4" t="s">
        <v>723</v>
      </c>
      <c r="O10" s="3">
        <v>4</v>
      </c>
      <c r="P10" s="27" t="s">
        <v>3458</v>
      </c>
      <c r="Q10" s="3" t="s">
        <v>741</v>
      </c>
      <c r="R10" s="3" t="str">
        <f t="shared" si="2"/>
        <v>ic_monster8</v>
      </c>
      <c r="S10" s="3" t="str">
        <f t="shared" si="3"/>
        <v>monster8</v>
      </c>
      <c r="T10" s="3">
        <v>1</v>
      </c>
      <c r="U10" s="3">
        <v>0</v>
      </c>
      <c r="V10" s="3">
        <v>1</v>
      </c>
      <c r="W10" s="7"/>
      <c r="X10" s="3" t="s">
        <v>740</v>
      </c>
      <c r="Y10" s="27" t="s">
        <v>2868</v>
      </c>
    </row>
    <row r="11" spans="1:25" x14ac:dyDescent="0.15">
      <c r="A11" s="3">
        <v>203009</v>
      </c>
      <c r="B11" s="3" t="s">
        <v>2084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4">
        <v>405</v>
      </c>
      <c r="K11" s="3">
        <v>2</v>
      </c>
      <c r="L11" s="3" t="s">
        <v>722</v>
      </c>
      <c r="M11" s="3">
        <v>203</v>
      </c>
      <c r="N11" s="4" t="s">
        <v>723</v>
      </c>
      <c r="O11" s="3">
        <v>4</v>
      </c>
      <c r="P11" s="27" t="s">
        <v>3458</v>
      </c>
      <c r="Q11" s="3" t="s">
        <v>743</v>
      </c>
      <c r="R11" s="3" t="str">
        <f t="shared" si="2"/>
        <v>ic_monster9</v>
      </c>
      <c r="S11" s="3" t="str">
        <f t="shared" si="3"/>
        <v>monster9</v>
      </c>
      <c r="T11" s="3">
        <v>1</v>
      </c>
      <c r="U11" s="3">
        <v>0</v>
      </c>
      <c r="V11" s="3">
        <v>1</v>
      </c>
      <c r="W11" s="7"/>
      <c r="X11" s="3" t="s">
        <v>742</v>
      </c>
      <c r="Y11" s="27" t="s">
        <v>1832</v>
      </c>
    </row>
    <row r="12" spans="1:25" x14ac:dyDescent="0.15">
      <c r="A12" s="3">
        <v>203010</v>
      </c>
      <c r="B12" s="3" t="s">
        <v>744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4">
        <v>406</v>
      </c>
      <c r="K12" s="3">
        <v>2</v>
      </c>
      <c r="L12" s="3" t="s">
        <v>722</v>
      </c>
      <c r="M12" s="3">
        <v>203</v>
      </c>
      <c r="N12" s="4" t="s">
        <v>723</v>
      </c>
      <c r="O12" s="3">
        <v>4</v>
      </c>
      <c r="P12" s="27" t="s">
        <v>3458</v>
      </c>
      <c r="Q12" s="3" t="s">
        <v>745</v>
      </c>
      <c r="R12" s="3" t="str">
        <f t="shared" si="2"/>
        <v>ic_monster10</v>
      </c>
      <c r="S12" s="3" t="str">
        <f t="shared" si="3"/>
        <v>monster10</v>
      </c>
      <c r="T12" s="3">
        <v>1</v>
      </c>
      <c r="U12" s="3">
        <v>0</v>
      </c>
      <c r="V12" s="3">
        <v>1</v>
      </c>
      <c r="W12" s="7"/>
      <c r="X12" s="3" t="s">
        <v>744</v>
      </c>
      <c r="Y12" s="3" t="s">
        <v>746</v>
      </c>
    </row>
    <row r="13" spans="1:25" x14ac:dyDescent="0.15">
      <c r="A13" s="3">
        <v>203011</v>
      </c>
      <c r="B13" s="3" t="s">
        <v>747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4">
        <v>407</v>
      </c>
      <c r="K13" s="3">
        <v>2</v>
      </c>
      <c r="L13" s="3" t="s">
        <v>722</v>
      </c>
      <c r="M13" s="3">
        <v>203</v>
      </c>
      <c r="N13" s="4" t="s">
        <v>723</v>
      </c>
      <c r="O13" s="3">
        <v>4</v>
      </c>
      <c r="P13" s="27" t="s">
        <v>3458</v>
      </c>
      <c r="Q13" s="3" t="s">
        <v>748</v>
      </c>
      <c r="R13" s="3" t="str">
        <f t="shared" si="2"/>
        <v>ic_monster11</v>
      </c>
      <c r="S13" s="3" t="str">
        <f t="shared" si="3"/>
        <v>monster11</v>
      </c>
      <c r="T13" s="3">
        <v>1</v>
      </c>
      <c r="U13" s="3">
        <v>0</v>
      </c>
      <c r="V13" s="3">
        <v>1</v>
      </c>
      <c r="W13" s="7"/>
      <c r="X13" s="3" t="s">
        <v>747</v>
      </c>
      <c r="Y13" s="3" t="s">
        <v>749</v>
      </c>
    </row>
    <row r="14" spans="1:25" x14ac:dyDescent="0.15">
      <c r="A14" s="3">
        <v>203012</v>
      </c>
      <c r="B14" s="3" t="s">
        <v>2083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4">
        <v>408</v>
      </c>
      <c r="K14" s="3">
        <v>2</v>
      </c>
      <c r="L14" s="3" t="s">
        <v>722</v>
      </c>
      <c r="M14" s="3">
        <v>203</v>
      </c>
      <c r="N14" s="4" t="s">
        <v>723</v>
      </c>
      <c r="O14" s="3">
        <v>4</v>
      </c>
      <c r="P14" s="27" t="s">
        <v>3458</v>
      </c>
      <c r="Q14" s="3" t="s">
        <v>751</v>
      </c>
      <c r="R14" s="3" t="str">
        <f t="shared" si="2"/>
        <v>ic_monster12</v>
      </c>
      <c r="S14" s="3" t="str">
        <f t="shared" si="3"/>
        <v>monster12</v>
      </c>
      <c r="T14" s="3">
        <v>1</v>
      </c>
      <c r="U14" s="3">
        <v>0</v>
      </c>
      <c r="V14" s="3">
        <v>1</v>
      </c>
      <c r="W14" s="7"/>
      <c r="X14" s="3" t="s">
        <v>750</v>
      </c>
      <c r="Y14" s="27" t="s">
        <v>1741</v>
      </c>
    </row>
    <row r="15" spans="1:25" x14ac:dyDescent="0.15">
      <c r="A15" s="3">
        <v>203013</v>
      </c>
      <c r="B15" s="3" t="s">
        <v>752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4">
        <v>409</v>
      </c>
      <c r="K15" s="3">
        <v>2</v>
      </c>
      <c r="L15" s="3" t="s">
        <v>722</v>
      </c>
      <c r="M15" s="3">
        <v>203</v>
      </c>
      <c r="N15" s="4" t="s">
        <v>723</v>
      </c>
      <c r="O15" s="3">
        <v>4</v>
      </c>
      <c r="P15" s="27" t="s">
        <v>3458</v>
      </c>
      <c r="Q15" s="3" t="s">
        <v>753</v>
      </c>
      <c r="R15" s="3" t="str">
        <f t="shared" si="2"/>
        <v>ic_monster13</v>
      </c>
      <c r="S15" s="3" t="str">
        <f t="shared" si="3"/>
        <v>monster13</v>
      </c>
      <c r="T15" s="3">
        <v>1</v>
      </c>
      <c r="U15" s="3">
        <v>0</v>
      </c>
      <c r="V15" s="3">
        <v>1</v>
      </c>
      <c r="W15" s="7"/>
      <c r="X15" s="3" t="s">
        <v>752</v>
      </c>
      <c r="Y15" s="27" t="s">
        <v>1740</v>
      </c>
    </row>
    <row r="16" spans="1:25" x14ac:dyDescent="0.15">
      <c r="A16" s="3">
        <v>203014</v>
      </c>
      <c r="B16" s="3" t="s">
        <v>754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4">
        <v>410</v>
      </c>
      <c r="K16" s="3">
        <v>2</v>
      </c>
      <c r="L16" s="3" t="s">
        <v>722</v>
      </c>
      <c r="M16" s="3">
        <v>203</v>
      </c>
      <c r="N16" s="4" t="s">
        <v>723</v>
      </c>
      <c r="O16" s="3">
        <v>4</v>
      </c>
      <c r="P16" s="27" t="s">
        <v>3458</v>
      </c>
      <c r="Q16" s="3" t="s">
        <v>755</v>
      </c>
      <c r="R16" s="3" t="str">
        <f t="shared" si="2"/>
        <v>ic_monster14</v>
      </c>
      <c r="S16" s="3" t="str">
        <f t="shared" si="3"/>
        <v>monster14</v>
      </c>
      <c r="T16" s="3">
        <v>1</v>
      </c>
      <c r="U16" s="3">
        <v>0</v>
      </c>
      <c r="V16" s="3">
        <v>1</v>
      </c>
      <c r="W16" s="7"/>
      <c r="X16" s="3" t="s">
        <v>754</v>
      </c>
      <c r="Y16" s="27" t="s">
        <v>1738</v>
      </c>
    </row>
    <row r="17" spans="1:25" x14ac:dyDescent="0.15">
      <c r="A17" s="3">
        <v>203015</v>
      </c>
      <c r="B17" s="3" t="s">
        <v>756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4">
        <v>411</v>
      </c>
      <c r="K17" s="3">
        <v>2</v>
      </c>
      <c r="L17" s="3" t="s">
        <v>722</v>
      </c>
      <c r="M17" s="3">
        <v>203</v>
      </c>
      <c r="N17" s="4" t="s">
        <v>723</v>
      </c>
      <c r="O17" s="3">
        <v>4</v>
      </c>
      <c r="P17" s="27" t="s">
        <v>3458</v>
      </c>
      <c r="Q17" s="3" t="s">
        <v>757</v>
      </c>
      <c r="R17" s="3" t="str">
        <f t="shared" si="2"/>
        <v>ic_monster15</v>
      </c>
      <c r="S17" s="3" t="str">
        <f t="shared" si="3"/>
        <v>monster15</v>
      </c>
      <c r="T17" s="3">
        <v>1</v>
      </c>
      <c r="U17" s="3">
        <v>0</v>
      </c>
      <c r="V17" s="3">
        <v>1</v>
      </c>
      <c r="W17" s="7"/>
      <c r="X17" s="3" t="s">
        <v>756</v>
      </c>
      <c r="Y17" s="27" t="s">
        <v>1739</v>
      </c>
    </row>
    <row r="18" spans="1:25" x14ac:dyDescent="0.15">
      <c r="A18" s="3">
        <v>203016</v>
      </c>
      <c r="B18" s="3" t="s">
        <v>758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4">
        <v>412</v>
      </c>
      <c r="K18" s="3">
        <v>2</v>
      </c>
      <c r="L18" s="3" t="s">
        <v>722</v>
      </c>
      <c r="M18" s="3">
        <v>203</v>
      </c>
      <c r="N18" s="4" t="s">
        <v>723</v>
      </c>
      <c r="O18" s="3">
        <v>4</v>
      </c>
      <c r="P18" s="27" t="s">
        <v>3458</v>
      </c>
      <c r="Q18" s="3" t="s">
        <v>759</v>
      </c>
      <c r="R18" s="3" t="str">
        <f t="shared" si="2"/>
        <v>ic_monster16</v>
      </c>
      <c r="S18" s="3" t="str">
        <f t="shared" si="3"/>
        <v>monster16</v>
      </c>
      <c r="T18" s="3">
        <v>1</v>
      </c>
      <c r="U18" s="3">
        <v>0</v>
      </c>
      <c r="V18" s="3">
        <v>1</v>
      </c>
      <c r="W18" s="7"/>
      <c r="X18" s="3" t="s">
        <v>758</v>
      </c>
      <c r="Y18" s="3" t="s">
        <v>760</v>
      </c>
    </row>
    <row r="19" spans="1:25" x14ac:dyDescent="0.15">
      <c r="A19" s="3">
        <v>203017</v>
      </c>
      <c r="B19" s="3" t="s">
        <v>761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4">
        <v>413</v>
      </c>
      <c r="K19" s="3">
        <v>2</v>
      </c>
      <c r="L19" s="3" t="s">
        <v>722</v>
      </c>
      <c r="M19" s="3">
        <v>203</v>
      </c>
      <c r="N19" s="4" t="s">
        <v>723</v>
      </c>
      <c r="O19" s="3">
        <v>4</v>
      </c>
      <c r="P19" s="27" t="s">
        <v>3458</v>
      </c>
      <c r="Q19" s="3" t="s">
        <v>762</v>
      </c>
      <c r="R19" s="3" t="str">
        <f t="shared" si="2"/>
        <v>ic_monster17</v>
      </c>
      <c r="S19" s="3" t="str">
        <f t="shared" si="3"/>
        <v>monster17</v>
      </c>
      <c r="T19" s="3">
        <v>1</v>
      </c>
      <c r="U19" s="3">
        <v>0</v>
      </c>
      <c r="V19" s="3">
        <v>1</v>
      </c>
      <c r="W19" s="7"/>
      <c r="X19" s="3" t="s">
        <v>761</v>
      </c>
      <c r="Y19" s="27" t="s">
        <v>1755</v>
      </c>
    </row>
    <row r="20" spans="1:25" x14ac:dyDescent="0.15">
      <c r="A20" s="3">
        <v>203018</v>
      </c>
      <c r="B20" s="3" t="s">
        <v>764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4">
        <v>414</v>
      </c>
      <c r="K20" s="3">
        <v>2</v>
      </c>
      <c r="L20" s="3" t="s">
        <v>722</v>
      </c>
      <c r="M20" s="3">
        <v>203</v>
      </c>
      <c r="N20" s="4" t="s">
        <v>723</v>
      </c>
      <c r="O20" s="3">
        <v>4</v>
      </c>
      <c r="P20" s="27" t="s">
        <v>3458</v>
      </c>
      <c r="Q20" s="3" t="s">
        <v>765</v>
      </c>
      <c r="R20" s="3" t="str">
        <f t="shared" si="2"/>
        <v>ic_monster18</v>
      </c>
      <c r="S20" s="3" t="str">
        <f t="shared" si="3"/>
        <v>monster18</v>
      </c>
      <c r="T20" s="3">
        <v>1</v>
      </c>
      <c r="U20" s="3">
        <v>0</v>
      </c>
      <c r="V20" s="3">
        <v>1</v>
      </c>
      <c r="W20" s="7"/>
      <c r="X20" s="3" t="s">
        <v>764</v>
      </c>
      <c r="Y20" s="3" t="s">
        <v>766</v>
      </c>
    </row>
    <row r="21" spans="1:25" x14ac:dyDescent="0.15">
      <c r="A21" s="3">
        <v>203019</v>
      </c>
      <c r="B21" s="3" t="s">
        <v>767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4">
        <v>415</v>
      </c>
      <c r="K21" s="3">
        <v>2</v>
      </c>
      <c r="L21" s="3" t="s">
        <v>722</v>
      </c>
      <c r="M21" s="3">
        <v>203</v>
      </c>
      <c r="N21" s="4" t="s">
        <v>723</v>
      </c>
      <c r="O21" s="3">
        <v>4</v>
      </c>
      <c r="P21" s="27" t="s">
        <v>3458</v>
      </c>
      <c r="Q21" s="3" t="s">
        <v>768</v>
      </c>
      <c r="R21" s="3" t="str">
        <f t="shared" si="2"/>
        <v>ic_monster19</v>
      </c>
      <c r="S21" s="3" t="str">
        <f t="shared" si="3"/>
        <v>monster19</v>
      </c>
      <c r="T21" s="3">
        <v>1</v>
      </c>
      <c r="U21" s="3">
        <v>0</v>
      </c>
      <c r="V21" s="3">
        <v>1</v>
      </c>
      <c r="W21" s="7"/>
      <c r="X21" s="3" t="s">
        <v>767</v>
      </c>
      <c r="Y21" s="3" t="s">
        <v>763</v>
      </c>
    </row>
    <row r="22" spans="1:25" x14ac:dyDescent="0.15">
      <c r="A22" s="3">
        <v>203020</v>
      </c>
      <c r="B22" s="3" t="s">
        <v>769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4">
        <v>416</v>
      </c>
      <c r="K22" s="3">
        <v>2</v>
      </c>
      <c r="L22" s="3" t="s">
        <v>722</v>
      </c>
      <c r="M22" s="3">
        <v>203</v>
      </c>
      <c r="N22" s="4" t="s">
        <v>723</v>
      </c>
      <c r="O22" s="3">
        <v>4</v>
      </c>
      <c r="P22" s="27" t="s">
        <v>3458</v>
      </c>
      <c r="Q22" s="3" t="s">
        <v>770</v>
      </c>
      <c r="R22" s="3" t="str">
        <f t="shared" si="2"/>
        <v>ic_monster20</v>
      </c>
      <c r="S22" s="3" t="str">
        <f t="shared" si="3"/>
        <v>monster20</v>
      </c>
      <c r="T22" s="3">
        <v>1</v>
      </c>
      <c r="U22" s="3">
        <v>0</v>
      </c>
      <c r="V22" s="3">
        <v>1</v>
      </c>
      <c r="W22" s="7"/>
      <c r="X22" s="3" t="s">
        <v>769</v>
      </c>
      <c r="Y22" s="27" t="s">
        <v>1737</v>
      </c>
    </row>
    <row r="23" spans="1:25" x14ac:dyDescent="0.15">
      <c r="A23" s="3">
        <v>203021</v>
      </c>
      <c r="B23" s="3" t="s">
        <v>771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4">
        <v>417</v>
      </c>
      <c r="K23" s="3">
        <v>2</v>
      </c>
      <c r="L23" s="3" t="s">
        <v>722</v>
      </c>
      <c r="M23" s="3">
        <v>203</v>
      </c>
      <c r="N23" s="4" t="s">
        <v>723</v>
      </c>
      <c r="O23" s="3">
        <v>4</v>
      </c>
      <c r="P23" s="27" t="s">
        <v>3458</v>
      </c>
      <c r="Q23" s="3" t="s">
        <v>772</v>
      </c>
      <c r="R23" s="3" t="str">
        <f t="shared" si="2"/>
        <v>ic_monster21</v>
      </c>
      <c r="S23" s="3" t="str">
        <f t="shared" si="3"/>
        <v>monster21</v>
      </c>
      <c r="T23" s="3">
        <v>1</v>
      </c>
      <c r="U23" s="3">
        <v>0</v>
      </c>
      <c r="V23" s="3">
        <v>1</v>
      </c>
      <c r="W23" s="7"/>
      <c r="X23" s="3" t="s">
        <v>771</v>
      </c>
      <c r="Y23" s="27" t="s">
        <v>1745</v>
      </c>
    </row>
    <row r="24" spans="1:25" x14ac:dyDescent="0.15">
      <c r="A24" s="3">
        <v>203022</v>
      </c>
      <c r="B24" s="3" t="s">
        <v>773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4">
        <v>418</v>
      </c>
      <c r="K24" s="3">
        <v>2</v>
      </c>
      <c r="L24" s="3" t="s">
        <v>722</v>
      </c>
      <c r="M24" s="3">
        <v>203</v>
      </c>
      <c r="N24" s="4" t="s">
        <v>723</v>
      </c>
      <c r="O24" s="3">
        <v>4</v>
      </c>
      <c r="P24" s="27" t="s">
        <v>3458</v>
      </c>
      <c r="Q24" s="3" t="s">
        <v>774</v>
      </c>
      <c r="R24" s="3" t="str">
        <f t="shared" si="2"/>
        <v>ic_monster22</v>
      </c>
      <c r="S24" s="3" t="str">
        <f t="shared" si="3"/>
        <v>monster22</v>
      </c>
      <c r="T24" s="3">
        <v>1</v>
      </c>
      <c r="U24" s="3">
        <v>0</v>
      </c>
      <c r="V24" s="3">
        <v>1</v>
      </c>
      <c r="W24" s="7"/>
      <c r="X24" s="3" t="s">
        <v>773</v>
      </c>
      <c r="Y24" s="27" t="s">
        <v>1746</v>
      </c>
    </row>
    <row r="25" spans="1:25" x14ac:dyDescent="0.15">
      <c r="A25" s="3">
        <v>203023</v>
      </c>
      <c r="B25" s="27" t="s">
        <v>1597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4">
        <v>419</v>
      </c>
      <c r="K25" s="3">
        <v>2</v>
      </c>
      <c r="L25" s="3" t="s">
        <v>722</v>
      </c>
      <c r="M25" s="3">
        <v>203</v>
      </c>
      <c r="N25" s="4" t="s">
        <v>723</v>
      </c>
      <c r="O25" s="3">
        <v>2</v>
      </c>
      <c r="P25" s="27" t="s">
        <v>3458</v>
      </c>
      <c r="Q25" s="3" t="s">
        <v>776</v>
      </c>
      <c r="R25" s="3" t="str">
        <f t="shared" si="2"/>
        <v>ic_monster23</v>
      </c>
      <c r="S25" s="3" t="str">
        <f t="shared" si="3"/>
        <v>monster23</v>
      </c>
      <c r="T25" s="3">
        <v>1</v>
      </c>
      <c r="U25" s="3">
        <v>0</v>
      </c>
      <c r="V25" s="3">
        <v>1</v>
      </c>
      <c r="W25" s="7"/>
      <c r="X25" s="3" t="s">
        <v>775</v>
      </c>
      <c r="Y25" s="27" t="s">
        <v>1747</v>
      </c>
    </row>
    <row r="26" spans="1:25" x14ac:dyDescent="0.15">
      <c r="A26" s="3">
        <v>203024</v>
      </c>
      <c r="B26" s="3" t="s">
        <v>777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4">
        <v>420</v>
      </c>
      <c r="K26" s="3">
        <v>2</v>
      </c>
      <c r="L26" s="3" t="s">
        <v>722</v>
      </c>
      <c r="M26" s="3">
        <v>203</v>
      </c>
      <c r="N26" s="4" t="s">
        <v>723</v>
      </c>
      <c r="O26" s="3">
        <v>2</v>
      </c>
      <c r="P26" s="27" t="s">
        <v>3458</v>
      </c>
      <c r="Q26" s="3" t="s">
        <v>778</v>
      </c>
      <c r="R26" s="3" t="str">
        <f t="shared" si="2"/>
        <v>ic_monster24</v>
      </c>
      <c r="S26" s="3" t="str">
        <f t="shared" si="3"/>
        <v>monster24</v>
      </c>
      <c r="T26" s="3">
        <v>1</v>
      </c>
      <c r="U26" s="3">
        <v>0</v>
      </c>
      <c r="V26" s="3">
        <v>1</v>
      </c>
      <c r="W26" s="7"/>
      <c r="X26" s="3" t="s">
        <v>777</v>
      </c>
      <c r="Y26" s="27" t="s">
        <v>1748</v>
      </c>
    </row>
    <row r="27" spans="1:25" x14ac:dyDescent="0.15">
      <c r="A27" s="3">
        <v>203025</v>
      </c>
      <c r="B27" s="3" t="s">
        <v>779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4">
        <v>421</v>
      </c>
      <c r="K27" s="3">
        <v>2</v>
      </c>
      <c r="L27" s="3" t="s">
        <v>722</v>
      </c>
      <c r="M27" s="3">
        <v>203</v>
      </c>
      <c r="N27" s="4" t="s">
        <v>723</v>
      </c>
      <c r="O27" s="3">
        <v>2</v>
      </c>
      <c r="P27" s="27" t="s">
        <v>3458</v>
      </c>
      <c r="Q27" s="3" t="s">
        <v>780</v>
      </c>
      <c r="R27" s="3" t="str">
        <f t="shared" si="2"/>
        <v>ic_monster25</v>
      </c>
      <c r="S27" s="3" t="str">
        <f t="shared" si="3"/>
        <v>monster25</v>
      </c>
      <c r="T27" s="3">
        <v>1</v>
      </c>
      <c r="U27" s="3">
        <v>0</v>
      </c>
      <c r="V27" s="3">
        <v>1</v>
      </c>
      <c r="W27" s="7"/>
      <c r="X27" s="3" t="s">
        <v>779</v>
      </c>
      <c r="Y27" s="27" t="s">
        <v>1749</v>
      </c>
    </row>
    <row r="28" spans="1:25" x14ac:dyDescent="0.15">
      <c r="A28" s="3">
        <v>203026</v>
      </c>
      <c r="B28" s="3" t="s">
        <v>781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4">
        <v>422</v>
      </c>
      <c r="K28" s="3">
        <v>2</v>
      </c>
      <c r="L28" s="3" t="s">
        <v>722</v>
      </c>
      <c r="M28" s="3">
        <v>203</v>
      </c>
      <c r="N28" s="4" t="s">
        <v>723</v>
      </c>
      <c r="O28" s="3">
        <v>2</v>
      </c>
      <c r="P28" s="27" t="s">
        <v>3458</v>
      </c>
      <c r="Q28" s="3" t="s">
        <v>782</v>
      </c>
      <c r="R28" s="3" t="str">
        <f t="shared" si="2"/>
        <v>ic_monster26</v>
      </c>
      <c r="S28" s="3" t="str">
        <f t="shared" si="3"/>
        <v>monster26</v>
      </c>
      <c r="T28" s="3">
        <v>1</v>
      </c>
      <c r="U28" s="3">
        <v>0</v>
      </c>
      <c r="V28" s="3">
        <v>1</v>
      </c>
      <c r="W28" s="7"/>
      <c r="X28" s="3" t="s">
        <v>781</v>
      </c>
      <c r="Y28" s="27" t="s">
        <v>1750</v>
      </c>
    </row>
    <row r="29" spans="1:25" x14ac:dyDescent="0.15">
      <c r="A29" s="3">
        <v>203027</v>
      </c>
      <c r="B29" s="3" t="s">
        <v>783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4">
        <v>423</v>
      </c>
      <c r="K29" s="3">
        <v>2</v>
      </c>
      <c r="L29" s="3" t="s">
        <v>722</v>
      </c>
      <c r="M29" s="3">
        <v>203</v>
      </c>
      <c r="N29" s="4" t="s">
        <v>723</v>
      </c>
      <c r="O29" s="3">
        <v>2</v>
      </c>
      <c r="P29" s="27" t="s">
        <v>3458</v>
      </c>
      <c r="Q29" s="3" t="s">
        <v>784</v>
      </c>
      <c r="R29" s="3" t="str">
        <f t="shared" si="2"/>
        <v>ic_monster27</v>
      </c>
      <c r="S29" s="3" t="str">
        <f t="shared" si="3"/>
        <v>monster27</v>
      </c>
      <c r="T29" s="3">
        <v>1</v>
      </c>
      <c r="U29" s="3">
        <v>0</v>
      </c>
      <c r="V29" s="3">
        <v>1</v>
      </c>
      <c r="W29" s="7"/>
      <c r="X29" s="3" t="s">
        <v>783</v>
      </c>
      <c r="Y29" s="27" t="s">
        <v>1760</v>
      </c>
    </row>
    <row r="30" spans="1:25" x14ac:dyDescent="0.15">
      <c r="A30" s="3">
        <v>203028</v>
      </c>
      <c r="B30" s="3" t="s">
        <v>785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4">
        <v>424</v>
      </c>
      <c r="K30" s="3">
        <v>2</v>
      </c>
      <c r="L30" s="3" t="s">
        <v>722</v>
      </c>
      <c r="M30" s="3">
        <v>203</v>
      </c>
      <c r="N30" s="4" t="s">
        <v>723</v>
      </c>
      <c r="O30" s="3">
        <v>2</v>
      </c>
      <c r="P30" s="27" t="s">
        <v>3458</v>
      </c>
      <c r="Q30" s="3" t="s">
        <v>786</v>
      </c>
      <c r="R30" s="3" t="str">
        <f t="shared" si="2"/>
        <v>ic_monster28</v>
      </c>
      <c r="S30" s="3" t="str">
        <f t="shared" si="3"/>
        <v>monster28</v>
      </c>
      <c r="T30" s="3">
        <v>1</v>
      </c>
      <c r="U30" s="3">
        <v>0</v>
      </c>
      <c r="V30" s="3">
        <v>1</v>
      </c>
      <c r="W30" s="7"/>
      <c r="X30" s="27" t="s">
        <v>1756</v>
      </c>
      <c r="Y30" s="27" t="s">
        <v>1757</v>
      </c>
    </row>
    <row r="31" spans="1:25" x14ac:dyDescent="0.15">
      <c r="A31" s="3">
        <v>203029</v>
      </c>
      <c r="B31" s="3" t="s">
        <v>787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4">
        <v>425</v>
      </c>
      <c r="K31" s="3">
        <v>2</v>
      </c>
      <c r="L31" s="3" t="s">
        <v>722</v>
      </c>
      <c r="M31" s="3">
        <v>203</v>
      </c>
      <c r="N31" s="4" t="s">
        <v>723</v>
      </c>
      <c r="O31" s="3">
        <v>2</v>
      </c>
      <c r="P31" s="27" t="s">
        <v>3458</v>
      </c>
      <c r="Q31" s="3" t="s">
        <v>788</v>
      </c>
      <c r="R31" s="3" t="str">
        <f t="shared" si="2"/>
        <v>ic_monster29</v>
      </c>
      <c r="S31" s="3" t="str">
        <f t="shared" si="3"/>
        <v>monster29</v>
      </c>
      <c r="T31" s="3">
        <v>1</v>
      </c>
      <c r="U31" s="3">
        <v>0</v>
      </c>
      <c r="V31" s="3">
        <v>1</v>
      </c>
      <c r="W31" s="7"/>
      <c r="X31" s="3" t="s">
        <v>787</v>
      </c>
      <c r="Y31" s="27" t="s">
        <v>1758</v>
      </c>
    </row>
    <row r="32" spans="1:25" x14ac:dyDescent="0.15">
      <c r="A32" s="3">
        <v>203030</v>
      </c>
      <c r="B32" s="3" t="s">
        <v>789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4">
        <v>426</v>
      </c>
      <c r="K32" s="3">
        <v>2</v>
      </c>
      <c r="L32" s="3" t="s">
        <v>722</v>
      </c>
      <c r="M32" s="3">
        <v>203</v>
      </c>
      <c r="N32" s="4" t="s">
        <v>723</v>
      </c>
      <c r="O32" s="3">
        <v>2</v>
      </c>
      <c r="P32" s="27" t="s">
        <v>3458</v>
      </c>
      <c r="Q32" s="3" t="s">
        <v>790</v>
      </c>
      <c r="R32" s="3" t="str">
        <f t="shared" si="2"/>
        <v>ic_monster30</v>
      </c>
      <c r="S32" s="3" t="str">
        <f t="shared" si="3"/>
        <v>monster30</v>
      </c>
      <c r="T32" s="3">
        <v>1</v>
      </c>
      <c r="U32" s="3">
        <v>0</v>
      </c>
      <c r="V32" s="3">
        <v>1</v>
      </c>
      <c r="W32" s="7"/>
      <c r="X32" s="3" t="s">
        <v>789</v>
      </c>
      <c r="Y32" s="27" t="s">
        <v>1759</v>
      </c>
    </row>
    <row r="33" spans="1:25" x14ac:dyDescent="0.15">
      <c r="A33" s="3">
        <v>203031</v>
      </c>
      <c r="B33" s="3" t="s">
        <v>791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0</v>
      </c>
      <c r="I33" s="3">
        <v>0</v>
      </c>
      <c r="J33" s="4">
        <v>427</v>
      </c>
      <c r="K33" s="3">
        <v>2</v>
      </c>
      <c r="L33" s="3" t="s">
        <v>722</v>
      </c>
      <c r="M33" s="3">
        <v>203</v>
      </c>
      <c r="N33" s="4" t="s">
        <v>723</v>
      </c>
      <c r="O33" s="3">
        <v>2</v>
      </c>
      <c r="P33" s="27" t="s">
        <v>3458</v>
      </c>
      <c r="Q33" s="3" t="s">
        <v>792</v>
      </c>
      <c r="R33" s="3" t="str">
        <f t="shared" si="2"/>
        <v>ic_monster31</v>
      </c>
      <c r="S33" s="3" t="str">
        <f t="shared" si="3"/>
        <v>monster31</v>
      </c>
      <c r="T33" s="3">
        <v>1</v>
      </c>
      <c r="U33" s="3">
        <v>0</v>
      </c>
      <c r="V33" s="3">
        <v>1</v>
      </c>
      <c r="W33" s="7"/>
      <c r="X33" s="3" t="s">
        <v>791</v>
      </c>
      <c r="Y33" s="27" t="s">
        <v>1761</v>
      </c>
    </row>
    <row r="34" spans="1:25" x14ac:dyDescent="0.15">
      <c r="A34" s="3">
        <v>203032</v>
      </c>
      <c r="B34" s="3" t="s">
        <v>415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4">
        <v>418</v>
      </c>
      <c r="K34" s="3">
        <v>2</v>
      </c>
      <c r="L34" s="3" t="s">
        <v>722</v>
      </c>
      <c r="M34" s="3">
        <v>203</v>
      </c>
      <c r="N34" s="4" t="s">
        <v>723</v>
      </c>
      <c r="O34" s="3">
        <v>4</v>
      </c>
      <c r="P34" s="27" t="s">
        <v>3458</v>
      </c>
      <c r="Q34" s="27" t="s">
        <v>3000</v>
      </c>
      <c r="R34" s="3" t="str">
        <f t="shared" si="2"/>
        <v>ic_monster32</v>
      </c>
      <c r="S34" s="3" t="str">
        <f t="shared" si="3"/>
        <v>monster32</v>
      </c>
      <c r="T34" s="3">
        <v>1</v>
      </c>
      <c r="U34" s="3">
        <v>0</v>
      </c>
      <c r="V34" s="3">
        <v>1</v>
      </c>
      <c r="W34" s="7"/>
      <c r="X34" s="3" t="s">
        <v>415</v>
      </c>
      <c r="Y34" s="27" t="s">
        <v>1751</v>
      </c>
    </row>
    <row r="35" spans="1:25" x14ac:dyDescent="0.15">
      <c r="A35" s="3">
        <v>203034</v>
      </c>
      <c r="B35" s="3" t="s">
        <v>794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4">
        <v>418</v>
      </c>
      <c r="K35" s="3">
        <v>2</v>
      </c>
      <c r="L35" s="3" t="s">
        <v>722</v>
      </c>
      <c r="M35" s="3">
        <v>203</v>
      </c>
      <c r="N35" s="4" t="s">
        <v>723</v>
      </c>
      <c r="O35" s="3">
        <v>4</v>
      </c>
      <c r="P35" s="27" t="s">
        <v>3458</v>
      </c>
      <c r="Q35" s="3" t="s">
        <v>795</v>
      </c>
      <c r="R35" s="3" t="str">
        <f t="shared" ref="R35:R81" si="4">CONCATENATE("ic_",Q35)</f>
        <v>ic_monster34</v>
      </c>
      <c r="S35" s="3" t="str">
        <f t="shared" ref="S35:S81" si="5">Q35</f>
        <v>monster34</v>
      </c>
      <c r="T35" s="3">
        <v>1</v>
      </c>
      <c r="U35" s="3">
        <v>0</v>
      </c>
      <c r="V35" s="3">
        <v>1</v>
      </c>
      <c r="W35" s="7"/>
      <c r="X35" s="3" t="s">
        <v>794</v>
      </c>
      <c r="Y35" s="27" t="s">
        <v>1753</v>
      </c>
    </row>
    <row r="36" spans="1:25" x14ac:dyDescent="0.15">
      <c r="A36" s="3">
        <v>203035</v>
      </c>
      <c r="B36" s="3" t="s">
        <v>796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4">
        <v>418</v>
      </c>
      <c r="K36" s="3">
        <v>2</v>
      </c>
      <c r="L36" s="3" t="s">
        <v>722</v>
      </c>
      <c r="M36" s="3">
        <v>203</v>
      </c>
      <c r="N36" s="4" t="s">
        <v>723</v>
      </c>
      <c r="O36" s="3">
        <v>4</v>
      </c>
      <c r="P36" s="27" t="s">
        <v>3458</v>
      </c>
      <c r="Q36" s="3" t="s">
        <v>797</v>
      </c>
      <c r="R36" s="3" t="str">
        <f t="shared" si="4"/>
        <v>ic_monster35</v>
      </c>
      <c r="S36" s="3" t="str">
        <f t="shared" si="5"/>
        <v>monster35</v>
      </c>
      <c r="T36" s="3">
        <v>1</v>
      </c>
      <c r="U36" s="3">
        <v>0</v>
      </c>
      <c r="V36" s="3">
        <v>1</v>
      </c>
      <c r="W36" s="7"/>
      <c r="X36" s="3" t="s">
        <v>796</v>
      </c>
      <c r="Y36" s="27" t="s">
        <v>1752</v>
      </c>
    </row>
    <row r="37" spans="1:25" x14ac:dyDescent="0.15">
      <c r="A37" s="3">
        <v>203036</v>
      </c>
      <c r="B37" s="27" t="s">
        <v>1999</v>
      </c>
      <c r="C37" s="3">
        <v>0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4">
        <v>406</v>
      </c>
      <c r="K37" s="3">
        <v>2</v>
      </c>
      <c r="L37" s="3" t="s">
        <v>722</v>
      </c>
      <c r="M37" s="3">
        <v>203</v>
      </c>
      <c r="N37" s="4" t="s">
        <v>723</v>
      </c>
      <c r="O37" s="3">
        <v>4</v>
      </c>
      <c r="P37" s="27" t="s">
        <v>3458</v>
      </c>
      <c r="Q37" s="27" t="s">
        <v>1979</v>
      </c>
      <c r="R37" s="3" t="str">
        <f t="shared" si="4"/>
        <v>ic_monster36</v>
      </c>
      <c r="S37" s="3" t="str">
        <f t="shared" si="5"/>
        <v>monster36</v>
      </c>
      <c r="T37" s="3">
        <v>1</v>
      </c>
      <c r="U37" s="3">
        <v>0</v>
      </c>
      <c r="V37" s="3">
        <v>1</v>
      </c>
      <c r="W37" s="7"/>
      <c r="X37" s="27" t="s">
        <v>1999</v>
      </c>
      <c r="Y37" s="27" t="s">
        <v>2002</v>
      </c>
    </row>
    <row r="38" spans="1:25" x14ac:dyDescent="0.15">
      <c r="A38" s="3">
        <v>203037</v>
      </c>
      <c r="B38" s="27" t="s">
        <v>2001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4">
        <v>406</v>
      </c>
      <c r="K38" s="3">
        <v>2</v>
      </c>
      <c r="L38" s="3" t="s">
        <v>722</v>
      </c>
      <c r="M38" s="3">
        <v>203</v>
      </c>
      <c r="N38" s="4" t="s">
        <v>723</v>
      </c>
      <c r="O38" s="3">
        <v>4</v>
      </c>
      <c r="P38" s="27" t="s">
        <v>3458</v>
      </c>
      <c r="Q38" s="27" t="s">
        <v>1980</v>
      </c>
      <c r="R38" s="3" t="str">
        <f t="shared" si="4"/>
        <v>ic_monster37</v>
      </c>
      <c r="S38" s="3" t="str">
        <f t="shared" si="5"/>
        <v>monster37</v>
      </c>
      <c r="T38" s="3">
        <v>1</v>
      </c>
      <c r="U38" s="3">
        <v>0</v>
      </c>
      <c r="V38" s="3">
        <v>1</v>
      </c>
      <c r="W38" s="7"/>
      <c r="X38" s="27" t="s">
        <v>2001</v>
      </c>
      <c r="Y38" s="27" t="s">
        <v>2004</v>
      </c>
    </row>
    <row r="39" spans="1:25" x14ac:dyDescent="0.15">
      <c r="A39" s="3">
        <v>203038</v>
      </c>
      <c r="B39" s="27" t="s">
        <v>2000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4">
        <v>406</v>
      </c>
      <c r="K39" s="3">
        <v>2</v>
      </c>
      <c r="L39" s="3" t="s">
        <v>722</v>
      </c>
      <c r="M39" s="3">
        <v>203</v>
      </c>
      <c r="N39" s="4" t="s">
        <v>723</v>
      </c>
      <c r="O39" s="3">
        <v>4</v>
      </c>
      <c r="P39" s="27" t="s">
        <v>3458</v>
      </c>
      <c r="Q39" s="27" t="s">
        <v>1997</v>
      </c>
      <c r="R39" s="3" t="str">
        <f t="shared" si="4"/>
        <v>ic_monster38</v>
      </c>
      <c r="S39" s="3" t="str">
        <f t="shared" si="5"/>
        <v>monster38</v>
      </c>
      <c r="T39" s="3">
        <v>1</v>
      </c>
      <c r="U39" s="3">
        <v>0</v>
      </c>
      <c r="V39" s="3">
        <v>1</v>
      </c>
      <c r="W39" s="7"/>
      <c r="X39" s="27" t="s">
        <v>2000</v>
      </c>
      <c r="Y39" s="27" t="s">
        <v>2003</v>
      </c>
    </row>
    <row r="40" spans="1:25" x14ac:dyDescent="0.15">
      <c r="A40" s="3">
        <v>203039</v>
      </c>
      <c r="B40" s="27" t="s">
        <v>1981</v>
      </c>
      <c r="C40" s="3">
        <v>0</v>
      </c>
      <c r="D40" s="3">
        <v>0</v>
      </c>
      <c r="E40" s="3">
        <v>0</v>
      </c>
      <c r="F40" s="3">
        <v>0</v>
      </c>
      <c r="G40" s="3">
        <v>0</v>
      </c>
      <c r="H40" s="3">
        <v>0</v>
      </c>
      <c r="I40" s="3">
        <v>0</v>
      </c>
      <c r="J40" s="4">
        <v>406</v>
      </c>
      <c r="K40" s="3">
        <v>2</v>
      </c>
      <c r="L40" s="3" t="s">
        <v>722</v>
      </c>
      <c r="M40" s="3">
        <v>203</v>
      </c>
      <c r="N40" s="4" t="s">
        <v>723</v>
      </c>
      <c r="O40" s="3">
        <v>4</v>
      </c>
      <c r="P40" s="27" t="s">
        <v>3458</v>
      </c>
      <c r="Q40" s="27" t="s">
        <v>2057</v>
      </c>
      <c r="R40" s="3" t="str">
        <f t="shared" si="4"/>
        <v>ic_monster39</v>
      </c>
      <c r="S40" s="3" t="str">
        <f t="shared" si="5"/>
        <v>monster39</v>
      </c>
      <c r="T40" s="3">
        <v>1</v>
      </c>
      <c r="U40" s="3">
        <v>0</v>
      </c>
      <c r="V40" s="3">
        <v>1</v>
      </c>
      <c r="W40" s="7"/>
      <c r="X40" s="27" t="s">
        <v>1981</v>
      </c>
      <c r="Y40" s="27" t="s">
        <v>1982</v>
      </c>
    </row>
    <row r="41" spans="1:25" x14ac:dyDescent="0.15">
      <c r="A41" s="3">
        <v>203040</v>
      </c>
      <c r="B41" s="27" t="s">
        <v>2051</v>
      </c>
      <c r="C41" s="3">
        <v>0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0</v>
      </c>
      <c r="J41" s="4">
        <v>406</v>
      </c>
      <c r="K41" s="3">
        <v>2</v>
      </c>
      <c r="L41" s="3" t="s">
        <v>722</v>
      </c>
      <c r="M41" s="3">
        <v>203</v>
      </c>
      <c r="N41" s="4" t="s">
        <v>723</v>
      </c>
      <c r="O41" s="3">
        <v>4</v>
      </c>
      <c r="P41" s="27" t="s">
        <v>3458</v>
      </c>
      <c r="Q41" s="27" t="s">
        <v>2053</v>
      </c>
      <c r="R41" s="3" t="str">
        <f t="shared" si="4"/>
        <v>ic_ant_worker</v>
      </c>
      <c r="S41" s="3" t="str">
        <f t="shared" si="5"/>
        <v>ant_worker</v>
      </c>
      <c r="T41" s="3">
        <v>1</v>
      </c>
      <c r="U41" s="3">
        <v>0</v>
      </c>
      <c r="V41" s="3">
        <v>1</v>
      </c>
      <c r="W41" s="7"/>
      <c r="X41" s="27" t="s">
        <v>2051</v>
      </c>
      <c r="Y41" s="27" t="s">
        <v>2055</v>
      </c>
    </row>
    <row r="42" spans="1:25" x14ac:dyDescent="0.15">
      <c r="A42" s="3">
        <v>203041</v>
      </c>
      <c r="B42" s="27" t="s">
        <v>2078</v>
      </c>
      <c r="C42" s="3">
        <v>0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4">
        <v>406</v>
      </c>
      <c r="K42" s="3">
        <v>2</v>
      </c>
      <c r="L42" s="3" t="s">
        <v>722</v>
      </c>
      <c r="M42" s="3">
        <v>203</v>
      </c>
      <c r="N42" s="4" t="s">
        <v>723</v>
      </c>
      <c r="O42" s="3">
        <v>4</v>
      </c>
      <c r="P42" s="27" t="s">
        <v>3458</v>
      </c>
      <c r="Q42" s="27" t="s">
        <v>2054</v>
      </c>
      <c r="R42" s="3" t="str">
        <f t="shared" si="4"/>
        <v>ic_ant_soldier</v>
      </c>
      <c r="S42" s="3" t="str">
        <f t="shared" si="5"/>
        <v>ant_soldier</v>
      </c>
      <c r="T42" s="3">
        <v>1</v>
      </c>
      <c r="U42" s="3">
        <v>0</v>
      </c>
      <c r="V42" s="3">
        <v>1</v>
      </c>
      <c r="W42" s="7"/>
      <c r="X42" s="27" t="s">
        <v>2078</v>
      </c>
      <c r="Y42" s="27" t="s">
        <v>2056</v>
      </c>
    </row>
    <row r="43" spans="1:25" x14ac:dyDescent="0.15">
      <c r="A43" s="3">
        <v>203042</v>
      </c>
      <c r="B43" s="27" t="s">
        <v>3344</v>
      </c>
      <c r="C43" s="27">
        <v>9999999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4">
        <v>428</v>
      </c>
      <c r="K43" s="3">
        <v>2</v>
      </c>
      <c r="L43" s="3" t="s">
        <v>722</v>
      </c>
      <c r="M43" s="3">
        <v>203</v>
      </c>
      <c r="N43" s="4" t="s">
        <v>723</v>
      </c>
      <c r="O43" s="3">
        <v>3</v>
      </c>
      <c r="P43" s="27" t="s">
        <v>3458</v>
      </c>
      <c r="Q43" s="27" t="s">
        <v>2999</v>
      </c>
      <c r="R43" s="3" t="str">
        <f t="shared" si="4"/>
        <v>ic_dragon1</v>
      </c>
      <c r="S43" s="3" t="str">
        <f t="shared" si="5"/>
        <v>dragon1</v>
      </c>
      <c r="T43" s="3">
        <v>1</v>
      </c>
      <c r="U43" s="3">
        <v>0</v>
      </c>
      <c r="V43" s="3">
        <v>1</v>
      </c>
      <c r="W43" s="7"/>
      <c r="X43" s="3" t="s">
        <v>3025</v>
      </c>
      <c r="Y43" s="27" t="s">
        <v>3052</v>
      </c>
    </row>
    <row r="44" spans="1:25" x14ac:dyDescent="0.15">
      <c r="A44" s="3">
        <v>203043</v>
      </c>
      <c r="B44" s="3" t="s">
        <v>3026</v>
      </c>
      <c r="C44" s="27">
        <v>9999999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4">
        <v>429</v>
      </c>
      <c r="K44" s="3">
        <v>2</v>
      </c>
      <c r="L44" s="3" t="s">
        <v>722</v>
      </c>
      <c r="M44" s="3">
        <v>203</v>
      </c>
      <c r="N44" s="4" t="s">
        <v>723</v>
      </c>
      <c r="O44" s="3">
        <v>3</v>
      </c>
      <c r="P44" s="27" t="s">
        <v>3458</v>
      </c>
      <c r="Q44" s="27" t="s">
        <v>3037</v>
      </c>
      <c r="R44" s="3" t="str">
        <f t="shared" ref="R44:R45" si="6">CONCATENATE("ic_",Q44)</f>
        <v>ic_dragon2</v>
      </c>
      <c r="S44" s="3" t="str">
        <f t="shared" ref="S44:S45" si="7">Q44</f>
        <v>dragon2</v>
      </c>
      <c r="T44" s="3">
        <v>1</v>
      </c>
      <c r="U44" s="3">
        <v>0</v>
      </c>
      <c r="V44" s="3">
        <v>1</v>
      </c>
      <c r="W44" s="7"/>
      <c r="X44" s="3" t="s">
        <v>3026</v>
      </c>
      <c r="Y44" s="27" t="s">
        <v>3053</v>
      </c>
    </row>
    <row r="45" spans="1:25" x14ac:dyDescent="0.15">
      <c r="A45" s="3">
        <v>203044</v>
      </c>
      <c r="B45" s="3" t="s">
        <v>3032</v>
      </c>
      <c r="C45" s="27">
        <v>9999999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4">
        <v>430</v>
      </c>
      <c r="K45" s="3">
        <v>2</v>
      </c>
      <c r="L45" s="3" t="s">
        <v>722</v>
      </c>
      <c r="M45" s="3">
        <v>203</v>
      </c>
      <c r="N45" s="4" t="s">
        <v>723</v>
      </c>
      <c r="O45" s="3">
        <v>3</v>
      </c>
      <c r="P45" s="27" t="s">
        <v>3458</v>
      </c>
      <c r="Q45" s="27" t="s">
        <v>3038</v>
      </c>
      <c r="R45" s="3" t="str">
        <f t="shared" si="6"/>
        <v>ic_dragon3</v>
      </c>
      <c r="S45" s="3" t="str">
        <f t="shared" si="7"/>
        <v>dragon3</v>
      </c>
      <c r="T45" s="3">
        <v>1</v>
      </c>
      <c r="U45" s="3">
        <v>0</v>
      </c>
      <c r="V45" s="3">
        <v>1</v>
      </c>
      <c r="W45" s="7"/>
      <c r="X45" s="3" t="s">
        <v>3032</v>
      </c>
      <c r="Y45" s="27" t="s">
        <v>3054</v>
      </c>
    </row>
    <row r="46" spans="1:25" x14ac:dyDescent="0.15">
      <c r="A46" s="3">
        <v>203045</v>
      </c>
      <c r="B46" s="27" t="s">
        <v>3033</v>
      </c>
      <c r="C46" s="27">
        <v>9999999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4">
        <v>431</v>
      </c>
      <c r="K46" s="3">
        <v>2</v>
      </c>
      <c r="L46" s="3" t="s">
        <v>722</v>
      </c>
      <c r="M46" s="3">
        <v>203</v>
      </c>
      <c r="N46" s="4" t="s">
        <v>723</v>
      </c>
      <c r="O46" s="3">
        <v>3</v>
      </c>
      <c r="P46" s="27" t="s">
        <v>3458</v>
      </c>
      <c r="Q46" s="27" t="s">
        <v>3039</v>
      </c>
      <c r="R46" s="3" t="str">
        <f t="shared" ref="R46:R49" si="8">CONCATENATE("ic_",Q46)</f>
        <v>ic_dragon4</v>
      </c>
      <c r="S46" s="3" t="str">
        <f t="shared" ref="S46:S49" si="9">Q46</f>
        <v>dragon4</v>
      </c>
      <c r="T46" s="3">
        <v>1</v>
      </c>
      <c r="U46" s="3">
        <v>0</v>
      </c>
      <c r="V46" s="3">
        <v>1</v>
      </c>
      <c r="W46" s="7"/>
      <c r="X46" s="27" t="s">
        <v>3033</v>
      </c>
      <c r="Y46" s="27" t="s">
        <v>3055</v>
      </c>
    </row>
    <row r="47" spans="1:25" x14ac:dyDescent="0.15">
      <c r="A47" s="3">
        <v>203046</v>
      </c>
      <c r="B47" s="3" t="s">
        <v>3021</v>
      </c>
      <c r="C47" s="27">
        <v>9999999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4">
        <v>432</v>
      </c>
      <c r="K47" s="3">
        <v>2</v>
      </c>
      <c r="L47" s="3" t="s">
        <v>722</v>
      </c>
      <c r="M47" s="3">
        <v>203</v>
      </c>
      <c r="N47" s="4" t="s">
        <v>723</v>
      </c>
      <c r="O47" s="3">
        <v>3</v>
      </c>
      <c r="P47" s="27" t="s">
        <v>3458</v>
      </c>
      <c r="Q47" s="27" t="s">
        <v>3040</v>
      </c>
      <c r="R47" s="3" t="str">
        <f t="shared" si="8"/>
        <v>ic_dragon5</v>
      </c>
      <c r="S47" s="3" t="str">
        <f t="shared" si="9"/>
        <v>dragon5</v>
      </c>
      <c r="T47" s="3">
        <v>1</v>
      </c>
      <c r="U47" s="3">
        <v>0</v>
      </c>
      <c r="V47" s="3">
        <v>1</v>
      </c>
      <c r="W47" s="7"/>
      <c r="X47" s="3" t="s">
        <v>3021</v>
      </c>
      <c r="Y47" s="27" t="s">
        <v>3056</v>
      </c>
    </row>
    <row r="48" spans="1:25" x14ac:dyDescent="0.15">
      <c r="A48" s="3">
        <v>203047</v>
      </c>
      <c r="B48" s="3" t="s">
        <v>3023</v>
      </c>
      <c r="C48" s="27">
        <v>9999999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4">
        <v>433</v>
      </c>
      <c r="K48" s="3">
        <v>2</v>
      </c>
      <c r="L48" s="3" t="s">
        <v>722</v>
      </c>
      <c r="M48" s="3">
        <v>203</v>
      </c>
      <c r="N48" s="4" t="s">
        <v>723</v>
      </c>
      <c r="O48" s="3">
        <v>3</v>
      </c>
      <c r="P48" s="27" t="s">
        <v>3458</v>
      </c>
      <c r="Q48" s="27" t="s">
        <v>3041</v>
      </c>
      <c r="R48" s="3" t="str">
        <f t="shared" si="8"/>
        <v>ic_dragon6</v>
      </c>
      <c r="S48" s="3" t="str">
        <f t="shared" si="9"/>
        <v>dragon6</v>
      </c>
      <c r="T48" s="3">
        <v>1</v>
      </c>
      <c r="U48" s="3">
        <v>0</v>
      </c>
      <c r="V48" s="3">
        <v>1</v>
      </c>
      <c r="W48" s="7"/>
      <c r="X48" s="3" t="s">
        <v>3023</v>
      </c>
      <c r="Y48" s="27" t="s">
        <v>3057</v>
      </c>
    </row>
    <row r="49" spans="1:25" x14ac:dyDescent="0.15">
      <c r="A49" s="3">
        <v>203048</v>
      </c>
      <c r="B49" s="3" t="s">
        <v>3029</v>
      </c>
      <c r="C49" s="27">
        <v>9999999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4">
        <v>434</v>
      </c>
      <c r="K49" s="3">
        <v>2</v>
      </c>
      <c r="L49" s="3" t="s">
        <v>722</v>
      </c>
      <c r="M49" s="3">
        <v>203</v>
      </c>
      <c r="N49" s="4" t="s">
        <v>723</v>
      </c>
      <c r="O49" s="3">
        <v>3</v>
      </c>
      <c r="P49" s="27" t="s">
        <v>3458</v>
      </c>
      <c r="Q49" s="27" t="s">
        <v>3042</v>
      </c>
      <c r="R49" s="3" t="str">
        <f t="shared" si="8"/>
        <v>ic_dragon7</v>
      </c>
      <c r="S49" s="3" t="str">
        <f t="shared" si="9"/>
        <v>dragon7</v>
      </c>
      <c r="T49" s="3">
        <v>1</v>
      </c>
      <c r="U49" s="3">
        <v>0</v>
      </c>
      <c r="V49" s="3">
        <v>1</v>
      </c>
      <c r="W49" s="7"/>
      <c r="X49" s="3" t="s">
        <v>3029</v>
      </c>
      <c r="Y49" s="27" t="s">
        <v>3058</v>
      </c>
    </row>
    <row r="50" spans="1:25" x14ac:dyDescent="0.15">
      <c r="A50" s="3">
        <v>203049</v>
      </c>
      <c r="B50" s="3" t="s">
        <v>3024</v>
      </c>
      <c r="C50" s="27">
        <v>9999999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4">
        <v>435</v>
      </c>
      <c r="K50" s="3">
        <v>2</v>
      </c>
      <c r="L50" s="3" t="s">
        <v>722</v>
      </c>
      <c r="M50" s="3">
        <v>203</v>
      </c>
      <c r="N50" s="4" t="s">
        <v>723</v>
      </c>
      <c r="O50" s="3">
        <v>3</v>
      </c>
      <c r="P50" s="27" t="s">
        <v>3458</v>
      </c>
      <c r="Q50" s="27" t="s">
        <v>3043</v>
      </c>
      <c r="R50" s="3" t="str">
        <f t="shared" ref="R50:R57" si="10">CONCATENATE("ic_",Q50)</f>
        <v>ic_dragon8</v>
      </c>
      <c r="S50" s="3" t="str">
        <f t="shared" ref="S50:S57" si="11">Q50</f>
        <v>dragon8</v>
      </c>
      <c r="T50" s="3">
        <v>1</v>
      </c>
      <c r="U50" s="3">
        <v>0</v>
      </c>
      <c r="V50" s="3">
        <v>1</v>
      </c>
      <c r="W50" s="7"/>
      <c r="X50" s="3" t="s">
        <v>3024</v>
      </c>
      <c r="Y50" s="27" t="s">
        <v>3059</v>
      </c>
    </row>
    <row r="51" spans="1:25" x14ac:dyDescent="0.15">
      <c r="A51" s="3">
        <v>203050</v>
      </c>
      <c r="B51" s="3" t="s">
        <v>3022</v>
      </c>
      <c r="C51" s="27">
        <v>9999999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4">
        <v>436</v>
      </c>
      <c r="K51" s="3">
        <v>2</v>
      </c>
      <c r="L51" s="3" t="s">
        <v>722</v>
      </c>
      <c r="M51" s="3">
        <v>203</v>
      </c>
      <c r="N51" s="4" t="s">
        <v>723</v>
      </c>
      <c r="O51" s="3">
        <v>3</v>
      </c>
      <c r="P51" s="27" t="s">
        <v>3458</v>
      </c>
      <c r="Q51" s="27" t="s">
        <v>3044</v>
      </c>
      <c r="R51" s="3" t="str">
        <f t="shared" si="10"/>
        <v>ic_dragon9</v>
      </c>
      <c r="S51" s="3" t="str">
        <f t="shared" si="11"/>
        <v>dragon9</v>
      </c>
      <c r="T51" s="3">
        <v>1</v>
      </c>
      <c r="U51" s="3">
        <v>0</v>
      </c>
      <c r="V51" s="3">
        <v>1</v>
      </c>
      <c r="W51" s="7"/>
      <c r="X51" s="3" t="s">
        <v>3022</v>
      </c>
      <c r="Y51" s="27" t="s">
        <v>3060</v>
      </c>
    </row>
    <row r="52" spans="1:25" x14ac:dyDescent="0.15">
      <c r="A52" s="3">
        <v>203051</v>
      </c>
      <c r="B52" s="27" t="s">
        <v>3034</v>
      </c>
      <c r="C52" s="27">
        <v>9999999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4">
        <v>437</v>
      </c>
      <c r="K52" s="3">
        <v>2</v>
      </c>
      <c r="L52" s="3" t="s">
        <v>722</v>
      </c>
      <c r="M52" s="3">
        <v>203</v>
      </c>
      <c r="N52" s="4" t="s">
        <v>723</v>
      </c>
      <c r="O52" s="3">
        <v>3</v>
      </c>
      <c r="P52" s="27" t="s">
        <v>3458</v>
      </c>
      <c r="Q52" s="27" t="s">
        <v>3045</v>
      </c>
      <c r="R52" s="3" t="str">
        <f t="shared" si="10"/>
        <v>ic_dragon10</v>
      </c>
      <c r="S52" s="3" t="str">
        <f t="shared" si="11"/>
        <v>dragon10</v>
      </c>
      <c r="T52" s="3">
        <v>1</v>
      </c>
      <c r="U52" s="3">
        <v>0</v>
      </c>
      <c r="V52" s="3">
        <v>1</v>
      </c>
      <c r="W52" s="7"/>
      <c r="X52" s="27" t="s">
        <v>3034</v>
      </c>
      <c r="Y52" s="27" t="s">
        <v>3061</v>
      </c>
    </row>
    <row r="53" spans="1:25" x14ac:dyDescent="0.15">
      <c r="A53" s="3">
        <v>203052</v>
      </c>
      <c r="B53" s="3" t="s">
        <v>3028</v>
      </c>
      <c r="C53" s="27">
        <v>9999999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4">
        <v>438</v>
      </c>
      <c r="K53" s="3">
        <v>2</v>
      </c>
      <c r="L53" s="3" t="s">
        <v>722</v>
      </c>
      <c r="M53" s="3">
        <v>203</v>
      </c>
      <c r="N53" s="4" t="s">
        <v>723</v>
      </c>
      <c r="O53" s="3">
        <v>3</v>
      </c>
      <c r="P53" s="27" t="s">
        <v>3458</v>
      </c>
      <c r="Q53" s="27" t="s">
        <v>3046</v>
      </c>
      <c r="R53" s="3" t="str">
        <f t="shared" si="10"/>
        <v>ic_dragon11</v>
      </c>
      <c r="S53" s="3" t="str">
        <f t="shared" si="11"/>
        <v>dragon11</v>
      </c>
      <c r="T53" s="3">
        <v>1</v>
      </c>
      <c r="U53" s="3">
        <v>0</v>
      </c>
      <c r="V53" s="3">
        <v>1</v>
      </c>
      <c r="W53" s="7"/>
      <c r="X53" s="3" t="s">
        <v>3028</v>
      </c>
      <c r="Y53" s="27" t="s">
        <v>3062</v>
      </c>
    </row>
    <row r="54" spans="1:25" x14ac:dyDescent="0.15">
      <c r="A54" s="3">
        <v>203053</v>
      </c>
      <c r="B54" s="3" t="s">
        <v>3035</v>
      </c>
      <c r="C54" s="27">
        <v>9999999</v>
      </c>
      <c r="D54" s="3">
        <v>0</v>
      </c>
      <c r="E54" s="3">
        <v>0</v>
      </c>
      <c r="F54" s="3">
        <v>0</v>
      </c>
      <c r="G54" s="3">
        <v>0</v>
      </c>
      <c r="H54" s="3">
        <v>0</v>
      </c>
      <c r="I54" s="3">
        <v>0</v>
      </c>
      <c r="J54" s="4">
        <v>439</v>
      </c>
      <c r="K54" s="3">
        <v>2</v>
      </c>
      <c r="L54" s="3" t="s">
        <v>722</v>
      </c>
      <c r="M54" s="3">
        <v>203</v>
      </c>
      <c r="N54" s="4" t="s">
        <v>723</v>
      </c>
      <c r="O54" s="3">
        <v>3</v>
      </c>
      <c r="P54" s="27" t="s">
        <v>3458</v>
      </c>
      <c r="Q54" s="27" t="s">
        <v>3047</v>
      </c>
      <c r="R54" s="3" t="str">
        <f t="shared" si="10"/>
        <v>ic_dragon12</v>
      </c>
      <c r="S54" s="3" t="str">
        <f t="shared" si="11"/>
        <v>dragon12</v>
      </c>
      <c r="T54" s="3">
        <v>1</v>
      </c>
      <c r="U54" s="3">
        <v>0</v>
      </c>
      <c r="V54" s="3">
        <v>1</v>
      </c>
      <c r="W54" s="7"/>
      <c r="X54" s="3" t="s">
        <v>3035</v>
      </c>
      <c r="Y54" s="27" t="s">
        <v>3063</v>
      </c>
    </row>
    <row r="55" spans="1:25" x14ac:dyDescent="0.15">
      <c r="A55" s="3">
        <v>203054</v>
      </c>
      <c r="B55" s="3" t="s">
        <v>3031</v>
      </c>
      <c r="C55" s="27">
        <v>9999999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4">
        <v>440</v>
      </c>
      <c r="K55" s="3">
        <v>2</v>
      </c>
      <c r="L55" s="3" t="s">
        <v>722</v>
      </c>
      <c r="M55" s="3">
        <v>203</v>
      </c>
      <c r="N55" s="4" t="s">
        <v>723</v>
      </c>
      <c r="O55" s="3">
        <v>3</v>
      </c>
      <c r="P55" s="27" t="s">
        <v>3458</v>
      </c>
      <c r="Q55" s="27" t="s">
        <v>3048</v>
      </c>
      <c r="R55" s="3" t="str">
        <f t="shared" si="10"/>
        <v>ic_dragon13</v>
      </c>
      <c r="S55" s="3" t="str">
        <f t="shared" si="11"/>
        <v>dragon13</v>
      </c>
      <c r="T55" s="3">
        <v>1</v>
      </c>
      <c r="U55" s="3">
        <v>0</v>
      </c>
      <c r="V55" s="3">
        <v>1</v>
      </c>
      <c r="W55" s="7"/>
      <c r="X55" s="3" t="s">
        <v>3031</v>
      </c>
      <c r="Y55" s="27" t="s">
        <v>3064</v>
      </c>
    </row>
    <row r="56" spans="1:25" x14ac:dyDescent="0.15">
      <c r="A56" s="3">
        <v>203055</v>
      </c>
      <c r="B56" s="27" t="s">
        <v>3030</v>
      </c>
      <c r="C56" s="27">
        <v>9999999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4">
        <v>441</v>
      </c>
      <c r="K56" s="3">
        <v>2</v>
      </c>
      <c r="L56" s="3" t="s">
        <v>722</v>
      </c>
      <c r="M56" s="3">
        <v>203</v>
      </c>
      <c r="N56" s="4" t="s">
        <v>723</v>
      </c>
      <c r="O56" s="3">
        <v>3</v>
      </c>
      <c r="P56" s="27" t="s">
        <v>3458</v>
      </c>
      <c r="Q56" s="27" t="s">
        <v>3049</v>
      </c>
      <c r="R56" s="3" t="str">
        <f t="shared" si="10"/>
        <v>ic_dragon14</v>
      </c>
      <c r="S56" s="3" t="str">
        <f t="shared" si="11"/>
        <v>dragon14</v>
      </c>
      <c r="T56" s="3">
        <v>1</v>
      </c>
      <c r="U56" s="3">
        <v>0</v>
      </c>
      <c r="V56" s="3">
        <v>1</v>
      </c>
      <c r="W56" s="7"/>
      <c r="X56" s="27" t="s">
        <v>3030</v>
      </c>
      <c r="Y56" s="27" t="s">
        <v>3065</v>
      </c>
    </row>
    <row r="57" spans="1:25" x14ac:dyDescent="0.15">
      <c r="A57" s="3">
        <v>203056</v>
      </c>
      <c r="B57" s="3" t="s">
        <v>3036</v>
      </c>
      <c r="C57" s="27">
        <v>9999999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4">
        <v>442</v>
      </c>
      <c r="K57" s="3">
        <v>2</v>
      </c>
      <c r="L57" s="3" t="s">
        <v>722</v>
      </c>
      <c r="M57" s="3">
        <v>203</v>
      </c>
      <c r="N57" s="4" t="s">
        <v>723</v>
      </c>
      <c r="O57" s="3">
        <v>3</v>
      </c>
      <c r="P57" s="27" t="s">
        <v>3458</v>
      </c>
      <c r="Q57" s="27" t="s">
        <v>3050</v>
      </c>
      <c r="R57" s="3" t="str">
        <f t="shared" si="10"/>
        <v>ic_dragon15</v>
      </c>
      <c r="S57" s="3" t="str">
        <f t="shared" si="11"/>
        <v>dragon15</v>
      </c>
      <c r="T57" s="3">
        <v>1</v>
      </c>
      <c r="U57" s="3">
        <v>0</v>
      </c>
      <c r="V57" s="3">
        <v>1</v>
      </c>
      <c r="W57" s="7"/>
      <c r="X57" s="3" t="s">
        <v>3036</v>
      </c>
      <c r="Y57" s="27" t="s">
        <v>3066</v>
      </c>
    </row>
    <row r="58" spans="1:25" x14ac:dyDescent="0.15">
      <c r="A58" s="3">
        <v>203057</v>
      </c>
      <c r="B58" s="3" t="s">
        <v>3027</v>
      </c>
      <c r="C58" s="27">
        <v>9999999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4">
        <v>443</v>
      </c>
      <c r="K58" s="3">
        <v>2</v>
      </c>
      <c r="L58" s="3" t="s">
        <v>722</v>
      </c>
      <c r="M58" s="3">
        <v>203</v>
      </c>
      <c r="N58" s="4" t="s">
        <v>723</v>
      </c>
      <c r="O58" s="3">
        <v>3</v>
      </c>
      <c r="P58" s="27" t="s">
        <v>3458</v>
      </c>
      <c r="Q58" s="27" t="s">
        <v>3051</v>
      </c>
      <c r="R58" s="3" t="str">
        <f t="shared" ref="R58" si="12">CONCATENATE("ic_",Q58)</f>
        <v>ic_dragon16</v>
      </c>
      <c r="S58" s="3" t="str">
        <f t="shared" ref="S58" si="13">Q58</f>
        <v>dragon16</v>
      </c>
      <c r="T58" s="3">
        <v>1</v>
      </c>
      <c r="U58" s="3">
        <v>0</v>
      </c>
      <c r="V58" s="3">
        <v>1</v>
      </c>
      <c r="W58" s="7"/>
      <c r="X58" s="3" t="s">
        <v>3027</v>
      </c>
      <c r="Y58" s="27" t="s">
        <v>3067</v>
      </c>
    </row>
    <row r="59" spans="1:25" x14ac:dyDescent="0.15">
      <c r="A59" s="3">
        <v>203058</v>
      </c>
      <c r="B59" s="27" t="s">
        <v>3239</v>
      </c>
      <c r="C59" s="27"/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4">
        <v>406</v>
      </c>
      <c r="K59" s="3">
        <v>2</v>
      </c>
      <c r="L59" s="3" t="s">
        <v>722</v>
      </c>
      <c r="M59" s="3">
        <v>203</v>
      </c>
      <c r="N59" s="4" t="s">
        <v>723</v>
      </c>
      <c r="O59" s="3">
        <v>4</v>
      </c>
      <c r="P59" s="27" t="s">
        <v>3458</v>
      </c>
      <c r="Q59" s="27" t="s">
        <v>2053</v>
      </c>
      <c r="R59" s="27" t="s">
        <v>3271</v>
      </c>
      <c r="S59" s="27" t="s">
        <v>3273</v>
      </c>
      <c r="T59" s="3">
        <v>1</v>
      </c>
      <c r="U59" s="3">
        <v>0</v>
      </c>
      <c r="V59" s="3">
        <v>1</v>
      </c>
      <c r="W59" s="7"/>
      <c r="X59" s="27" t="s">
        <v>3239</v>
      </c>
      <c r="Y59" s="27" t="s">
        <v>3241</v>
      </c>
    </row>
    <row r="60" spans="1:25" x14ac:dyDescent="0.15">
      <c r="A60" s="3">
        <v>203059</v>
      </c>
      <c r="B60" s="27" t="s">
        <v>3240</v>
      </c>
      <c r="C60" s="27"/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4">
        <v>406</v>
      </c>
      <c r="K60" s="3">
        <v>2</v>
      </c>
      <c r="L60" s="3" t="s">
        <v>722</v>
      </c>
      <c r="M60" s="3">
        <v>203</v>
      </c>
      <c r="N60" s="4" t="s">
        <v>723</v>
      </c>
      <c r="O60" s="3">
        <v>4</v>
      </c>
      <c r="P60" s="27" t="s">
        <v>3458</v>
      </c>
      <c r="Q60" s="27" t="s">
        <v>2054</v>
      </c>
      <c r="R60" s="27" t="s">
        <v>3272</v>
      </c>
      <c r="S60" s="27" t="s">
        <v>3274</v>
      </c>
      <c r="T60" s="3">
        <v>1</v>
      </c>
      <c r="U60" s="3">
        <v>0</v>
      </c>
      <c r="V60" s="3">
        <v>1</v>
      </c>
      <c r="W60" s="7"/>
      <c r="X60" s="27" t="s">
        <v>3240</v>
      </c>
      <c r="Y60" s="27" t="s">
        <v>3242</v>
      </c>
    </row>
    <row r="61" spans="1:25" x14ac:dyDescent="0.15">
      <c r="A61" s="3">
        <v>201001</v>
      </c>
      <c r="B61" s="4" t="s">
        <v>798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4">
        <v>431</v>
      </c>
      <c r="K61" s="3">
        <v>2</v>
      </c>
      <c r="L61" s="3" t="s">
        <v>722</v>
      </c>
      <c r="M61" s="3">
        <v>201</v>
      </c>
      <c r="N61" s="4" t="s">
        <v>723</v>
      </c>
      <c r="O61" s="3"/>
      <c r="P61" s="3"/>
      <c r="Q61" s="3" t="s">
        <v>724</v>
      </c>
      <c r="R61" s="3" t="str">
        <f t="shared" si="4"/>
        <v>ic_monster1</v>
      </c>
      <c r="S61" s="3" t="str">
        <f t="shared" si="5"/>
        <v>monster1</v>
      </c>
      <c r="T61" s="3">
        <v>1</v>
      </c>
      <c r="U61" s="3">
        <v>0</v>
      </c>
      <c r="V61" s="3">
        <v>1</v>
      </c>
      <c r="W61" s="7"/>
      <c r="X61" s="3" t="s">
        <v>798</v>
      </c>
      <c r="Y61" s="3" t="s">
        <v>252</v>
      </c>
    </row>
    <row r="62" spans="1:25" x14ac:dyDescent="0.15">
      <c r="A62" s="3">
        <v>201002</v>
      </c>
      <c r="B62" s="4" t="s">
        <v>799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4">
        <v>432</v>
      </c>
      <c r="K62" s="3">
        <v>2</v>
      </c>
      <c r="L62" s="3" t="s">
        <v>722</v>
      </c>
      <c r="M62" s="3">
        <v>201</v>
      </c>
      <c r="N62" s="4" t="s">
        <v>723</v>
      </c>
      <c r="O62" s="3"/>
      <c r="P62" s="3"/>
      <c r="Q62" s="3" t="s">
        <v>726</v>
      </c>
      <c r="R62" s="3" t="str">
        <f t="shared" si="4"/>
        <v>ic_monster2</v>
      </c>
      <c r="S62" s="3" t="str">
        <f t="shared" si="5"/>
        <v>monster2</v>
      </c>
      <c r="T62" s="3">
        <v>1</v>
      </c>
      <c r="U62" s="3">
        <v>0</v>
      </c>
      <c r="V62" s="3">
        <v>1</v>
      </c>
      <c r="W62" s="7"/>
      <c r="X62" s="3" t="s">
        <v>799</v>
      </c>
      <c r="Y62" s="3" t="s">
        <v>252</v>
      </c>
    </row>
    <row r="63" spans="1:25" x14ac:dyDescent="0.15">
      <c r="A63" s="3">
        <v>201003</v>
      </c>
      <c r="B63" s="4" t="s">
        <v>800</v>
      </c>
      <c r="C63" s="3">
        <v>0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4">
        <v>433</v>
      </c>
      <c r="K63" s="3">
        <v>2</v>
      </c>
      <c r="L63" s="3" t="s">
        <v>722</v>
      </c>
      <c r="M63" s="3">
        <v>201</v>
      </c>
      <c r="N63" s="4" t="s">
        <v>723</v>
      </c>
      <c r="O63" s="3"/>
      <c r="P63" s="3"/>
      <c r="Q63" s="3" t="s">
        <v>728</v>
      </c>
      <c r="R63" s="3" t="str">
        <f t="shared" si="4"/>
        <v>ic_monster3</v>
      </c>
      <c r="S63" s="3" t="str">
        <f t="shared" si="5"/>
        <v>monster3</v>
      </c>
      <c r="T63" s="3">
        <v>1</v>
      </c>
      <c r="U63" s="3">
        <v>0</v>
      </c>
      <c r="V63" s="3">
        <v>1</v>
      </c>
      <c r="W63" s="7"/>
      <c r="X63" s="3" t="s">
        <v>800</v>
      </c>
      <c r="Y63" s="3" t="s">
        <v>252</v>
      </c>
    </row>
    <row r="64" spans="1:25" x14ac:dyDescent="0.15">
      <c r="A64" s="3">
        <v>201004</v>
      </c>
      <c r="B64" s="4" t="s">
        <v>801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4">
        <v>434</v>
      </c>
      <c r="K64" s="3">
        <v>2</v>
      </c>
      <c r="L64" s="3" t="s">
        <v>722</v>
      </c>
      <c r="M64" s="3">
        <v>201</v>
      </c>
      <c r="N64" s="4" t="s">
        <v>723</v>
      </c>
      <c r="O64" s="3"/>
      <c r="P64" s="3"/>
      <c r="Q64" s="3" t="s">
        <v>730</v>
      </c>
      <c r="R64" s="3" t="str">
        <f t="shared" si="4"/>
        <v>ic_monster4</v>
      </c>
      <c r="S64" s="3" t="str">
        <f t="shared" si="5"/>
        <v>monster4</v>
      </c>
      <c r="T64" s="3">
        <v>1</v>
      </c>
      <c r="U64" s="3">
        <v>0</v>
      </c>
      <c r="V64" s="3">
        <v>1</v>
      </c>
      <c r="W64" s="7"/>
      <c r="X64" s="3" t="s">
        <v>801</v>
      </c>
      <c r="Y64" s="3" t="s">
        <v>252</v>
      </c>
    </row>
    <row r="65" spans="1:25" x14ac:dyDescent="0.15">
      <c r="A65" s="3">
        <v>201005</v>
      </c>
      <c r="B65" s="4" t="s">
        <v>802</v>
      </c>
      <c r="C65" s="3">
        <v>0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4">
        <v>435</v>
      </c>
      <c r="K65" s="3">
        <v>2</v>
      </c>
      <c r="L65" s="3" t="s">
        <v>722</v>
      </c>
      <c r="M65" s="3">
        <v>201</v>
      </c>
      <c r="N65" s="4" t="s">
        <v>723</v>
      </c>
      <c r="O65" s="3"/>
      <c r="P65" s="3"/>
      <c r="Q65" s="3" t="s">
        <v>733</v>
      </c>
      <c r="R65" s="3" t="str">
        <f t="shared" si="4"/>
        <v>ic_monster5</v>
      </c>
      <c r="S65" s="3" t="str">
        <f t="shared" si="5"/>
        <v>monster5</v>
      </c>
      <c r="T65" s="3">
        <v>1</v>
      </c>
      <c r="U65" s="3">
        <v>0</v>
      </c>
      <c r="V65" s="3">
        <v>1</v>
      </c>
      <c r="W65" s="7"/>
      <c r="X65" s="3" t="s">
        <v>802</v>
      </c>
      <c r="Y65" s="3" t="s">
        <v>252</v>
      </c>
    </row>
    <row r="66" spans="1:25" ht="14.25" x14ac:dyDescent="0.15">
      <c r="A66" s="3">
        <v>201006</v>
      </c>
      <c r="B66" s="21" t="s">
        <v>803</v>
      </c>
      <c r="C66" s="3">
        <v>0</v>
      </c>
      <c r="D66" s="3">
        <v>0</v>
      </c>
      <c r="E66" s="3">
        <v>0</v>
      </c>
      <c r="F66" s="3">
        <v>0</v>
      </c>
      <c r="G66" s="3">
        <v>0</v>
      </c>
      <c r="H66" s="3">
        <v>0</v>
      </c>
      <c r="I66" s="3">
        <v>0</v>
      </c>
      <c r="J66" s="4">
        <v>436</v>
      </c>
      <c r="K66" s="3">
        <v>2</v>
      </c>
      <c r="L66" s="3" t="s">
        <v>722</v>
      </c>
      <c r="M66" s="3">
        <v>201</v>
      </c>
      <c r="N66" s="4" t="s">
        <v>723</v>
      </c>
      <c r="O66" s="3"/>
      <c r="P66" s="3"/>
      <c r="Q66" s="3" t="s">
        <v>735</v>
      </c>
      <c r="R66" s="3" t="str">
        <f t="shared" si="4"/>
        <v>ic_monster6</v>
      </c>
      <c r="S66" s="3" t="str">
        <f t="shared" si="5"/>
        <v>monster6</v>
      </c>
      <c r="T66" s="3">
        <v>1</v>
      </c>
      <c r="U66" s="3">
        <v>0</v>
      </c>
      <c r="V66" s="3">
        <v>1</v>
      </c>
      <c r="W66" s="7"/>
      <c r="X66" s="3" t="s">
        <v>803</v>
      </c>
      <c r="Y66" s="3" t="s">
        <v>252</v>
      </c>
    </row>
    <row r="67" spans="1:25" x14ac:dyDescent="0.15">
      <c r="A67" s="3">
        <v>201007</v>
      </c>
      <c r="B67" s="4" t="s">
        <v>804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4">
        <v>437</v>
      </c>
      <c r="K67" s="3">
        <v>2</v>
      </c>
      <c r="L67" s="3" t="s">
        <v>722</v>
      </c>
      <c r="M67" s="3">
        <v>201</v>
      </c>
      <c r="N67" s="4" t="s">
        <v>723</v>
      </c>
      <c r="O67" s="3"/>
      <c r="P67" s="3"/>
      <c r="Q67" s="3" t="s">
        <v>738</v>
      </c>
      <c r="R67" s="3" t="str">
        <f t="shared" si="4"/>
        <v>ic_monster7</v>
      </c>
      <c r="S67" s="3" t="str">
        <f t="shared" si="5"/>
        <v>monster7</v>
      </c>
      <c r="T67" s="3">
        <v>1</v>
      </c>
      <c r="U67" s="3">
        <v>0</v>
      </c>
      <c r="V67" s="3">
        <v>1</v>
      </c>
      <c r="W67" s="7"/>
      <c r="X67" s="3" t="s">
        <v>804</v>
      </c>
      <c r="Y67" s="3" t="s">
        <v>252</v>
      </c>
    </row>
    <row r="68" spans="1:25" x14ac:dyDescent="0.15">
      <c r="A68" s="3">
        <v>201008</v>
      </c>
      <c r="B68" s="4" t="s">
        <v>805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4">
        <v>438</v>
      </c>
      <c r="K68" s="3">
        <v>2</v>
      </c>
      <c r="L68" s="3" t="s">
        <v>722</v>
      </c>
      <c r="M68" s="3">
        <v>201</v>
      </c>
      <c r="N68" s="4" t="s">
        <v>723</v>
      </c>
      <c r="O68" s="3"/>
      <c r="P68" s="3"/>
      <c r="Q68" s="3" t="s">
        <v>741</v>
      </c>
      <c r="R68" s="3" t="str">
        <f t="shared" si="4"/>
        <v>ic_monster8</v>
      </c>
      <c r="S68" s="3" t="str">
        <f t="shared" si="5"/>
        <v>monster8</v>
      </c>
      <c r="T68" s="3">
        <v>1</v>
      </c>
      <c r="U68" s="3">
        <v>0</v>
      </c>
      <c r="V68" s="3">
        <v>1</v>
      </c>
      <c r="W68" s="7"/>
      <c r="X68" s="3" t="s">
        <v>805</v>
      </c>
      <c r="Y68" s="3" t="s">
        <v>252</v>
      </c>
    </row>
    <row r="69" spans="1:25" x14ac:dyDescent="0.15">
      <c r="A69" s="3">
        <v>201009</v>
      </c>
      <c r="B69" s="3" t="s">
        <v>806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4">
        <v>439</v>
      </c>
      <c r="K69" s="3">
        <v>2</v>
      </c>
      <c r="L69" s="3" t="s">
        <v>722</v>
      </c>
      <c r="M69" s="3">
        <v>201</v>
      </c>
      <c r="N69" s="4" t="s">
        <v>723</v>
      </c>
      <c r="O69" s="3"/>
      <c r="P69" s="3"/>
      <c r="Q69" s="3" t="s">
        <v>743</v>
      </c>
      <c r="R69" s="3" t="str">
        <f t="shared" si="4"/>
        <v>ic_monster9</v>
      </c>
      <c r="S69" s="3" t="str">
        <f t="shared" si="5"/>
        <v>monster9</v>
      </c>
      <c r="T69" s="3">
        <v>1</v>
      </c>
      <c r="U69" s="3">
        <v>0</v>
      </c>
      <c r="V69" s="3">
        <v>1</v>
      </c>
      <c r="W69" s="7"/>
      <c r="X69" s="3" t="s">
        <v>806</v>
      </c>
      <c r="Y69" s="3" t="s">
        <v>252</v>
      </c>
    </row>
    <row r="70" spans="1:25" x14ac:dyDescent="0.15">
      <c r="A70" s="3">
        <v>201010</v>
      </c>
      <c r="B70" s="3" t="s">
        <v>807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4">
        <v>440</v>
      </c>
      <c r="K70" s="3">
        <v>2</v>
      </c>
      <c r="L70" s="3" t="s">
        <v>722</v>
      </c>
      <c r="M70" s="3">
        <v>201</v>
      </c>
      <c r="N70" s="4" t="s">
        <v>723</v>
      </c>
      <c r="O70" s="3"/>
      <c r="P70" s="3"/>
      <c r="Q70" s="3" t="s">
        <v>745</v>
      </c>
      <c r="R70" s="3" t="str">
        <f t="shared" si="4"/>
        <v>ic_monster10</v>
      </c>
      <c r="S70" s="3" t="str">
        <f t="shared" si="5"/>
        <v>monster10</v>
      </c>
      <c r="T70" s="3">
        <v>1</v>
      </c>
      <c r="U70" s="3">
        <v>0</v>
      </c>
      <c r="V70" s="3">
        <v>1</v>
      </c>
      <c r="W70" s="7"/>
      <c r="X70" s="3" t="s">
        <v>807</v>
      </c>
      <c r="Y70" s="3" t="s">
        <v>252</v>
      </c>
    </row>
    <row r="71" spans="1:25" x14ac:dyDescent="0.15">
      <c r="A71" s="3">
        <v>201011</v>
      </c>
      <c r="B71" s="3" t="s">
        <v>808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4">
        <v>441</v>
      </c>
      <c r="K71" s="3">
        <v>2</v>
      </c>
      <c r="L71" s="3" t="s">
        <v>722</v>
      </c>
      <c r="M71" s="3">
        <v>201</v>
      </c>
      <c r="N71" s="4" t="s">
        <v>723</v>
      </c>
      <c r="O71" s="3"/>
      <c r="P71" s="3"/>
      <c r="Q71" s="3" t="s">
        <v>748</v>
      </c>
      <c r="R71" s="3" t="str">
        <f t="shared" si="4"/>
        <v>ic_monster11</v>
      </c>
      <c r="S71" s="3" t="str">
        <f t="shared" si="5"/>
        <v>monster11</v>
      </c>
      <c r="T71" s="3">
        <v>1</v>
      </c>
      <c r="U71" s="3">
        <v>0</v>
      </c>
      <c r="V71" s="3">
        <v>1</v>
      </c>
      <c r="W71" s="7"/>
      <c r="X71" s="3" t="s">
        <v>808</v>
      </c>
      <c r="Y71" s="3" t="s">
        <v>252</v>
      </c>
    </row>
    <row r="72" spans="1:25" x14ac:dyDescent="0.15">
      <c r="A72" s="3">
        <v>201012</v>
      </c>
      <c r="B72" s="3" t="s">
        <v>809</v>
      </c>
      <c r="C72" s="3">
        <v>0</v>
      </c>
      <c r="D72" s="3">
        <v>0</v>
      </c>
      <c r="E72" s="3">
        <v>0</v>
      </c>
      <c r="F72" s="3">
        <v>0</v>
      </c>
      <c r="G72" s="3">
        <v>0</v>
      </c>
      <c r="H72" s="3">
        <v>0</v>
      </c>
      <c r="I72" s="3">
        <v>0</v>
      </c>
      <c r="J72" s="4">
        <v>442</v>
      </c>
      <c r="K72" s="3">
        <v>2</v>
      </c>
      <c r="L72" s="3" t="s">
        <v>722</v>
      </c>
      <c r="M72" s="3">
        <v>201</v>
      </c>
      <c r="N72" s="4" t="s">
        <v>723</v>
      </c>
      <c r="O72" s="3"/>
      <c r="P72" s="3"/>
      <c r="Q72" s="3" t="s">
        <v>751</v>
      </c>
      <c r="R72" s="3" t="str">
        <f t="shared" si="4"/>
        <v>ic_monster12</v>
      </c>
      <c r="S72" s="3" t="str">
        <f t="shared" si="5"/>
        <v>monster12</v>
      </c>
      <c r="T72" s="3">
        <v>1</v>
      </c>
      <c r="U72" s="3">
        <v>0</v>
      </c>
      <c r="V72" s="3">
        <v>1</v>
      </c>
      <c r="W72" s="7"/>
      <c r="X72" s="3" t="s">
        <v>809</v>
      </c>
      <c r="Y72" s="3" t="s">
        <v>252</v>
      </c>
    </row>
    <row r="73" spans="1:25" x14ac:dyDescent="0.15">
      <c r="A73" s="3">
        <v>201013</v>
      </c>
      <c r="B73" s="3" t="s">
        <v>810</v>
      </c>
      <c r="C73" s="3">
        <v>0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4">
        <v>443</v>
      </c>
      <c r="K73" s="3">
        <v>2</v>
      </c>
      <c r="L73" s="3" t="s">
        <v>722</v>
      </c>
      <c r="M73" s="3">
        <v>201</v>
      </c>
      <c r="N73" s="4" t="s">
        <v>723</v>
      </c>
      <c r="O73" s="3"/>
      <c r="P73" s="3"/>
      <c r="Q73" s="3" t="s">
        <v>753</v>
      </c>
      <c r="R73" s="3" t="str">
        <f t="shared" si="4"/>
        <v>ic_monster13</v>
      </c>
      <c r="S73" s="3" t="str">
        <f t="shared" si="5"/>
        <v>monster13</v>
      </c>
      <c r="T73" s="3">
        <v>1</v>
      </c>
      <c r="U73" s="3">
        <v>0</v>
      </c>
      <c r="V73" s="3">
        <v>1</v>
      </c>
      <c r="W73" s="7"/>
      <c r="X73" s="3" t="s">
        <v>810</v>
      </c>
      <c r="Y73" s="3" t="s">
        <v>252</v>
      </c>
    </row>
    <row r="74" spans="1:25" x14ac:dyDescent="0.15">
      <c r="A74" s="3">
        <v>201014</v>
      </c>
      <c r="B74" s="3" t="s">
        <v>811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4">
        <v>444</v>
      </c>
      <c r="K74" s="3">
        <v>2</v>
      </c>
      <c r="L74" s="3" t="s">
        <v>722</v>
      </c>
      <c r="M74" s="3">
        <v>201</v>
      </c>
      <c r="N74" s="4" t="s">
        <v>723</v>
      </c>
      <c r="O74" s="3"/>
      <c r="P74" s="3"/>
      <c r="Q74" s="3" t="s">
        <v>755</v>
      </c>
      <c r="R74" s="3" t="str">
        <f t="shared" si="4"/>
        <v>ic_monster14</v>
      </c>
      <c r="S74" s="3" t="str">
        <f t="shared" si="5"/>
        <v>monster14</v>
      </c>
      <c r="T74" s="3">
        <v>1</v>
      </c>
      <c r="U74" s="3">
        <v>0</v>
      </c>
      <c r="V74" s="3">
        <v>1</v>
      </c>
      <c r="W74" s="7"/>
      <c r="X74" s="3" t="s">
        <v>811</v>
      </c>
      <c r="Y74" s="3" t="s">
        <v>252</v>
      </c>
    </row>
    <row r="75" spans="1:25" x14ac:dyDescent="0.15">
      <c r="A75" s="3">
        <v>201015</v>
      </c>
      <c r="B75" s="3" t="s">
        <v>812</v>
      </c>
      <c r="C75" s="3">
        <v>0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4">
        <v>445</v>
      </c>
      <c r="K75" s="3">
        <v>2</v>
      </c>
      <c r="L75" s="3" t="s">
        <v>722</v>
      </c>
      <c r="M75" s="3">
        <v>201</v>
      </c>
      <c r="N75" s="4" t="s">
        <v>723</v>
      </c>
      <c r="O75" s="3"/>
      <c r="P75" s="3"/>
      <c r="Q75" s="3" t="s">
        <v>757</v>
      </c>
      <c r="R75" s="3" t="str">
        <f t="shared" si="4"/>
        <v>ic_monster15</v>
      </c>
      <c r="S75" s="3" t="str">
        <f t="shared" si="5"/>
        <v>monster15</v>
      </c>
      <c r="T75" s="3">
        <v>1</v>
      </c>
      <c r="U75" s="3">
        <v>0</v>
      </c>
      <c r="V75" s="3">
        <v>1</v>
      </c>
      <c r="W75" s="7"/>
      <c r="X75" s="3" t="s">
        <v>812</v>
      </c>
      <c r="Y75" s="3" t="s">
        <v>252</v>
      </c>
    </row>
    <row r="76" spans="1:25" x14ac:dyDescent="0.15">
      <c r="A76" s="3">
        <v>201016</v>
      </c>
      <c r="B76" s="3" t="s">
        <v>813</v>
      </c>
      <c r="C76" s="3">
        <v>0</v>
      </c>
      <c r="D76" s="3">
        <v>0</v>
      </c>
      <c r="E76" s="3">
        <v>0</v>
      </c>
      <c r="F76" s="3">
        <v>0</v>
      </c>
      <c r="G76" s="3">
        <v>0</v>
      </c>
      <c r="H76" s="3">
        <v>0</v>
      </c>
      <c r="I76" s="3">
        <v>0</v>
      </c>
      <c r="J76" s="4">
        <v>446</v>
      </c>
      <c r="K76" s="3">
        <v>2</v>
      </c>
      <c r="L76" s="3" t="s">
        <v>722</v>
      </c>
      <c r="M76" s="3">
        <v>201</v>
      </c>
      <c r="N76" s="4" t="s">
        <v>723</v>
      </c>
      <c r="O76" s="3"/>
      <c r="P76" s="3"/>
      <c r="Q76" s="3" t="s">
        <v>759</v>
      </c>
      <c r="R76" s="3" t="str">
        <f t="shared" si="4"/>
        <v>ic_monster16</v>
      </c>
      <c r="S76" s="3" t="str">
        <f t="shared" si="5"/>
        <v>monster16</v>
      </c>
      <c r="T76" s="3">
        <v>1</v>
      </c>
      <c r="U76" s="3">
        <v>0</v>
      </c>
      <c r="V76" s="3">
        <v>1</v>
      </c>
      <c r="W76" s="7"/>
      <c r="X76" s="3" t="s">
        <v>813</v>
      </c>
      <c r="Y76" s="3" t="s">
        <v>252</v>
      </c>
    </row>
    <row r="77" spans="1:25" x14ac:dyDescent="0.15">
      <c r="A77" s="3">
        <v>201017</v>
      </c>
      <c r="B77" s="3" t="s">
        <v>814</v>
      </c>
      <c r="C77" s="3">
        <v>0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4">
        <v>447</v>
      </c>
      <c r="K77" s="3">
        <v>2</v>
      </c>
      <c r="L77" s="3" t="s">
        <v>722</v>
      </c>
      <c r="M77" s="3">
        <v>201</v>
      </c>
      <c r="N77" s="4" t="s">
        <v>723</v>
      </c>
      <c r="O77" s="3"/>
      <c r="P77" s="3"/>
      <c r="Q77" s="3" t="s">
        <v>762</v>
      </c>
      <c r="R77" s="3" t="str">
        <f t="shared" si="4"/>
        <v>ic_monster17</v>
      </c>
      <c r="S77" s="3" t="str">
        <f t="shared" si="5"/>
        <v>monster17</v>
      </c>
      <c r="T77" s="3">
        <v>1</v>
      </c>
      <c r="U77" s="3">
        <v>0</v>
      </c>
      <c r="V77" s="3">
        <v>1</v>
      </c>
      <c r="W77" s="7"/>
      <c r="X77" s="3" t="s">
        <v>814</v>
      </c>
      <c r="Y77" s="3" t="s">
        <v>252</v>
      </c>
    </row>
    <row r="78" spans="1:25" x14ac:dyDescent="0.15">
      <c r="A78" s="3">
        <v>201018</v>
      </c>
      <c r="B78" s="3" t="s">
        <v>815</v>
      </c>
      <c r="C78" s="3">
        <v>0</v>
      </c>
      <c r="D78" s="3">
        <v>0</v>
      </c>
      <c r="E78" s="3">
        <v>0</v>
      </c>
      <c r="F78" s="3">
        <v>0</v>
      </c>
      <c r="G78" s="3">
        <v>0</v>
      </c>
      <c r="H78" s="3">
        <v>0</v>
      </c>
      <c r="I78" s="3">
        <v>0</v>
      </c>
      <c r="J78" s="4">
        <v>448</v>
      </c>
      <c r="K78" s="3">
        <v>2</v>
      </c>
      <c r="L78" s="3" t="s">
        <v>722</v>
      </c>
      <c r="M78" s="3">
        <v>201</v>
      </c>
      <c r="N78" s="4" t="s">
        <v>723</v>
      </c>
      <c r="O78" s="3"/>
      <c r="P78" s="3"/>
      <c r="Q78" s="3" t="s">
        <v>765</v>
      </c>
      <c r="R78" s="3" t="str">
        <f t="shared" si="4"/>
        <v>ic_monster18</v>
      </c>
      <c r="S78" s="3" t="str">
        <f t="shared" si="5"/>
        <v>monster18</v>
      </c>
      <c r="T78" s="3">
        <v>1</v>
      </c>
      <c r="U78" s="3">
        <v>0</v>
      </c>
      <c r="V78" s="3">
        <v>1</v>
      </c>
      <c r="W78" s="7"/>
      <c r="X78" s="3" t="s">
        <v>815</v>
      </c>
      <c r="Y78" s="3" t="s">
        <v>252</v>
      </c>
    </row>
    <row r="79" spans="1:25" x14ac:dyDescent="0.15">
      <c r="A79" s="3">
        <v>201019</v>
      </c>
      <c r="B79" s="3" t="s">
        <v>816</v>
      </c>
      <c r="C79" s="3">
        <v>0</v>
      </c>
      <c r="D79" s="3">
        <v>0</v>
      </c>
      <c r="E79" s="3">
        <v>0</v>
      </c>
      <c r="F79" s="3">
        <v>0</v>
      </c>
      <c r="G79" s="3">
        <v>0</v>
      </c>
      <c r="H79" s="3">
        <v>0</v>
      </c>
      <c r="I79" s="3">
        <v>0</v>
      </c>
      <c r="J79" s="4">
        <v>449</v>
      </c>
      <c r="K79" s="3">
        <v>2</v>
      </c>
      <c r="L79" s="3" t="s">
        <v>722</v>
      </c>
      <c r="M79" s="3">
        <v>201</v>
      </c>
      <c r="N79" s="4" t="s">
        <v>723</v>
      </c>
      <c r="O79" s="3"/>
      <c r="P79" s="3"/>
      <c r="Q79" s="3" t="s">
        <v>768</v>
      </c>
      <c r="R79" s="3" t="str">
        <f t="shared" si="4"/>
        <v>ic_monster19</v>
      </c>
      <c r="S79" s="3" t="str">
        <f t="shared" si="5"/>
        <v>monster19</v>
      </c>
      <c r="T79" s="3">
        <v>1</v>
      </c>
      <c r="U79" s="3">
        <v>0</v>
      </c>
      <c r="V79" s="3">
        <v>1</v>
      </c>
      <c r="W79" s="7"/>
      <c r="X79" s="3" t="s">
        <v>816</v>
      </c>
      <c r="Y79" s="3" t="s">
        <v>252</v>
      </c>
    </row>
    <row r="80" spans="1:25" x14ac:dyDescent="0.15">
      <c r="A80" s="3">
        <v>201020</v>
      </c>
      <c r="B80" s="3" t="s">
        <v>817</v>
      </c>
      <c r="C80" s="3">
        <v>0</v>
      </c>
      <c r="D80" s="3">
        <v>0</v>
      </c>
      <c r="E80" s="3">
        <v>0</v>
      </c>
      <c r="F80" s="3">
        <v>0</v>
      </c>
      <c r="G80" s="3">
        <v>0</v>
      </c>
      <c r="H80" s="3">
        <v>0</v>
      </c>
      <c r="I80" s="3">
        <v>0</v>
      </c>
      <c r="J80" s="4">
        <v>450</v>
      </c>
      <c r="K80" s="3">
        <v>2</v>
      </c>
      <c r="L80" s="3" t="s">
        <v>722</v>
      </c>
      <c r="M80" s="3">
        <v>201</v>
      </c>
      <c r="N80" s="4" t="s">
        <v>723</v>
      </c>
      <c r="O80" s="3"/>
      <c r="P80" s="3"/>
      <c r="Q80" s="3" t="s">
        <v>770</v>
      </c>
      <c r="R80" s="3" t="str">
        <f t="shared" si="4"/>
        <v>ic_monster20</v>
      </c>
      <c r="S80" s="3" t="str">
        <f t="shared" si="5"/>
        <v>monster20</v>
      </c>
      <c r="T80" s="3">
        <v>1</v>
      </c>
      <c r="U80" s="3">
        <v>0</v>
      </c>
      <c r="V80" s="3">
        <v>1</v>
      </c>
      <c r="W80" s="7"/>
      <c r="X80" s="3" t="s">
        <v>817</v>
      </c>
      <c r="Y80" s="3" t="s">
        <v>252</v>
      </c>
    </row>
    <row r="81" spans="1:25" x14ac:dyDescent="0.15">
      <c r="A81" s="3">
        <v>201021</v>
      </c>
      <c r="B81" s="3" t="s">
        <v>818</v>
      </c>
      <c r="C81" s="3">
        <v>0</v>
      </c>
      <c r="D81" s="3">
        <v>0</v>
      </c>
      <c r="E81" s="3">
        <v>0</v>
      </c>
      <c r="F81" s="3">
        <v>0</v>
      </c>
      <c r="G81" s="3">
        <v>0</v>
      </c>
      <c r="H81" s="3">
        <v>0</v>
      </c>
      <c r="I81" s="3">
        <v>0</v>
      </c>
      <c r="J81" s="4">
        <v>451</v>
      </c>
      <c r="K81" s="3">
        <v>2</v>
      </c>
      <c r="L81" s="3" t="s">
        <v>722</v>
      </c>
      <c r="M81" s="3">
        <v>201</v>
      </c>
      <c r="N81" s="4" t="s">
        <v>723</v>
      </c>
      <c r="O81" s="3"/>
      <c r="P81" s="3"/>
      <c r="Q81" s="3" t="s">
        <v>772</v>
      </c>
      <c r="R81" s="3" t="str">
        <f t="shared" si="4"/>
        <v>ic_monster21</v>
      </c>
      <c r="S81" s="3" t="str">
        <f t="shared" si="5"/>
        <v>monster21</v>
      </c>
      <c r="T81" s="3">
        <v>1</v>
      </c>
      <c r="U81" s="3">
        <v>0</v>
      </c>
      <c r="V81" s="3">
        <v>1</v>
      </c>
      <c r="W81" s="7"/>
      <c r="X81" s="3" t="s">
        <v>818</v>
      </c>
      <c r="Y81" s="3" t="s">
        <v>252</v>
      </c>
    </row>
    <row r="82" spans="1:25" x14ac:dyDescent="0.15">
      <c r="A82" s="3">
        <v>201022</v>
      </c>
      <c r="B82" s="3" t="s">
        <v>819</v>
      </c>
      <c r="C82" s="3">
        <v>0</v>
      </c>
      <c r="D82" s="3">
        <v>0</v>
      </c>
      <c r="E82" s="3">
        <v>0</v>
      </c>
      <c r="F82" s="3">
        <v>0</v>
      </c>
      <c r="G82" s="3">
        <v>0</v>
      </c>
      <c r="H82" s="3">
        <v>0</v>
      </c>
      <c r="I82" s="3">
        <v>0</v>
      </c>
      <c r="J82" s="4">
        <v>452</v>
      </c>
      <c r="K82" s="3">
        <v>2</v>
      </c>
      <c r="L82" s="3" t="s">
        <v>722</v>
      </c>
      <c r="M82" s="3">
        <v>201</v>
      </c>
      <c r="N82" s="4" t="s">
        <v>723</v>
      </c>
      <c r="O82" s="3"/>
      <c r="P82" s="3"/>
      <c r="Q82" s="3" t="s">
        <v>820</v>
      </c>
      <c r="R82" s="3" t="str">
        <f t="shared" ref="R82:R113" si="14">R61</f>
        <v>ic_monster1</v>
      </c>
      <c r="S82" s="3" t="s">
        <v>1905</v>
      </c>
      <c r="T82" s="3">
        <v>1</v>
      </c>
      <c r="U82" s="3">
        <v>0</v>
      </c>
      <c r="V82" s="3">
        <v>1</v>
      </c>
      <c r="W82" s="7"/>
      <c r="X82" s="3" t="s">
        <v>819</v>
      </c>
      <c r="Y82" s="3" t="s">
        <v>252</v>
      </c>
    </row>
    <row r="83" spans="1:25" x14ac:dyDescent="0.15">
      <c r="A83" s="3">
        <v>201023</v>
      </c>
      <c r="B83" s="3" t="s">
        <v>821</v>
      </c>
      <c r="C83" s="3">
        <v>0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4">
        <v>453</v>
      </c>
      <c r="K83" s="3">
        <v>2</v>
      </c>
      <c r="L83" s="3" t="s">
        <v>722</v>
      </c>
      <c r="M83" s="3">
        <v>201</v>
      </c>
      <c r="N83" s="4" t="s">
        <v>723</v>
      </c>
      <c r="O83" s="3"/>
      <c r="P83" s="3"/>
      <c r="Q83" s="3" t="s">
        <v>822</v>
      </c>
      <c r="R83" s="3" t="str">
        <f t="shared" si="14"/>
        <v>ic_monster2</v>
      </c>
      <c r="S83" s="3" t="s">
        <v>1906</v>
      </c>
      <c r="T83" s="3">
        <v>1</v>
      </c>
      <c r="U83" s="3">
        <v>0</v>
      </c>
      <c r="V83" s="3">
        <v>1</v>
      </c>
      <c r="W83" s="7"/>
      <c r="X83" s="3" t="s">
        <v>821</v>
      </c>
      <c r="Y83" s="3" t="s">
        <v>252</v>
      </c>
    </row>
    <row r="84" spans="1:25" x14ac:dyDescent="0.15">
      <c r="A84" s="3">
        <v>201024</v>
      </c>
      <c r="B84" s="3" t="s">
        <v>823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4">
        <v>454</v>
      </c>
      <c r="K84" s="3">
        <v>2</v>
      </c>
      <c r="L84" s="3" t="s">
        <v>722</v>
      </c>
      <c r="M84" s="3">
        <v>201</v>
      </c>
      <c r="N84" s="4" t="s">
        <v>723</v>
      </c>
      <c r="O84" s="3"/>
      <c r="P84" s="3"/>
      <c r="Q84" s="3" t="s">
        <v>824</v>
      </c>
      <c r="R84" s="3" t="str">
        <f t="shared" si="14"/>
        <v>ic_monster3</v>
      </c>
      <c r="S84" s="3" t="s">
        <v>1907</v>
      </c>
      <c r="T84" s="3">
        <v>1</v>
      </c>
      <c r="U84" s="3">
        <v>0</v>
      </c>
      <c r="V84" s="3">
        <v>1</v>
      </c>
      <c r="W84" s="7"/>
      <c r="X84" s="3" t="s">
        <v>823</v>
      </c>
      <c r="Y84" s="3" t="s">
        <v>252</v>
      </c>
    </row>
    <row r="85" spans="1:25" x14ac:dyDescent="0.15">
      <c r="A85" s="3">
        <v>201025</v>
      </c>
      <c r="B85" s="3" t="s">
        <v>825</v>
      </c>
      <c r="C85" s="3">
        <v>0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4">
        <v>455</v>
      </c>
      <c r="K85" s="3">
        <v>2</v>
      </c>
      <c r="L85" s="3" t="s">
        <v>722</v>
      </c>
      <c r="M85" s="3">
        <v>201</v>
      </c>
      <c r="N85" s="4" t="s">
        <v>723</v>
      </c>
      <c r="O85" s="3"/>
      <c r="P85" s="3"/>
      <c r="Q85" s="3" t="s">
        <v>826</v>
      </c>
      <c r="R85" s="3" t="str">
        <f t="shared" si="14"/>
        <v>ic_monster4</v>
      </c>
      <c r="S85" s="3" t="s">
        <v>1908</v>
      </c>
      <c r="T85" s="3">
        <v>1</v>
      </c>
      <c r="U85" s="3">
        <v>0</v>
      </c>
      <c r="V85" s="3">
        <v>1</v>
      </c>
      <c r="W85" s="7"/>
      <c r="X85" s="3" t="s">
        <v>825</v>
      </c>
      <c r="Y85" s="3" t="s">
        <v>252</v>
      </c>
    </row>
    <row r="86" spans="1:25" x14ac:dyDescent="0.15">
      <c r="A86" s="3">
        <v>201026</v>
      </c>
      <c r="B86" s="4" t="s">
        <v>827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4">
        <v>456</v>
      </c>
      <c r="K86" s="3">
        <v>2</v>
      </c>
      <c r="L86" s="3" t="s">
        <v>722</v>
      </c>
      <c r="M86" s="3">
        <v>201</v>
      </c>
      <c r="N86" s="4" t="s">
        <v>723</v>
      </c>
      <c r="O86" s="3"/>
      <c r="P86" s="3"/>
      <c r="Q86" s="3" t="s">
        <v>828</v>
      </c>
      <c r="R86" s="3" t="str">
        <f t="shared" si="14"/>
        <v>ic_monster5</v>
      </c>
      <c r="S86" s="3" t="s">
        <v>1909</v>
      </c>
      <c r="T86" s="3">
        <v>1</v>
      </c>
      <c r="U86" s="3">
        <v>0</v>
      </c>
      <c r="V86" s="3">
        <v>1</v>
      </c>
      <c r="W86" s="7"/>
      <c r="X86" s="3" t="s">
        <v>827</v>
      </c>
      <c r="Y86" s="3" t="s">
        <v>252</v>
      </c>
    </row>
    <row r="87" spans="1:25" ht="14.25" x14ac:dyDescent="0.15">
      <c r="A87" s="3">
        <v>201027</v>
      </c>
      <c r="B87" s="22" t="s">
        <v>829</v>
      </c>
      <c r="C87" s="3">
        <v>0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4">
        <v>457</v>
      </c>
      <c r="K87" s="3">
        <v>2</v>
      </c>
      <c r="L87" s="3" t="s">
        <v>722</v>
      </c>
      <c r="M87" s="3">
        <v>201</v>
      </c>
      <c r="N87" s="4" t="s">
        <v>723</v>
      </c>
      <c r="O87" s="3"/>
      <c r="P87" s="3"/>
      <c r="Q87" s="3" t="s">
        <v>830</v>
      </c>
      <c r="R87" s="3" t="str">
        <f t="shared" si="14"/>
        <v>ic_monster6</v>
      </c>
      <c r="S87" s="3" t="s">
        <v>1910</v>
      </c>
      <c r="T87" s="3">
        <v>1</v>
      </c>
      <c r="U87" s="3">
        <v>0</v>
      </c>
      <c r="V87" s="3">
        <v>1</v>
      </c>
      <c r="W87" s="7"/>
      <c r="X87" s="3" t="s">
        <v>829</v>
      </c>
      <c r="Y87" s="3" t="s">
        <v>252</v>
      </c>
    </row>
    <row r="88" spans="1:25" x14ac:dyDescent="0.15">
      <c r="A88" s="3">
        <v>201028</v>
      </c>
      <c r="B88" s="3" t="s">
        <v>831</v>
      </c>
      <c r="C88" s="3">
        <v>0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4">
        <v>458</v>
      </c>
      <c r="K88" s="3">
        <v>2</v>
      </c>
      <c r="L88" s="3" t="s">
        <v>722</v>
      </c>
      <c r="M88" s="3">
        <v>201</v>
      </c>
      <c r="N88" s="4" t="s">
        <v>723</v>
      </c>
      <c r="O88" s="3"/>
      <c r="P88" s="3"/>
      <c r="Q88" s="3" t="s">
        <v>832</v>
      </c>
      <c r="R88" s="3" t="str">
        <f t="shared" si="14"/>
        <v>ic_monster7</v>
      </c>
      <c r="S88" s="3" t="s">
        <v>1911</v>
      </c>
      <c r="T88" s="3">
        <v>1</v>
      </c>
      <c r="U88" s="3">
        <v>0</v>
      </c>
      <c r="V88" s="3">
        <v>1</v>
      </c>
      <c r="W88" s="7"/>
      <c r="X88" s="3" t="s">
        <v>831</v>
      </c>
      <c r="Y88" s="3" t="s">
        <v>252</v>
      </c>
    </row>
    <row r="89" spans="1:25" x14ac:dyDescent="0.15">
      <c r="A89" s="3">
        <v>201029</v>
      </c>
      <c r="B89" s="3" t="s">
        <v>833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4">
        <v>459</v>
      </c>
      <c r="K89" s="3">
        <v>2</v>
      </c>
      <c r="L89" s="3" t="s">
        <v>722</v>
      </c>
      <c r="M89" s="3">
        <v>201</v>
      </c>
      <c r="N89" s="4" t="s">
        <v>723</v>
      </c>
      <c r="O89" s="3"/>
      <c r="P89" s="3"/>
      <c r="Q89" s="3" t="s">
        <v>834</v>
      </c>
      <c r="R89" s="3" t="str">
        <f t="shared" si="14"/>
        <v>ic_monster8</v>
      </c>
      <c r="S89" s="3" t="s">
        <v>1912</v>
      </c>
      <c r="T89" s="3">
        <v>1</v>
      </c>
      <c r="U89" s="3">
        <v>0</v>
      </c>
      <c r="V89" s="3">
        <v>1</v>
      </c>
      <c r="W89" s="7"/>
      <c r="X89" s="3" t="s">
        <v>833</v>
      </c>
      <c r="Y89" s="3" t="s">
        <v>252</v>
      </c>
    </row>
    <row r="90" spans="1:25" x14ac:dyDescent="0.15">
      <c r="A90" s="3">
        <v>201030</v>
      </c>
      <c r="B90" s="3" t="s">
        <v>835</v>
      </c>
      <c r="C90" s="3">
        <v>0</v>
      </c>
      <c r="D90" s="3">
        <v>0</v>
      </c>
      <c r="E90" s="3">
        <v>0</v>
      </c>
      <c r="F90" s="3">
        <v>0</v>
      </c>
      <c r="G90" s="3">
        <v>0</v>
      </c>
      <c r="H90" s="3">
        <v>0</v>
      </c>
      <c r="I90" s="3">
        <v>0</v>
      </c>
      <c r="J90" s="4">
        <v>460</v>
      </c>
      <c r="K90" s="3">
        <v>2</v>
      </c>
      <c r="L90" s="3" t="s">
        <v>722</v>
      </c>
      <c r="M90" s="3">
        <v>201</v>
      </c>
      <c r="N90" s="4" t="s">
        <v>723</v>
      </c>
      <c r="O90" s="3"/>
      <c r="P90" s="3"/>
      <c r="Q90" s="3" t="s">
        <v>836</v>
      </c>
      <c r="R90" s="3" t="str">
        <f t="shared" si="14"/>
        <v>ic_monster9</v>
      </c>
      <c r="S90" s="3" t="s">
        <v>1913</v>
      </c>
      <c r="T90" s="3">
        <v>1</v>
      </c>
      <c r="U90" s="3">
        <v>0</v>
      </c>
      <c r="V90" s="3">
        <v>1</v>
      </c>
      <c r="W90" s="7"/>
      <c r="X90" s="3" t="s">
        <v>835</v>
      </c>
      <c r="Y90" s="3" t="s">
        <v>252</v>
      </c>
    </row>
    <row r="91" spans="1:25" x14ac:dyDescent="0.15">
      <c r="A91" s="3">
        <v>201031</v>
      </c>
      <c r="B91" s="3" t="s">
        <v>837</v>
      </c>
      <c r="C91" s="3">
        <v>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4">
        <v>461</v>
      </c>
      <c r="K91" s="3">
        <v>2</v>
      </c>
      <c r="L91" s="3" t="s">
        <v>722</v>
      </c>
      <c r="M91" s="3">
        <v>201</v>
      </c>
      <c r="N91" s="4" t="s">
        <v>723</v>
      </c>
      <c r="O91" s="3"/>
      <c r="P91" s="3"/>
      <c r="Q91" s="3" t="s">
        <v>838</v>
      </c>
      <c r="R91" s="3" t="str">
        <f t="shared" si="14"/>
        <v>ic_monster10</v>
      </c>
      <c r="S91" s="3" t="s">
        <v>1914</v>
      </c>
      <c r="T91" s="3">
        <v>1</v>
      </c>
      <c r="U91" s="3">
        <v>0</v>
      </c>
      <c r="V91" s="3">
        <v>1</v>
      </c>
      <c r="W91" s="7"/>
      <c r="X91" s="3" t="s">
        <v>837</v>
      </c>
      <c r="Y91" s="3" t="s">
        <v>252</v>
      </c>
    </row>
    <row r="92" spans="1:25" x14ac:dyDescent="0.15">
      <c r="A92" s="3">
        <v>201032</v>
      </c>
      <c r="B92" s="3" t="s">
        <v>839</v>
      </c>
      <c r="C92" s="3">
        <v>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4">
        <v>462</v>
      </c>
      <c r="K92" s="3">
        <v>2</v>
      </c>
      <c r="L92" s="3" t="s">
        <v>722</v>
      </c>
      <c r="M92" s="3">
        <v>201</v>
      </c>
      <c r="N92" s="4" t="s">
        <v>723</v>
      </c>
      <c r="O92" s="3"/>
      <c r="P92" s="3"/>
      <c r="Q92" s="3" t="s">
        <v>840</v>
      </c>
      <c r="R92" s="3" t="str">
        <f t="shared" si="14"/>
        <v>ic_monster11</v>
      </c>
      <c r="S92" s="3" t="s">
        <v>1915</v>
      </c>
      <c r="T92" s="3">
        <v>1</v>
      </c>
      <c r="U92" s="3">
        <v>0</v>
      </c>
      <c r="V92" s="3">
        <v>1</v>
      </c>
      <c r="W92" s="7"/>
      <c r="X92" s="3" t="s">
        <v>839</v>
      </c>
      <c r="Y92" s="3" t="s">
        <v>252</v>
      </c>
    </row>
    <row r="93" spans="1:25" x14ac:dyDescent="0.15">
      <c r="A93" s="3">
        <v>201033</v>
      </c>
      <c r="B93" s="3" t="s">
        <v>841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4">
        <v>463</v>
      </c>
      <c r="K93" s="3">
        <v>2</v>
      </c>
      <c r="L93" s="3" t="s">
        <v>722</v>
      </c>
      <c r="M93" s="3">
        <v>201</v>
      </c>
      <c r="N93" s="4" t="s">
        <v>723</v>
      </c>
      <c r="O93" s="3"/>
      <c r="P93" s="3"/>
      <c r="Q93" s="3" t="s">
        <v>842</v>
      </c>
      <c r="R93" s="3" t="str">
        <f t="shared" si="14"/>
        <v>ic_monster12</v>
      </c>
      <c r="S93" s="3" t="s">
        <v>1916</v>
      </c>
      <c r="T93" s="3">
        <v>1</v>
      </c>
      <c r="U93" s="3">
        <v>0</v>
      </c>
      <c r="V93" s="3">
        <v>1</v>
      </c>
      <c r="W93" s="7"/>
      <c r="X93" s="3" t="s">
        <v>841</v>
      </c>
      <c r="Y93" s="3" t="s">
        <v>252</v>
      </c>
    </row>
    <row r="94" spans="1:25" x14ac:dyDescent="0.15">
      <c r="A94" s="3">
        <v>201034</v>
      </c>
      <c r="B94" s="3" t="s">
        <v>843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4">
        <v>464</v>
      </c>
      <c r="K94" s="3">
        <v>2</v>
      </c>
      <c r="L94" s="3" t="s">
        <v>722</v>
      </c>
      <c r="M94" s="3">
        <v>201</v>
      </c>
      <c r="N94" s="4" t="s">
        <v>723</v>
      </c>
      <c r="O94" s="3"/>
      <c r="P94" s="3"/>
      <c r="Q94" s="3" t="s">
        <v>844</v>
      </c>
      <c r="R94" s="3" t="str">
        <f t="shared" si="14"/>
        <v>ic_monster13</v>
      </c>
      <c r="S94" s="3" t="s">
        <v>1917</v>
      </c>
      <c r="T94" s="3">
        <v>1</v>
      </c>
      <c r="U94" s="3">
        <v>0</v>
      </c>
      <c r="V94" s="3">
        <v>1</v>
      </c>
      <c r="W94" s="7"/>
      <c r="X94" s="3" t="s">
        <v>843</v>
      </c>
      <c r="Y94" s="3" t="s">
        <v>252</v>
      </c>
    </row>
    <row r="95" spans="1:25" x14ac:dyDescent="0.15">
      <c r="A95" s="3">
        <v>201035</v>
      </c>
      <c r="B95" s="3" t="s">
        <v>845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4">
        <v>465</v>
      </c>
      <c r="K95" s="3">
        <v>2</v>
      </c>
      <c r="L95" s="3" t="s">
        <v>722</v>
      </c>
      <c r="M95" s="3">
        <v>201</v>
      </c>
      <c r="N95" s="4" t="s">
        <v>723</v>
      </c>
      <c r="O95" s="3"/>
      <c r="P95" s="3"/>
      <c r="Q95" s="3" t="s">
        <v>846</v>
      </c>
      <c r="R95" s="3" t="str">
        <f t="shared" si="14"/>
        <v>ic_monster14</v>
      </c>
      <c r="S95" s="3" t="s">
        <v>1918</v>
      </c>
      <c r="T95" s="3">
        <v>1</v>
      </c>
      <c r="U95" s="3">
        <v>0</v>
      </c>
      <c r="V95" s="3">
        <v>1</v>
      </c>
      <c r="W95" s="7"/>
      <c r="X95" s="3" t="s">
        <v>845</v>
      </c>
      <c r="Y95" s="3" t="s">
        <v>252</v>
      </c>
    </row>
    <row r="96" spans="1:25" x14ac:dyDescent="0.15">
      <c r="A96" s="3">
        <v>201036</v>
      </c>
      <c r="B96" s="3" t="s">
        <v>847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4">
        <v>466</v>
      </c>
      <c r="K96" s="3">
        <v>2</v>
      </c>
      <c r="L96" s="3" t="s">
        <v>722</v>
      </c>
      <c r="M96" s="3">
        <v>201</v>
      </c>
      <c r="N96" s="4" t="s">
        <v>723</v>
      </c>
      <c r="O96" s="3"/>
      <c r="P96" s="3"/>
      <c r="Q96" s="3" t="s">
        <v>848</v>
      </c>
      <c r="R96" s="3" t="str">
        <f t="shared" si="14"/>
        <v>ic_monster15</v>
      </c>
      <c r="S96" s="3" t="s">
        <v>1919</v>
      </c>
      <c r="T96" s="3">
        <v>1</v>
      </c>
      <c r="U96" s="3">
        <v>0</v>
      </c>
      <c r="V96" s="3">
        <v>1</v>
      </c>
      <c r="W96" s="7"/>
      <c r="X96" s="3" t="s">
        <v>847</v>
      </c>
      <c r="Y96" s="3" t="s">
        <v>252</v>
      </c>
    </row>
    <row r="97" spans="1:25" x14ac:dyDescent="0.15">
      <c r="A97" s="3">
        <v>201037</v>
      </c>
      <c r="B97" s="3" t="s">
        <v>849</v>
      </c>
      <c r="C97" s="3">
        <v>0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4">
        <v>467</v>
      </c>
      <c r="K97" s="3">
        <v>2</v>
      </c>
      <c r="L97" s="3" t="s">
        <v>722</v>
      </c>
      <c r="M97" s="3">
        <v>201</v>
      </c>
      <c r="N97" s="4" t="s">
        <v>723</v>
      </c>
      <c r="O97" s="3"/>
      <c r="P97" s="3"/>
      <c r="Q97" s="3" t="s">
        <v>850</v>
      </c>
      <c r="R97" s="3" t="str">
        <f t="shared" si="14"/>
        <v>ic_monster16</v>
      </c>
      <c r="S97" s="3" t="s">
        <v>1920</v>
      </c>
      <c r="T97" s="3">
        <v>1</v>
      </c>
      <c r="U97" s="3">
        <v>0</v>
      </c>
      <c r="V97" s="3">
        <v>1</v>
      </c>
      <c r="W97" s="7"/>
      <c r="X97" s="3" t="s">
        <v>849</v>
      </c>
      <c r="Y97" s="3" t="s">
        <v>252</v>
      </c>
    </row>
    <row r="98" spans="1:25" x14ac:dyDescent="0.15">
      <c r="A98" s="3">
        <v>201038</v>
      </c>
      <c r="B98" s="3" t="s">
        <v>851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4">
        <v>468</v>
      </c>
      <c r="K98" s="3">
        <v>2</v>
      </c>
      <c r="L98" s="3" t="s">
        <v>722</v>
      </c>
      <c r="M98" s="3">
        <v>201</v>
      </c>
      <c r="N98" s="4" t="s">
        <v>723</v>
      </c>
      <c r="O98" s="3"/>
      <c r="P98" s="3"/>
      <c r="Q98" s="3" t="s">
        <v>852</v>
      </c>
      <c r="R98" s="3" t="str">
        <f t="shared" si="14"/>
        <v>ic_monster17</v>
      </c>
      <c r="S98" s="3" t="s">
        <v>1921</v>
      </c>
      <c r="T98" s="3">
        <v>1</v>
      </c>
      <c r="U98" s="3">
        <v>0</v>
      </c>
      <c r="V98" s="3">
        <v>1</v>
      </c>
      <c r="W98" s="7"/>
      <c r="X98" s="3" t="s">
        <v>851</v>
      </c>
      <c r="Y98" s="3" t="s">
        <v>252</v>
      </c>
    </row>
    <row r="99" spans="1:25" x14ac:dyDescent="0.15">
      <c r="A99" s="3">
        <v>201039</v>
      </c>
      <c r="B99" s="3" t="s">
        <v>853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4">
        <v>469</v>
      </c>
      <c r="K99" s="3">
        <v>2</v>
      </c>
      <c r="L99" s="3" t="s">
        <v>722</v>
      </c>
      <c r="M99" s="3">
        <v>201</v>
      </c>
      <c r="N99" s="4" t="s">
        <v>723</v>
      </c>
      <c r="O99" s="3"/>
      <c r="P99" s="3"/>
      <c r="Q99" s="3" t="s">
        <v>854</v>
      </c>
      <c r="R99" s="3" t="str">
        <f t="shared" si="14"/>
        <v>ic_monster18</v>
      </c>
      <c r="S99" s="3" t="s">
        <v>1922</v>
      </c>
      <c r="T99" s="3">
        <v>1</v>
      </c>
      <c r="U99" s="3">
        <v>0</v>
      </c>
      <c r="V99" s="3">
        <v>1</v>
      </c>
      <c r="W99" s="7"/>
      <c r="X99" s="3" t="s">
        <v>853</v>
      </c>
      <c r="Y99" s="3" t="s">
        <v>252</v>
      </c>
    </row>
    <row r="100" spans="1:25" x14ac:dyDescent="0.15">
      <c r="A100" s="3">
        <v>201040</v>
      </c>
      <c r="B100" s="3" t="s">
        <v>855</v>
      </c>
      <c r="C100" s="3">
        <v>0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4">
        <v>470</v>
      </c>
      <c r="K100" s="3">
        <v>2</v>
      </c>
      <c r="L100" s="3" t="s">
        <v>722</v>
      </c>
      <c r="M100" s="3">
        <v>201</v>
      </c>
      <c r="N100" s="4" t="s">
        <v>723</v>
      </c>
      <c r="O100" s="3"/>
      <c r="P100" s="3"/>
      <c r="Q100" s="3" t="s">
        <v>856</v>
      </c>
      <c r="R100" s="3" t="str">
        <f t="shared" si="14"/>
        <v>ic_monster19</v>
      </c>
      <c r="S100" s="3" t="s">
        <v>1923</v>
      </c>
      <c r="T100" s="3">
        <v>1</v>
      </c>
      <c r="U100" s="3">
        <v>0</v>
      </c>
      <c r="V100" s="3">
        <v>1</v>
      </c>
      <c r="W100" s="7"/>
      <c r="X100" s="3" t="s">
        <v>855</v>
      </c>
      <c r="Y100" s="3" t="s">
        <v>252</v>
      </c>
    </row>
    <row r="101" spans="1:25" x14ac:dyDescent="0.15">
      <c r="A101" s="3">
        <v>201041</v>
      </c>
      <c r="B101" s="3" t="s">
        <v>857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4">
        <v>471</v>
      </c>
      <c r="K101" s="3">
        <v>2</v>
      </c>
      <c r="L101" s="3" t="s">
        <v>722</v>
      </c>
      <c r="M101" s="3">
        <v>201</v>
      </c>
      <c r="N101" s="4" t="s">
        <v>723</v>
      </c>
      <c r="O101" s="3"/>
      <c r="P101" s="3"/>
      <c r="Q101" s="3" t="s">
        <v>858</v>
      </c>
      <c r="R101" s="3" t="str">
        <f t="shared" si="14"/>
        <v>ic_monster20</v>
      </c>
      <c r="S101" s="3" t="s">
        <v>1924</v>
      </c>
      <c r="T101" s="3">
        <v>1</v>
      </c>
      <c r="U101" s="3">
        <v>0</v>
      </c>
      <c r="V101" s="3">
        <v>1</v>
      </c>
      <c r="W101" s="7"/>
      <c r="X101" s="3" t="s">
        <v>857</v>
      </c>
      <c r="Y101" s="3" t="s">
        <v>252</v>
      </c>
    </row>
    <row r="102" spans="1:25" x14ac:dyDescent="0.15">
      <c r="A102" s="3">
        <v>201042</v>
      </c>
      <c r="B102" s="3" t="s">
        <v>859</v>
      </c>
      <c r="C102" s="3">
        <v>0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4">
        <v>472</v>
      </c>
      <c r="K102" s="3">
        <v>2</v>
      </c>
      <c r="L102" s="3" t="s">
        <v>722</v>
      </c>
      <c r="M102" s="3">
        <v>201</v>
      </c>
      <c r="N102" s="4" t="s">
        <v>723</v>
      </c>
      <c r="O102" s="3"/>
      <c r="P102" s="3"/>
      <c r="Q102" s="3" t="s">
        <v>860</v>
      </c>
      <c r="R102" s="3" t="str">
        <f t="shared" si="14"/>
        <v>ic_monster21</v>
      </c>
      <c r="S102" s="3" t="s">
        <v>772</v>
      </c>
      <c r="T102" s="3">
        <v>1</v>
      </c>
      <c r="U102" s="3">
        <v>0</v>
      </c>
      <c r="V102" s="3">
        <v>1</v>
      </c>
      <c r="W102" s="7"/>
      <c r="X102" s="3" t="s">
        <v>859</v>
      </c>
      <c r="Y102" s="3" t="s">
        <v>252</v>
      </c>
    </row>
    <row r="103" spans="1:25" x14ac:dyDescent="0.15">
      <c r="A103" s="3">
        <v>201043</v>
      </c>
      <c r="B103" s="3" t="s">
        <v>861</v>
      </c>
      <c r="C103" s="3">
        <v>0</v>
      </c>
      <c r="D103" s="3">
        <v>0</v>
      </c>
      <c r="E103" s="3">
        <v>0</v>
      </c>
      <c r="F103" s="3">
        <v>0</v>
      </c>
      <c r="G103" s="3">
        <v>0</v>
      </c>
      <c r="H103" s="3">
        <v>0</v>
      </c>
      <c r="I103" s="3">
        <v>0</v>
      </c>
      <c r="J103" s="4">
        <v>473</v>
      </c>
      <c r="K103" s="3">
        <v>2</v>
      </c>
      <c r="L103" s="3" t="s">
        <v>722</v>
      </c>
      <c r="M103" s="3">
        <v>201</v>
      </c>
      <c r="N103" s="4" t="s">
        <v>723</v>
      </c>
      <c r="O103" s="3"/>
      <c r="P103" s="3"/>
      <c r="Q103" s="3" t="s">
        <v>724</v>
      </c>
      <c r="R103" s="3" t="str">
        <f t="shared" si="14"/>
        <v>ic_monster1</v>
      </c>
      <c r="S103" s="3" t="s">
        <v>1905</v>
      </c>
      <c r="T103" s="3">
        <v>1</v>
      </c>
      <c r="U103" s="3">
        <v>0</v>
      </c>
      <c r="V103" s="3">
        <v>1</v>
      </c>
      <c r="W103" s="7"/>
      <c r="X103" s="3" t="s">
        <v>861</v>
      </c>
      <c r="Y103" s="3" t="s">
        <v>252</v>
      </c>
    </row>
    <row r="104" spans="1:25" x14ac:dyDescent="0.15">
      <c r="A104" s="3">
        <v>201044</v>
      </c>
      <c r="B104" s="3" t="s">
        <v>862</v>
      </c>
      <c r="C104" s="3">
        <v>0</v>
      </c>
      <c r="D104" s="3">
        <v>0</v>
      </c>
      <c r="E104" s="3">
        <v>0</v>
      </c>
      <c r="F104" s="3">
        <v>0</v>
      </c>
      <c r="G104" s="3">
        <v>0</v>
      </c>
      <c r="H104" s="3">
        <v>0</v>
      </c>
      <c r="I104" s="3">
        <v>0</v>
      </c>
      <c r="J104" s="4">
        <v>474</v>
      </c>
      <c r="K104" s="3">
        <v>2</v>
      </c>
      <c r="L104" s="3" t="s">
        <v>722</v>
      </c>
      <c r="M104" s="3">
        <v>201</v>
      </c>
      <c r="N104" s="4" t="s">
        <v>723</v>
      </c>
      <c r="O104" s="3"/>
      <c r="P104" s="3"/>
      <c r="Q104" s="3" t="s">
        <v>726</v>
      </c>
      <c r="R104" s="3" t="str">
        <f t="shared" si="14"/>
        <v>ic_monster2</v>
      </c>
      <c r="S104" s="3" t="s">
        <v>1906</v>
      </c>
      <c r="T104" s="3">
        <v>1</v>
      </c>
      <c r="U104" s="3">
        <v>0</v>
      </c>
      <c r="V104" s="3">
        <v>1</v>
      </c>
      <c r="W104" s="7"/>
      <c r="X104" s="3" t="s">
        <v>862</v>
      </c>
      <c r="Y104" s="3" t="s">
        <v>252</v>
      </c>
    </row>
    <row r="105" spans="1:25" x14ac:dyDescent="0.15">
      <c r="A105" s="3">
        <v>201045</v>
      </c>
      <c r="B105" s="3" t="s">
        <v>863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4">
        <v>475</v>
      </c>
      <c r="K105" s="3">
        <v>2</v>
      </c>
      <c r="L105" s="3" t="s">
        <v>722</v>
      </c>
      <c r="M105" s="3">
        <v>201</v>
      </c>
      <c r="N105" s="4" t="s">
        <v>723</v>
      </c>
      <c r="O105" s="3"/>
      <c r="P105" s="3"/>
      <c r="Q105" s="3" t="s">
        <v>728</v>
      </c>
      <c r="R105" s="3" t="str">
        <f t="shared" si="14"/>
        <v>ic_monster3</v>
      </c>
      <c r="S105" s="3" t="s">
        <v>1907</v>
      </c>
      <c r="T105" s="3">
        <v>1</v>
      </c>
      <c r="U105" s="3">
        <v>0</v>
      </c>
      <c r="V105" s="3">
        <v>1</v>
      </c>
      <c r="W105" s="7"/>
      <c r="X105" s="3" t="s">
        <v>863</v>
      </c>
      <c r="Y105" s="3" t="s">
        <v>252</v>
      </c>
    </row>
    <row r="106" spans="1:25" x14ac:dyDescent="0.15">
      <c r="A106" s="3">
        <v>201046</v>
      </c>
      <c r="B106" s="3" t="s">
        <v>864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0</v>
      </c>
      <c r="J106" s="4">
        <v>476</v>
      </c>
      <c r="K106" s="3">
        <v>2</v>
      </c>
      <c r="L106" s="3" t="s">
        <v>722</v>
      </c>
      <c r="M106" s="3">
        <v>201</v>
      </c>
      <c r="N106" s="4" t="s">
        <v>723</v>
      </c>
      <c r="O106" s="3"/>
      <c r="P106" s="3"/>
      <c r="Q106" s="3" t="s">
        <v>730</v>
      </c>
      <c r="R106" s="3" t="str">
        <f t="shared" si="14"/>
        <v>ic_monster4</v>
      </c>
      <c r="S106" s="3" t="s">
        <v>1908</v>
      </c>
      <c r="T106" s="3">
        <v>1</v>
      </c>
      <c r="U106" s="3">
        <v>0</v>
      </c>
      <c r="V106" s="3">
        <v>1</v>
      </c>
      <c r="W106" s="7"/>
      <c r="X106" s="3" t="s">
        <v>864</v>
      </c>
      <c r="Y106" s="3" t="s">
        <v>252</v>
      </c>
    </row>
    <row r="107" spans="1:25" x14ac:dyDescent="0.15">
      <c r="A107" s="3">
        <v>201047</v>
      </c>
      <c r="B107" s="3" t="s">
        <v>865</v>
      </c>
      <c r="C107" s="3">
        <v>0</v>
      </c>
      <c r="D107" s="3">
        <v>0</v>
      </c>
      <c r="E107" s="3">
        <v>0</v>
      </c>
      <c r="F107" s="3">
        <v>0</v>
      </c>
      <c r="G107" s="3">
        <v>0</v>
      </c>
      <c r="H107" s="3">
        <v>0</v>
      </c>
      <c r="I107" s="3">
        <v>0</v>
      </c>
      <c r="J107" s="4">
        <v>477</v>
      </c>
      <c r="K107" s="3">
        <v>2</v>
      </c>
      <c r="L107" s="3" t="s">
        <v>722</v>
      </c>
      <c r="M107" s="3">
        <v>201</v>
      </c>
      <c r="N107" s="4" t="s">
        <v>723</v>
      </c>
      <c r="O107" s="3"/>
      <c r="P107" s="3"/>
      <c r="Q107" s="3" t="s">
        <v>733</v>
      </c>
      <c r="R107" s="3" t="str">
        <f t="shared" si="14"/>
        <v>ic_monster5</v>
      </c>
      <c r="S107" s="3" t="s">
        <v>1909</v>
      </c>
      <c r="T107" s="3">
        <v>1</v>
      </c>
      <c r="U107" s="3">
        <v>0</v>
      </c>
      <c r="V107" s="3">
        <v>1</v>
      </c>
      <c r="W107" s="7"/>
      <c r="X107" s="3" t="s">
        <v>865</v>
      </c>
      <c r="Y107" s="3" t="s">
        <v>252</v>
      </c>
    </row>
    <row r="108" spans="1:25" ht="14.25" x14ac:dyDescent="0.15">
      <c r="A108" s="3">
        <v>201048</v>
      </c>
      <c r="B108" s="22" t="s">
        <v>866</v>
      </c>
      <c r="C108" s="3">
        <v>0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0</v>
      </c>
      <c r="J108" s="4">
        <v>478</v>
      </c>
      <c r="K108" s="3">
        <v>2</v>
      </c>
      <c r="L108" s="3" t="s">
        <v>722</v>
      </c>
      <c r="M108" s="3">
        <v>201</v>
      </c>
      <c r="N108" s="4" t="s">
        <v>723</v>
      </c>
      <c r="O108" s="3"/>
      <c r="P108" s="3"/>
      <c r="Q108" s="3" t="s">
        <v>735</v>
      </c>
      <c r="R108" s="3" t="str">
        <f t="shared" si="14"/>
        <v>ic_monster6</v>
      </c>
      <c r="S108" s="3" t="s">
        <v>1910</v>
      </c>
      <c r="T108" s="3">
        <v>1</v>
      </c>
      <c r="U108" s="3">
        <v>0</v>
      </c>
      <c r="V108" s="3">
        <v>1</v>
      </c>
      <c r="W108" s="7"/>
      <c r="X108" s="3" t="s">
        <v>866</v>
      </c>
      <c r="Y108" s="3" t="s">
        <v>252</v>
      </c>
    </row>
    <row r="109" spans="1:25" x14ac:dyDescent="0.15">
      <c r="A109" s="3">
        <v>201049</v>
      </c>
      <c r="B109" s="3" t="s">
        <v>867</v>
      </c>
      <c r="C109" s="3">
        <v>0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4">
        <v>479</v>
      </c>
      <c r="K109" s="3">
        <v>2</v>
      </c>
      <c r="L109" s="3" t="s">
        <v>722</v>
      </c>
      <c r="M109" s="3">
        <v>201</v>
      </c>
      <c r="N109" s="4" t="s">
        <v>723</v>
      </c>
      <c r="O109" s="3"/>
      <c r="P109" s="3"/>
      <c r="Q109" s="3" t="s">
        <v>738</v>
      </c>
      <c r="R109" s="3" t="str">
        <f t="shared" si="14"/>
        <v>ic_monster7</v>
      </c>
      <c r="S109" s="3" t="s">
        <v>1911</v>
      </c>
      <c r="T109" s="3">
        <v>1</v>
      </c>
      <c r="U109" s="3">
        <v>0</v>
      </c>
      <c r="V109" s="3">
        <v>1</v>
      </c>
      <c r="W109" s="7"/>
      <c r="X109" s="3" t="s">
        <v>867</v>
      </c>
      <c r="Y109" s="3" t="s">
        <v>252</v>
      </c>
    </row>
    <row r="110" spans="1:25" x14ac:dyDescent="0.15">
      <c r="A110" s="3">
        <v>201050</v>
      </c>
      <c r="B110" s="3" t="s">
        <v>868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4">
        <v>480</v>
      </c>
      <c r="K110" s="3">
        <v>2</v>
      </c>
      <c r="L110" s="3" t="s">
        <v>722</v>
      </c>
      <c r="M110" s="3">
        <v>201</v>
      </c>
      <c r="N110" s="4" t="s">
        <v>723</v>
      </c>
      <c r="O110" s="3"/>
      <c r="P110" s="3"/>
      <c r="Q110" s="3" t="s">
        <v>741</v>
      </c>
      <c r="R110" s="3" t="str">
        <f t="shared" si="14"/>
        <v>ic_monster8</v>
      </c>
      <c r="S110" s="3" t="s">
        <v>1912</v>
      </c>
      <c r="T110" s="3">
        <v>1</v>
      </c>
      <c r="U110" s="3">
        <v>0</v>
      </c>
      <c r="V110" s="3">
        <v>1</v>
      </c>
      <c r="W110" s="7"/>
      <c r="X110" s="3" t="s">
        <v>868</v>
      </c>
      <c r="Y110" s="3" t="s">
        <v>252</v>
      </c>
    </row>
    <row r="111" spans="1:25" x14ac:dyDescent="0.15">
      <c r="A111" s="3">
        <v>201051</v>
      </c>
      <c r="B111" s="3" t="s">
        <v>869</v>
      </c>
      <c r="C111" s="3">
        <v>0</v>
      </c>
      <c r="D111" s="3">
        <v>0</v>
      </c>
      <c r="E111" s="3">
        <v>0</v>
      </c>
      <c r="F111" s="3">
        <v>0</v>
      </c>
      <c r="G111" s="3">
        <v>0</v>
      </c>
      <c r="H111" s="3">
        <v>0</v>
      </c>
      <c r="I111" s="3">
        <v>0</v>
      </c>
      <c r="J111" s="4">
        <v>481</v>
      </c>
      <c r="K111" s="3">
        <v>2</v>
      </c>
      <c r="L111" s="3" t="s">
        <v>722</v>
      </c>
      <c r="M111" s="3">
        <v>201</v>
      </c>
      <c r="N111" s="4" t="s">
        <v>723</v>
      </c>
      <c r="O111" s="3"/>
      <c r="P111" s="3"/>
      <c r="Q111" s="3" t="s">
        <v>743</v>
      </c>
      <c r="R111" s="3" t="str">
        <f t="shared" si="14"/>
        <v>ic_monster9</v>
      </c>
      <c r="S111" s="3" t="s">
        <v>1913</v>
      </c>
      <c r="T111" s="3">
        <v>1</v>
      </c>
      <c r="U111" s="3">
        <v>0</v>
      </c>
      <c r="V111" s="3">
        <v>1</v>
      </c>
      <c r="W111" s="7"/>
      <c r="X111" s="3" t="s">
        <v>869</v>
      </c>
      <c r="Y111" s="3" t="s">
        <v>252</v>
      </c>
    </row>
    <row r="112" spans="1:25" x14ac:dyDescent="0.15">
      <c r="A112" s="3">
        <v>201052</v>
      </c>
      <c r="B112" s="3" t="s">
        <v>870</v>
      </c>
      <c r="C112" s="3">
        <v>0</v>
      </c>
      <c r="D112" s="3">
        <v>0</v>
      </c>
      <c r="E112" s="3">
        <v>0</v>
      </c>
      <c r="F112" s="3">
        <v>0</v>
      </c>
      <c r="G112" s="3">
        <v>0</v>
      </c>
      <c r="H112" s="3">
        <v>0</v>
      </c>
      <c r="I112" s="3">
        <v>0</v>
      </c>
      <c r="J112" s="4">
        <v>482</v>
      </c>
      <c r="K112" s="3">
        <v>2</v>
      </c>
      <c r="L112" s="3" t="s">
        <v>722</v>
      </c>
      <c r="M112" s="3">
        <v>201</v>
      </c>
      <c r="N112" s="4" t="s">
        <v>723</v>
      </c>
      <c r="O112" s="3"/>
      <c r="P112" s="3"/>
      <c r="Q112" s="3" t="s">
        <v>745</v>
      </c>
      <c r="R112" s="3" t="str">
        <f t="shared" si="14"/>
        <v>ic_monster10</v>
      </c>
      <c r="S112" s="3" t="s">
        <v>1914</v>
      </c>
      <c r="T112" s="3">
        <v>1</v>
      </c>
      <c r="U112" s="3">
        <v>0</v>
      </c>
      <c r="V112" s="3">
        <v>1</v>
      </c>
      <c r="W112" s="7"/>
      <c r="X112" s="3" t="s">
        <v>870</v>
      </c>
      <c r="Y112" s="3" t="s">
        <v>252</v>
      </c>
    </row>
    <row r="113" spans="1:25" x14ac:dyDescent="0.15">
      <c r="A113" s="3">
        <v>201053</v>
      </c>
      <c r="B113" s="3" t="s">
        <v>871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0</v>
      </c>
      <c r="J113" s="4">
        <v>483</v>
      </c>
      <c r="K113" s="3">
        <v>2</v>
      </c>
      <c r="L113" s="3" t="s">
        <v>722</v>
      </c>
      <c r="M113" s="3">
        <v>201</v>
      </c>
      <c r="N113" s="4" t="s">
        <v>723</v>
      </c>
      <c r="O113" s="3"/>
      <c r="P113" s="3"/>
      <c r="Q113" s="3" t="s">
        <v>748</v>
      </c>
      <c r="R113" s="3" t="str">
        <f t="shared" si="14"/>
        <v>ic_monster11</v>
      </c>
      <c r="S113" s="3" t="s">
        <v>1915</v>
      </c>
      <c r="T113" s="3">
        <v>1</v>
      </c>
      <c r="U113" s="3">
        <v>0</v>
      </c>
      <c r="V113" s="3">
        <v>1</v>
      </c>
      <c r="W113" s="7"/>
      <c r="X113" s="3" t="s">
        <v>871</v>
      </c>
      <c r="Y113" s="3" t="s">
        <v>252</v>
      </c>
    </row>
    <row r="114" spans="1:25" x14ac:dyDescent="0.15">
      <c r="A114" s="3">
        <v>201054</v>
      </c>
      <c r="B114" s="3" t="s">
        <v>872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0</v>
      </c>
      <c r="I114" s="3">
        <v>0</v>
      </c>
      <c r="J114" s="4">
        <v>484</v>
      </c>
      <c r="K114" s="3">
        <v>2</v>
      </c>
      <c r="L114" s="3" t="s">
        <v>722</v>
      </c>
      <c r="M114" s="3">
        <v>201</v>
      </c>
      <c r="N114" s="4" t="s">
        <v>723</v>
      </c>
      <c r="O114" s="3"/>
      <c r="P114" s="3"/>
      <c r="Q114" s="3" t="s">
        <v>751</v>
      </c>
      <c r="R114" s="3" t="str">
        <f t="shared" ref="R114:R145" si="15">R93</f>
        <v>ic_monster12</v>
      </c>
      <c r="S114" s="3" t="s">
        <v>1916</v>
      </c>
      <c r="T114" s="3">
        <v>1</v>
      </c>
      <c r="U114" s="3">
        <v>0</v>
      </c>
      <c r="V114" s="3">
        <v>1</v>
      </c>
      <c r="W114" s="7"/>
      <c r="X114" s="3" t="s">
        <v>872</v>
      </c>
      <c r="Y114" s="3" t="s">
        <v>252</v>
      </c>
    </row>
    <row r="115" spans="1:25" x14ac:dyDescent="0.15">
      <c r="A115" s="3">
        <v>201055</v>
      </c>
      <c r="B115" s="3" t="s">
        <v>873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4">
        <v>485</v>
      </c>
      <c r="K115" s="3">
        <v>2</v>
      </c>
      <c r="L115" s="3" t="s">
        <v>722</v>
      </c>
      <c r="M115" s="3">
        <v>201</v>
      </c>
      <c r="N115" s="4" t="s">
        <v>723</v>
      </c>
      <c r="O115" s="3"/>
      <c r="P115" s="3"/>
      <c r="Q115" s="3" t="s">
        <v>753</v>
      </c>
      <c r="R115" s="3" t="str">
        <f t="shared" si="15"/>
        <v>ic_monster13</v>
      </c>
      <c r="S115" s="3" t="s">
        <v>1917</v>
      </c>
      <c r="T115" s="3">
        <v>1</v>
      </c>
      <c r="U115" s="3">
        <v>0</v>
      </c>
      <c r="V115" s="3">
        <v>1</v>
      </c>
      <c r="W115" s="7"/>
      <c r="X115" s="3" t="s">
        <v>873</v>
      </c>
      <c r="Y115" s="3" t="s">
        <v>252</v>
      </c>
    </row>
    <row r="116" spans="1:25" x14ac:dyDescent="0.15">
      <c r="A116" s="3">
        <v>201056</v>
      </c>
      <c r="B116" s="3" t="s">
        <v>874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0</v>
      </c>
      <c r="I116" s="3">
        <v>0</v>
      </c>
      <c r="J116" s="4">
        <v>486</v>
      </c>
      <c r="K116" s="3">
        <v>2</v>
      </c>
      <c r="L116" s="3" t="s">
        <v>722</v>
      </c>
      <c r="M116" s="3">
        <v>201</v>
      </c>
      <c r="N116" s="4" t="s">
        <v>723</v>
      </c>
      <c r="O116" s="3"/>
      <c r="P116" s="3"/>
      <c r="Q116" s="3" t="s">
        <v>755</v>
      </c>
      <c r="R116" s="3" t="str">
        <f t="shared" si="15"/>
        <v>ic_monster14</v>
      </c>
      <c r="S116" s="3" t="s">
        <v>1918</v>
      </c>
      <c r="T116" s="3">
        <v>1</v>
      </c>
      <c r="U116" s="3">
        <v>0</v>
      </c>
      <c r="V116" s="3">
        <v>1</v>
      </c>
      <c r="W116" s="7"/>
      <c r="X116" s="3" t="s">
        <v>874</v>
      </c>
      <c r="Y116" s="3" t="s">
        <v>252</v>
      </c>
    </row>
    <row r="117" spans="1:25" x14ac:dyDescent="0.15">
      <c r="A117" s="3">
        <v>201057</v>
      </c>
      <c r="B117" s="3" t="s">
        <v>875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4">
        <v>487</v>
      </c>
      <c r="K117" s="3">
        <v>2</v>
      </c>
      <c r="L117" s="3" t="s">
        <v>722</v>
      </c>
      <c r="M117" s="3">
        <v>201</v>
      </c>
      <c r="N117" s="4" t="s">
        <v>723</v>
      </c>
      <c r="O117" s="3"/>
      <c r="P117" s="3"/>
      <c r="Q117" s="3" t="s">
        <v>757</v>
      </c>
      <c r="R117" s="3" t="str">
        <f t="shared" si="15"/>
        <v>ic_monster15</v>
      </c>
      <c r="S117" s="3" t="s">
        <v>1919</v>
      </c>
      <c r="T117" s="3">
        <v>1</v>
      </c>
      <c r="U117" s="3">
        <v>0</v>
      </c>
      <c r="V117" s="3">
        <v>1</v>
      </c>
      <c r="W117" s="7"/>
      <c r="X117" s="3" t="s">
        <v>875</v>
      </c>
      <c r="Y117" s="3" t="s">
        <v>252</v>
      </c>
    </row>
    <row r="118" spans="1:25" x14ac:dyDescent="0.15">
      <c r="A118" s="3">
        <v>201058</v>
      </c>
      <c r="B118" s="3" t="s">
        <v>876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4">
        <v>488</v>
      </c>
      <c r="K118" s="3">
        <v>2</v>
      </c>
      <c r="L118" s="3" t="s">
        <v>722</v>
      </c>
      <c r="M118" s="3">
        <v>201</v>
      </c>
      <c r="N118" s="4" t="s">
        <v>723</v>
      </c>
      <c r="O118" s="3"/>
      <c r="P118" s="3"/>
      <c r="Q118" s="3" t="s">
        <v>759</v>
      </c>
      <c r="R118" s="3" t="str">
        <f t="shared" si="15"/>
        <v>ic_monster16</v>
      </c>
      <c r="S118" s="3" t="s">
        <v>1920</v>
      </c>
      <c r="T118" s="3">
        <v>1</v>
      </c>
      <c r="U118" s="3">
        <v>0</v>
      </c>
      <c r="V118" s="3">
        <v>1</v>
      </c>
      <c r="W118" s="7"/>
      <c r="X118" s="3" t="s">
        <v>876</v>
      </c>
      <c r="Y118" s="3" t="s">
        <v>252</v>
      </c>
    </row>
    <row r="119" spans="1:25" x14ac:dyDescent="0.15">
      <c r="A119" s="3">
        <v>201059</v>
      </c>
      <c r="B119" s="3" t="s">
        <v>877</v>
      </c>
      <c r="C119" s="3">
        <v>0</v>
      </c>
      <c r="D119" s="3">
        <v>0</v>
      </c>
      <c r="E119" s="3">
        <v>0</v>
      </c>
      <c r="F119" s="3">
        <v>0</v>
      </c>
      <c r="G119" s="3">
        <v>0</v>
      </c>
      <c r="H119" s="3">
        <v>0</v>
      </c>
      <c r="I119" s="3">
        <v>0</v>
      </c>
      <c r="J119" s="4">
        <v>489</v>
      </c>
      <c r="K119" s="3">
        <v>2</v>
      </c>
      <c r="L119" s="3" t="s">
        <v>722</v>
      </c>
      <c r="M119" s="3">
        <v>201</v>
      </c>
      <c r="N119" s="4" t="s">
        <v>723</v>
      </c>
      <c r="O119" s="3"/>
      <c r="P119" s="3"/>
      <c r="Q119" s="3" t="s">
        <v>762</v>
      </c>
      <c r="R119" s="3" t="str">
        <f t="shared" si="15"/>
        <v>ic_monster17</v>
      </c>
      <c r="S119" s="3" t="s">
        <v>1921</v>
      </c>
      <c r="T119" s="3">
        <v>1</v>
      </c>
      <c r="U119" s="3">
        <v>0</v>
      </c>
      <c r="V119" s="3">
        <v>1</v>
      </c>
      <c r="W119" s="7"/>
      <c r="X119" s="3" t="s">
        <v>877</v>
      </c>
      <c r="Y119" s="3" t="s">
        <v>252</v>
      </c>
    </row>
    <row r="120" spans="1:25" x14ac:dyDescent="0.15">
      <c r="A120" s="3">
        <v>201060</v>
      </c>
      <c r="B120" s="3" t="s">
        <v>878</v>
      </c>
      <c r="C120" s="3">
        <v>0</v>
      </c>
      <c r="D120" s="3">
        <v>0</v>
      </c>
      <c r="E120" s="3">
        <v>0</v>
      </c>
      <c r="F120" s="3">
        <v>0</v>
      </c>
      <c r="G120" s="3">
        <v>0</v>
      </c>
      <c r="H120" s="3">
        <v>0</v>
      </c>
      <c r="I120" s="3">
        <v>0</v>
      </c>
      <c r="J120" s="4">
        <v>490</v>
      </c>
      <c r="K120" s="3">
        <v>2</v>
      </c>
      <c r="L120" s="3" t="s">
        <v>722</v>
      </c>
      <c r="M120" s="3">
        <v>201</v>
      </c>
      <c r="N120" s="4" t="s">
        <v>723</v>
      </c>
      <c r="O120" s="3"/>
      <c r="P120" s="3"/>
      <c r="Q120" s="3" t="s">
        <v>765</v>
      </c>
      <c r="R120" s="3" t="str">
        <f t="shared" si="15"/>
        <v>ic_monster18</v>
      </c>
      <c r="S120" s="3" t="s">
        <v>1922</v>
      </c>
      <c r="T120" s="3">
        <v>1</v>
      </c>
      <c r="U120" s="3">
        <v>0</v>
      </c>
      <c r="V120" s="3">
        <v>1</v>
      </c>
      <c r="W120" s="7"/>
      <c r="X120" s="3" t="s">
        <v>878</v>
      </c>
      <c r="Y120" s="3" t="s">
        <v>252</v>
      </c>
    </row>
    <row r="121" spans="1:25" x14ac:dyDescent="0.15">
      <c r="A121" s="3">
        <v>201061</v>
      </c>
      <c r="B121" s="3" t="s">
        <v>879</v>
      </c>
      <c r="C121" s="3">
        <v>0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4">
        <v>491</v>
      </c>
      <c r="K121" s="3">
        <v>2</v>
      </c>
      <c r="L121" s="3" t="s">
        <v>722</v>
      </c>
      <c r="M121" s="3">
        <v>201</v>
      </c>
      <c r="N121" s="4" t="s">
        <v>723</v>
      </c>
      <c r="O121" s="3"/>
      <c r="P121" s="3"/>
      <c r="Q121" s="3" t="s">
        <v>768</v>
      </c>
      <c r="R121" s="3" t="str">
        <f t="shared" si="15"/>
        <v>ic_monster19</v>
      </c>
      <c r="S121" s="3" t="s">
        <v>1923</v>
      </c>
      <c r="T121" s="3">
        <v>1</v>
      </c>
      <c r="U121" s="3">
        <v>0</v>
      </c>
      <c r="V121" s="3">
        <v>1</v>
      </c>
      <c r="W121" s="7"/>
      <c r="X121" s="3" t="s">
        <v>879</v>
      </c>
      <c r="Y121" s="3" t="s">
        <v>252</v>
      </c>
    </row>
    <row r="122" spans="1:25" x14ac:dyDescent="0.15">
      <c r="A122" s="3">
        <v>201062</v>
      </c>
      <c r="B122" s="3" t="s">
        <v>880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4">
        <v>492</v>
      </c>
      <c r="K122" s="3">
        <v>2</v>
      </c>
      <c r="L122" s="3" t="s">
        <v>722</v>
      </c>
      <c r="M122" s="3">
        <v>201</v>
      </c>
      <c r="N122" s="4" t="s">
        <v>723</v>
      </c>
      <c r="O122" s="3"/>
      <c r="P122" s="3"/>
      <c r="Q122" s="3" t="s">
        <v>770</v>
      </c>
      <c r="R122" s="3" t="str">
        <f t="shared" si="15"/>
        <v>ic_monster20</v>
      </c>
      <c r="S122" s="3" t="s">
        <v>1924</v>
      </c>
      <c r="T122" s="3">
        <v>1</v>
      </c>
      <c r="U122" s="3">
        <v>0</v>
      </c>
      <c r="V122" s="3">
        <v>1</v>
      </c>
      <c r="W122" s="7"/>
      <c r="X122" s="3" t="s">
        <v>880</v>
      </c>
      <c r="Y122" s="3" t="s">
        <v>252</v>
      </c>
    </row>
    <row r="123" spans="1:25" x14ac:dyDescent="0.15">
      <c r="A123" s="3">
        <v>201063</v>
      </c>
      <c r="B123" s="3" t="s">
        <v>881</v>
      </c>
      <c r="C123" s="3">
        <v>0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4">
        <v>493</v>
      </c>
      <c r="K123" s="3">
        <v>2</v>
      </c>
      <c r="L123" s="3" t="s">
        <v>722</v>
      </c>
      <c r="M123" s="3">
        <v>201</v>
      </c>
      <c r="N123" s="4" t="s">
        <v>723</v>
      </c>
      <c r="O123" s="3"/>
      <c r="P123" s="3"/>
      <c r="Q123" s="3" t="s">
        <v>772</v>
      </c>
      <c r="R123" s="3" t="str">
        <f t="shared" si="15"/>
        <v>ic_monster21</v>
      </c>
      <c r="S123" s="3" t="s">
        <v>772</v>
      </c>
      <c r="T123" s="3">
        <v>1</v>
      </c>
      <c r="U123" s="3">
        <v>0</v>
      </c>
      <c r="V123" s="3">
        <v>1</v>
      </c>
      <c r="W123" s="7"/>
      <c r="X123" s="3" t="s">
        <v>881</v>
      </c>
      <c r="Y123" s="3" t="s">
        <v>252</v>
      </c>
    </row>
    <row r="124" spans="1:25" x14ac:dyDescent="0.15">
      <c r="A124" s="3">
        <v>201064</v>
      </c>
      <c r="B124" s="3" t="s">
        <v>882</v>
      </c>
      <c r="C124" s="3">
        <v>0</v>
      </c>
      <c r="D124" s="3">
        <v>0</v>
      </c>
      <c r="E124" s="3">
        <v>0</v>
      </c>
      <c r="F124" s="3">
        <v>0</v>
      </c>
      <c r="G124" s="3">
        <v>0</v>
      </c>
      <c r="H124" s="3">
        <v>0</v>
      </c>
      <c r="I124" s="3">
        <v>0</v>
      </c>
      <c r="J124" s="4">
        <v>494</v>
      </c>
      <c r="K124" s="3">
        <v>2</v>
      </c>
      <c r="L124" s="3" t="s">
        <v>722</v>
      </c>
      <c r="M124" s="3">
        <v>201</v>
      </c>
      <c r="N124" s="4" t="s">
        <v>723</v>
      </c>
      <c r="O124" s="3"/>
      <c r="P124" s="3"/>
      <c r="Q124" s="3" t="s">
        <v>820</v>
      </c>
      <c r="R124" s="3" t="str">
        <f t="shared" si="15"/>
        <v>ic_monster1</v>
      </c>
      <c r="S124" s="3" t="s">
        <v>1905</v>
      </c>
      <c r="T124" s="3">
        <v>1</v>
      </c>
      <c r="U124" s="3">
        <v>0</v>
      </c>
      <c r="V124" s="3">
        <v>1</v>
      </c>
      <c r="W124" s="7"/>
      <c r="X124" s="3" t="s">
        <v>882</v>
      </c>
      <c r="Y124" s="3" t="s">
        <v>252</v>
      </c>
    </row>
    <row r="125" spans="1:25" x14ac:dyDescent="0.15">
      <c r="A125" s="3">
        <v>201065</v>
      </c>
      <c r="B125" s="3" t="s">
        <v>883</v>
      </c>
      <c r="C125" s="3">
        <v>0</v>
      </c>
      <c r="D125" s="3">
        <v>0</v>
      </c>
      <c r="E125" s="3">
        <v>0</v>
      </c>
      <c r="F125" s="3">
        <v>0</v>
      </c>
      <c r="G125" s="3">
        <v>0</v>
      </c>
      <c r="H125" s="3">
        <v>0</v>
      </c>
      <c r="I125" s="3">
        <v>0</v>
      </c>
      <c r="J125" s="4">
        <v>495</v>
      </c>
      <c r="K125" s="3">
        <v>2</v>
      </c>
      <c r="L125" s="3" t="s">
        <v>722</v>
      </c>
      <c r="M125" s="3">
        <v>201</v>
      </c>
      <c r="N125" s="4" t="s">
        <v>723</v>
      </c>
      <c r="O125" s="3"/>
      <c r="P125" s="3"/>
      <c r="Q125" s="3" t="s">
        <v>822</v>
      </c>
      <c r="R125" s="3" t="str">
        <f t="shared" si="15"/>
        <v>ic_monster2</v>
      </c>
      <c r="S125" s="3" t="s">
        <v>1906</v>
      </c>
      <c r="T125" s="3">
        <v>1</v>
      </c>
      <c r="U125" s="3">
        <v>0</v>
      </c>
      <c r="V125" s="3">
        <v>1</v>
      </c>
      <c r="W125" s="7"/>
      <c r="X125" s="3" t="s">
        <v>883</v>
      </c>
      <c r="Y125" s="3" t="s">
        <v>252</v>
      </c>
    </row>
    <row r="126" spans="1:25" x14ac:dyDescent="0.15">
      <c r="A126" s="3">
        <v>201066</v>
      </c>
      <c r="B126" s="3" t="s">
        <v>884</v>
      </c>
      <c r="C126" s="3">
        <v>0</v>
      </c>
      <c r="D126" s="3">
        <v>0</v>
      </c>
      <c r="E126" s="3">
        <v>0</v>
      </c>
      <c r="F126" s="3">
        <v>0</v>
      </c>
      <c r="G126" s="3">
        <v>0</v>
      </c>
      <c r="H126" s="3">
        <v>0</v>
      </c>
      <c r="I126" s="3">
        <v>0</v>
      </c>
      <c r="J126" s="4">
        <v>496</v>
      </c>
      <c r="K126" s="3">
        <v>2</v>
      </c>
      <c r="L126" s="3" t="s">
        <v>722</v>
      </c>
      <c r="M126" s="3">
        <v>201</v>
      </c>
      <c r="N126" s="4" t="s">
        <v>723</v>
      </c>
      <c r="O126" s="3"/>
      <c r="P126" s="3"/>
      <c r="Q126" s="3" t="s">
        <v>824</v>
      </c>
      <c r="R126" s="3" t="str">
        <f t="shared" si="15"/>
        <v>ic_monster3</v>
      </c>
      <c r="S126" s="3" t="s">
        <v>1907</v>
      </c>
      <c r="T126" s="3">
        <v>1</v>
      </c>
      <c r="U126" s="3">
        <v>0</v>
      </c>
      <c r="V126" s="3">
        <v>1</v>
      </c>
      <c r="W126" s="7"/>
      <c r="X126" s="3" t="s">
        <v>884</v>
      </c>
      <c r="Y126" s="3" t="s">
        <v>252</v>
      </c>
    </row>
    <row r="127" spans="1:25" x14ac:dyDescent="0.15">
      <c r="A127" s="3">
        <v>201067</v>
      </c>
      <c r="B127" s="3" t="s">
        <v>885</v>
      </c>
      <c r="C127" s="3">
        <v>0</v>
      </c>
      <c r="D127" s="3">
        <v>0</v>
      </c>
      <c r="E127" s="3">
        <v>0</v>
      </c>
      <c r="F127" s="3">
        <v>0</v>
      </c>
      <c r="G127" s="3">
        <v>0</v>
      </c>
      <c r="H127" s="3">
        <v>0</v>
      </c>
      <c r="I127" s="3">
        <v>0</v>
      </c>
      <c r="J127" s="4">
        <v>497</v>
      </c>
      <c r="K127" s="3">
        <v>2</v>
      </c>
      <c r="L127" s="3" t="s">
        <v>722</v>
      </c>
      <c r="M127" s="3">
        <v>201</v>
      </c>
      <c r="N127" s="4" t="s">
        <v>723</v>
      </c>
      <c r="O127" s="3"/>
      <c r="P127" s="3"/>
      <c r="Q127" s="3" t="s">
        <v>826</v>
      </c>
      <c r="R127" s="3" t="str">
        <f t="shared" si="15"/>
        <v>ic_monster4</v>
      </c>
      <c r="S127" s="3" t="s">
        <v>1908</v>
      </c>
      <c r="T127" s="3">
        <v>1</v>
      </c>
      <c r="U127" s="3">
        <v>0</v>
      </c>
      <c r="V127" s="3">
        <v>1</v>
      </c>
      <c r="W127" s="7"/>
      <c r="X127" s="3" t="s">
        <v>885</v>
      </c>
      <c r="Y127" s="3" t="s">
        <v>252</v>
      </c>
    </row>
    <row r="128" spans="1:25" x14ac:dyDescent="0.15">
      <c r="A128" s="3">
        <v>201068</v>
      </c>
      <c r="B128" s="4" t="s">
        <v>886</v>
      </c>
      <c r="C128" s="3">
        <v>0</v>
      </c>
      <c r="D128" s="3">
        <v>0</v>
      </c>
      <c r="E128" s="3">
        <v>0</v>
      </c>
      <c r="F128" s="3">
        <v>0</v>
      </c>
      <c r="G128" s="3">
        <v>0</v>
      </c>
      <c r="H128" s="3">
        <v>0</v>
      </c>
      <c r="I128" s="3">
        <v>0</v>
      </c>
      <c r="J128" s="4">
        <v>498</v>
      </c>
      <c r="K128" s="3">
        <v>2</v>
      </c>
      <c r="L128" s="3" t="s">
        <v>722</v>
      </c>
      <c r="M128" s="3">
        <v>201</v>
      </c>
      <c r="N128" s="4" t="s">
        <v>723</v>
      </c>
      <c r="O128" s="3"/>
      <c r="P128" s="3"/>
      <c r="Q128" s="3" t="s">
        <v>828</v>
      </c>
      <c r="R128" s="3" t="str">
        <f t="shared" si="15"/>
        <v>ic_monster5</v>
      </c>
      <c r="S128" s="3" t="s">
        <v>1909</v>
      </c>
      <c r="T128" s="3">
        <v>1</v>
      </c>
      <c r="U128" s="3">
        <v>0</v>
      </c>
      <c r="V128" s="3">
        <v>1</v>
      </c>
      <c r="W128" s="7"/>
      <c r="X128" s="3" t="s">
        <v>886</v>
      </c>
      <c r="Y128" s="3" t="s">
        <v>252</v>
      </c>
    </row>
    <row r="129" spans="1:25" ht="14.25" x14ac:dyDescent="0.15">
      <c r="A129" s="3">
        <v>201069</v>
      </c>
      <c r="B129" s="22" t="s">
        <v>887</v>
      </c>
      <c r="C129" s="3">
        <v>0</v>
      </c>
      <c r="D129" s="3">
        <v>0</v>
      </c>
      <c r="E129" s="3">
        <v>0</v>
      </c>
      <c r="F129" s="3">
        <v>0</v>
      </c>
      <c r="G129" s="3">
        <v>0</v>
      </c>
      <c r="H129" s="3">
        <v>0</v>
      </c>
      <c r="I129" s="3">
        <v>0</v>
      </c>
      <c r="J129" s="4">
        <v>499</v>
      </c>
      <c r="K129" s="3">
        <v>2</v>
      </c>
      <c r="L129" s="3" t="s">
        <v>722</v>
      </c>
      <c r="M129" s="3">
        <v>201</v>
      </c>
      <c r="N129" s="4" t="s">
        <v>723</v>
      </c>
      <c r="O129" s="3"/>
      <c r="P129" s="3"/>
      <c r="Q129" s="3" t="s">
        <v>830</v>
      </c>
      <c r="R129" s="3" t="str">
        <f t="shared" si="15"/>
        <v>ic_monster6</v>
      </c>
      <c r="S129" s="3" t="s">
        <v>1910</v>
      </c>
      <c r="T129" s="3">
        <v>1</v>
      </c>
      <c r="U129" s="3">
        <v>0</v>
      </c>
      <c r="V129" s="3">
        <v>1</v>
      </c>
      <c r="W129" s="7"/>
      <c r="X129" s="3" t="s">
        <v>887</v>
      </c>
      <c r="Y129" s="3" t="s">
        <v>252</v>
      </c>
    </row>
    <row r="130" spans="1:25" x14ac:dyDescent="0.15">
      <c r="A130" s="3">
        <v>201070</v>
      </c>
      <c r="B130" s="3" t="s">
        <v>888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0</v>
      </c>
      <c r="J130" s="4">
        <v>500</v>
      </c>
      <c r="K130" s="3">
        <v>2</v>
      </c>
      <c r="L130" s="3" t="s">
        <v>722</v>
      </c>
      <c r="M130" s="3">
        <v>201</v>
      </c>
      <c r="N130" s="4" t="s">
        <v>723</v>
      </c>
      <c r="O130" s="3"/>
      <c r="P130" s="3"/>
      <c r="Q130" s="3" t="s">
        <v>832</v>
      </c>
      <c r="R130" s="3" t="str">
        <f t="shared" si="15"/>
        <v>ic_monster7</v>
      </c>
      <c r="S130" s="3" t="s">
        <v>1911</v>
      </c>
      <c r="T130" s="3">
        <v>1</v>
      </c>
      <c r="U130" s="3">
        <v>0</v>
      </c>
      <c r="V130" s="3">
        <v>1</v>
      </c>
      <c r="W130" s="7"/>
      <c r="X130" s="3" t="s">
        <v>888</v>
      </c>
      <c r="Y130" s="3" t="s">
        <v>252</v>
      </c>
    </row>
    <row r="131" spans="1:25" x14ac:dyDescent="0.15">
      <c r="A131" s="3">
        <v>201071</v>
      </c>
      <c r="B131" s="3" t="s">
        <v>889</v>
      </c>
      <c r="C131" s="3">
        <v>0</v>
      </c>
      <c r="D131" s="3">
        <v>0</v>
      </c>
      <c r="E131" s="3">
        <v>0</v>
      </c>
      <c r="F131" s="3">
        <v>0</v>
      </c>
      <c r="G131" s="3">
        <v>0</v>
      </c>
      <c r="H131" s="3">
        <v>0</v>
      </c>
      <c r="I131" s="3">
        <v>0</v>
      </c>
      <c r="J131" s="4">
        <v>501</v>
      </c>
      <c r="K131" s="3">
        <v>2</v>
      </c>
      <c r="L131" s="3" t="s">
        <v>722</v>
      </c>
      <c r="M131" s="3">
        <v>201</v>
      </c>
      <c r="N131" s="4" t="s">
        <v>723</v>
      </c>
      <c r="O131" s="3"/>
      <c r="P131" s="3"/>
      <c r="Q131" s="3" t="s">
        <v>834</v>
      </c>
      <c r="R131" s="3" t="str">
        <f t="shared" si="15"/>
        <v>ic_monster8</v>
      </c>
      <c r="S131" s="3" t="s">
        <v>1912</v>
      </c>
      <c r="T131" s="3">
        <v>1</v>
      </c>
      <c r="U131" s="3">
        <v>0</v>
      </c>
      <c r="V131" s="3">
        <v>1</v>
      </c>
      <c r="W131" s="7"/>
      <c r="X131" s="3" t="s">
        <v>889</v>
      </c>
      <c r="Y131" s="3" t="s">
        <v>252</v>
      </c>
    </row>
    <row r="132" spans="1:25" x14ac:dyDescent="0.15">
      <c r="A132" s="3">
        <v>201072</v>
      </c>
      <c r="B132" s="3" t="s">
        <v>890</v>
      </c>
      <c r="C132" s="3">
        <v>0</v>
      </c>
      <c r="D132" s="3">
        <v>0</v>
      </c>
      <c r="E132" s="3">
        <v>0</v>
      </c>
      <c r="F132" s="3">
        <v>0</v>
      </c>
      <c r="G132" s="3">
        <v>0</v>
      </c>
      <c r="H132" s="3">
        <v>0</v>
      </c>
      <c r="I132" s="3">
        <v>0</v>
      </c>
      <c r="J132" s="4">
        <v>502</v>
      </c>
      <c r="K132" s="3">
        <v>2</v>
      </c>
      <c r="L132" s="3" t="s">
        <v>722</v>
      </c>
      <c r="M132" s="3">
        <v>201</v>
      </c>
      <c r="N132" s="4" t="s">
        <v>723</v>
      </c>
      <c r="O132" s="3"/>
      <c r="P132" s="3"/>
      <c r="Q132" s="3" t="s">
        <v>836</v>
      </c>
      <c r="R132" s="3" t="str">
        <f t="shared" si="15"/>
        <v>ic_monster9</v>
      </c>
      <c r="S132" s="3" t="s">
        <v>1913</v>
      </c>
      <c r="T132" s="3">
        <v>1</v>
      </c>
      <c r="U132" s="3">
        <v>0</v>
      </c>
      <c r="V132" s="3">
        <v>1</v>
      </c>
      <c r="W132" s="7"/>
      <c r="X132" s="3" t="s">
        <v>890</v>
      </c>
      <c r="Y132" s="3" t="s">
        <v>252</v>
      </c>
    </row>
    <row r="133" spans="1:25" x14ac:dyDescent="0.15">
      <c r="A133" s="3">
        <v>201073</v>
      </c>
      <c r="B133" s="3" t="s">
        <v>891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4">
        <v>503</v>
      </c>
      <c r="K133" s="3">
        <v>2</v>
      </c>
      <c r="L133" s="3" t="s">
        <v>722</v>
      </c>
      <c r="M133" s="3">
        <v>201</v>
      </c>
      <c r="N133" s="4" t="s">
        <v>723</v>
      </c>
      <c r="O133" s="3"/>
      <c r="P133" s="3"/>
      <c r="Q133" s="3" t="s">
        <v>838</v>
      </c>
      <c r="R133" s="3" t="str">
        <f t="shared" si="15"/>
        <v>ic_monster10</v>
      </c>
      <c r="S133" s="3" t="s">
        <v>1914</v>
      </c>
      <c r="T133" s="3">
        <v>1</v>
      </c>
      <c r="U133" s="3">
        <v>0</v>
      </c>
      <c r="V133" s="3">
        <v>1</v>
      </c>
      <c r="W133" s="7"/>
      <c r="X133" s="3" t="s">
        <v>891</v>
      </c>
      <c r="Y133" s="3" t="s">
        <v>252</v>
      </c>
    </row>
    <row r="134" spans="1:25" x14ac:dyDescent="0.15">
      <c r="A134" s="3">
        <v>201074</v>
      </c>
      <c r="B134" s="3" t="s">
        <v>892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4">
        <v>504</v>
      </c>
      <c r="K134" s="3">
        <v>2</v>
      </c>
      <c r="L134" s="3" t="s">
        <v>722</v>
      </c>
      <c r="M134" s="3">
        <v>201</v>
      </c>
      <c r="N134" s="4" t="s">
        <v>723</v>
      </c>
      <c r="O134" s="3"/>
      <c r="P134" s="3"/>
      <c r="Q134" s="3" t="s">
        <v>840</v>
      </c>
      <c r="R134" s="3" t="str">
        <f t="shared" si="15"/>
        <v>ic_monster11</v>
      </c>
      <c r="S134" s="3" t="s">
        <v>1915</v>
      </c>
      <c r="T134" s="3">
        <v>1</v>
      </c>
      <c r="U134" s="3">
        <v>0</v>
      </c>
      <c r="V134" s="3">
        <v>1</v>
      </c>
      <c r="W134" s="7"/>
      <c r="X134" s="3" t="s">
        <v>892</v>
      </c>
      <c r="Y134" s="3" t="s">
        <v>252</v>
      </c>
    </row>
    <row r="135" spans="1:25" x14ac:dyDescent="0.15">
      <c r="A135" s="3">
        <v>201075</v>
      </c>
      <c r="B135" s="3" t="s">
        <v>893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0</v>
      </c>
      <c r="I135" s="3">
        <v>0</v>
      </c>
      <c r="J135" s="4">
        <v>505</v>
      </c>
      <c r="K135" s="3">
        <v>2</v>
      </c>
      <c r="L135" s="3" t="s">
        <v>722</v>
      </c>
      <c r="M135" s="3">
        <v>201</v>
      </c>
      <c r="N135" s="4" t="s">
        <v>723</v>
      </c>
      <c r="O135" s="3"/>
      <c r="P135" s="3"/>
      <c r="Q135" s="3" t="s">
        <v>842</v>
      </c>
      <c r="R135" s="3" t="str">
        <f t="shared" si="15"/>
        <v>ic_monster12</v>
      </c>
      <c r="S135" s="3" t="s">
        <v>1916</v>
      </c>
      <c r="T135" s="3">
        <v>1</v>
      </c>
      <c r="U135" s="3">
        <v>0</v>
      </c>
      <c r="V135" s="3">
        <v>1</v>
      </c>
      <c r="W135" s="7"/>
      <c r="X135" s="3" t="s">
        <v>893</v>
      </c>
      <c r="Y135" s="3" t="s">
        <v>252</v>
      </c>
    </row>
    <row r="136" spans="1:25" x14ac:dyDescent="0.15">
      <c r="A136" s="3">
        <v>201076</v>
      </c>
      <c r="B136" s="3" t="s">
        <v>894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4">
        <v>506</v>
      </c>
      <c r="K136" s="3">
        <v>2</v>
      </c>
      <c r="L136" s="3" t="s">
        <v>722</v>
      </c>
      <c r="M136" s="3">
        <v>201</v>
      </c>
      <c r="N136" s="4" t="s">
        <v>723</v>
      </c>
      <c r="O136" s="3"/>
      <c r="P136" s="3"/>
      <c r="Q136" s="3" t="s">
        <v>844</v>
      </c>
      <c r="R136" s="3" t="str">
        <f t="shared" si="15"/>
        <v>ic_monster13</v>
      </c>
      <c r="S136" s="3" t="s">
        <v>1917</v>
      </c>
      <c r="T136" s="3">
        <v>1</v>
      </c>
      <c r="U136" s="3">
        <v>0</v>
      </c>
      <c r="V136" s="3">
        <v>1</v>
      </c>
      <c r="W136" s="7"/>
      <c r="X136" s="3" t="s">
        <v>894</v>
      </c>
      <c r="Y136" s="3" t="s">
        <v>252</v>
      </c>
    </row>
    <row r="137" spans="1:25" x14ac:dyDescent="0.15">
      <c r="A137" s="3">
        <v>201077</v>
      </c>
      <c r="B137" s="3" t="s">
        <v>895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4">
        <v>507</v>
      </c>
      <c r="K137" s="3">
        <v>2</v>
      </c>
      <c r="L137" s="3" t="s">
        <v>722</v>
      </c>
      <c r="M137" s="3">
        <v>201</v>
      </c>
      <c r="N137" s="4" t="s">
        <v>723</v>
      </c>
      <c r="O137" s="3"/>
      <c r="P137" s="3"/>
      <c r="Q137" s="3" t="s">
        <v>846</v>
      </c>
      <c r="R137" s="3" t="str">
        <f t="shared" si="15"/>
        <v>ic_monster14</v>
      </c>
      <c r="S137" s="3" t="s">
        <v>1918</v>
      </c>
      <c r="T137" s="3">
        <v>1</v>
      </c>
      <c r="U137" s="3">
        <v>0</v>
      </c>
      <c r="V137" s="3">
        <v>1</v>
      </c>
      <c r="W137" s="7"/>
      <c r="X137" s="3" t="s">
        <v>895</v>
      </c>
      <c r="Y137" s="3" t="s">
        <v>252</v>
      </c>
    </row>
    <row r="138" spans="1:25" x14ac:dyDescent="0.15">
      <c r="A138" s="3">
        <v>201078</v>
      </c>
      <c r="B138" s="3" t="s">
        <v>896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4">
        <v>508</v>
      </c>
      <c r="K138" s="3">
        <v>2</v>
      </c>
      <c r="L138" s="3" t="s">
        <v>722</v>
      </c>
      <c r="M138" s="3">
        <v>201</v>
      </c>
      <c r="N138" s="4" t="s">
        <v>723</v>
      </c>
      <c r="O138" s="3"/>
      <c r="P138" s="3"/>
      <c r="Q138" s="3" t="s">
        <v>848</v>
      </c>
      <c r="R138" s="3" t="str">
        <f t="shared" si="15"/>
        <v>ic_monster15</v>
      </c>
      <c r="S138" s="3" t="s">
        <v>1919</v>
      </c>
      <c r="T138" s="3">
        <v>1</v>
      </c>
      <c r="U138" s="3">
        <v>0</v>
      </c>
      <c r="V138" s="3">
        <v>1</v>
      </c>
      <c r="W138" s="7"/>
      <c r="X138" s="3" t="s">
        <v>896</v>
      </c>
      <c r="Y138" s="3" t="s">
        <v>252</v>
      </c>
    </row>
    <row r="139" spans="1:25" x14ac:dyDescent="0.15">
      <c r="A139" s="3">
        <v>201079</v>
      </c>
      <c r="B139" s="3" t="s">
        <v>897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4">
        <v>509</v>
      </c>
      <c r="K139" s="3">
        <v>2</v>
      </c>
      <c r="L139" s="3" t="s">
        <v>722</v>
      </c>
      <c r="M139" s="3">
        <v>201</v>
      </c>
      <c r="N139" s="4" t="s">
        <v>723</v>
      </c>
      <c r="O139" s="3"/>
      <c r="P139" s="3"/>
      <c r="Q139" s="3" t="s">
        <v>850</v>
      </c>
      <c r="R139" s="3" t="str">
        <f t="shared" si="15"/>
        <v>ic_monster16</v>
      </c>
      <c r="S139" s="3" t="s">
        <v>1920</v>
      </c>
      <c r="T139" s="3">
        <v>1</v>
      </c>
      <c r="U139" s="3">
        <v>0</v>
      </c>
      <c r="V139" s="3">
        <v>1</v>
      </c>
      <c r="W139" s="7"/>
      <c r="X139" s="3" t="s">
        <v>897</v>
      </c>
      <c r="Y139" s="3" t="s">
        <v>252</v>
      </c>
    </row>
    <row r="140" spans="1:25" x14ac:dyDescent="0.15">
      <c r="A140" s="3">
        <v>201080</v>
      </c>
      <c r="B140" s="3" t="s">
        <v>898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4">
        <v>510</v>
      </c>
      <c r="K140" s="3">
        <v>2</v>
      </c>
      <c r="L140" s="3" t="s">
        <v>722</v>
      </c>
      <c r="M140" s="3">
        <v>201</v>
      </c>
      <c r="N140" s="4" t="s">
        <v>723</v>
      </c>
      <c r="O140" s="3"/>
      <c r="P140" s="3"/>
      <c r="Q140" s="3" t="s">
        <v>852</v>
      </c>
      <c r="R140" s="3" t="str">
        <f t="shared" si="15"/>
        <v>ic_monster17</v>
      </c>
      <c r="S140" s="3" t="s">
        <v>1921</v>
      </c>
      <c r="T140" s="3">
        <v>1</v>
      </c>
      <c r="U140" s="3">
        <v>0</v>
      </c>
      <c r="V140" s="3">
        <v>1</v>
      </c>
      <c r="W140" s="7"/>
      <c r="X140" s="3" t="s">
        <v>898</v>
      </c>
      <c r="Y140" s="3" t="s">
        <v>252</v>
      </c>
    </row>
    <row r="141" spans="1:25" x14ac:dyDescent="0.15">
      <c r="A141" s="3">
        <v>201081</v>
      </c>
      <c r="B141" s="3" t="s">
        <v>899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4">
        <v>511</v>
      </c>
      <c r="K141" s="3">
        <v>2</v>
      </c>
      <c r="L141" s="3" t="s">
        <v>722</v>
      </c>
      <c r="M141" s="3">
        <v>201</v>
      </c>
      <c r="N141" s="4" t="s">
        <v>723</v>
      </c>
      <c r="O141" s="3"/>
      <c r="P141" s="3"/>
      <c r="Q141" s="3" t="s">
        <v>854</v>
      </c>
      <c r="R141" s="3" t="str">
        <f t="shared" si="15"/>
        <v>ic_monster18</v>
      </c>
      <c r="S141" s="3" t="s">
        <v>1922</v>
      </c>
      <c r="T141" s="3">
        <v>1</v>
      </c>
      <c r="U141" s="3">
        <v>0</v>
      </c>
      <c r="V141" s="3">
        <v>1</v>
      </c>
      <c r="W141" s="7"/>
      <c r="X141" s="3" t="s">
        <v>899</v>
      </c>
      <c r="Y141" s="3" t="s">
        <v>252</v>
      </c>
    </row>
    <row r="142" spans="1:25" x14ac:dyDescent="0.15">
      <c r="A142" s="3">
        <v>201082</v>
      </c>
      <c r="B142" s="3" t="s">
        <v>900</v>
      </c>
      <c r="C142" s="3">
        <v>0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4">
        <v>512</v>
      </c>
      <c r="K142" s="3">
        <v>2</v>
      </c>
      <c r="L142" s="3" t="s">
        <v>722</v>
      </c>
      <c r="M142" s="3">
        <v>201</v>
      </c>
      <c r="N142" s="4" t="s">
        <v>723</v>
      </c>
      <c r="O142" s="3"/>
      <c r="P142" s="3"/>
      <c r="Q142" s="3" t="s">
        <v>856</v>
      </c>
      <c r="R142" s="3" t="str">
        <f t="shared" si="15"/>
        <v>ic_monster19</v>
      </c>
      <c r="S142" s="3" t="s">
        <v>1923</v>
      </c>
      <c r="T142" s="3">
        <v>1</v>
      </c>
      <c r="U142" s="3">
        <v>0</v>
      </c>
      <c r="V142" s="3">
        <v>1</v>
      </c>
      <c r="W142" s="7"/>
      <c r="X142" s="3" t="s">
        <v>900</v>
      </c>
      <c r="Y142" s="3" t="s">
        <v>252</v>
      </c>
    </row>
    <row r="143" spans="1:25" x14ac:dyDescent="0.15">
      <c r="A143" s="3">
        <v>201083</v>
      </c>
      <c r="B143" s="3" t="s">
        <v>901</v>
      </c>
      <c r="C143" s="3">
        <v>0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4">
        <v>513</v>
      </c>
      <c r="K143" s="3">
        <v>2</v>
      </c>
      <c r="L143" s="3" t="s">
        <v>722</v>
      </c>
      <c r="M143" s="3">
        <v>201</v>
      </c>
      <c r="N143" s="4" t="s">
        <v>723</v>
      </c>
      <c r="O143" s="3"/>
      <c r="P143" s="3"/>
      <c r="Q143" s="3" t="s">
        <v>858</v>
      </c>
      <c r="R143" s="3" t="str">
        <f t="shared" si="15"/>
        <v>ic_monster20</v>
      </c>
      <c r="S143" s="3" t="s">
        <v>1924</v>
      </c>
      <c r="T143" s="3">
        <v>1</v>
      </c>
      <c r="U143" s="3">
        <v>0</v>
      </c>
      <c r="V143" s="3">
        <v>1</v>
      </c>
      <c r="W143" s="7"/>
      <c r="X143" s="3" t="s">
        <v>901</v>
      </c>
      <c r="Y143" s="3" t="s">
        <v>252</v>
      </c>
    </row>
    <row r="144" spans="1:25" x14ac:dyDescent="0.15">
      <c r="A144" s="3">
        <v>201084</v>
      </c>
      <c r="B144" s="3" t="s">
        <v>902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4">
        <v>514</v>
      </c>
      <c r="K144" s="3">
        <v>2</v>
      </c>
      <c r="L144" s="3" t="s">
        <v>722</v>
      </c>
      <c r="M144" s="3">
        <v>201</v>
      </c>
      <c r="N144" s="4" t="s">
        <v>723</v>
      </c>
      <c r="O144" s="3"/>
      <c r="P144" s="3"/>
      <c r="Q144" s="3" t="s">
        <v>860</v>
      </c>
      <c r="R144" s="3" t="str">
        <f t="shared" si="15"/>
        <v>ic_monster21</v>
      </c>
      <c r="S144" s="3" t="s">
        <v>772</v>
      </c>
      <c r="T144" s="3">
        <v>1</v>
      </c>
      <c r="U144" s="3">
        <v>0</v>
      </c>
      <c r="V144" s="3">
        <v>1</v>
      </c>
      <c r="W144" s="7"/>
      <c r="X144" s="3" t="s">
        <v>902</v>
      </c>
      <c r="Y144" s="3" t="s">
        <v>252</v>
      </c>
    </row>
    <row r="145" spans="1:25" x14ac:dyDescent="0.15">
      <c r="A145" s="3">
        <v>201085</v>
      </c>
      <c r="B145" s="3" t="s">
        <v>903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4">
        <v>515</v>
      </c>
      <c r="K145" s="3">
        <v>2</v>
      </c>
      <c r="L145" s="3" t="s">
        <v>722</v>
      </c>
      <c r="M145" s="3">
        <v>201</v>
      </c>
      <c r="N145" s="4" t="s">
        <v>723</v>
      </c>
      <c r="O145" s="3"/>
      <c r="P145" s="3"/>
      <c r="Q145" s="3" t="s">
        <v>724</v>
      </c>
      <c r="R145" s="3" t="str">
        <f t="shared" si="15"/>
        <v>ic_monster1</v>
      </c>
      <c r="S145" s="3" t="s">
        <v>1905</v>
      </c>
      <c r="T145" s="3">
        <v>1</v>
      </c>
      <c r="U145" s="3">
        <v>0</v>
      </c>
      <c r="V145" s="3">
        <v>1</v>
      </c>
      <c r="W145" s="7"/>
      <c r="X145" s="3" t="s">
        <v>903</v>
      </c>
      <c r="Y145" s="3" t="s">
        <v>252</v>
      </c>
    </row>
    <row r="146" spans="1:25" x14ac:dyDescent="0.15">
      <c r="A146" s="3">
        <v>201086</v>
      </c>
      <c r="B146" s="3" t="s">
        <v>904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4">
        <v>516</v>
      </c>
      <c r="K146" s="3">
        <v>2</v>
      </c>
      <c r="L146" s="3" t="s">
        <v>722</v>
      </c>
      <c r="M146" s="3">
        <v>201</v>
      </c>
      <c r="N146" s="4" t="s">
        <v>723</v>
      </c>
      <c r="O146" s="3"/>
      <c r="P146" s="3"/>
      <c r="Q146" s="3" t="s">
        <v>726</v>
      </c>
      <c r="R146" s="3" t="str">
        <f t="shared" ref="R146:R177" si="16">R125</f>
        <v>ic_monster2</v>
      </c>
      <c r="S146" s="3" t="s">
        <v>1906</v>
      </c>
      <c r="T146" s="3">
        <v>1</v>
      </c>
      <c r="U146" s="3">
        <v>0</v>
      </c>
      <c r="V146" s="3">
        <v>1</v>
      </c>
      <c r="W146" s="7"/>
      <c r="X146" s="3" t="s">
        <v>904</v>
      </c>
      <c r="Y146" s="3" t="s">
        <v>252</v>
      </c>
    </row>
    <row r="147" spans="1:25" x14ac:dyDescent="0.15">
      <c r="A147" s="3">
        <v>201087</v>
      </c>
      <c r="B147" s="3" t="s">
        <v>905</v>
      </c>
      <c r="C147" s="3">
        <v>0</v>
      </c>
      <c r="D147" s="3">
        <v>0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4">
        <v>517</v>
      </c>
      <c r="K147" s="3">
        <v>2</v>
      </c>
      <c r="L147" s="3" t="s">
        <v>722</v>
      </c>
      <c r="M147" s="3">
        <v>201</v>
      </c>
      <c r="N147" s="4" t="s">
        <v>723</v>
      </c>
      <c r="O147" s="3"/>
      <c r="P147" s="3"/>
      <c r="Q147" s="3" t="s">
        <v>728</v>
      </c>
      <c r="R147" s="3" t="str">
        <f t="shared" si="16"/>
        <v>ic_monster3</v>
      </c>
      <c r="S147" s="3" t="s">
        <v>1907</v>
      </c>
      <c r="T147" s="3">
        <v>1</v>
      </c>
      <c r="U147" s="3">
        <v>0</v>
      </c>
      <c r="V147" s="3">
        <v>1</v>
      </c>
      <c r="W147" s="7"/>
      <c r="X147" s="3" t="s">
        <v>905</v>
      </c>
      <c r="Y147" s="3" t="s">
        <v>252</v>
      </c>
    </row>
    <row r="148" spans="1:25" x14ac:dyDescent="0.15">
      <c r="A148" s="3">
        <v>201088</v>
      </c>
      <c r="B148" s="3" t="s">
        <v>906</v>
      </c>
      <c r="C148" s="3">
        <v>0</v>
      </c>
      <c r="D148" s="3">
        <v>0</v>
      </c>
      <c r="E148" s="3">
        <v>0</v>
      </c>
      <c r="F148" s="3">
        <v>0</v>
      </c>
      <c r="G148" s="3">
        <v>0</v>
      </c>
      <c r="H148" s="3">
        <v>0</v>
      </c>
      <c r="I148" s="3">
        <v>0</v>
      </c>
      <c r="J148" s="4">
        <v>518</v>
      </c>
      <c r="K148" s="3">
        <v>2</v>
      </c>
      <c r="L148" s="3" t="s">
        <v>722</v>
      </c>
      <c r="M148" s="3">
        <v>201</v>
      </c>
      <c r="N148" s="4" t="s">
        <v>723</v>
      </c>
      <c r="O148" s="3"/>
      <c r="P148" s="3"/>
      <c r="Q148" s="3" t="s">
        <v>730</v>
      </c>
      <c r="R148" s="3" t="str">
        <f t="shared" si="16"/>
        <v>ic_monster4</v>
      </c>
      <c r="S148" s="3" t="s">
        <v>1908</v>
      </c>
      <c r="T148" s="3">
        <v>1</v>
      </c>
      <c r="U148" s="3">
        <v>0</v>
      </c>
      <c r="V148" s="3">
        <v>1</v>
      </c>
      <c r="W148" s="7"/>
      <c r="X148" s="3" t="s">
        <v>906</v>
      </c>
      <c r="Y148" s="3" t="s">
        <v>252</v>
      </c>
    </row>
    <row r="149" spans="1:25" x14ac:dyDescent="0.15">
      <c r="A149" s="3">
        <v>201089</v>
      </c>
      <c r="B149" s="3" t="s">
        <v>907</v>
      </c>
      <c r="C149" s="3">
        <v>0</v>
      </c>
      <c r="D149" s="3">
        <v>0</v>
      </c>
      <c r="E149" s="3">
        <v>0</v>
      </c>
      <c r="F149" s="3">
        <v>0</v>
      </c>
      <c r="G149" s="3">
        <v>0</v>
      </c>
      <c r="H149" s="3">
        <v>0</v>
      </c>
      <c r="I149" s="3">
        <v>0</v>
      </c>
      <c r="J149" s="4">
        <v>519</v>
      </c>
      <c r="K149" s="3">
        <v>2</v>
      </c>
      <c r="L149" s="3" t="s">
        <v>722</v>
      </c>
      <c r="M149" s="3">
        <v>201</v>
      </c>
      <c r="N149" s="4" t="s">
        <v>723</v>
      </c>
      <c r="O149" s="3"/>
      <c r="P149" s="3"/>
      <c r="Q149" s="3" t="s">
        <v>733</v>
      </c>
      <c r="R149" s="3" t="str">
        <f t="shared" si="16"/>
        <v>ic_monster5</v>
      </c>
      <c r="S149" s="3" t="s">
        <v>1909</v>
      </c>
      <c r="T149" s="3">
        <v>1</v>
      </c>
      <c r="U149" s="3">
        <v>0</v>
      </c>
      <c r="V149" s="3">
        <v>1</v>
      </c>
      <c r="W149" s="7"/>
      <c r="X149" s="3" t="s">
        <v>907</v>
      </c>
      <c r="Y149" s="3" t="s">
        <v>252</v>
      </c>
    </row>
    <row r="150" spans="1:25" ht="14.25" x14ac:dyDescent="0.15">
      <c r="A150" s="3">
        <v>201090</v>
      </c>
      <c r="B150" s="22" t="s">
        <v>908</v>
      </c>
      <c r="C150" s="3">
        <v>0</v>
      </c>
      <c r="D150" s="3">
        <v>0</v>
      </c>
      <c r="E150" s="3">
        <v>0</v>
      </c>
      <c r="F150" s="3">
        <v>0</v>
      </c>
      <c r="G150" s="3">
        <v>0</v>
      </c>
      <c r="H150" s="3">
        <v>0</v>
      </c>
      <c r="I150" s="3">
        <v>0</v>
      </c>
      <c r="J150" s="4">
        <v>520</v>
      </c>
      <c r="K150" s="3">
        <v>2</v>
      </c>
      <c r="L150" s="3" t="s">
        <v>722</v>
      </c>
      <c r="M150" s="3">
        <v>201</v>
      </c>
      <c r="N150" s="4" t="s">
        <v>723</v>
      </c>
      <c r="O150" s="3"/>
      <c r="P150" s="3"/>
      <c r="Q150" s="3" t="s">
        <v>735</v>
      </c>
      <c r="R150" s="3" t="str">
        <f t="shared" si="16"/>
        <v>ic_monster6</v>
      </c>
      <c r="S150" s="3" t="s">
        <v>1910</v>
      </c>
      <c r="T150" s="3">
        <v>1</v>
      </c>
      <c r="U150" s="3">
        <v>0</v>
      </c>
      <c r="V150" s="3">
        <v>1</v>
      </c>
      <c r="W150" s="7"/>
      <c r="X150" s="3" t="s">
        <v>908</v>
      </c>
      <c r="Y150" s="3" t="s">
        <v>252</v>
      </c>
    </row>
    <row r="151" spans="1:25" x14ac:dyDescent="0.15">
      <c r="A151" s="3">
        <v>201091</v>
      </c>
      <c r="B151" s="3" t="s">
        <v>909</v>
      </c>
      <c r="C151" s="3">
        <v>0</v>
      </c>
      <c r="D151" s="3">
        <v>0</v>
      </c>
      <c r="E151" s="3">
        <v>0</v>
      </c>
      <c r="F151" s="3">
        <v>0</v>
      </c>
      <c r="G151" s="3">
        <v>0</v>
      </c>
      <c r="H151" s="3">
        <v>0</v>
      </c>
      <c r="I151" s="3">
        <v>0</v>
      </c>
      <c r="J151" s="4">
        <v>521</v>
      </c>
      <c r="K151" s="3">
        <v>2</v>
      </c>
      <c r="L151" s="3" t="s">
        <v>722</v>
      </c>
      <c r="M151" s="3">
        <v>201</v>
      </c>
      <c r="N151" s="4" t="s">
        <v>723</v>
      </c>
      <c r="O151" s="3"/>
      <c r="P151" s="3"/>
      <c r="Q151" s="3" t="s">
        <v>738</v>
      </c>
      <c r="R151" s="3" t="str">
        <f t="shared" si="16"/>
        <v>ic_monster7</v>
      </c>
      <c r="S151" s="3" t="s">
        <v>1911</v>
      </c>
      <c r="T151" s="3">
        <v>1</v>
      </c>
      <c r="U151" s="3">
        <v>0</v>
      </c>
      <c r="V151" s="3">
        <v>1</v>
      </c>
      <c r="W151" s="7"/>
      <c r="X151" s="3" t="s">
        <v>909</v>
      </c>
      <c r="Y151" s="3" t="s">
        <v>252</v>
      </c>
    </row>
    <row r="152" spans="1:25" x14ac:dyDescent="0.15">
      <c r="A152" s="3">
        <v>201092</v>
      </c>
      <c r="B152" s="3" t="s">
        <v>910</v>
      </c>
      <c r="C152" s="3">
        <v>0</v>
      </c>
      <c r="D152" s="3">
        <v>0</v>
      </c>
      <c r="E152" s="3">
        <v>0</v>
      </c>
      <c r="F152" s="3">
        <v>0</v>
      </c>
      <c r="G152" s="3">
        <v>0</v>
      </c>
      <c r="H152" s="3">
        <v>0</v>
      </c>
      <c r="I152" s="3">
        <v>0</v>
      </c>
      <c r="J152" s="4">
        <v>522</v>
      </c>
      <c r="K152" s="3">
        <v>2</v>
      </c>
      <c r="L152" s="3" t="s">
        <v>722</v>
      </c>
      <c r="M152" s="3">
        <v>201</v>
      </c>
      <c r="N152" s="4" t="s">
        <v>723</v>
      </c>
      <c r="O152" s="3"/>
      <c r="P152" s="3"/>
      <c r="Q152" s="3" t="s">
        <v>741</v>
      </c>
      <c r="R152" s="3" t="str">
        <f t="shared" si="16"/>
        <v>ic_monster8</v>
      </c>
      <c r="S152" s="3" t="s">
        <v>1912</v>
      </c>
      <c r="T152" s="3">
        <v>1</v>
      </c>
      <c r="U152" s="3">
        <v>0</v>
      </c>
      <c r="V152" s="3">
        <v>1</v>
      </c>
      <c r="W152" s="7"/>
      <c r="X152" s="3" t="s">
        <v>910</v>
      </c>
      <c r="Y152" s="3" t="s">
        <v>252</v>
      </c>
    </row>
    <row r="153" spans="1:25" x14ac:dyDescent="0.15">
      <c r="A153" s="3">
        <v>201093</v>
      </c>
      <c r="B153" s="3" t="s">
        <v>911</v>
      </c>
      <c r="C153" s="3">
        <v>0</v>
      </c>
      <c r="D153" s="3">
        <v>0</v>
      </c>
      <c r="E153" s="3">
        <v>0</v>
      </c>
      <c r="F153" s="3">
        <v>0</v>
      </c>
      <c r="G153" s="3">
        <v>0</v>
      </c>
      <c r="H153" s="3">
        <v>0</v>
      </c>
      <c r="I153" s="3">
        <v>0</v>
      </c>
      <c r="J153" s="4">
        <v>523</v>
      </c>
      <c r="K153" s="3">
        <v>2</v>
      </c>
      <c r="L153" s="3" t="s">
        <v>722</v>
      </c>
      <c r="M153" s="3">
        <v>201</v>
      </c>
      <c r="N153" s="4" t="s">
        <v>723</v>
      </c>
      <c r="O153" s="3"/>
      <c r="P153" s="3"/>
      <c r="Q153" s="3" t="s">
        <v>743</v>
      </c>
      <c r="R153" s="3" t="str">
        <f t="shared" si="16"/>
        <v>ic_monster9</v>
      </c>
      <c r="S153" s="3" t="s">
        <v>1913</v>
      </c>
      <c r="T153" s="3">
        <v>1</v>
      </c>
      <c r="U153" s="3">
        <v>0</v>
      </c>
      <c r="V153" s="3">
        <v>1</v>
      </c>
      <c r="W153" s="7"/>
      <c r="X153" s="3" t="s">
        <v>911</v>
      </c>
      <c r="Y153" s="3" t="s">
        <v>252</v>
      </c>
    </row>
    <row r="154" spans="1:25" x14ac:dyDescent="0.15">
      <c r="A154" s="3">
        <v>201094</v>
      </c>
      <c r="B154" s="3" t="s">
        <v>912</v>
      </c>
      <c r="C154" s="3">
        <v>0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0</v>
      </c>
      <c r="J154" s="4">
        <v>524</v>
      </c>
      <c r="K154" s="3">
        <v>2</v>
      </c>
      <c r="L154" s="3" t="s">
        <v>722</v>
      </c>
      <c r="M154" s="3">
        <v>201</v>
      </c>
      <c r="N154" s="4" t="s">
        <v>723</v>
      </c>
      <c r="O154" s="3"/>
      <c r="P154" s="3"/>
      <c r="Q154" s="3" t="s">
        <v>745</v>
      </c>
      <c r="R154" s="3" t="str">
        <f t="shared" si="16"/>
        <v>ic_monster10</v>
      </c>
      <c r="S154" s="3" t="s">
        <v>1914</v>
      </c>
      <c r="T154" s="3">
        <v>1</v>
      </c>
      <c r="U154" s="3">
        <v>0</v>
      </c>
      <c r="V154" s="3">
        <v>1</v>
      </c>
      <c r="W154" s="7"/>
      <c r="X154" s="3" t="s">
        <v>912</v>
      </c>
      <c r="Y154" s="3" t="s">
        <v>252</v>
      </c>
    </row>
    <row r="155" spans="1:25" x14ac:dyDescent="0.15">
      <c r="A155" s="3">
        <v>201095</v>
      </c>
      <c r="B155" s="3" t="s">
        <v>913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4">
        <v>525</v>
      </c>
      <c r="K155" s="3">
        <v>2</v>
      </c>
      <c r="L155" s="3" t="s">
        <v>722</v>
      </c>
      <c r="M155" s="3">
        <v>201</v>
      </c>
      <c r="N155" s="4" t="s">
        <v>723</v>
      </c>
      <c r="O155" s="3"/>
      <c r="P155" s="3"/>
      <c r="Q155" s="3" t="s">
        <v>748</v>
      </c>
      <c r="R155" s="3" t="str">
        <f t="shared" si="16"/>
        <v>ic_monster11</v>
      </c>
      <c r="S155" s="3" t="s">
        <v>1915</v>
      </c>
      <c r="T155" s="3">
        <v>1</v>
      </c>
      <c r="U155" s="3">
        <v>0</v>
      </c>
      <c r="V155" s="3">
        <v>1</v>
      </c>
      <c r="W155" s="7"/>
      <c r="X155" s="3" t="s">
        <v>913</v>
      </c>
      <c r="Y155" s="3" t="s">
        <v>252</v>
      </c>
    </row>
    <row r="156" spans="1:25" x14ac:dyDescent="0.15">
      <c r="A156" s="3">
        <v>201096</v>
      </c>
      <c r="B156" s="3" t="s">
        <v>914</v>
      </c>
      <c r="C156" s="3">
        <v>0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4">
        <v>526</v>
      </c>
      <c r="K156" s="3">
        <v>2</v>
      </c>
      <c r="L156" s="3" t="s">
        <v>722</v>
      </c>
      <c r="M156" s="3">
        <v>201</v>
      </c>
      <c r="N156" s="4" t="s">
        <v>723</v>
      </c>
      <c r="O156" s="3"/>
      <c r="P156" s="3"/>
      <c r="Q156" s="3" t="s">
        <v>751</v>
      </c>
      <c r="R156" s="3" t="str">
        <f t="shared" si="16"/>
        <v>ic_monster12</v>
      </c>
      <c r="S156" s="3" t="s">
        <v>1916</v>
      </c>
      <c r="T156" s="3">
        <v>1</v>
      </c>
      <c r="U156" s="3">
        <v>0</v>
      </c>
      <c r="V156" s="3">
        <v>1</v>
      </c>
      <c r="W156" s="7"/>
      <c r="X156" s="3" t="s">
        <v>914</v>
      </c>
      <c r="Y156" s="3" t="s">
        <v>252</v>
      </c>
    </row>
    <row r="157" spans="1:25" x14ac:dyDescent="0.15">
      <c r="A157" s="3">
        <v>201097</v>
      </c>
      <c r="B157" s="3" t="s">
        <v>915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4">
        <v>527</v>
      </c>
      <c r="K157" s="3">
        <v>2</v>
      </c>
      <c r="L157" s="3" t="s">
        <v>722</v>
      </c>
      <c r="M157" s="3">
        <v>201</v>
      </c>
      <c r="N157" s="4" t="s">
        <v>723</v>
      </c>
      <c r="O157" s="3"/>
      <c r="P157" s="3"/>
      <c r="Q157" s="3" t="s">
        <v>753</v>
      </c>
      <c r="R157" s="3" t="str">
        <f t="shared" si="16"/>
        <v>ic_monster13</v>
      </c>
      <c r="S157" s="3" t="s">
        <v>1917</v>
      </c>
      <c r="T157" s="3">
        <v>1</v>
      </c>
      <c r="U157" s="3">
        <v>0</v>
      </c>
      <c r="V157" s="3">
        <v>1</v>
      </c>
      <c r="W157" s="7"/>
      <c r="X157" s="3" t="s">
        <v>915</v>
      </c>
      <c r="Y157" s="3" t="s">
        <v>252</v>
      </c>
    </row>
    <row r="158" spans="1:25" x14ac:dyDescent="0.15">
      <c r="A158" s="3">
        <v>201098</v>
      </c>
      <c r="B158" s="3" t="s">
        <v>916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4">
        <v>528</v>
      </c>
      <c r="K158" s="3">
        <v>2</v>
      </c>
      <c r="L158" s="3" t="s">
        <v>722</v>
      </c>
      <c r="M158" s="3">
        <v>201</v>
      </c>
      <c r="N158" s="4" t="s">
        <v>723</v>
      </c>
      <c r="O158" s="3"/>
      <c r="P158" s="3"/>
      <c r="Q158" s="3" t="s">
        <v>755</v>
      </c>
      <c r="R158" s="3" t="str">
        <f t="shared" si="16"/>
        <v>ic_monster14</v>
      </c>
      <c r="S158" s="3" t="s">
        <v>1918</v>
      </c>
      <c r="T158" s="3">
        <v>1</v>
      </c>
      <c r="U158" s="3">
        <v>0</v>
      </c>
      <c r="V158" s="3">
        <v>1</v>
      </c>
      <c r="W158" s="7"/>
      <c r="X158" s="3" t="s">
        <v>916</v>
      </c>
      <c r="Y158" s="3" t="s">
        <v>252</v>
      </c>
    </row>
    <row r="159" spans="1:25" x14ac:dyDescent="0.15">
      <c r="A159" s="3">
        <v>201099</v>
      </c>
      <c r="B159" s="3" t="s">
        <v>917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4">
        <v>529</v>
      </c>
      <c r="K159" s="3">
        <v>2</v>
      </c>
      <c r="L159" s="3" t="s">
        <v>722</v>
      </c>
      <c r="M159" s="3">
        <v>201</v>
      </c>
      <c r="N159" s="4" t="s">
        <v>723</v>
      </c>
      <c r="O159" s="3"/>
      <c r="P159" s="3"/>
      <c r="Q159" s="3" t="s">
        <v>757</v>
      </c>
      <c r="R159" s="3" t="str">
        <f t="shared" si="16"/>
        <v>ic_monster15</v>
      </c>
      <c r="S159" s="3" t="s">
        <v>1919</v>
      </c>
      <c r="T159" s="3">
        <v>1</v>
      </c>
      <c r="U159" s="3">
        <v>0</v>
      </c>
      <c r="V159" s="3">
        <v>1</v>
      </c>
      <c r="W159" s="7"/>
      <c r="X159" s="3" t="s">
        <v>917</v>
      </c>
      <c r="Y159" s="3" t="s">
        <v>252</v>
      </c>
    </row>
    <row r="160" spans="1:25" x14ac:dyDescent="0.15">
      <c r="A160" s="3">
        <v>201100</v>
      </c>
      <c r="B160" s="3" t="s">
        <v>918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4">
        <v>530</v>
      </c>
      <c r="K160" s="3">
        <v>2</v>
      </c>
      <c r="L160" s="3" t="s">
        <v>722</v>
      </c>
      <c r="M160" s="3">
        <v>201</v>
      </c>
      <c r="N160" s="4" t="s">
        <v>723</v>
      </c>
      <c r="O160" s="3"/>
      <c r="P160" s="3"/>
      <c r="Q160" s="3" t="s">
        <v>759</v>
      </c>
      <c r="R160" s="3" t="str">
        <f t="shared" si="16"/>
        <v>ic_monster16</v>
      </c>
      <c r="S160" s="3" t="s">
        <v>1920</v>
      </c>
      <c r="T160" s="3">
        <v>1</v>
      </c>
      <c r="U160" s="3">
        <v>0</v>
      </c>
      <c r="V160" s="3">
        <v>1</v>
      </c>
      <c r="W160" s="7"/>
      <c r="X160" s="3" t="s">
        <v>918</v>
      </c>
      <c r="Y160" s="3" t="s">
        <v>252</v>
      </c>
    </row>
    <row r="161" spans="1:25" x14ac:dyDescent="0.15">
      <c r="A161" s="3">
        <v>201101</v>
      </c>
      <c r="B161" s="3" t="s">
        <v>919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4">
        <v>531</v>
      </c>
      <c r="K161" s="3">
        <v>2</v>
      </c>
      <c r="L161" s="3" t="s">
        <v>722</v>
      </c>
      <c r="M161" s="3">
        <v>201</v>
      </c>
      <c r="N161" s="4" t="s">
        <v>723</v>
      </c>
      <c r="O161" s="3"/>
      <c r="P161" s="3"/>
      <c r="Q161" s="3" t="s">
        <v>762</v>
      </c>
      <c r="R161" s="3" t="str">
        <f t="shared" si="16"/>
        <v>ic_monster17</v>
      </c>
      <c r="S161" s="3" t="s">
        <v>1921</v>
      </c>
      <c r="T161" s="3">
        <v>1</v>
      </c>
      <c r="U161" s="3">
        <v>0</v>
      </c>
      <c r="V161" s="3">
        <v>1</v>
      </c>
      <c r="W161" s="7"/>
      <c r="X161" s="3" t="s">
        <v>919</v>
      </c>
      <c r="Y161" s="3" t="s">
        <v>252</v>
      </c>
    </row>
    <row r="162" spans="1:25" x14ac:dyDescent="0.15">
      <c r="A162" s="3">
        <v>201102</v>
      </c>
      <c r="B162" s="3" t="s">
        <v>920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4">
        <v>532</v>
      </c>
      <c r="K162" s="3">
        <v>2</v>
      </c>
      <c r="L162" s="3" t="s">
        <v>722</v>
      </c>
      <c r="M162" s="3">
        <v>201</v>
      </c>
      <c r="N162" s="4" t="s">
        <v>723</v>
      </c>
      <c r="O162" s="3"/>
      <c r="P162" s="3"/>
      <c r="Q162" s="3" t="s">
        <v>765</v>
      </c>
      <c r="R162" s="3" t="str">
        <f t="shared" si="16"/>
        <v>ic_monster18</v>
      </c>
      <c r="S162" s="3" t="s">
        <v>1922</v>
      </c>
      <c r="T162" s="3">
        <v>1</v>
      </c>
      <c r="U162" s="3">
        <v>0</v>
      </c>
      <c r="V162" s="3">
        <v>1</v>
      </c>
      <c r="W162" s="7"/>
      <c r="X162" s="3" t="s">
        <v>920</v>
      </c>
      <c r="Y162" s="3" t="s">
        <v>252</v>
      </c>
    </row>
    <row r="163" spans="1:25" x14ac:dyDescent="0.15">
      <c r="A163" s="3">
        <v>201103</v>
      </c>
      <c r="B163" s="3" t="s">
        <v>921</v>
      </c>
      <c r="C163" s="3">
        <v>0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0</v>
      </c>
      <c r="J163" s="4">
        <v>533</v>
      </c>
      <c r="K163" s="3">
        <v>2</v>
      </c>
      <c r="L163" s="3" t="s">
        <v>722</v>
      </c>
      <c r="M163" s="3">
        <v>201</v>
      </c>
      <c r="N163" s="4" t="s">
        <v>723</v>
      </c>
      <c r="O163" s="3"/>
      <c r="P163" s="3"/>
      <c r="Q163" s="3" t="s">
        <v>768</v>
      </c>
      <c r="R163" s="3" t="str">
        <f t="shared" si="16"/>
        <v>ic_monster19</v>
      </c>
      <c r="S163" s="3" t="s">
        <v>1923</v>
      </c>
      <c r="T163" s="3">
        <v>1</v>
      </c>
      <c r="U163" s="3">
        <v>0</v>
      </c>
      <c r="V163" s="3">
        <v>1</v>
      </c>
      <c r="W163" s="7"/>
      <c r="X163" s="3" t="s">
        <v>921</v>
      </c>
      <c r="Y163" s="3" t="s">
        <v>252</v>
      </c>
    </row>
    <row r="164" spans="1:25" x14ac:dyDescent="0.15">
      <c r="A164" s="3">
        <v>201104</v>
      </c>
      <c r="B164" s="3" t="s">
        <v>922</v>
      </c>
      <c r="C164" s="3">
        <v>0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0</v>
      </c>
      <c r="J164" s="4">
        <v>534</v>
      </c>
      <c r="K164" s="3">
        <v>2</v>
      </c>
      <c r="L164" s="3" t="s">
        <v>722</v>
      </c>
      <c r="M164" s="3">
        <v>201</v>
      </c>
      <c r="N164" s="4" t="s">
        <v>723</v>
      </c>
      <c r="O164" s="3"/>
      <c r="P164" s="3"/>
      <c r="Q164" s="3" t="s">
        <v>770</v>
      </c>
      <c r="R164" s="3" t="str">
        <f t="shared" si="16"/>
        <v>ic_monster20</v>
      </c>
      <c r="S164" s="3" t="s">
        <v>1924</v>
      </c>
      <c r="T164" s="3">
        <v>1</v>
      </c>
      <c r="U164" s="3">
        <v>0</v>
      </c>
      <c r="V164" s="3">
        <v>1</v>
      </c>
      <c r="W164" s="7"/>
      <c r="X164" s="3" t="s">
        <v>922</v>
      </c>
      <c r="Y164" s="3" t="s">
        <v>252</v>
      </c>
    </row>
    <row r="165" spans="1:25" x14ac:dyDescent="0.15">
      <c r="A165" s="3">
        <v>201105</v>
      </c>
      <c r="B165" s="3" t="s">
        <v>923</v>
      </c>
      <c r="C165" s="3">
        <v>0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0</v>
      </c>
      <c r="J165" s="4">
        <v>535</v>
      </c>
      <c r="K165" s="3">
        <v>2</v>
      </c>
      <c r="L165" s="3" t="s">
        <v>722</v>
      </c>
      <c r="M165" s="3">
        <v>201</v>
      </c>
      <c r="N165" s="4" t="s">
        <v>723</v>
      </c>
      <c r="O165" s="3"/>
      <c r="P165" s="3"/>
      <c r="Q165" s="3" t="s">
        <v>772</v>
      </c>
      <c r="R165" s="3" t="str">
        <f t="shared" si="16"/>
        <v>ic_monster21</v>
      </c>
      <c r="S165" s="3" t="s">
        <v>772</v>
      </c>
      <c r="T165" s="3">
        <v>1</v>
      </c>
      <c r="U165" s="3">
        <v>0</v>
      </c>
      <c r="V165" s="3">
        <v>1</v>
      </c>
      <c r="W165" s="7"/>
      <c r="X165" s="3" t="s">
        <v>923</v>
      </c>
      <c r="Y165" s="3" t="s">
        <v>252</v>
      </c>
    </row>
    <row r="166" spans="1:25" x14ac:dyDescent="0.15">
      <c r="A166" s="3">
        <v>201106</v>
      </c>
      <c r="B166" s="3" t="s">
        <v>924</v>
      </c>
      <c r="C166" s="3">
        <v>0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0</v>
      </c>
      <c r="J166" s="4">
        <v>536</v>
      </c>
      <c r="K166" s="3">
        <v>2</v>
      </c>
      <c r="L166" s="3" t="s">
        <v>722</v>
      </c>
      <c r="M166" s="3">
        <v>201</v>
      </c>
      <c r="N166" s="4" t="s">
        <v>723</v>
      </c>
      <c r="O166" s="3"/>
      <c r="P166" s="3"/>
      <c r="Q166" s="3" t="s">
        <v>820</v>
      </c>
      <c r="R166" s="3" t="str">
        <f t="shared" si="16"/>
        <v>ic_monster1</v>
      </c>
      <c r="S166" s="3" t="s">
        <v>1905</v>
      </c>
      <c r="T166" s="3">
        <v>1</v>
      </c>
      <c r="U166" s="3">
        <v>0</v>
      </c>
      <c r="V166" s="3">
        <v>1</v>
      </c>
      <c r="W166" s="7"/>
      <c r="X166" s="3" t="s">
        <v>924</v>
      </c>
      <c r="Y166" s="3" t="s">
        <v>252</v>
      </c>
    </row>
    <row r="167" spans="1:25" x14ac:dyDescent="0.15">
      <c r="A167" s="3">
        <v>201107</v>
      </c>
      <c r="B167" s="3" t="s">
        <v>925</v>
      </c>
      <c r="C167" s="3">
        <v>0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0</v>
      </c>
      <c r="J167" s="4">
        <v>537</v>
      </c>
      <c r="K167" s="3">
        <v>2</v>
      </c>
      <c r="L167" s="3" t="s">
        <v>722</v>
      </c>
      <c r="M167" s="3">
        <v>201</v>
      </c>
      <c r="N167" s="4" t="s">
        <v>723</v>
      </c>
      <c r="O167" s="3"/>
      <c r="P167" s="3"/>
      <c r="Q167" s="3" t="s">
        <v>822</v>
      </c>
      <c r="R167" s="3" t="str">
        <f t="shared" si="16"/>
        <v>ic_monster2</v>
      </c>
      <c r="S167" s="3" t="s">
        <v>1906</v>
      </c>
      <c r="T167" s="3">
        <v>1</v>
      </c>
      <c r="U167" s="3">
        <v>0</v>
      </c>
      <c r="V167" s="3">
        <v>1</v>
      </c>
      <c r="W167" s="7"/>
      <c r="X167" s="3" t="s">
        <v>925</v>
      </c>
      <c r="Y167" s="3" t="s">
        <v>252</v>
      </c>
    </row>
    <row r="168" spans="1:25" x14ac:dyDescent="0.15">
      <c r="A168" s="3">
        <v>201108</v>
      </c>
      <c r="B168" s="3" t="s">
        <v>926</v>
      </c>
      <c r="C168" s="3">
        <v>0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0</v>
      </c>
      <c r="J168" s="4">
        <v>538</v>
      </c>
      <c r="K168" s="3">
        <v>2</v>
      </c>
      <c r="L168" s="3" t="s">
        <v>722</v>
      </c>
      <c r="M168" s="3">
        <v>201</v>
      </c>
      <c r="N168" s="4" t="s">
        <v>723</v>
      </c>
      <c r="O168" s="3"/>
      <c r="P168" s="3"/>
      <c r="Q168" s="3" t="s">
        <v>824</v>
      </c>
      <c r="R168" s="3" t="str">
        <f t="shared" si="16"/>
        <v>ic_monster3</v>
      </c>
      <c r="S168" s="3" t="s">
        <v>1907</v>
      </c>
      <c r="T168" s="3">
        <v>1</v>
      </c>
      <c r="U168" s="3">
        <v>0</v>
      </c>
      <c r="V168" s="3">
        <v>1</v>
      </c>
      <c r="W168" s="7"/>
      <c r="X168" s="3" t="s">
        <v>926</v>
      </c>
      <c r="Y168" s="3" t="s">
        <v>252</v>
      </c>
    </row>
    <row r="169" spans="1:25" x14ac:dyDescent="0.15">
      <c r="A169" s="3">
        <v>201109</v>
      </c>
      <c r="B169" s="3" t="s">
        <v>927</v>
      </c>
      <c r="C169" s="3">
        <v>0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4">
        <v>539</v>
      </c>
      <c r="K169" s="3">
        <v>2</v>
      </c>
      <c r="L169" s="3" t="s">
        <v>722</v>
      </c>
      <c r="M169" s="3">
        <v>201</v>
      </c>
      <c r="N169" s="4" t="s">
        <v>723</v>
      </c>
      <c r="O169" s="3"/>
      <c r="P169" s="3"/>
      <c r="Q169" s="3" t="s">
        <v>826</v>
      </c>
      <c r="R169" s="3" t="str">
        <f t="shared" si="16"/>
        <v>ic_monster4</v>
      </c>
      <c r="S169" s="3" t="s">
        <v>1908</v>
      </c>
      <c r="T169" s="3">
        <v>1</v>
      </c>
      <c r="U169" s="3">
        <v>0</v>
      </c>
      <c r="V169" s="3">
        <v>1</v>
      </c>
      <c r="W169" s="7"/>
      <c r="X169" s="3" t="s">
        <v>927</v>
      </c>
      <c r="Y169" s="3" t="s">
        <v>252</v>
      </c>
    </row>
    <row r="170" spans="1:25" x14ac:dyDescent="0.15">
      <c r="A170" s="3">
        <v>201110</v>
      </c>
      <c r="B170" s="4" t="s">
        <v>928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4">
        <v>540</v>
      </c>
      <c r="K170" s="3">
        <v>2</v>
      </c>
      <c r="L170" s="3" t="s">
        <v>722</v>
      </c>
      <c r="M170" s="3">
        <v>201</v>
      </c>
      <c r="N170" s="4" t="s">
        <v>723</v>
      </c>
      <c r="O170" s="3"/>
      <c r="P170" s="3"/>
      <c r="Q170" s="3" t="s">
        <v>828</v>
      </c>
      <c r="R170" s="3" t="str">
        <f t="shared" si="16"/>
        <v>ic_monster5</v>
      </c>
      <c r="S170" s="3" t="s">
        <v>1909</v>
      </c>
      <c r="T170" s="3">
        <v>1</v>
      </c>
      <c r="U170" s="3">
        <v>0</v>
      </c>
      <c r="V170" s="3">
        <v>1</v>
      </c>
      <c r="W170" s="7"/>
      <c r="X170" s="3" t="s">
        <v>928</v>
      </c>
      <c r="Y170" s="3" t="s">
        <v>252</v>
      </c>
    </row>
    <row r="171" spans="1:25" ht="14.25" x14ac:dyDescent="0.15">
      <c r="A171" s="3">
        <v>201111</v>
      </c>
      <c r="B171" s="22" t="s">
        <v>929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4">
        <v>541</v>
      </c>
      <c r="K171" s="3">
        <v>2</v>
      </c>
      <c r="L171" s="3" t="s">
        <v>722</v>
      </c>
      <c r="M171" s="3">
        <v>201</v>
      </c>
      <c r="N171" s="4" t="s">
        <v>723</v>
      </c>
      <c r="O171" s="3"/>
      <c r="P171" s="3"/>
      <c r="Q171" s="3" t="s">
        <v>830</v>
      </c>
      <c r="R171" s="3" t="str">
        <f t="shared" si="16"/>
        <v>ic_monster6</v>
      </c>
      <c r="S171" s="3" t="s">
        <v>1910</v>
      </c>
      <c r="T171" s="3">
        <v>1</v>
      </c>
      <c r="U171" s="3">
        <v>0</v>
      </c>
      <c r="V171" s="3">
        <v>1</v>
      </c>
      <c r="W171" s="7"/>
      <c r="X171" s="3" t="s">
        <v>929</v>
      </c>
      <c r="Y171" s="3" t="s">
        <v>252</v>
      </c>
    </row>
    <row r="172" spans="1:25" x14ac:dyDescent="0.15">
      <c r="A172" s="3">
        <v>201112</v>
      </c>
      <c r="B172" s="3" t="s">
        <v>930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0</v>
      </c>
      <c r="J172" s="4">
        <v>542</v>
      </c>
      <c r="K172" s="3">
        <v>2</v>
      </c>
      <c r="L172" s="3" t="s">
        <v>722</v>
      </c>
      <c r="M172" s="3">
        <v>201</v>
      </c>
      <c r="N172" s="4" t="s">
        <v>723</v>
      </c>
      <c r="O172" s="3"/>
      <c r="P172" s="3"/>
      <c r="Q172" s="3" t="s">
        <v>832</v>
      </c>
      <c r="R172" s="3" t="str">
        <f t="shared" si="16"/>
        <v>ic_monster7</v>
      </c>
      <c r="S172" s="3" t="s">
        <v>1911</v>
      </c>
      <c r="T172" s="3">
        <v>1</v>
      </c>
      <c r="U172" s="3">
        <v>0</v>
      </c>
      <c r="V172" s="3">
        <v>1</v>
      </c>
      <c r="W172" s="7"/>
      <c r="X172" s="3" t="s">
        <v>930</v>
      </c>
      <c r="Y172" s="3" t="s">
        <v>252</v>
      </c>
    </row>
    <row r="173" spans="1:25" x14ac:dyDescent="0.15">
      <c r="A173" s="3">
        <v>201113</v>
      </c>
      <c r="B173" s="3" t="s">
        <v>931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4">
        <v>543</v>
      </c>
      <c r="K173" s="3">
        <v>2</v>
      </c>
      <c r="L173" s="3" t="s">
        <v>722</v>
      </c>
      <c r="M173" s="3">
        <v>201</v>
      </c>
      <c r="N173" s="4" t="s">
        <v>723</v>
      </c>
      <c r="O173" s="3"/>
      <c r="P173" s="3"/>
      <c r="Q173" s="3" t="s">
        <v>834</v>
      </c>
      <c r="R173" s="3" t="str">
        <f t="shared" si="16"/>
        <v>ic_monster8</v>
      </c>
      <c r="S173" s="3" t="s">
        <v>1912</v>
      </c>
      <c r="T173" s="3">
        <v>1</v>
      </c>
      <c r="U173" s="3">
        <v>0</v>
      </c>
      <c r="V173" s="3">
        <v>1</v>
      </c>
      <c r="W173" s="7"/>
      <c r="X173" s="3" t="s">
        <v>931</v>
      </c>
      <c r="Y173" s="3" t="s">
        <v>252</v>
      </c>
    </row>
    <row r="174" spans="1:25" x14ac:dyDescent="0.15">
      <c r="A174" s="3">
        <v>201114</v>
      </c>
      <c r="B174" s="3" t="s">
        <v>932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0</v>
      </c>
      <c r="J174" s="4">
        <v>544</v>
      </c>
      <c r="K174" s="3">
        <v>2</v>
      </c>
      <c r="L174" s="3" t="s">
        <v>722</v>
      </c>
      <c r="M174" s="3">
        <v>201</v>
      </c>
      <c r="N174" s="4" t="s">
        <v>723</v>
      </c>
      <c r="O174" s="3"/>
      <c r="P174" s="3"/>
      <c r="Q174" s="3" t="s">
        <v>836</v>
      </c>
      <c r="R174" s="3" t="str">
        <f t="shared" si="16"/>
        <v>ic_monster9</v>
      </c>
      <c r="S174" s="3" t="s">
        <v>1913</v>
      </c>
      <c r="T174" s="3">
        <v>1</v>
      </c>
      <c r="U174" s="3">
        <v>0</v>
      </c>
      <c r="V174" s="3">
        <v>1</v>
      </c>
      <c r="W174" s="7"/>
      <c r="X174" s="3" t="s">
        <v>932</v>
      </c>
      <c r="Y174" s="3" t="s">
        <v>252</v>
      </c>
    </row>
    <row r="175" spans="1:25" x14ac:dyDescent="0.15">
      <c r="A175" s="3">
        <v>201115</v>
      </c>
      <c r="B175" s="3" t="s">
        <v>933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4">
        <v>545</v>
      </c>
      <c r="K175" s="3">
        <v>2</v>
      </c>
      <c r="L175" s="3" t="s">
        <v>722</v>
      </c>
      <c r="M175" s="3">
        <v>201</v>
      </c>
      <c r="N175" s="4" t="s">
        <v>723</v>
      </c>
      <c r="O175" s="3"/>
      <c r="P175" s="3"/>
      <c r="Q175" s="3" t="s">
        <v>838</v>
      </c>
      <c r="R175" s="3" t="str">
        <f t="shared" si="16"/>
        <v>ic_monster10</v>
      </c>
      <c r="S175" s="3" t="s">
        <v>1914</v>
      </c>
      <c r="T175" s="3">
        <v>1</v>
      </c>
      <c r="U175" s="3">
        <v>0</v>
      </c>
      <c r="V175" s="3">
        <v>1</v>
      </c>
      <c r="W175" s="7"/>
      <c r="X175" s="3" t="s">
        <v>933</v>
      </c>
      <c r="Y175" s="3" t="s">
        <v>252</v>
      </c>
    </row>
    <row r="176" spans="1:25" x14ac:dyDescent="0.15">
      <c r="A176" s="3">
        <v>201116</v>
      </c>
      <c r="B176" s="3" t="s">
        <v>934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0</v>
      </c>
      <c r="J176" s="4">
        <v>546</v>
      </c>
      <c r="K176" s="3">
        <v>2</v>
      </c>
      <c r="L176" s="3" t="s">
        <v>722</v>
      </c>
      <c r="M176" s="3">
        <v>201</v>
      </c>
      <c r="N176" s="4" t="s">
        <v>723</v>
      </c>
      <c r="O176" s="3"/>
      <c r="P176" s="3"/>
      <c r="Q176" s="3" t="s">
        <v>840</v>
      </c>
      <c r="R176" s="3" t="str">
        <f t="shared" si="16"/>
        <v>ic_monster11</v>
      </c>
      <c r="S176" s="3" t="s">
        <v>1915</v>
      </c>
      <c r="T176" s="3">
        <v>1</v>
      </c>
      <c r="U176" s="3">
        <v>0</v>
      </c>
      <c r="V176" s="3">
        <v>1</v>
      </c>
      <c r="W176" s="7"/>
      <c r="X176" s="3" t="s">
        <v>934</v>
      </c>
      <c r="Y176" s="3" t="s">
        <v>252</v>
      </c>
    </row>
    <row r="177" spans="1:25" x14ac:dyDescent="0.15">
      <c r="A177" s="3">
        <v>201117</v>
      </c>
      <c r="B177" s="3" t="s">
        <v>935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4">
        <v>547</v>
      </c>
      <c r="K177" s="3">
        <v>2</v>
      </c>
      <c r="L177" s="3" t="s">
        <v>722</v>
      </c>
      <c r="M177" s="3">
        <v>201</v>
      </c>
      <c r="N177" s="4" t="s">
        <v>723</v>
      </c>
      <c r="O177" s="3"/>
      <c r="P177" s="3"/>
      <c r="Q177" s="3" t="s">
        <v>842</v>
      </c>
      <c r="R177" s="3" t="str">
        <f t="shared" si="16"/>
        <v>ic_monster12</v>
      </c>
      <c r="S177" s="3" t="s">
        <v>1916</v>
      </c>
      <c r="T177" s="3">
        <v>1</v>
      </c>
      <c r="U177" s="3">
        <v>0</v>
      </c>
      <c r="V177" s="3">
        <v>1</v>
      </c>
      <c r="W177" s="7"/>
      <c r="X177" s="3" t="s">
        <v>935</v>
      </c>
      <c r="Y177" s="3" t="s">
        <v>252</v>
      </c>
    </row>
    <row r="178" spans="1:25" x14ac:dyDescent="0.15">
      <c r="A178" s="3">
        <v>201118</v>
      </c>
      <c r="B178" s="3" t="s">
        <v>936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4">
        <v>548</v>
      </c>
      <c r="K178" s="3">
        <v>2</v>
      </c>
      <c r="L178" s="3" t="s">
        <v>722</v>
      </c>
      <c r="M178" s="3">
        <v>201</v>
      </c>
      <c r="N178" s="4" t="s">
        <v>723</v>
      </c>
      <c r="O178" s="3"/>
      <c r="P178" s="3"/>
      <c r="Q178" s="3" t="s">
        <v>844</v>
      </c>
      <c r="R178" s="3" t="str">
        <f t="shared" ref="R178:R209" si="17">R157</f>
        <v>ic_monster13</v>
      </c>
      <c r="S178" s="3" t="s">
        <v>1917</v>
      </c>
      <c r="T178" s="3">
        <v>1</v>
      </c>
      <c r="U178" s="3">
        <v>0</v>
      </c>
      <c r="V178" s="3">
        <v>1</v>
      </c>
      <c r="W178" s="7"/>
      <c r="X178" s="3" t="s">
        <v>936</v>
      </c>
      <c r="Y178" s="3" t="s">
        <v>252</v>
      </c>
    </row>
    <row r="179" spans="1:25" x14ac:dyDescent="0.15">
      <c r="A179" s="3">
        <v>201119</v>
      </c>
      <c r="B179" s="3" t="s">
        <v>937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0</v>
      </c>
      <c r="J179" s="4">
        <v>549</v>
      </c>
      <c r="K179" s="3">
        <v>2</v>
      </c>
      <c r="L179" s="3" t="s">
        <v>722</v>
      </c>
      <c r="M179" s="3">
        <v>201</v>
      </c>
      <c r="N179" s="4" t="s">
        <v>723</v>
      </c>
      <c r="O179" s="3"/>
      <c r="P179" s="3"/>
      <c r="Q179" s="3" t="s">
        <v>846</v>
      </c>
      <c r="R179" s="3" t="str">
        <f t="shared" si="17"/>
        <v>ic_monster14</v>
      </c>
      <c r="S179" s="3" t="s">
        <v>1918</v>
      </c>
      <c r="T179" s="3">
        <v>1</v>
      </c>
      <c r="U179" s="3">
        <v>0</v>
      </c>
      <c r="V179" s="3">
        <v>1</v>
      </c>
      <c r="W179" s="7"/>
      <c r="X179" s="3" t="s">
        <v>937</v>
      </c>
      <c r="Y179" s="3" t="s">
        <v>252</v>
      </c>
    </row>
    <row r="180" spans="1:25" x14ac:dyDescent="0.15">
      <c r="A180" s="3">
        <v>201120</v>
      </c>
      <c r="B180" s="3" t="s">
        <v>938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4">
        <v>550</v>
      </c>
      <c r="K180" s="3">
        <v>2</v>
      </c>
      <c r="L180" s="3" t="s">
        <v>722</v>
      </c>
      <c r="M180" s="3">
        <v>201</v>
      </c>
      <c r="N180" s="4" t="s">
        <v>723</v>
      </c>
      <c r="O180" s="3"/>
      <c r="P180" s="3"/>
      <c r="Q180" s="3" t="s">
        <v>848</v>
      </c>
      <c r="R180" s="3" t="str">
        <f t="shared" si="17"/>
        <v>ic_monster15</v>
      </c>
      <c r="S180" s="3" t="s">
        <v>1919</v>
      </c>
      <c r="T180" s="3">
        <v>1</v>
      </c>
      <c r="U180" s="3">
        <v>0</v>
      </c>
      <c r="V180" s="3">
        <v>1</v>
      </c>
      <c r="W180" s="7"/>
      <c r="X180" s="3" t="s">
        <v>938</v>
      </c>
      <c r="Y180" s="3" t="s">
        <v>252</v>
      </c>
    </row>
    <row r="181" spans="1:25" x14ac:dyDescent="0.15">
      <c r="A181" s="3">
        <v>201121</v>
      </c>
      <c r="B181" s="3" t="s">
        <v>939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4">
        <v>551</v>
      </c>
      <c r="K181" s="3">
        <v>2</v>
      </c>
      <c r="L181" s="3" t="s">
        <v>722</v>
      </c>
      <c r="M181" s="3">
        <v>201</v>
      </c>
      <c r="N181" s="4" t="s">
        <v>723</v>
      </c>
      <c r="O181" s="3"/>
      <c r="P181" s="3"/>
      <c r="Q181" s="3" t="s">
        <v>850</v>
      </c>
      <c r="R181" s="3" t="str">
        <f t="shared" si="17"/>
        <v>ic_monster16</v>
      </c>
      <c r="S181" s="3" t="s">
        <v>1920</v>
      </c>
      <c r="T181" s="3">
        <v>1</v>
      </c>
      <c r="U181" s="3">
        <v>0</v>
      </c>
      <c r="V181" s="3">
        <v>1</v>
      </c>
      <c r="W181" s="7"/>
      <c r="X181" s="3" t="s">
        <v>939</v>
      </c>
      <c r="Y181" s="3" t="s">
        <v>252</v>
      </c>
    </row>
    <row r="182" spans="1:25" x14ac:dyDescent="0.15">
      <c r="A182" s="3">
        <v>201122</v>
      </c>
      <c r="B182" s="3" t="s">
        <v>940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4">
        <v>552</v>
      </c>
      <c r="K182" s="3">
        <v>2</v>
      </c>
      <c r="L182" s="3" t="s">
        <v>722</v>
      </c>
      <c r="M182" s="3">
        <v>201</v>
      </c>
      <c r="N182" s="4" t="s">
        <v>723</v>
      </c>
      <c r="O182" s="3"/>
      <c r="P182" s="3"/>
      <c r="Q182" s="3" t="s">
        <v>852</v>
      </c>
      <c r="R182" s="3" t="str">
        <f t="shared" si="17"/>
        <v>ic_monster17</v>
      </c>
      <c r="S182" s="3" t="s">
        <v>1921</v>
      </c>
      <c r="T182" s="3">
        <v>1</v>
      </c>
      <c r="U182" s="3">
        <v>0</v>
      </c>
      <c r="V182" s="3">
        <v>1</v>
      </c>
      <c r="W182" s="7"/>
      <c r="X182" s="3" t="s">
        <v>940</v>
      </c>
      <c r="Y182" s="3" t="s">
        <v>252</v>
      </c>
    </row>
    <row r="183" spans="1:25" x14ac:dyDescent="0.15">
      <c r="A183" s="3">
        <v>201123</v>
      </c>
      <c r="B183" s="3" t="s">
        <v>941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4">
        <v>553</v>
      </c>
      <c r="K183" s="3">
        <v>2</v>
      </c>
      <c r="L183" s="3" t="s">
        <v>722</v>
      </c>
      <c r="M183" s="3">
        <v>201</v>
      </c>
      <c r="N183" s="4" t="s">
        <v>723</v>
      </c>
      <c r="O183" s="3"/>
      <c r="P183" s="3"/>
      <c r="Q183" s="3" t="s">
        <v>854</v>
      </c>
      <c r="R183" s="3" t="str">
        <f t="shared" si="17"/>
        <v>ic_monster18</v>
      </c>
      <c r="S183" s="3" t="s">
        <v>1922</v>
      </c>
      <c r="T183" s="3">
        <v>1</v>
      </c>
      <c r="U183" s="3">
        <v>0</v>
      </c>
      <c r="V183" s="3">
        <v>1</v>
      </c>
      <c r="W183" s="7"/>
      <c r="X183" s="3" t="s">
        <v>941</v>
      </c>
      <c r="Y183" s="3" t="s">
        <v>252</v>
      </c>
    </row>
    <row r="184" spans="1:25" x14ac:dyDescent="0.15">
      <c r="A184" s="3">
        <v>201124</v>
      </c>
      <c r="B184" s="3" t="s">
        <v>942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4">
        <v>554</v>
      </c>
      <c r="K184" s="3">
        <v>2</v>
      </c>
      <c r="L184" s="3" t="s">
        <v>722</v>
      </c>
      <c r="M184" s="3">
        <v>201</v>
      </c>
      <c r="N184" s="4" t="s">
        <v>723</v>
      </c>
      <c r="O184" s="3"/>
      <c r="P184" s="3"/>
      <c r="Q184" s="3" t="s">
        <v>856</v>
      </c>
      <c r="R184" s="3" t="str">
        <f t="shared" si="17"/>
        <v>ic_monster19</v>
      </c>
      <c r="S184" s="3" t="s">
        <v>1923</v>
      </c>
      <c r="T184" s="3">
        <v>1</v>
      </c>
      <c r="U184" s="3">
        <v>0</v>
      </c>
      <c r="V184" s="3">
        <v>1</v>
      </c>
      <c r="W184" s="7"/>
      <c r="X184" s="3" t="s">
        <v>942</v>
      </c>
      <c r="Y184" s="3" t="s">
        <v>252</v>
      </c>
    </row>
    <row r="185" spans="1:25" x14ac:dyDescent="0.15">
      <c r="A185" s="3">
        <v>201125</v>
      </c>
      <c r="B185" s="3" t="s">
        <v>943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0</v>
      </c>
      <c r="J185" s="4">
        <v>555</v>
      </c>
      <c r="K185" s="3">
        <v>2</v>
      </c>
      <c r="L185" s="3" t="s">
        <v>722</v>
      </c>
      <c r="M185" s="3">
        <v>201</v>
      </c>
      <c r="N185" s="4" t="s">
        <v>723</v>
      </c>
      <c r="O185" s="3"/>
      <c r="P185" s="3"/>
      <c r="Q185" s="3" t="s">
        <v>858</v>
      </c>
      <c r="R185" s="3" t="str">
        <f t="shared" si="17"/>
        <v>ic_monster20</v>
      </c>
      <c r="S185" s="3" t="s">
        <v>1924</v>
      </c>
      <c r="T185" s="3">
        <v>1</v>
      </c>
      <c r="U185" s="3">
        <v>0</v>
      </c>
      <c r="V185" s="3">
        <v>1</v>
      </c>
      <c r="W185" s="7"/>
      <c r="X185" s="3" t="s">
        <v>943</v>
      </c>
      <c r="Y185" s="3" t="s">
        <v>252</v>
      </c>
    </row>
    <row r="186" spans="1:25" x14ac:dyDescent="0.15">
      <c r="A186" s="3">
        <v>201126</v>
      </c>
      <c r="B186" s="3" t="s">
        <v>944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0</v>
      </c>
      <c r="J186" s="4">
        <v>556</v>
      </c>
      <c r="K186" s="3">
        <v>2</v>
      </c>
      <c r="L186" s="3" t="s">
        <v>722</v>
      </c>
      <c r="M186" s="3">
        <v>201</v>
      </c>
      <c r="N186" s="4" t="s">
        <v>723</v>
      </c>
      <c r="O186" s="3"/>
      <c r="P186" s="3"/>
      <c r="Q186" s="3" t="s">
        <v>860</v>
      </c>
      <c r="R186" s="3" t="str">
        <f t="shared" si="17"/>
        <v>ic_monster21</v>
      </c>
      <c r="S186" s="3" t="s">
        <v>772</v>
      </c>
      <c r="T186" s="3">
        <v>1</v>
      </c>
      <c r="U186" s="3">
        <v>0</v>
      </c>
      <c r="V186" s="3">
        <v>1</v>
      </c>
      <c r="W186" s="7"/>
      <c r="X186" s="3" t="s">
        <v>944</v>
      </c>
      <c r="Y186" s="3" t="s">
        <v>252</v>
      </c>
    </row>
    <row r="187" spans="1:25" x14ac:dyDescent="0.15">
      <c r="A187" s="3">
        <v>201127</v>
      </c>
      <c r="B187" s="3" t="s">
        <v>945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0</v>
      </c>
      <c r="J187" s="4">
        <v>557</v>
      </c>
      <c r="K187" s="3">
        <v>2</v>
      </c>
      <c r="L187" s="3" t="s">
        <v>722</v>
      </c>
      <c r="M187" s="3">
        <v>201</v>
      </c>
      <c r="N187" s="4" t="s">
        <v>723</v>
      </c>
      <c r="O187" s="3"/>
      <c r="P187" s="3"/>
      <c r="Q187" s="3" t="s">
        <v>724</v>
      </c>
      <c r="R187" s="3" t="str">
        <f t="shared" si="17"/>
        <v>ic_monster1</v>
      </c>
      <c r="S187" s="3" t="s">
        <v>1905</v>
      </c>
      <c r="T187" s="3">
        <v>1</v>
      </c>
      <c r="U187" s="3">
        <v>0</v>
      </c>
      <c r="V187" s="3">
        <v>1</v>
      </c>
      <c r="W187" s="7"/>
      <c r="X187" s="3" t="s">
        <v>945</v>
      </c>
      <c r="Y187" s="3" t="s">
        <v>252</v>
      </c>
    </row>
    <row r="188" spans="1:25" x14ac:dyDescent="0.15">
      <c r="A188" s="3">
        <v>201128</v>
      </c>
      <c r="B188" s="3" t="s">
        <v>946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0</v>
      </c>
      <c r="J188" s="4">
        <v>558</v>
      </c>
      <c r="K188" s="3">
        <v>2</v>
      </c>
      <c r="L188" s="3" t="s">
        <v>722</v>
      </c>
      <c r="M188" s="3">
        <v>201</v>
      </c>
      <c r="N188" s="4" t="s">
        <v>723</v>
      </c>
      <c r="O188" s="3"/>
      <c r="P188" s="3"/>
      <c r="Q188" s="3" t="s">
        <v>726</v>
      </c>
      <c r="R188" s="3" t="str">
        <f t="shared" si="17"/>
        <v>ic_monster2</v>
      </c>
      <c r="S188" s="3" t="s">
        <v>1906</v>
      </c>
      <c r="T188" s="3">
        <v>1</v>
      </c>
      <c r="U188" s="3">
        <v>0</v>
      </c>
      <c r="V188" s="3">
        <v>1</v>
      </c>
      <c r="W188" s="7"/>
      <c r="X188" s="3" t="s">
        <v>946</v>
      </c>
      <c r="Y188" s="3" t="s">
        <v>252</v>
      </c>
    </row>
    <row r="189" spans="1:25" x14ac:dyDescent="0.15">
      <c r="A189" s="3">
        <v>201129</v>
      </c>
      <c r="B189" s="3" t="s">
        <v>947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4">
        <v>559</v>
      </c>
      <c r="K189" s="3">
        <v>2</v>
      </c>
      <c r="L189" s="3" t="s">
        <v>722</v>
      </c>
      <c r="M189" s="3">
        <v>201</v>
      </c>
      <c r="N189" s="4" t="s">
        <v>723</v>
      </c>
      <c r="O189" s="3"/>
      <c r="P189" s="3"/>
      <c r="Q189" s="3" t="s">
        <v>728</v>
      </c>
      <c r="R189" s="3" t="str">
        <f t="shared" si="17"/>
        <v>ic_monster3</v>
      </c>
      <c r="S189" s="3" t="s">
        <v>1907</v>
      </c>
      <c r="T189" s="3">
        <v>1</v>
      </c>
      <c r="U189" s="3">
        <v>0</v>
      </c>
      <c r="V189" s="3">
        <v>1</v>
      </c>
      <c r="W189" s="7"/>
      <c r="X189" s="3" t="s">
        <v>947</v>
      </c>
      <c r="Y189" s="3" t="s">
        <v>252</v>
      </c>
    </row>
    <row r="190" spans="1:25" x14ac:dyDescent="0.15">
      <c r="A190" s="3">
        <v>201130</v>
      </c>
      <c r="B190" s="3" t="s">
        <v>948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0</v>
      </c>
      <c r="J190" s="4">
        <v>560</v>
      </c>
      <c r="K190" s="3">
        <v>2</v>
      </c>
      <c r="L190" s="3" t="s">
        <v>722</v>
      </c>
      <c r="M190" s="3">
        <v>201</v>
      </c>
      <c r="N190" s="4" t="s">
        <v>723</v>
      </c>
      <c r="O190" s="3"/>
      <c r="P190" s="3"/>
      <c r="Q190" s="3" t="s">
        <v>730</v>
      </c>
      <c r="R190" s="3" t="str">
        <f t="shared" si="17"/>
        <v>ic_monster4</v>
      </c>
      <c r="S190" s="3" t="s">
        <v>1908</v>
      </c>
      <c r="T190" s="3">
        <v>1</v>
      </c>
      <c r="U190" s="3">
        <v>0</v>
      </c>
      <c r="V190" s="3">
        <v>1</v>
      </c>
      <c r="W190" s="7"/>
      <c r="X190" s="3" t="s">
        <v>948</v>
      </c>
      <c r="Y190" s="3" t="s">
        <v>252</v>
      </c>
    </row>
    <row r="191" spans="1:25" x14ac:dyDescent="0.15">
      <c r="A191" s="3">
        <v>201131</v>
      </c>
      <c r="B191" s="3" t="s">
        <v>949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4">
        <v>561</v>
      </c>
      <c r="K191" s="3">
        <v>2</v>
      </c>
      <c r="L191" s="3" t="s">
        <v>722</v>
      </c>
      <c r="M191" s="3">
        <v>201</v>
      </c>
      <c r="N191" s="4" t="s">
        <v>723</v>
      </c>
      <c r="O191" s="3"/>
      <c r="P191" s="3"/>
      <c r="Q191" s="3" t="s">
        <v>733</v>
      </c>
      <c r="R191" s="3" t="str">
        <f t="shared" si="17"/>
        <v>ic_monster5</v>
      </c>
      <c r="S191" s="3" t="s">
        <v>1909</v>
      </c>
      <c r="T191" s="3">
        <v>1</v>
      </c>
      <c r="U191" s="3">
        <v>0</v>
      </c>
      <c r="V191" s="3">
        <v>1</v>
      </c>
      <c r="W191" s="7"/>
      <c r="X191" s="3" t="s">
        <v>949</v>
      </c>
      <c r="Y191" s="3" t="s">
        <v>252</v>
      </c>
    </row>
    <row r="192" spans="1:25" ht="14.25" x14ac:dyDescent="0.15">
      <c r="A192" s="3">
        <v>201132</v>
      </c>
      <c r="B192" s="22" t="s">
        <v>950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0</v>
      </c>
      <c r="J192" s="4">
        <v>562</v>
      </c>
      <c r="K192" s="3">
        <v>2</v>
      </c>
      <c r="L192" s="3" t="s">
        <v>722</v>
      </c>
      <c r="M192" s="3">
        <v>201</v>
      </c>
      <c r="N192" s="4" t="s">
        <v>723</v>
      </c>
      <c r="O192" s="3"/>
      <c r="P192" s="3"/>
      <c r="Q192" s="3" t="s">
        <v>735</v>
      </c>
      <c r="R192" s="3" t="str">
        <f t="shared" si="17"/>
        <v>ic_monster6</v>
      </c>
      <c r="S192" s="3" t="s">
        <v>1910</v>
      </c>
      <c r="T192" s="3">
        <v>1</v>
      </c>
      <c r="U192" s="3">
        <v>0</v>
      </c>
      <c r="V192" s="3">
        <v>1</v>
      </c>
      <c r="W192" s="7"/>
      <c r="X192" s="3" t="s">
        <v>950</v>
      </c>
      <c r="Y192" s="3" t="s">
        <v>252</v>
      </c>
    </row>
    <row r="193" spans="1:25" x14ac:dyDescent="0.15">
      <c r="A193" s="3">
        <v>201133</v>
      </c>
      <c r="B193" s="3" t="s">
        <v>951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4">
        <v>563</v>
      </c>
      <c r="K193" s="3">
        <v>2</v>
      </c>
      <c r="L193" s="3" t="s">
        <v>722</v>
      </c>
      <c r="M193" s="3">
        <v>201</v>
      </c>
      <c r="N193" s="4" t="s">
        <v>723</v>
      </c>
      <c r="O193" s="3"/>
      <c r="P193" s="3"/>
      <c r="Q193" s="3" t="s">
        <v>738</v>
      </c>
      <c r="R193" s="3" t="str">
        <f t="shared" si="17"/>
        <v>ic_monster7</v>
      </c>
      <c r="S193" s="3" t="s">
        <v>1911</v>
      </c>
      <c r="T193" s="3">
        <v>1</v>
      </c>
      <c r="U193" s="3">
        <v>0</v>
      </c>
      <c r="V193" s="3">
        <v>1</v>
      </c>
      <c r="W193" s="7"/>
      <c r="X193" s="3" t="s">
        <v>951</v>
      </c>
      <c r="Y193" s="3" t="s">
        <v>252</v>
      </c>
    </row>
    <row r="194" spans="1:25" x14ac:dyDescent="0.15">
      <c r="A194" s="3">
        <v>201134</v>
      </c>
      <c r="B194" s="3" t="s">
        <v>952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4">
        <v>564</v>
      </c>
      <c r="K194" s="3">
        <v>2</v>
      </c>
      <c r="L194" s="3" t="s">
        <v>722</v>
      </c>
      <c r="M194" s="3">
        <v>201</v>
      </c>
      <c r="N194" s="4" t="s">
        <v>723</v>
      </c>
      <c r="O194" s="3"/>
      <c r="P194" s="3"/>
      <c r="Q194" s="3" t="s">
        <v>741</v>
      </c>
      <c r="R194" s="3" t="str">
        <f t="shared" si="17"/>
        <v>ic_monster8</v>
      </c>
      <c r="S194" s="3" t="s">
        <v>1912</v>
      </c>
      <c r="T194" s="3">
        <v>1</v>
      </c>
      <c r="U194" s="3">
        <v>0</v>
      </c>
      <c r="V194" s="3">
        <v>1</v>
      </c>
      <c r="W194" s="7"/>
      <c r="X194" s="3" t="s">
        <v>952</v>
      </c>
      <c r="Y194" s="3" t="s">
        <v>252</v>
      </c>
    </row>
    <row r="195" spans="1:25" x14ac:dyDescent="0.15">
      <c r="A195" s="3">
        <v>201135</v>
      </c>
      <c r="B195" s="3" t="s">
        <v>953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4">
        <v>565</v>
      </c>
      <c r="K195" s="3">
        <v>2</v>
      </c>
      <c r="L195" s="3" t="s">
        <v>722</v>
      </c>
      <c r="M195" s="3">
        <v>201</v>
      </c>
      <c r="N195" s="4" t="s">
        <v>723</v>
      </c>
      <c r="O195" s="3"/>
      <c r="P195" s="3"/>
      <c r="Q195" s="3" t="s">
        <v>743</v>
      </c>
      <c r="R195" s="3" t="str">
        <f t="shared" si="17"/>
        <v>ic_monster9</v>
      </c>
      <c r="S195" s="3" t="s">
        <v>1913</v>
      </c>
      <c r="T195" s="3">
        <v>1</v>
      </c>
      <c r="U195" s="3">
        <v>0</v>
      </c>
      <c r="V195" s="3">
        <v>1</v>
      </c>
      <c r="W195" s="7"/>
      <c r="X195" s="3" t="s">
        <v>953</v>
      </c>
      <c r="Y195" s="3" t="s">
        <v>252</v>
      </c>
    </row>
    <row r="196" spans="1:25" x14ac:dyDescent="0.15">
      <c r="A196" s="3">
        <v>201136</v>
      </c>
      <c r="B196" s="3" t="s">
        <v>954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4">
        <v>566</v>
      </c>
      <c r="K196" s="3">
        <v>2</v>
      </c>
      <c r="L196" s="3" t="s">
        <v>722</v>
      </c>
      <c r="M196" s="3">
        <v>201</v>
      </c>
      <c r="N196" s="4" t="s">
        <v>723</v>
      </c>
      <c r="O196" s="3"/>
      <c r="P196" s="3"/>
      <c r="Q196" s="3" t="s">
        <v>745</v>
      </c>
      <c r="R196" s="3" t="str">
        <f t="shared" si="17"/>
        <v>ic_monster10</v>
      </c>
      <c r="S196" s="3" t="s">
        <v>1914</v>
      </c>
      <c r="T196" s="3">
        <v>1</v>
      </c>
      <c r="U196" s="3">
        <v>0</v>
      </c>
      <c r="V196" s="3">
        <v>1</v>
      </c>
      <c r="W196" s="7"/>
      <c r="X196" s="3" t="s">
        <v>954</v>
      </c>
      <c r="Y196" s="3" t="s">
        <v>252</v>
      </c>
    </row>
    <row r="197" spans="1:25" x14ac:dyDescent="0.15">
      <c r="A197" s="3">
        <v>201137</v>
      </c>
      <c r="B197" s="3" t="s">
        <v>955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0</v>
      </c>
      <c r="J197" s="4">
        <v>567</v>
      </c>
      <c r="K197" s="3">
        <v>2</v>
      </c>
      <c r="L197" s="3" t="s">
        <v>722</v>
      </c>
      <c r="M197" s="3">
        <v>201</v>
      </c>
      <c r="N197" s="4" t="s">
        <v>723</v>
      </c>
      <c r="O197" s="3"/>
      <c r="P197" s="3"/>
      <c r="Q197" s="3" t="s">
        <v>748</v>
      </c>
      <c r="R197" s="3" t="str">
        <f t="shared" si="17"/>
        <v>ic_monster11</v>
      </c>
      <c r="S197" s="3" t="s">
        <v>1915</v>
      </c>
      <c r="T197" s="3">
        <v>1</v>
      </c>
      <c r="U197" s="3">
        <v>0</v>
      </c>
      <c r="V197" s="3">
        <v>1</v>
      </c>
      <c r="W197" s="7"/>
      <c r="X197" s="3" t="s">
        <v>955</v>
      </c>
      <c r="Y197" s="3" t="s">
        <v>252</v>
      </c>
    </row>
    <row r="198" spans="1:25" x14ac:dyDescent="0.15">
      <c r="A198" s="3">
        <v>201138</v>
      </c>
      <c r="B198" s="3" t="s">
        <v>956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4">
        <v>568</v>
      </c>
      <c r="K198" s="3">
        <v>2</v>
      </c>
      <c r="L198" s="3" t="s">
        <v>722</v>
      </c>
      <c r="M198" s="3">
        <v>201</v>
      </c>
      <c r="N198" s="4" t="s">
        <v>723</v>
      </c>
      <c r="O198" s="3"/>
      <c r="P198" s="3"/>
      <c r="Q198" s="3" t="s">
        <v>751</v>
      </c>
      <c r="R198" s="3" t="str">
        <f t="shared" si="17"/>
        <v>ic_monster12</v>
      </c>
      <c r="S198" s="3" t="s">
        <v>1916</v>
      </c>
      <c r="T198" s="3">
        <v>1</v>
      </c>
      <c r="U198" s="3">
        <v>0</v>
      </c>
      <c r="V198" s="3">
        <v>1</v>
      </c>
      <c r="W198" s="7"/>
      <c r="X198" s="3" t="s">
        <v>956</v>
      </c>
      <c r="Y198" s="3" t="s">
        <v>252</v>
      </c>
    </row>
    <row r="199" spans="1:25" x14ac:dyDescent="0.15">
      <c r="A199" s="3">
        <v>201139</v>
      </c>
      <c r="B199" s="3" t="s">
        <v>957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0</v>
      </c>
      <c r="J199" s="4">
        <v>569</v>
      </c>
      <c r="K199" s="3">
        <v>2</v>
      </c>
      <c r="L199" s="3" t="s">
        <v>722</v>
      </c>
      <c r="M199" s="3">
        <v>201</v>
      </c>
      <c r="N199" s="4" t="s">
        <v>723</v>
      </c>
      <c r="O199" s="3"/>
      <c r="P199" s="3"/>
      <c r="Q199" s="3" t="s">
        <v>753</v>
      </c>
      <c r="R199" s="3" t="str">
        <f t="shared" si="17"/>
        <v>ic_monster13</v>
      </c>
      <c r="S199" s="3" t="s">
        <v>1917</v>
      </c>
      <c r="T199" s="3">
        <v>1</v>
      </c>
      <c r="U199" s="3">
        <v>0</v>
      </c>
      <c r="V199" s="3">
        <v>1</v>
      </c>
      <c r="W199" s="7"/>
      <c r="X199" s="3" t="s">
        <v>957</v>
      </c>
      <c r="Y199" s="3" t="s">
        <v>252</v>
      </c>
    </row>
    <row r="200" spans="1:25" x14ac:dyDescent="0.15">
      <c r="A200" s="3">
        <v>201140</v>
      </c>
      <c r="B200" s="3" t="s">
        <v>958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0</v>
      </c>
      <c r="J200" s="4">
        <v>570</v>
      </c>
      <c r="K200" s="3">
        <v>2</v>
      </c>
      <c r="L200" s="3" t="s">
        <v>722</v>
      </c>
      <c r="M200" s="3">
        <v>201</v>
      </c>
      <c r="N200" s="4" t="s">
        <v>723</v>
      </c>
      <c r="O200" s="3"/>
      <c r="P200" s="3"/>
      <c r="Q200" s="3" t="s">
        <v>755</v>
      </c>
      <c r="R200" s="3" t="str">
        <f t="shared" si="17"/>
        <v>ic_monster14</v>
      </c>
      <c r="S200" s="3" t="s">
        <v>1918</v>
      </c>
      <c r="T200" s="3">
        <v>1</v>
      </c>
      <c r="U200" s="3">
        <v>0</v>
      </c>
      <c r="V200" s="3">
        <v>1</v>
      </c>
      <c r="W200" s="7"/>
      <c r="X200" s="3" t="s">
        <v>958</v>
      </c>
      <c r="Y200" s="3" t="s">
        <v>252</v>
      </c>
    </row>
    <row r="201" spans="1:25" x14ac:dyDescent="0.15">
      <c r="A201" s="3">
        <v>201141</v>
      </c>
      <c r="B201" s="3" t="s">
        <v>959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0</v>
      </c>
      <c r="J201" s="4">
        <v>571</v>
      </c>
      <c r="K201" s="3">
        <v>2</v>
      </c>
      <c r="L201" s="3" t="s">
        <v>722</v>
      </c>
      <c r="M201" s="3">
        <v>201</v>
      </c>
      <c r="N201" s="4" t="s">
        <v>723</v>
      </c>
      <c r="O201" s="3"/>
      <c r="P201" s="3"/>
      <c r="Q201" s="3" t="s">
        <v>757</v>
      </c>
      <c r="R201" s="3" t="str">
        <f t="shared" si="17"/>
        <v>ic_monster15</v>
      </c>
      <c r="S201" s="3" t="s">
        <v>1919</v>
      </c>
      <c r="T201" s="3">
        <v>1</v>
      </c>
      <c r="U201" s="3">
        <v>0</v>
      </c>
      <c r="V201" s="3">
        <v>1</v>
      </c>
      <c r="W201" s="7"/>
      <c r="X201" s="3" t="s">
        <v>959</v>
      </c>
      <c r="Y201" s="3" t="s">
        <v>252</v>
      </c>
    </row>
    <row r="202" spans="1:25" x14ac:dyDescent="0.15">
      <c r="A202" s="3">
        <v>201142</v>
      </c>
      <c r="B202" s="3" t="s">
        <v>960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0</v>
      </c>
      <c r="J202" s="4">
        <v>572</v>
      </c>
      <c r="K202" s="3">
        <v>2</v>
      </c>
      <c r="L202" s="3" t="s">
        <v>722</v>
      </c>
      <c r="M202" s="3">
        <v>201</v>
      </c>
      <c r="N202" s="4" t="s">
        <v>723</v>
      </c>
      <c r="O202" s="3"/>
      <c r="P202" s="3"/>
      <c r="Q202" s="3" t="s">
        <v>759</v>
      </c>
      <c r="R202" s="3" t="str">
        <f t="shared" si="17"/>
        <v>ic_monster16</v>
      </c>
      <c r="S202" s="3" t="s">
        <v>1920</v>
      </c>
      <c r="T202" s="3">
        <v>1</v>
      </c>
      <c r="U202" s="3">
        <v>0</v>
      </c>
      <c r="V202" s="3">
        <v>1</v>
      </c>
      <c r="W202" s="7"/>
      <c r="X202" s="3" t="s">
        <v>960</v>
      </c>
      <c r="Y202" s="3" t="s">
        <v>252</v>
      </c>
    </row>
    <row r="203" spans="1:25" x14ac:dyDescent="0.15">
      <c r="A203" s="3">
        <v>201143</v>
      </c>
      <c r="B203" s="3" t="s">
        <v>961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0</v>
      </c>
      <c r="J203" s="4">
        <v>573</v>
      </c>
      <c r="K203" s="3">
        <v>2</v>
      </c>
      <c r="L203" s="3" t="s">
        <v>722</v>
      </c>
      <c r="M203" s="3">
        <v>201</v>
      </c>
      <c r="N203" s="4" t="s">
        <v>723</v>
      </c>
      <c r="O203" s="3"/>
      <c r="P203" s="3"/>
      <c r="Q203" s="3" t="s">
        <v>762</v>
      </c>
      <c r="R203" s="3" t="str">
        <f t="shared" si="17"/>
        <v>ic_monster17</v>
      </c>
      <c r="S203" s="3" t="s">
        <v>1921</v>
      </c>
      <c r="T203" s="3">
        <v>1</v>
      </c>
      <c r="U203" s="3">
        <v>0</v>
      </c>
      <c r="V203" s="3">
        <v>1</v>
      </c>
      <c r="W203" s="7"/>
      <c r="X203" s="3" t="s">
        <v>961</v>
      </c>
      <c r="Y203" s="3" t="s">
        <v>252</v>
      </c>
    </row>
    <row r="204" spans="1:25" x14ac:dyDescent="0.15">
      <c r="A204" s="3">
        <v>201144</v>
      </c>
      <c r="B204" s="3" t="s">
        <v>962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0</v>
      </c>
      <c r="J204" s="4">
        <v>574</v>
      </c>
      <c r="K204" s="3">
        <v>2</v>
      </c>
      <c r="L204" s="3" t="s">
        <v>722</v>
      </c>
      <c r="M204" s="3">
        <v>201</v>
      </c>
      <c r="N204" s="4" t="s">
        <v>723</v>
      </c>
      <c r="O204" s="3"/>
      <c r="P204" s="3"/>
      <c r="Q204" s="3" t="s">
        <v>765</v>
      </c>
      <c r="R204" s="3" t="str">
        <f t="shared" si="17"/>
        <v>ic_monster18</v>
      </c>
      <c r="S204" s="3" t="s">
        <v>1922</v>
      </c>
      <c r="T204" s="3">
        <v>1</v>
      </c>
      <c r="U204" s="3">
        <v>0</v>
      </c>
      <c r="V204" s="3">
        <v>1</v>
      </c>
      <c r="W204" s="7"/>
      <c r="X204" s="3" t="s">
        <v>962</v>
      </c>
      <c r="Y204" s="3" t="s">
        <v>252</v>
      </c>
    </row>
    <row r="205" spans="1:25" x14ac:dyDescent="0.15">
      <c r="A205" s="3">
        <v>201145</v>
      </c>
      <c r="B205" s="3" t="s">
        <v>963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4">
        <v>575</v>
      </c>
      <c r="K205" s="3">
        <v>2</v>
      </c>
      <c r="L205" s="3" t="s">
        <v>722</v>
      </c>
      <c r="M205" s="3">
        <v>201</v>
      </c>
      <c r="N205" s="4" t="s">
        <v>723</v>
      </c>
      <c r="O205" s="3"/>
      <c r="P205" s="3"/>
      <c r="Q205" s="3" t="s">
        <v>768</v>
      </c>
      <c r="R205" s="3" t="str">
        <f t="shared" si="17"/>
        <v>ic_monster19</v>
      </c>
      <c r="S205" s="3" t="s">
        <v>1923</v>
      </c>
      <c r="T205" s="3">
        <v>1</v>
      </c>
      <c r="U205" s="3">
        <v>0</v>
      </c>
      <c r="V205" s="3">
        <v>1</v>
      </c>
      <c r="W205" s="7"/>
      <c r="X205" s="3" t="s">
        <v>963</v>
      </c>
      <c r="Y205" s="3" t="s">
        <v>252</v>
      </c>
    </row>
    <row r="206" spans="1:25" x14ac:dyDescent="0.15">
      <c r="A206" s="3">
        <v>201146</v>
      </c>
      <c r="B206" s="3" t="s">
        <v>964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4">
        <v>576</v>
      </c>
      <c r="K206" s="3">
        <v>2</v>
      </c>
      <c r="L206" s="3" t="s">
        <v>722</v>
      </c>
      <c r="M206" s="3">
        <v>201</v>
      </c>
      <c r="N206" s="4" t="s">
        <v>723</v>
      </c>
      <c r="O206" s="3"/>
      <c r="P206" s="3"/>
      <c r="Q206" s="3" t="s">
        <v>770</v>
      </c>
      <c r="R206" s="3" t="str">
        <f t="shared" si="17"/>
        <v>ic_monster20</v>
      </c>
      <c r="S206" s="3" t="s">
        <v>1924</v>
      </c>
      <c r="T206" s="3">
        <v>1</v>
      </c>
      <c r="U206" s="3">
        <v>0</v>
      </c>
      <c r="V206" s="3">
        <v>1</v>
      </c>
      <c r="W206" s="7"/>
      <c r="X206" s="3" t="s">
        <v>964</v>
      </c>
      <c r="Y206" s="3" t="s">
        <v>252</v>
      </c>
    </row>
    <row r="207" spans="1:25" x14ac:dyDescent="0.15">
      <c r="A207" s="3">
        <v>201147</v>
      </c>
      <c r="B207" s="3" t="s">
        <v>965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0</v>
      </c>
      <c r="J207" s="4">
        <v>577</v>
      </c>
      <c r="K207" s="3">
        <v>2</v>
      </c>
      <c r="L207" s="3" t="s">
        <v>722</v>
      </c>
      <c r="M207" s="3">
        <v>201</v>
      </c>
      <c r="N207" s="4" t="s">
        <v>723</v>
      </c>
      <c r="O207" s="3"/>
      <c r="P207" s="3"/>
      <c r="Q207" s="3" t="s">
        <v>772</v>
      </c>
      <c r="R207" s="3" t="str">
        <f t="shared" si="17"/>
        <v>ic_monster21</v>
      </c>
      <c r="S207" s="3" t="s">
        <v>772</v>
      </c>
      <c r="T207" s="3">
        <v>1</v>
      </c>
      <c r="U207" s="3">
        <v>0</v>
      </c>
      <c r="V207" s="3">
        <v>1</v>
      </c>
      <c r="W207" s="7"/>
      <c r="X207" s="3" t="s">
        <v>965</v>
      </c>
      <c r="Y207" s="3" t="s">
        <v>252</v>
      </c>
    </row>
    <row r="208" spans="1:25" x14ac:dyDescent="0.15">
      <c r="A208" s="3">
        <v>201148</v>
      </c>
      <c r="B208" s="3" t="s">
        <v>966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</v>
      </c>
      <c r="J208" s="4">
        <v>578</v>
      </c>
      <c r="K208" s="3">
        <v>2</v>
      </c>
      <c r="L208" s="3" t="s">
        <v>722</v>
      </c>
      <c r="M208" s="3">
        <v>201</v>
      </c>
      <c r="N208" s="4" t="s">
        <v>723</v>
      </c>
      <c r="O208" s="3"/>
      <c r="P208" s="3"/>
      <c r="Q208" s="3" t="s">
        <v>820</v>
      </c>
      <c r="R208" s="3" t="str">
        <f t="shared" si="17"/>
        <v>ic_monster1</v>
      </c>
      <c r="S208" s="3" t="s">
        <v>1905</v>
      </c>
      <c r="T208" s="3">
        <v>1</v>
      </c>
      <c r="U208" s="3">
        <v>0</v>
      </c>
      <c r="V208" s="3">
        <v>1</v>
      </c>
      <c r="W208" s="7"/>
      <c r="X208" s="3" t="s">
        <v>966</v>
      </c>
      <c r="Y208" s="3" t="s">
        <v>252</v>
      </c>
    </row>
    <row r="209" spans="1:25" x14ac:dyDescent="0.15">
      <c r="A209" s="3">
        <v>201149</v>
      </c>
      <c r="B209" s="3" t="s">
        <v>967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0</v>
      </c>
      <c r="J209" s="4">
        <v>579</v>
      </c>
      <c r="K209" s="3">
        <v>2</v>
      </c>
      <c r="L209" s="3" t="s">
        <v>722</v>
      </c>
      <c r="M209" s="3">
        <v>201</v>
      </c>
      <c r="N209" s="4" t="s">
        <v>723</v>
      </c>
      <c r="O209" s="3"/>
      <c r="P209" s="3"/>
      <c r="Q209" s="3" t="s">
        <v>822</v>
      </c>
      <c r="R209" s="3" t="str">
        <f t="shared" si="17"/>
        <v>ic_monster2</v>
      </c>
      <c r="S209" s="3" t="s">
        <v>1906</v>
      </c>
      <c r="T209" s="3">
        <v>1</v>
      </c>
      <c r="U209" s="3">
        <v>0</v>
      </c>
      <c r="V209" s="3">
        <v>1</v>
      </c>
      <c r="W209" s="7"/>
      <c r="X209" s="3" t="s">
        <v>967</v>
      </c>
      <c r="Y209" s="3" t="s">
        <v>252</v>
      </c>
    </row>
    <row r="210" spans="1:25" x14ac:dyDescent="0.15">
      <c r="A210" s="3">
        <v>201150</v>
      </c>
      <c r="B210" s="3" t="s">
        <v>968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0</v>
      </c>
      <c r="J210" s="4">
        <v>580</v>
      </c>
      <c r="K210" s="3">
        <v>2</v>
      </c>
      <c r="L210" s="3" t="s">
        <v>722</v>
      </c>
      <c r="M210" s="3">
        <v>201</v>
      </c>
      <c r="N210" s="4" t="s">
        <v>723</v>
      </c>
      <c r="O210" s="3"/>
      <c r="P210" s="3"/>
      <c r="Q210" s="3" t="s">
        <v>824</v>
      </c>
      <c r="R210" s="3" t="str">
        <f t="shared" ref="R210:R241" si="18">R189</f>
        <v>ic_monster3</v>
      </c>
      <c r="S210" s="3" t="s">
        <v>1907</v>
      </c>
      <c r="T210" s="3">
        <v>1</v>
      </c>
      <c r="U210" s="3">
        <v>0</v>
      </c>
      <c r="V210" s="3">
        <v>1</v>
      </c>
      <c r="W210" s="7"/>
      <c r="X210" s="3" t="s">
        <v>968</v>
      </c>
      <c r="Y210" s="3" t="s">
        <v>252</v>
      </c>
    </row>
    <row r="211" spans="1:25" x14ac:dyDescent="0.15">
      <c r="A211" s="3">
        <v>201151</v>
      </c>
      <c r="B211" s="3" t="s">
        <v>969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0</v>
      </c>
      <c r="J211" s="4">
        <v>581</v>
      </c>
      <c r="K211" s="3">
        <v>2</v>
      </c>
      <c r="L211" s="3" t="s">
        <v>722</v>
      </c>
      <c r="M211" s="3">
        <v>201</v>
      </c>
      <c r="N211" s="4" t="s">
        <v>723</v>
      </c>
      <c r="O211" s="3"/>
      <c r="P211" s="3"/>
      <c r="Q211" s="3" t="s">
        <v>826</v>
      </c>
      <c r="R211" s="3" t="str">
        <f t="shared" si="18"/>
        <v>ic_monster4</v>
      </c>
      <c r="S211" s="3" t="s">
        <v>1908</v>
      </c>
      <c r="T211" s="3">
        <v>1</v>
      </c>
      <c r="U211" s="3">
        <v>0</v>
      </c>
      <c r="V211" s="3">
        <v>1</v>
      </c>
      <c r="W211" s="7"/>
      <c r="X211" s="3" t="s">
        <v>969</v>
      </c>
      <c r="Y211" s="3" t="s">
        <v>252</v>
      </c>
    </row>
    <row r="212" spans="1:25" x14ac:dyDescent="0.15">
      <c r="A212" s="3">
        <v>201152</v>
      </c>
      <c r="B212" s="4" t="s">
        <v>970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0</v>
      </c>
      <c r="J212" s="4">
        <v>582</v>
      </c>
      <c r="K212" s="3">
        <v>2</v>
      </c>
      <c r="L212" s="3" t="s">
        <v>722</v>
      </c>
      <c r="M212" s="3">
        <v>201</v>
      </c>
      <c r="N212" s="4" t="s">
        <v>723</v>
      </c>
      <c r="O212" s="3"/>
      <c r="P212" s="3"/>
      <c r="Q212" s="3" t="s">
        <v>828</v>
      </c>
      <c r="R212" s="3" t="str">
        <f t="shared" si="18"/>
        <v>ic_monster5</v>
      </c>
      <c r="S212" s="3" t="s">
        <v>1909</v>
      </c>
      <c r="T212" s="3">
        <v>1</v>
      </c>
      <c r="U212" s="3">
        <v>0</v>
      </c>
      <c r="V212" s="3">
        <v>1</v>
      </c>
      <c r="W212" s="7"/>
      <c r="X212" s="3" t="s">
        <v>970</v>
      </c>
      <c r="Y212" s="3" t="s">
        <v>252</v>
      </c>
    </row>
    <row r="213" spans="1:25" ht="14.25" x14ac:dyDescent="0.15">
      <c r="A213" s="3">
        <v>201153</v>
      </c>
      <c r="B213" s="22" t="s">
        <v>971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0</v>
      </c>
      <c r="J213" s="4">
        <v>583</v>
      </c>
      <c r="K213" s="3">
        <v>2</v>
      </c>
      <c r="L213" s="3" t="s">
        <v>722</v>
      </c>
      <c r="M213" s="3">
        <v>201</v>
      </c>
      <c r="N213" s="4" t="s">
        <v>723</v>
      </c>
      <c r="O213" s="3"/>
      <c r="P213" s="3"/>
      <c r="Q213" s="3" t="s">
        <v>830</v>
      </c>
      <c r="R213" s="3" t="str">
        <f t="shared" si="18"/>
        <v>ic_monster6</v>
      </c>
      <c r="S213" s="3" t="s">
        <v>1910</v>
      </c>
      <c r="T213" s="3">
        <v>1</v>
      </c>
      <c r="U213" s="3">
        <v>0</v>
      </c>
      <c r="V213" s="3">
        <v>1</v>
      </c>
      <c r="W213" s="7"/>
      <c r="X213" s="3" t="s">
        <v>971</v>
      </c>
      <c r="Y213" s="3" t="s">
        <v>252</v>
      </c>
    </row>
    <row r="214" spans="1:25" x14ac:dyDescent="0.15">
      <c r="A214" s="3">
        <v>201154</v>
      </c>
      <c r="B214" s="3" t="s">
        <v>972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0</v>
      </c>
      <c r="J214" s="4">
        <v>584</v>
      </c>
      <c r="K214" s="3">
        <v>2</v>
      </c>
      <c r="L214" s="3" t="s">
        <v>722</v>
      </c>
      <c r="M214" s="3">
        <v>201</v>
      </c>
      <c r="N214" s="4" t="s">
        <v>723</v>
      </c>
      <c r="O214" s="3"/>
      <c r="P214" s="3"/>
      <c r="Q214" s="3" t="s">
        <v>832</v>
      </c>
      <c r="R214" s="3" t="str">
        <f t="shared" si="18"/>
        <v>ic_monster7</v>
      </c>
      <c r="S214" s="3" t="s">
        <v>1911</v>
      </c>
      <c r="T214" s="3">
        <v>1</v>
      </c>
      <c r="U214" s="3">
        <v>0</v>
      </c>
      <c r="V214" s="3">
        <v>1</v>
      </c>
      <c r="W214" s="7"/>
      <c r="X214" s="3" t="s">
        <v>972</v>
      </c>
      <c r="Y214" s="3" t="s">
        <v>252</v>
      </c>
    </row>
    <row r="215" spans="1:25" x14ac:dyDescent="0.15">
      <c r="A215" s="3">
        <v>201155</v>
      </c>
      <c r="B215" s="3" t="s">
        <v>973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0</v>
      </c>
      <c r="J215" s="4">
        <v>585</v>
      </c>
      <c r="K215" s="3">
        <v>2</v>
      </c>
      <c r="L215" s="3" t="s">
        <v>722</v>
      </c>
      <c r="M215" s="3">
        <v>201</v>
      </c>
      <c r="N215" s="4" t="s">
        <v>723</v>
      </c>
      <c r="O215" s="3"/>
      <c r="P215" s="3"/>
      <c r="Q215" s="3" t="s">
        <v>834</v>
      </c>
      <c r="R215" s="3" t="str">
        <f t="shared" si="18"/>
        <v>ic_monster8</v>
      </c>
      <c r="S215" s="3" t="s">
        <v>1912</v>
      </c>
      <c r="T215" s="3">
        <v>1</v>
      </c>
      <c r="U215" s="3">
        <v>0</v>
      </c>
      <c r="V215" s="3">
        <v>1</v>
      </c>
      <c r="W215" s="7"/>
      <c r="X215" s="3" t="s">
        <v>973</v>
      </c>
      <c r="Y215" s="3" t="s">
        <v>252</v>
      </c>
    </row>
    <row r="216" spans="1:25" x14ac:dyDescent="0.15">
      <c r="A216" s="3">
        <v>201156</v>
      </c>
      <c r="B216" s="3" t="s">
        <v>974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0</v>
      </c>
      <c r="J216" s="4">
        <v>586</v>
      </c>
      <c r="K216" s="3">
        <v>2</v>
      </c>
      <c r="L216" s="3" t="s">
        <v>722</v>
      </c>
      <c r="M216" s="3">
        <v>201</v>
      </c>
      <c r="N216" s="4" t="s">
        <v>723</v>
      </c>
      <c r="O216" s="3"/>
      <c r="P216" s="3"/>
      <c r="Q216" s="3" t="s">
        <v>836</v>
      </c>
      <c r="R216" s="3" t="str">
        <f t="shared" si="18"/>
        <v>ic_monster9</v>
      </c>
      <c r="S216" s="3" t="s">
        <v>1913</v>
      </c>
      <c r="T216" s="3">
        <v>1</v>
      </c>
      <c r="U216" s="3">
        <v>0</v>
      </c>
      <c r="V216" s="3">
        <v>1</v>
      </c>
      <c r="W216" s="7"/>
      <c r="X216" s="3" t="s">
        <v>974</v>
      </c>
      <c r="Y216" s="3" t="s">
        <v>252</v>
      </c>
    </row>
    <row r="217" spans="1:25" x14ac:dyDescent="0.15">
      <c r="A217" s="3">
        <v>201157</v>
      </c>
      <c r="B217" s="3" t="s">
        <v>975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4">
        <v>587</v>
      </c>
      <c r="K217" s="3">
        <v>2</v>
      </c>
      <c r="L217" s="3" t="s">
        <v>722</v>
      </c>
      <c r="M217" s="3">
        <v>201</v>
      </c>
      <c r="N217" s="4" t="s">
        <v>723</v>
      </c>
      <c r="O217" s="3"/>
      <c r="P217" s="3"/>
      <c r="Q217" s="3" t="s">
        <v>838</v>
      </c>
      <c r="R217" s="3" t="str">
        <f t="shared" si="18"/>
        <v>ic_monster10</v>
      </c>
      <c r="S217" s="3" t="s">
        <v>1914</v>
      </c>
      <c r="T217" s="3">
        <v>1</v>
      </c>
      <c r="U217" s="3">
        <v>0</v>
      </c>
      <c r="V217" s="3">
        <v>1</v>
      </c>
      <c r="W217" s="7"/>
      <c r="X217" s="3" t="s">
        <v>975</v>
      </c>
      <c r="Y217" s="3" t="s">
        <v>252</v>
      </c>
    </row>
    <row r="218" spans="1:25" x14ac:dyDescent="0.15">
      <c r="A218" s="3">
        <v>201158</v>
      </c>
      <c r="B218" s="3" t="s">
        <v>976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4">
        <v>588</v>
      </c>
      <c r="K218" s="3">
        <v>2</v>
      </c>
      <c r="L218" s="3" t="s">
        <v>722</v>
      </c>
      <c r="M218" s="3">
        <v>201</v>
      </c>
      <c r="N218" s="4" t="s">
        <v>723</v>
      </c>
      <c r="O218" s="3"/>
      <c r="P218" s="3"/>
      <c r="Q218" s="3" t="s">
        <v>840</v>
      </c>
      <c r="R218" s="3" t="str">
        <f t="shared" si="18"/>
        <v>ic_monster11</v>
      </c>
      <c r="S218" s="3" t="s">
        <v>1915</v>
      </c>
      <c r="T218" s="3">
        <v>1</v>
      </c>
      <c r="U218" s="3">
        <v>0</v>
      </c>
      <c r="V218" s="3">
        <v>1</v>
      </c>
      <c r="W218" s="7"/>
      <c r="X218" s="3" t="s">
        <v>976</v>
      </c>
      <c r="Y218" s="3" t="s">
        <v>252</v>
      </c>
    </row>
    <row r="219" spans="1:25" x14ac:dyDescent="0.15">
      <c r="A219" s="3">
        <v>201159</v>
      </c>
      <c r="B219" s="3" t="s">
        <v>977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4">
        <v>589</v>
      </c>
      <c r="K219" s="3">
        <v>2</v>
      </c>
      <c r="L219" s="3" t="s">
        <v>722</v>
      </c>
      <c r="M219" s="3">
        <v>201</v>
      </c>
      <c r="N219" s="4" t="s">
        <v>723</v>
      </c>
      <c r="O219" s="3"/>
      <c r="P219" s="3"/>
      <c r="Q219" s="3" t="s">
        <v>842</v>
      </c>
      <c r="R219" s="3" t="str">
        <f t="shared" si="18"/>
        <v>ic_monster12</v>
      </c>
      <c r="S219" s="3" t="s">
        <v>1916</v>
      </c>
      <c r="T219" s="3">
        <v>1</v>
      </c>
      <c r="U219" s="3">
        <v>0</v>
      </c>
      <c r="V219" s="3">
        <v>1</v>
      </c>
      <c r="W219" s="7"/>
      <c r="X219" s="3" t="s">
        <v>977</v>
      </c>
      <c r="Y219" s="3" t="s">
        <v>252</v>
      </c>
    </row>
    <row r="220" spans="1:25" x14ac:dyDescent="0.15">
      <c r="A220" s="3">
        <v>201160</v>
      </c>
      <c r="B220" s="3" t="s">
        <v>978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0</v>
      </c>
      <c r="J220" s="4">
        <v>590</v>
      </c>
      <c r="K220" s="3">
        <v>2</v>
      </c>
      <c r="L220" s="3" t="s">
        <v>722</v>
      </c>
      <c r="M220" s="3">
        <v>201</v>
      </c>
      <c r="N220" s="4" t="s">
        <v>723</v>
      </c>
      <c r="O220" s="3"/>
      <c r="P220" s="3"/>
      <c r="Q220" s="3" t="s">
        <v>844</v>
      </c>
      <c r="R220" s="3" t="str">
        <f t="shared" si="18"/>
        <v>ic_monster13</v>
      </c>
      <c r="S220" s="3" t="s">
        <v>1917</v>
      </c>
      <c r="T220" s="3">
        <v>1</v>
      </c>
      <c r="U220" s="3">
        <v>0</v>
      </c>
      <c r="V220" s="3">
        <v>1</v>
      </c>
      <c r="W220" s="7"/>
      <c r="X220" s="3" t="s">
        <v>978</v>
      </c>
      <c r="Y220" s="3" t="s">
        <v>252</v>
      </c>
    </row>
    <row r="221" spans="1:25" x14ac:dyDescent="0.15">
      <c r="A221" s="3">
        <v>201161</v>
      </c>
      <c r="B221" s="3" t="s">
        <v>979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0</v>
      </c>
      <c r="J221" s="4">
        <v>591</v>
      </c>
      <c r="K221" s="3">
        <v>2</v>
      </c>
      <c r="L221" s="3" t="s">
        <v>722</v>
      </c>
      <c r="M221" s="3">
        <v>201</v>
      </c>
      <c r="N221" s="4" t="s">
        <v>723</v>
      </c>
      <c r="O221" s="3"/>
      <c r="P221" s="3"/>
      <c r="Q221" s="3" t="s">
        <v>846</v>
      </c>
      <c r="R221" s="3" t="str">
        <f t="shared" si="18"/>
        <v>ic_monster14</v>
      </c>
      <c r="S221" s="3" t="s">
        <v>1918</v>
      </c>
      <c r="T221" s="3">
        <v>1</v>
      </c>
      <c r="U221" s="3">
        <v>0</v>
      </c>
      <c r="V221" s="3">
        <v>1</v>
      </c>
      <c r="W221" s="7"/>
      <c r="X221" s="3" t="s">
        <v>979</v>
      </c>
      <c r="Y221" s="3" t="s">
        <v>252</v>
      </c>
    </row>
    <row r="222" spans="1:25" x14ac:dyDescent="0.15">
      <c r="A222" s="3">
        <v>201162</v>
      </c>
      <c r="B222" s="3" t="s">
        <v>980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4">
        <v>592</v>
      </c>
      <c r="K222" s="3">
        <v>2</v>
      </c>
      <c r="L222" s="3" t="s">
        <v>722</v>
      </c>
      <c r="M222" s="3">
        <v>201</v>
      </c>
      <c r="N222" s="4" t="s">
        <v>723</v>
      </c>
      <c r="O222" s="3"/>
      <c r="P222" s="3"/>
      <c r="Q222" s="3" t="s">
        <v>848</v>
      </c>
      <c r="R222" s="3" t="str">
        <f t="shared" si="18"/>
        <v>ic_monster15</v>
      </c>
      <c r="S222" s="3" t="s">
        <v>1919</v>
      </c>
      <c r="T222" s="3">
        <v>1</v>
      </c>
      <c r="U222" s="3">
        <v>0</v>
      </c>
      <c r="V222" s="3">
        <v>1</v>
      </c>
      <c r="W222" s="7"/>
      <c r="X222" s="3" t="s">
        <v>980</v>
      </c>
      <c r="Y222" s="3" t="s">
        <v>252</v>
      </c>
    </row>
    <row r="223" spans="1:25" x14ac:dyDescent="0.15">
      <c r="A223" s="3">
        <v>201163</v>
      </c>
      <c r="B223" s="3" t="s">
        <v>981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0</v>
      </c>
      <c r="J223" s="4">
        <v>593</v>
      </c>
      <c r="K223" s="3">
        <v>2</v>
      </c>
      <c r="L223" s="3" t="s">
        <v>722</v>
      </c>
      <c r="M223" s="3">
        <v>201</v>
      </c>
      <c r="N223" s="4" t="s">
        <v>723</v>
      </c>
      <c r="O223" s="3"/>
      <c r="P223" s="3"/>
      <c r="Q223" s="3" t="s">
        <v>850</v>
      </c>
      <c r="R223" s="3" t="str">
        <f t="shared" si="18"/>
        <v>ic_monster16</v>
      </c>
      <c r="S223" s="3" t="s">
        <v>1920</v>
      </c>
      <c r="T223" s="3">
        <v>1</v>
      </c>
      <c r="U223" s="3">
        <v>0</v>
      </c>
      <c r="V223" s="3">
        <v>1</v>
      </c>
      <c r="W223" s="7"/>
      <c r="X223" s="3" t="s">
        <v>981</v>
      </c>
      <c r="Y223" s="3" t="s">
        <v>252</v>
      </c>
    </row>
    <row r="224" spans="1:25" x14ac:dyDescent="0.15">
      <c r="A224" s="3">
        <v>201164</v>
      </c>
      <c r="B224" s="3" t="s">
        <v>982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4">
        <v>594</v>
      </c>
      <c r="K224" s="3">
        <v>2</v>
      </c>
      <c r="L224" s="3" t="s">
        <v>722</v>
      </c>
      <c r="M224" s="3">
        <v>201</v>
      </c>
      <c r="N224" s="4" t="s">
        <v>723</v>
      </c>
      <c r="O224" s="3"/>
      <c r="P224" s="3"/>
      <c r="Q224" s="3" t="s">
        <v>852</v>
      </c>
      <c r="R224" s="3" t="str">
        <f t="shared" si="18"/>
        <v>ic_monster17</v>
      </c>
      <c r="S224" s="3" t="s">
        <v>1921</v>
      </c>
      <c r="T224" s="3">
        <v>1</v>
      </c>
      <c r="U224" s="3">
        <v>0</v>
      </c>
      <c r="V224" s="3">
        <v>1</v>
      </c>
      <c r="W224" s="7"/>
      <c r="X224" s="3" t="s">
        <v>982</v>
      </c>
      <c r="Y224" s="3" t="s">
        <v>252</v>
      </c>
    </row>
    <row r="225" spans="1:25" x14ac:dyDescent="0.15">
      <c r="A225" s="3">
        <v>201165</v>
      </c>
      <c r="B225" s="3" t="s">
        <v>983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0</v>
      </c>
      <c r="J225" s="4">
        <v>595</v>
      </c>
      <c r="K225" s="3">
        <v>2</v>
      </c>
      <c r="L225" s="3" t="s">
        <v>722</v>
      </c>
      <c r="M225" s="3">
        <v>201</v>
      </c>
      <c r="N225" s="4" t="s">
        <v>723</v>
      </c>
      <c r="O225" s="3"/>
      <c r="P225" s="3"/>
      <c r="Q225" s="3" t="s">
        <v>854</v>
      </c>
      <c r="R225" s="3" t="str">
        <f t="shared" si="18"/>
        <v>ic_monster18</v>
      </c>
      <c r="S225" s="3" t="s">
        <v>1922</v>
      </c>
      <c r="T225" s="3">
        <v>1</v>
      </c>
      <c r="U225" s="3">
        <v>0</v>
      </c>
      <c r="V225" s="3">
        <v>1</v>
      </c>
      <c r="W225" s="7"/>
      <c r="X225" s="3" t="s">
        <v>983</v>
      </c>
      <c r="Y225" s="3" t="s">
        <v>252</v>
      </c>
    </row>
    <row r="226" spans="1:25" x14ac:dyDescent="0.15">
      <c r="A226" s="3">
        <v>201166</v>
      </c>
      <c r="B226" s="3" t="s">
        <v>984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4">
        <v>596</v>
      </c>
      <c r="K226" s="3">
        <v>2</v>
      </c>
      <c r="L226" s="3" t="s">
        <v>722</v>
      </c>
      <c r="M226" s="3">
        <v>201</v>
      </c>
      <c r="N226" s="4" t="s">
        <v>723</v>
      </c>
      <c r="O226" s="3"/>
      <c r="P226" s="3"/>
      <c r="Q226" s="3" t="s">
        <v>856</v>
      </c>
      <c r="R226" s="3" t="str">
        <f t="shared" si="18"/>
        <v>ic_monster19</v>
      </c>
      <c r="S226" s="3" t="s">
        <v>1923</v>
      </c>
      <c r="T226" s="3">
        <v>1</v>
      </c>
      <c r="U226" s="3">
        <v>0</v>
      </c>
      <c r="V226" s="3">
        <v>1</v>
      </c>
      <c r="W226" s="7"/>
      <c r="X226" s="3" t="s">
        <v>984</v>
      </c>
      <c r="Y226" s="3" t="s">
        <v>252</v>
      </c>
    </row>
    <row r="227" spans="1:25" x14ac:dyDescent="0.15">
      <c r="A227" s="3">
        <v>201167</v>
      </c>
      <c r="B227" s="3" t="s">
        <v>985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4">
        <v>597</v>
      </c>
      <c r="K227" s="3">
        <v>2</v>
      </c>
      <c r="L227" s="3" t="s">
        <v>722</v>
      </c>
      <c r="M227" s="3">
        <v>201</v>
      </c>
      <c r="N227" s="4" t="s">
        <v>723</v>
      </c>
      <c r="O227" s="3"/>
      <c r="P227" s="3"/>
      <c r="Q227" s="3" t="s">
        <v>858</v>
      </c>
      <c r="R227" s="3" t="str">
        <f t="shared" si="18"/>
        <v>ic_monster20</v>
      </c>
      <c r="S227" s="3" t="s">
        <v>1924</v>
      </c>
      <c r="T227" s="3">
        <v>1</v>
      </c>
      <c r="U227" s="3">
        <v>0</v>
      </c>
      <c r="V227" s="3">
        <v>1</v>
      </c>
      <c r="W227" s="7"/>
      <c r="X227" s="3" t="s">
        <v>985</v>
      </c>
      <c r="Y227" s="3" t="s">
        <v>252</v>
      </c>
    </row>
    <row r="228" spans="1:25" x14ac:dyDescent="0.15">
      <c r="A228" s="3">
        <v>201168</v>
      </c>
      <c r="B228" s="3" t="s">
        <v>986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4">
        <v>598</v>
      </c>
      <c r="K228" s="3">
        <v>2</v>
      </c>
      <c r="L228" s="3" t="s">
        <v>722</v>
      </c>
      <c r="M228" s="3">
        <v>201</v>
      </c>
      <c r="N228" s="4" t="s">
        <v>723</v>
      </c>
      <c r="O228" s="3"/>
      <c r="P228" s="3"/>
      <c r="Q228" s="3" t="s">
        <v>860</v>
      </c>
      <c r="R228" s="3" t="str">
        <f t="shared" si="18"/>
        <v>ic_monster21</v>
      </c>
      <c r="S228" s="3" t="s">
        <v>772</v>
      </c>
      <c r="T228" s="3">
        <v>1</v>
      </c>
      <c r="U228" s="3">
        <v>0</v>
      </c>
      <c r="V228" s="3">
        <v>1</v>
      </c>
      <c r="W228" s="7"/>
      <c r="X228" s="3" t="s">
        <v>986</v>
      </c>
      <c r="Y228" s="3" t="s">
        <v>252</v>
      </c>
    </row>
    <row r="229" spans="1:25" x14ac:dyDescent="0.15">
      <c r="A229" s="3">
        <v>201169</v>
      </c>
      <c r="B229" s="3" t="s">
        <v>987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4">
        <v>599</v>
      </c>
      <c r="K229" s="3">
        <v>2</v>
      </c>
      <c r="L229" s="3" t="s">
        <v>722</v>
      </c>
      <c r="M229" s="3">
        <v>201</v>
      </c>
      <c r="N229" s="4" t="s">
        <v>723</v>
      </c>
      <c r="O229" s="3"/>
      <c r="P229" s="3"/>
      <c r="Q229" s="3" t="s">
        <v>724</v>
      </c>
      <c r="R229" s="3" t="str">
        <f t="shared" si="18"/>
        <v>ic_monster1</v>
      </c>
      <c r="S229" s="3" t="s">
        <v>1905</v>
      </c>
      <c r="T229" s="3">
        <v>1</v>
      </c>
      <c r="U229" s="3">
        <v>0</v>
      </c>
      <c r="V229" s="3">
        <v>1</v>
      </c>
      <c r="W229" s="7"/>
      <c r="X229" s="3" t="s">
        <v>987</v>
      </c>
      <c r="Y229" s="3" t="s">
        <v>252</v>
      </c>
    </row>
    <row r="230" spans="1:25" x14ac:dyDescent="0.15">
      <c r="A230" s="3">
        <v>201170</v>
      </c>
      <c r="B230" s="3" t="s">
        <v>988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4">
        <v>600</v>
      </c>
      <c r="K230" s="3">
        <v>2</v>
      </c>
      <c r="L230" s="3" t="s">
        <v>722</v>
      </c>
      <c r="M230" s="3">
        <v>201</v>
      </c>
      <c r="N230" s="4" t="s">
        <v>723</v>
      </c>
      <c r="O230" s="3"/>
      <c r="P230" s="3"/>
      <c r="Q230" s="3" t="s">
        <v>726</v>
      </c>
      <c r="R230" s="3" t="str">
        <f t="shared" si="18"/>
        <v>ic_monster2</v>
      </c>
      <c r="S230" s="3" t="s">
        <v>1906</v>
      </c>
      <c r="T230" s="3">
        <v>1</v>
      </c>
      <c r="U230" s="3">
        <v>0</v>
      </c>
      <c r="V230" s="3">
        <v>1</v>
      </c>
      <c r="W230" s="7"/>
      <c r="X230" s="3" t="s">
        <v>988</v>
      </c>
      <c r="Y230" s="3" t="s">
        <v>252</v>
      </c>
    </row>
    <row r="231" spans="1:25" x14ac:dyDescent="0.15">
      <c r="A231" s="3">
        <v>201171</v>
      </c>
      <c r="B231" s="3" t="s">
        <v>989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4">
        <v>601</v>
      </c>
      <c r="K231" s="3">
        <v>2</v>
      </c>
      <c r="L231" s="3" t="s">
        <v>722</v>
      </c>
      <c r="M231" s="3">
        <v>201</v>
      </c>
      <c r="N231" s="4" t="s">
        <v>723</v>
      </c>
      <c r="O231" s="3"/>
      <c r="P231" s="3"/>
      <c r="Q231" s="3" t="s">
        <v>728</v>
      </c>
      <c r="R231" s="3" t="str">
        <f t="shared" si="18"/>
        <v>ic_monster3</v>
      </c>
      <c r="S231" s="3" t="s">
        <v>1907</v>
      </c>
      <c r="T231" s="3">
        <v>1</v>
      </c>
      <c r="U231" s="3">
        <v>0</v>
      </c>
      <c r="V231" s="3">
        <v>1</v>
      </c>
      <c r="W231" s="7"/>
      <c r="X231" s="3" t="s">
        <v>989</v>
      </c>
      <c r="Y231" s="3" t="s">
        <v>252</v>
      </c>
    </row>
    <row r="232" spans="1:25" x14ac:dyDescent="0.15">
      <c r="A232" s="3">
        <v>201172</v>
      </c>
      <c r="B232" s="3" t="s">
        <v>990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0</v>
      </c>
      <c r="J232" s="4">
        <v>602</v>
      </c>
      <c r="K232" s="3">
        <v>2</v>
      </c>
      <c r="L232" s="3" t="s">
        <v>722</v>
      </c>
      <c r="M232" s="3">
        <v>201</v>
      </c>
      <c r="N232" s="4" t="s">
        <v>723</v>
      </c>
      <c r="O232" s="3"/>
      <c r="P232" s="3"/>
      <c r="Q232" s="3" t="s">
        <v>730</v>
      </c>
      <c r="R232" s="3" t="str">
        <f t="shared" si="18"/>
        <v>ic_monster4</v>
      </c>
      <c r="S232" s="3" t="s">
        <v>1908</v>
      </c>
      <c r="T232" s="3">
        <v>1</v>
      </c>
      <c r="U232" s="3">
        <v>0</v>
      </c>
      <c r="V232" s="3">
        <v>1</v>
      </c>
      <c r="W232" s="7"/>
      <c r="X232" s="3" t="s">
        <v>990</v>
      </c>
      <c r="Y232" s="3" t="s">
        <v>252</v>
      </c>
    </row>
    <row r="233" spans="1:25" x14ac:dyDescent="0.15">
      <c r="A233" s="3">
        <v>201173</v>
      </c>
      <c r="B233" s="3" t="s">
        <v>991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0</v>
      </c>
      <c r="J233" s="4">
        <v>603</v>
      </c>
      <c r="K233" s="3">
        <v>2</v>
      </c>
      <c r="L233" s="3" t="s">
        <v>722</v>
      </c>
      <c r="M233" s="3">
        <v>201</v>
      </c>
      <c r="N233" s="4" t="s">
        <v>723</v>
      </c>
      <c r="O233" s="3"/>
      <c r="P233" s="3"/>
      <c r="Q233" s="3" t="s">
        <v>733</v>
      </c>
      <c r="R233" s="3" t="str">
        <f t="shared" si="18"/>
        <v>ic_monster5</v>
      </c>
      <c r="S233" s="3" t="s">
        <v>1909</v>
      </c>
      <c r="T233" s="3">
        <v>1</v>
      </c>
      <c r="U233" s="3">
        <v>0</v>
      </c>
      <c r="V233" s="3">
        <v>1</v>
      </c>
      <c r="W233" s="7"/>
      <c r="X233" s="3" t="s">
        <v>991</v>
      </c>
      <c r="Y233" s="3" t="s">
        <v>252</v>
      </c>
    </row>
    <row r="234" spans="1:25" ht="14.25" x14ac:dyDescent="0.15">
      <c r="A234" s="3">
        <v>201174</v>
      </c>
      <c r="B234" s="22" t="s">
        <v>992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4">
        <v>604</v>
      </c>
      <c r="K234" s="3">
        <v>2</v>
      </c>
      <c r="L234" s="3" t="s">
        <v>722</v>
      </c>
      <c r="M234" s="3">
        <v>201</v>
      </c>
      <c r="N234" s="4" t="s">
        <v>723</v>
      </c>
      <c r="O234" s="3"/>
      <c r="P234" s="3"/>
      <c r="Q234" s="3" t="s">
        <v>735</v>
      </c>
      <c r="R234" s="3" t="str">
        <f t="shared" si="18"/>
        <v>ic_monster6</v>
      </c>
      <c r="S234" s="3" t="s">
        <v>1910</v>
      </c>
      <c r="T234" s="3">
        <v>1</v>
      </c>
      <c r="U234" s="3">
        <v>0</v>
      </c>
      <c r="V234" s="3">
        <v>1</v>
      </c>
      <c r="W234" s="7"/>
      <c r="X234" s="3" t="s">
        <v>992</v>
      </c>
      <c r="Y234" s="3" t="s">
        <v>252</v>
      </c>
    </row>
    <row r="235" spans="1:25" x14ac:dyDescent="0.15">
      <c r="A235" s="3">
        <v>201175</v>
      </c>
      <c r="B235" s="3" t="s">
        <v>993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0</v>
      </c>
      <c r="J235" s="4">
        <v>605</v>
      </c>
      <c r="K235" s="3">
        <v>2</v>
      </c>
      <c r="L235" s="3" t="s">
        <v>722</v>
      </c>
      <c r="M235" s="3">
        <v>201</v>
      </c>
      <c r="N235" s="4" t="s">
        <v>723</v>
      </c>
      <c r="O235" s="3"/>
      <c r="P235" s="3"/>
      <c r="Q235" s="3" t="s">
        <v>738</v>
      </c>
      <c r="R235" s="3" t="str">
        <f t="shared" si="18"/>
        <v>ic_monster7</v>
      </c>
      <c r="S235" s="3" t="s">
        <v>1911</v>
      </c>
      <c r="T235" s="3">
        <v>1</v>
      </c>
      <c r="U235" s="3">
        <v>0</v>
      </c>
      <c r="V235" s="3">
        <v>1</v>
      </c>
      <c r="W235" s="7"/>
      <c r="X235" s="3" t="s">
        <v>993</v>
      </c>
      <c r="Y235" s="3" t="s">
        <v>252</v>
      </c>
    </row>
    <row r="236" spans="1:25" x14ac:dyDescent="0.15">
      <c r="A236" s="3">
        <v>201176</v>
      </c>
      <c r="B236" s="3" t="s">
        <v>994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4">
        <v>606</v>
      </c>
      <c r="K236" s="3">
        <v>2</v>
      </c>
      <c r="L236" s="3" t="s">
        <v>722</v>
      </c>
      <c r="M236" s="3">
        <v>201</v>
      </c>
      <c r="N236" s="4" t="s">
        <v>723</v>
      </c>
      <c r="O236" s="3"/>
      <c r="P236" s="3"/>
      <c r="Q236" s="3" t="s">
        <v>741</v>
      </c>
      <c r="R236" s="3" t="str">
        <f t="shared" si="18"/>
        <v>ic_monster8</v>
      </c>
      <c r="S236" s="3" t="s">
        <v>1912</v>
      </c>
      <c r="T236" s="3">
        <v>1</v>
      </c>
      <c r="U236" s="3">
        <v>0</v>
      </c>
      <c r="V236" s="3">
        <v>1</v>
      </c>
      <c r="W236" s="7"/>
      <c r="X236" s="3" t="s">
        <v>994</v>
      </c>
      <c r="Y236" s="3" t="s">
        <v>252</v>
      </c>
    </row>
    <row r="237" spans="1:25" x14ac:dyDescent="0.15">
      <c r="A237" s="3">
        <v>201177</v>
      </c>
      <c r="B237" s="3" t="s">
        <v>995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0</v>
      </c>
      <c r="J237" s="4">
        <v>607</v>
      </c>
      <c r="K237" s="3">
        <v>2</v>
      </c>
      <c r="L237" s="3" t="s">
        <v>722</v>
      </c>
      <c r="M237" s="3">
        <v>201</v>
      </c>
      <c r="N237" s="4" t="s">
        <v>723</v>
      </c>
      <c r="O237" s="3"/>
      <c r="P237" s="3"/>
      <c r="Q237" s="3" t="s">
        <v>743</v>
      </c>
      <c r="R237" s="3" t="str">
        <f t="shared" si="18"/>
        <v>ic_monster9</v>
      </c>
      <c r="S237" s="3" t="s">
        <v>1913</v>
      </c>
      <c r="T237" s="3">
        <v>1</v>
      </c>
      <c r="U237" s="3">
        <v>0</v>
      </c>
      <c r="V237" s="3">
        <v>1</v>
      </c>
      <c r="W237" s="7"/>
      <c r="X237" s="3" t="s">
        <v>995</v>
      </c>
      <c r="Y237" s="3" t="s">
        <v>252</v>
      </c>
    </row>
    <row r="238" spans="1:25" x14ac:dyDescent="0.15">
      <c r="A238" s="3">
        <v>201178</v>
      </c>
      <c r="B238" s="3" t="s">
        <v>996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0</v>
      </c>
      <c r="J238" s="4">
        <v>608</v>
      </c>
      <c r="K238" s="3">
        <v>2</v>
      </c>
      <c r="L238" s="3" t="s">
        <v>722</v>
      </c>
      <c r="M238" s="3">
        <v>201</v>
      </c>
      <c r="N238" s="4" t="s">
        <v>723</v>
      </c>
      <c r="O238" s="3"/>
      <c r="P238" s="3"/>
      <c r="Q238" s="3" t="s">
        <v>745</v>
      </c>
      <c r="R238" s="3" t="str">
        <f t="shared" si="18"/>
        <v>ic_monster10</v>
      </c>
      <c r="S238" s="3" t="s">
        <v>1914</v>
      </c>
      <c r="T238" s="3">
        <v>1</v>
      </c>
      <c r="U238" s="3">
        <v>0</v>
      </c>
      <c r="V238" s="3">
        <v>1</v>
      </c>
      <c r="W238" s="7"/>
      <c r="X238" s="3" t="s">
        <v>996</v>
      </c>
      <c r="Y238" s="3" t="s">
        <v>252</v>
      </c>
    </row>
    <row r="239" spans="1:25" x14ac:dyDescent="0.15">
      <c r="A239" s="3">
        <v>201179</v>
      </c>
      <c r="B239" s="3" t="s">
        <v>997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0</v>
      </c>
      <c r="J239" s="4">
        <v>609</v>
      </c>
      <c r="K239" s="3">
        <v>2</v>
      </c>
      <c r="L239" s="3" t="s">
        <v>722</v>
      </c>
      <c r="M239" s="3">
        <v>201</v>
      </c>
      <c r="N239" s="4" t="s">
        <v>723</v>
      </c>
      <c r="O239" s="3"/>
      <c r="P239" s="3"/>
      <c r="Q239" s="3" t="s">
        <v>748</v>
      </c>
      <c r="R239" s="3" t="str">
        <f t="shared" si="18"/>
        <v>ic_monster11</v>
      </c>
      <c r="S239" s="3" t="s">
        <v>1915</v>
      </c>
      <c r="T239" s="3">
        <v>1</v>
      </c>
      <c r="U239" s="3">
        <v>0</v>
      </c>
      <c r="V239" s="3">
        <v>1</v>
      </c>
      <c r="W239" s="7"/>
      <c r="X239" s="3" t="s">
        <v>997</v>
      </c>
      <c r="Y239" s="3" t="s">
        <v>252</v>
      </c>
    </row>
    <row r="240" spans="1:25" x14ac:dyDescent="0.15">
      <c r="A240" s="3">
        <v>201180</v>
      </c>
      <c r="B240" s="3" t="s">
        <v>998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0</v>
      </c>
      <c r="J240" s="4">
        <v>610</v>
      </c>
      <c r="K240" s="3">
        <v>2</v>
      </c>
      <c r="L240" s="3" t="s">
        <v>722</v>
      </c>
      <c r="M240" s="3">
        <v>201</v>
      </c>
      <c r="N240" s="4" t="s">
        <v>723</v>
      </c>
      <c r="O240" s="3"/>
      <c r="P240" s="3"/>
      <c r="Q240" s="3" t="s">
        <v>751</v>
      </c>
      <c r="R240" s="3" t="str">
        <f t="shared" si="18"/>
        <v>ic_monster12</v>
      </c>
      <c r="S240" s="3" t="s">
        <v>1916</v>
      </c>
      <c r="T240" s="3">
        <v>1</v>
      </c>
      <c r="U240" s="3">
        <v>0</v>
      </c>
      <c r="V240" s="3">
        <v>1</v>
      </c>
      <c r="W240" s="7"/>
      <c r="X240" s="3" t="s">
        <v>998</v>
      </c>
      <c r="Y240" s="3" t="s">
        <v>252</v>
      </c>
    </row>
    <row r="241" spans="1:25" x14ac:dyDescent="0.15">
      <c r="A241" s="3">
        <v>201181</v>
      </c>
      <c r="B241" s="3" t="s">
        <v>999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4">
        <v>611</v>
      </c>
      <c r="K241" s="3">
        <v>2</v>
      </c>
      <c r="L241" s="3" t="s">
        <v>722</v>
      </c>
      <c r="M241" s="3">
        <v>201</v>
      </c>
      <c r="N241" s="4" t="s">
        <v>723</v>
      </c>
      <c r="O241" s="3"/>
      <c r="P241" s="3"/>
      <c r="Q241" s="3" t="s">
        <v>753</v>
      </c>
      <c r="R241" s="3" t="str">
        <f t="shared" si="18"/>
        <v>ic_monster13</v>
      </c>
      <c r="S241" s="3" t="s">
        <v>1917</v>
      </c>
      <c r="T241" s="3">
        <v>1</v>
      </c>
      <c r="U241" s="3">
        <v>0</v>
      </c>
      <c r="V241" s="3">
        <v>1</v>
      </c>
      <c r="W241" s="7"/>
      <c r="X241" s="3" t="s">
        <v>999</v>
      </c>
      <c r="Y241" s="3" t="s">
        <v>252</v>
      </c>
    </row>
    <row r="242" spans="1:25" x14ac:dyDescent="0.15">
      <c r="A242" s="3">
        <v>201182</v>
      </c>
      <c r="B242" s="3" t="s">
        <v>1000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0</v>
      </c>
      <c r="J242" s="4">
        <v>612</v>
      </c>
      <c r="K242" s="3">
        <v>2</v>
      </c>
      <c r="L242" s="3" t="s">
        <v>722</v>
      </c>
      <c r="M242" s="3">
        <v>201</v>
      </c>
      <c r="N242" s="4" t="s">
        <v>723</v>
      </c>
      <c r="O242" s="3"/>
      <c r="P242" s="3"/>
      <c r="Q242" s="3" t="s">
        <v>755</v>
      </c>
      <c r="R242" s="3" t="str">
        <f t="shared" ref="R242:R270" si="19">R221</f>
        <v>ic_monster14</v>
      </c>
      <c r="S242" s="3" t="s">
        <v>1918</v>
      </c>
      <c r="T242" s="3">
        <v>1</v>
      </c>
      <c r="U242" s="3">
        <v>0</v>
      </c>
      <c r="V242" s="3">
        <v>1</v>
      </c>
      <c r="W242" s="7"/>
      <c r="X242" s="3" t="s">
        <v>1000</v>
      </c>
      <c r="Y242" s="3" t="s">
        <v>252</v>
      </c>
    </row>
    <row r="243" spans="1:25" x14ac:dyDescent="0.15">
      <c r="A243" s="3">
        <v>201183</v>
      </c>
      <c r="B243" s="3" t="s">
        <v>1001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0</v>
      </c>
      <c r="J243" s="4">
        <v>613</v>
      </c>
      <c r="K243" s="3">
        <v>2</v>
      </c>
      <c r="L243" s="3" t="s">
        <v>722</v>
      </c>
      <c r="M243" s="3">
        <v>201</v>
      </c>
      <c r="N243" s="4" t="s">
        <v>723</v>
      </c>
      <c r="O243" s="3"/>
      <c r="P243" s="3"/>
      <c r="Q243" s="3" t="s">
        <v>757</v>
      </c>
      <c r="R243" s="3" t="str">
        <f t="shared" si="19"/>
        <v>ic_monster15</v>
      </c>
      <c r="S243" s="3" t="s">
        <v>1919</v>
      </c>
      <c r="T243" s="3">
        <v>1</v>
      </c>
      <c r="U243" s="3">
        <v>0</v>
      </c>
      <c r="V243" s="3">
        <v>1</v>
      </c>
      <c r="W243" s="7"/>
      <c r="X243" s="3" t="s">
        <v>1001</v>
      </c>
      <c r="Y243" s="3" t="s">
        <v>252</v>
      </c>
    </row>
    <row r="244" spans="1:25" x14ac:dyDescent="0.15">
      <c r="A244" s="3">
        <v>201184</v>
      </c>
      <c r="B244" s="3" t="s">
        <v>1002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4">
        <v>614</v>
      </c>
      <c r="K244" s="3">
        <v>2</v>
      </c>
      <c r="L244" s="3" t="s">
        <v>722</v>
      </c>
      <c r="M244" s="3">
        <v>201</v>
      </c>
      <c r="N244" s="4" t="s">
        <v>723</v>
      </c>
      <c r="O244" s="3"/>
      <c r="P244" s="3"/>
      <c r="Q244" s="3" t="s">
        <v>759</v>
      </c>
      <c r="R244" s="3" t="str">
        <f t="shared" si="19"/>
        <v>ic_monster16</v>
      </c>
      <c r="S244" s="3" t="s">
        <v>1920</v>
      </c>
      <c r="T244" s="3">
        <v>1</v>
      </c>
      <c r="U244" s="3">
        <v>0</v>
      </c>
      <c r="V244" s="3">
        <v>1</v>
      </c>
      <c r="W244" s="7"/>
      <c r="X244" s="3" t="s">
        <v>1002</v>
      </c>
      <c r="Y244" s="3" t="s">
        <v>252</v>
      </c>
    </row>
    <row r="245" spans="1:25" x14ac:dyDescent="0.15">
      <c r="A245" s="3">
        <v>201185</v>
      </c>
      <c r="B245" s="3" t="s">
        <v>1003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4">
        <v>615</v>
      </c>
      <c r="K245" s="3">
        <v>2</v>
      </c>
      <c r="L245" s="3" t="s">
        <v>722</v>
      </c>
      <c r="M245" s="3">
        <v>201</v>
      </c>
      <c r="N245" s="4" t="s">
        <v>723</v>
      </c>
      <c r="O245" s="3"/>
      <c r="P245" s="3"/>
      <c r="Q245" s="3" t="s">
        <v>762</v>
      </c>
      <c r="R245" s="3" t="str">
        <f t="shared" si="19"/>
        <v>ic_monster17</v>
      </c>
      <c r="S245" s="3" t="s">
        <v>1921</v>
      </c>
      <c r="T245" s="3">
        <v>1</v>
      </c>
      <c r="U245" s="3">
        <v>0</v>
      </c>
      <c r="V245" s="3">
        <v>1</v>
      </c>
      <c r="W245" s="7"/>
      <c r="X245" s="3" t="s">
        <v>1003</v>
      </c>
      <c r="Y245" s="3" t="s">
        <v>252</v>
      </c>
    </row>
    <row r="246" spans="1:25" x14ac:dyDescent="0.15">
      <c r="A246" s="3">
        <v>201186</v>
      </c>
      <c r="B246" s="3" t="s">
        <v>1004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4">
        <v>616</v>
      </c>
      <c r="K246" s="3">
        <v>2</v>
      </c>
      <c r="L246" s="3" t="s">
        <v>722</v>
      </c>
      <c r="M246" s="3">
        <v>201</v>
      </c>
      <c r="N246" s="4" t="s">
        <v>723</v>
      </c>
      <c r="O246" s="3"/>
      <c r="P246" s="3"/>
      <c r="Q246" s="3" t="s">
        <v>765</v>
      </c>
      <c r="R246" s="3" t="str">
        <f t="shared" si="19"/>
        <v>ic_monster18</v>
      </c>
      <c r="S246" s="3" t="s">
        <v>1922</v>
      </c>
      <c r="T246" s="3">
        <v>1</v>
      </c>
      <c r="U246" s="3">
        <v>0</v>
      </c>
      <c r="V246" s="3">
        <v>1</v>
      </c>
      <c r="W246" s="7"/>
      <c r="X246" s="3" t="s">
        <v>1004</v>
      </c>
      <c r="Y246" s="3" t="s">
        <v>252</v>
      </c>
    </row>
    <row r="247" spans="1:25" x14ac:dyDescent="0.15">
      <c r="A247" s="3">
        <v>201187</v>
      </c>
      <c r="B247" s="3" t="s">
        <v>1005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4">
        <v>617</v>
      </c>
      <c r="K247" s="3">
        <v>2</v>
      </c>
      <c r="L247" s="3" t="s">
        <v>722</v>
      </c>
      <c r="M247" s="3">
        <v>201</v>
      </c>
      <c r="N247" s="4" t="s">
        <v>723</v>
      </c>
      <c r="O247" s="3"/>
      <c r="P247" s="3"/>
      <c r="Q247" s="3" t="s">
        <v>768</v>
      </c>
      <c r="R247" s="3" t="str">
        <f t="shared" si="19"/>
        <v>ic_monster19</v>
      </c>
      <c r="S247" s="3" t="s">
        <v>1923</v>
      </c>
      <c r="T247" s="3">
        <v>1</v>
      </c>
      <c r="U247" s="3">
        <v>0</v>
      </c>
      <c r="V247" s="3">
        <v>1</v>
      </c>
      <c r="W247" s="7"/>
      <c r="X247" s="3" t="s">
        <v>1005</v>
      </c>
      <c r="Y247" s="3" t="s">
        <v>252</v>
      </c>
    </row>
    <row r="248" spans="1:25" x14ac:dyDescent="0.15">
      <c r="A248" s="3">
        <v>201188</v>
      </c>
      <c r="B248" s="3" t="s">
        <v>1006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4">
        <v>618</v>
      </c>
      <c r="K248" s="3">
        <v>2</v>
      </c>
      <c r="L248" s="3" t="s">
        <v>722</v>
      </c>
      <c r="M248" s="3">
        <v>201</v>
      </c>
      <c r="N248" s="4" t="s">
        <v>723</v>
      </c>
      <c r="O248" s="3"/>
      <c r="P248" s="3"/>
      <c r="Q248" s="3" t="s">
        <v>770</v>
      </c>
      <c r="R248" s="3" t="str">
        <f t="shared" si="19"/>
        <v>ic_monster20</v>
      </c>
      <c r="S248" s="3" t="s">
        <v>1924</v>
      </c>
      <c r="T248" s="3">
        <v>1</v>
      </c>
      <c r="U248" s="3">
        <v>0</v>
      </c>
      <c r="V248" s="3">
        <v>1</v>
      </c>
      <c r="W248" s="7"/>
      <c r="X248" s="3" t="s">
        <v>1006</v>
      </c>
      <c r="Y248" s="3" t="s">
        <v>252</v>
      </c>
    </row>
    <row r="249" spans="1:25" x14ac:dyDescent="0.15">
      <c r="A249" s="3">
        <v>201189</v>
      </c>
      <c r="B249" s="3" t="s">
        <v>1007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4">
        <v>619</v>
      </c>
      <c r="K249" s="3">
        <v>2</v>
      </c>
      <c r="L249" s="3" t="s">
        <v>722</v>
      </c>
      <c r="M249" s="3">
        <v>201</v>
      </c>
      <c r="N249" s="4" t="s">
        <v>723</v>
      </c>
      <c r="O249" s="3"/>
      <c r="P249" s="3"/>
      <c r="Q249" s="3" t="s">
        <v>772</v>
      </c>
      <c r="R249" s="3" t="str">
        <f t="shared" si="19"/>
        <v>ic_monster21</v>
      </c>
      <c r="S249" s="3" t="s">
        <v>772</v>
      </c>
      <c r="T249" s="3">
        <v>1</v>
      </c>
      <c r="U249" s="3">
        <v>0</v>
      </c>
      <c r="V249" s="3">
        <v>1</v>
      </c>
      <c r="W249" s="7"/>
      <c r="X249" s="3" t="s">
        <v>1007</v>
      </c>
      <c r="Y249" s="3" t="s">
        <v>252</v>
      </c>
    </row>
    <row r="250" spans="1:25" x14ac:dyDescent="0.15">
      <c r="A250" s="3">
        <v>201190</v>
      </c>
      <c r="B250" s="3" t="s">
        <v>1008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4">
        <v>620</v>
      </c>
      <c r="K250" s="3">
        <v>2</v>
      </c>
      <c r="L250" s="3" t="s">
        <v>722</v>
      </c>
      <c r="M250" s="3">
        <v>201</v>
      </c>
      <c r="N250" s="4" t="s">
        <v>723</v>
      </c>
      <c r="O250" s="3"/>
      <c r="P250" s="3"/>
      <c r="Q250" s="3" t="s">
        <v>820</v>
      </c>
      <c r="R250" s="3" t="str">
        <f t="shared" si="19"/>
        <v>ic_monster1</v>
      </c>
      <c r="S250" s="3" t="s">
        <v>1905</v>
      </c>
      <c r="T250" s="3">
        <v>1</v>
      </c>
      <c r="U250" s="3">
        <v>0</v>
      </c>
      <c r="V250" s="3">
        <v>1</v>
      </c>
      <c r="W250" s="7"/>
      <c r="X250" s="3" t="s">
        <v>1008</v>
      </c>
      <c r="Y250" s="3" t="s">
        <v>252</v>
      </c>
    </row>
    <row r="251" spans="1:25" x14ac:dyDescent="0.15">
      <c r="A251" s="3">
        <v>201191</v>
      </c>
      <c r="B251" s="3" t="s">
        <v>1009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4">
        <v>621</v>
      </c>
      <c r="K251" s="3">
        <v>2</v>
      </c>
      <c r="L251" s="3" t="s">
        <v>722</v>
      </c>
      <c r="M251" s="3">
        <v>201</v>
      </c>
      <c r="N251" s="4" t="s">
        <v>723</v>
      </c>
      <c r="O251" s="3"/>
      <c r="P251" s="3"/>
      <c r="Q251" s="3" t="s">
        <v>822</v>
      </c>
      <c r="R251" s="3" t="str">
        <f t="shared" si="19"/>
        <v>ic_monster2</v>
      </c>
      <c r="S251" s="3" t="s">
        <v>1906</v>
      </c>
      <c r="T251" s="3">
        <v>1</v>
      </c>
      <c r="U251" s="3">
        <v>0</v>
      </c>
      <c r="V251" s="3">
        <v>1</v>
      </c>
      <c r="W251" s="7"/>
      <c r="X251" s="3" t="s">
        <v>1009</v>
      </c>
      <c r="Y251" s="3" t="s">
        <v>252</v>
      </c>
    </row>
    <row r="252" spans="1:25" x14ac:dyDescent="0.15">
      <c r="A252" s="3">
        <v>201192</v>
      </c>
      <c r="B252" s="3" t="s">
        <v>1010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4">
        <v>622</v>
      </c>
      <c r="K252" s="3">
        <v>2</v>
      </c>
      <c r="L252" s="3" t="s">
        <v>722</v>
      </c>
      <c r="M252" s="3">
        <v>201</v>
      </c>
      <c r="N252" s="4" t="s">
        <v>723</v>
      </c>
      <c r="O252" s="3"/>
      <c r="P252" s="3"/>
      <c r="Q252" s="3" t="s">
        <v>824</v>
      </c>
      <c r="R252" s="3" t="str">
        <f t="shared" si="19"/>
        <v>ic_monster3</v>
      </c>
      <c r="S252" s="3" t="s">
        <v>1907</v>
      </c>
      <c r="T252" s="3">
        <v>1</v>
      </c>
      <c r="U252" s="3">
        <v>0</v>
      </c>
      <c r="V252" s="3">
        <v>1</v>
      </c>
      <c r="W252" s="7"/>
      <c r="X252" s="3" t="s">
        <v>1010</v>
      </c>
      <c r="Y252" s="3" t="s">
        <v>252</v>
      </c>
    </row>
    <row r="253" spans="1:25" x14ac:dyDescent="0.15">
      <c r="A253" s="3">
        <v>201193</v>
      </c>
      <c r="B253" s="3" t="s">
        <v>1011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4">
        <v>623</v>
      </c>
      <c r="K253" s="3">
        <v>2</v>
      </c>
      <c r="L253" s="3" t="s">
        <v>722</v>
      </c>
      <c r="M253" s="3">
        <v>201</v>
      </c>
      <c r="N253" s="4" t="s">
        <v>723</v>
      </c>
      <c r="O253" s="3"/>
      <c r="P253" s="3"/>
      <c r="Q253" s="3" t="s">
        <v>826</v>
      </c>
      <c r="R253" s="3" t="str">
        <f t="shared" si="19"/>
        <v>ic_monster4</v>
      </c>
      <c r="S253" s="3" t="s">
        <v>1908</v>
      </c>
      <c r="T253" s="3">
        <v>1</v>
      </c>
      <c r="U253" s="3">
        <v>0</v>
      </c>
      <c r="V253" s="3">
        <v>1</v>
      </c>
      <c r="W253" s="7"/>
      <c r="X253" s="3" t="s">
        <v>1011</v>
      </c>
      <c r="Y253" s="3" t="s">
        <v>252</v>
      </c>
    </row>
    <row r="254" spans="1:25" x14ac:dyDescent="0.15">
      <c r="A254" s="3">
        <v>201194</v>
      </c>
      <c r="B254" s="4" t="s">
        <v>1012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0</v>
      </c>
      <c r="J254" s="4">
        <v>624</v>
      </c>
      <c r="K254" s="3">
        <v>2</v>
      </c>
      <c r="L254" s="3" t="s">
        <v>722</v>
      </c>
      <c r="M254" s="3">
        <v>201</v>
      </c>
      <c r="N254" s="4" t="s">
        <v>723</v>
      </c>
      <c r="O254" s="3"/>
      <c r="P254" s="3"/>
      <c r="Q254" s="3" t="s">
        <v>828</v>
      </c>
      <c r="R254" s="3" t="str">
        <f t="shared" si="19"/>
        <v>ic_monster5</v>
      </c>
      <c r="S254" s="3" t="s">
        <v>1909</v>
      </c>
      <c r="T254" s="3">
        <v>1</v>
      </c>
      <c r="U254" s="3">
        <v>0</v>
      </c>
      <c r="V254" s="3">
        <v>1</v>
      </c>
      <c r="W254" s="7"/>
      <c r="X254" s="3" t="s">
        <v>1012</v>
      </c>
      <c r="Y254" s="3" t="s">
        <v>252</v>
      </c>
    </row>
    <row r="255" spans="1:25" ht="14.25" x14ac:dyDescent="0.15">
      <c r="A255" s="3">
        <v>201195</v>
      </c>
      <c r="B255" s="22" t="s">
        <v>1013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4">
        <v>625</v>
      </c>
      <c r="K255" s="3">
        <v>2</v>
      </c>
      <c r="L255" s="3" t="s">
        <v>722</v>
      </c>
      <c r="M255" s="3">
        <v>201</v>
      </c>
      <c r="N255" s="4" t="s">
        <v>723</v>
      </c>
      <c r="O255" s="3"/>
      <c r="P255" s="3"/>
      <c r="Q255" s="3" t="s">
        <v>830</v>
      </c>
      <c r="R255" s="3" t="str">
        <f t="shared" si="19"/>
        <v>ic_monster6</v>
      </c>
      <c r="S255" s="3" t="s">
        <v>1910</v>
      </c>
      <c r="T255" s="3">
        <v>1</v>
      </c>
      <c r="U255" s="3">
        <v>0</v>
      </c>
      <c r="V255" s="3">
        <v>1</v>
      </c>
      <c r="W255" s="7"/>
      <c r="X255" s="3" t="s">
        <v>1013</v>
      </c>
      <c r="Y255" s="3" t="s">
        <v>252</v>
      </c>
    </row>
    <row r="256" spans="1:25" x14ac:dyDescent="0.15">
      <c r="A256" s="3">
        <v>201196</v>
      </c>
      <c r="B256" s="3" t="s">
        <v>1014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0</v>
      </c>
      <c r="J256" s="4">
        <v>626</v>
      </c>
      <c r="K256" s="3">
        <v>2</v>
      </c>
      <c r="L256" s="3" t="s">
        <v>722</v>
      </c>
      <c r="M256" s="3">
        <v>201</v>
      </c>
      <c r="N256" s="4" t="s">
        <v>723</v>
      </c>
      <c r="O256" s="3"/>
      <c r="P256" s="3"/>
      <c r="Q256" s="3" t="s">
        <v>832</v>
      </c>
      <c r="R256" s="3" t="str">
        <f t="shared" si="19"/>
        <v>ic_monster7</v>
      </c>
      <c r="S256" s="3" t="s">
        <v>1911</v>
      </c>
      <c r="T256" s="3">
        <v>1</v>
      </c>
      <c r="U256" s="3">
        <v>0</v>
      </c>
      <c r="V256" s="3">
        <v>1</v>
      </c>
      <c r="W256" s="7"/>
      <c r="X256" s="3" t="s">
        <v>1014</v>
      </c>
      <c r="Y256" s="3" t="s">
        <v>252</v>
      </c>
    </row>
    <row r="257" spans="1:25" x14ac:dyDescent="0.15">
      <c r="A257" s="3">
        <v>201197</v>
      </c>
      <c r="B257" s="3" t="s">
        <v>1015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0</v>
      </c>
      <c r="J257" s="4">
        <v>627</v>
      </c>
      <c r="K257" s="3">
        <v>2</v>
      </c>
      <c r="L257" s="3" t="s">
        <v>722</v>
      </c>
      <c r="M257" s="3">
        <v>201</v>
      </c>
      <c r="N257" s="4" t="s">
        <v>723</v>
      </c>
      <c r="O257" s="3"/>
      <c r="P257" s="3"/>
      <c r="Q257" s="3" t="s">
        <v>834</v>
      </c>
      <c r="R257" s="3" t="str">
        <f t="shared" si="19"/>
        <v>ic_monster8</v>
      </c>
      <c r="S257" s="3" t="s">
        <v>1912</v>
      </c>
      <c r="T257" s="3">
        <v>1</v>
      </c>
      <c r="U257" s="3">
        <v>0</v>
      </c>
      <c r="V257" s="3">
        <v>1</v>
      </c>
      <c r="W257" s="7"/>
      <c r="X257" s="3" t="s">
        <v>1015</v>
      </c>
      <c r="Y257" s="3" t="s">
        <v>252</v>
      </c>
    </row>
    <row r="258" spans="1:25" x14ac:dyDescent="0.15">
      <c r="A258" s="3">
        <v>201198</v>
      </c>
      <c r="B258" s="3" t="s">
        <v>1016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0</v>
      </c>
      <c r="J258" s="4">
        <v>628</v>
      </c>
      <c r="K258" s="3">
        <v>2</v>
      </c>
      <c r="L258" s="3" t="s">
        <v>722</v>
      </c>
      <c r="M258" s="3">
        <v>201</v>
      </c>
      <c r="N258" s="4" t="s">
        <v>723</v>
      </c>
      <c r="O258" s="3"/>
      <c r="P258" s="3"/>
      <c r="Q258" s="3" t="s">
        <v>836</v>
      </c>
      <c r="R258" s="3" t="str">
        <f t="shared" si="19"/>
        <v>ic_monster9</v>
      </c>
      <c r="S258" s="3" t="s">
        <v>1913</v>
      </c>
      <c r="T258" s="3">
        <v>1</v>
      </c>
      <c r="U258" s="3">
        <v>0</v>
      </c>
      <c r="V258" s="3">
        <v>1</v>
      </c>
      <c r="W258" s="7"/>
      <c r="X258" s="3" t="s">
        <v>1016</v>
      </c>
      <c r="Y258" s="3" t="s">
        <v>252</v>
      </c>
    </row>
    <row r="259" spans="1:25" x14ac:dyDescent="0.15">
      <c r="A259" s="3">
        <v>201199</v>
      </c>
      <c r="B259" s="3" t="s">
        <v>1017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0</v>
      </c>
      <c r="J259" s="4">
        <v>629</v>
      </c>
      <c r="K259" s="3">
        <v>2</v>
      </c>
      <c r="L259" s="3" t="s">
        <v>722</v>
      </c>
      <c r="M259" s="3">
        <v>201</v>
      </c>
      <c r="N259" s="4" t="s">
        <v>723</v>
      </c>
      <c r="O259" s="3"/>
      <c r="P259" s="3"/>
      <c r="Q259" s="3" t="s">
        <v>838</v>
      </c>
      <c r="R259" s="3" t="str">
        <f t="shared" si="19"/>
        <v>ic_monster10</v>
      </c>
      <c r="S259" s="3" t="s">
        <v>1914</v>
      </c>
      <c r="T259" s="3">
        <v>1</v>
      </c>
      <c r="U259" s="3">
        <v>0</v>
      </c>
      <c r="V259" s="3">
        <v>1</v>
      </c>
      <c r="W259" s="7"/>
      <c r="X259" s="3" t="s">
        <v>1017</v>
      </c>
      <c r="Y259" s="3" t="s">
        <v>252</v>
      </c>
    </row>
    <row r="260" spans="1:25" x14ac:dyDescent="0.15">
      <c r="A260" s="3">
        <v>201200</v>
      </c>
      <c r="B260" s="3" t="s">
        <v>1018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0</v>
      </c>
      <c r="J260" s="4">
        <v>630</v>
      </c>
      <c r="K260" s="3">
        <v>2</v>
      </c>
      <c r="L260" s="3" t="s">
        <v>722</v>
      </c>
      <c r="M260" s="3">
        <v>201</v>
      </c>
      <c r="N260" s="4" t="s">
        <v>723</v>
      </c>
      <c r="O260" s="3"/>
      <c r="P260" s="3"/>
      <c r="Q260" s="3" t="s">
        <v>840</v>
      </c>
      <c r="R260" s="3" t="str">
        <f t="shared" si="19"/>
        <v>ic_monster11</v>
      </c>
      <c r="S260" s="3" t="s">
        <v>1915</v>
      </c>
      <c r="T260" s="3">
        <v>1</v>
      </c>
      <c r="U260" s="3">
        <v>0</v>
      </c>
      <c r="V260" s="3">
        <v>1</v>
      </c>
      <c r="W260" s="7"/>
      <c r="X260" s="3" t="s">
        <v>1018</v>
      </c>
      <c r="Y260" s="3" t="s">
        <v>252</v>
      </c>
    </row>
    <row r="261" spans="1:25" x14ac:dyDescent="0.15">
      <c r="A261" s="3">
        <v>201201</v>
      </c>
      <c r="B261" s="3" t="s">
        <v>1019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0</v>
      </c>
      <c r="J261" s="4">
        <v>631</v>
      </c>
      <c r="K261" s="3">
        <v>2</v>
      </c>
      <c r="L261" s="3" t="s">
        <v>722</v>
      </c>
      <c r="M261" s="3">
        <v>201</v>
      </c>
      <c r="N261" s="4" t="s">
        <v>723</v>
      </c>
      <c r="O261" s="3"/>
      <c r="P261" s="3"/>
      <c r="Q261" s="3" t="s">
        <v>842</v>
      </c>
      <c r="R261" s="3" t="str">
        <f t="shared" si="19"/>
        <v>ic_monster12</v>
      </c>
      <c r="S261" s="3" t="s">
        <v>1916</v>
      </c>
      <c r="T261" s="3">
        <v>1</v>
      </c>
      <c r="U261" s="3">
        <v>0</v>
      </c>
      <c r="V261" s="3">
        <v>1</v>
      </c>
      <c r="W261" s="7"/>
      <c r="X261" s="3" t="s">
        <v>1019</v>
      </c>
      <c r="Y261" s="3" t="s">
        <v>252</v>
      </c>
    </row>
    <row r="262" spans="1:25" x14ac:dyDescent="0.15">
      <c r="A262" s="3">
        <v>201202</v>
      </c>
      <c r="B262" s="3" t="s">
        <v>1020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4">
        <v>632</v>
      </c>
      <c r="K262" s="3">
        <v>2</v>
      </c>
      <c r="L262" s="3" t="s">
        <v>722</v>
      </c>
      <c r="M262" s="3">
        <v>201</v>
      </c>
      <c r="N262" s="4" t="s">
        <v>723</v>
      </c>
      <c r="O262" s="3"/>
      <c r="P262" s="3"/>
      <c r="Q262" s="3" t="s">
        <v>844</v>
      </c>
      <c r="R262" s="3" t="str">
        <f t="shared" si="19"/>
        <v>ic_monster13</v>
      </c>
      <c r="S262" s="3" t="s">
        <v>1917</v>
      </c>
      <c r="T262" s="3">
        <v>1</v>
      </c>
      <c r="U262" s="3">
        <v>0</v>
      </c>
      <c r="V262" s="3">
        <v>1</v>
      </c>
      <c r="W262" s="7"/>
      <c r="X262" s="3" t="s">
        <v>1020</v>
      </c>
      <c r="Y262" s="3" t="s">
        <v>252</v>
      </c>
    </row>
    <row r="263" spans="1:25" x14ac:dyDescent="0.15">
      <c r="A263" s="3">
        <v>201203</v>
      </c>
      <c r="B263" s="3" t="s">
        <v>1021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0</v>
      </c>
      <c r="J263" s="4">
        <v>633</v>
      </c>
      <c r="K263" s="3">
        <v>2</v>
      </c>
      <c r="L263" s="3" t="s">
        <v>722</v>
      </c>
      <c r="M263" s="3">
        <v>201</v>
      </c>
      <c r="N263" s="4" t="s">
        <v>723</v>
      </c>
      <c r="O263" s="3"/>
      <c r="P263" s="3"/>
      <c r="Q263" s="3" t="s">
        <v>846</v>
      </c>
      <c r="R263" s="3" t="str">
        <f t="shared" si="19"/>
        <v>ic_monster14</v>
      </c>
      <c r="S263" s="3" t="s">
        <v>1918</v>
      </c>
      <c r="T263" s="3">
        <v>1</v>
      </c>
      <c r="U263" s="3">
        <v>0</v>
      </c>
      <c r="V263" s="3">
        <v>1</v>
      </c>
      <c r="W263" s="7"/>
      <c r="X263" s="3" t="s">
        <v>1021</v>
      </c>
      <c r="Y263" s="3" t="s">
        <v>252</v>
      </c>
    </row>
    <row r="264" spans="1:25" x14ac:dyDescent="0.15">
      <c r="A264" s="3">
        <v>201204</v>
      </c>
      <c r="B264" s="3" t="s">
        <v>1022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0</v>
      </c>
      <c r="J264" s="4">
        <v>634</v>
      </c>
      <c r="K264" s="3">
        <v>2</v>
      </c>
      <c r="L264" s="3" t="s">
        <v>722</v>
      </c>
      <c r="M264" s="3">
        <v>201</v>
      </c>
      <c r="N264" s="4" t="s">
        <v>723</v>
      </c>
      <c r="O264" s="3"/>
      <c r="P264" s="3"/>
      <c r="Q264" s="3" t="s">
        <v>848</v>
      </c>
      <c r="R264" s="3" t="str">
        <f t="shared" si="19"/>
        <v>ic_monster15</v>
      </c>
      <c r="S264" s="3" t="s">
        <v>1919</v>
      </c>
      <c r="T264" s="3">
        <v>1</v>
      </c>
      <c r="U264" s="3">
        <v>0</v>
      </c>
      <c r="V264" s="3">
        <v>1</v>
      </c>
      <c r="W264" s="7"/>
      <c r="X264" s="3" t="s">
        <v>1022</v>
      </c>
      <c r="Y264" s="3" t="s">
        <v>252</v>
      </c>
    </row>
    <row r="265" spans="1:25" x14ac:dyDescent="0.15">
      <c r="A265" s="3">
        <v>201205</v>
      </c>
      <c r="B265" s="3" t="s">
        <v>1023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4">
        <v>635</v>
      </c>
      <c r="K265" s="3">
        <v>2</v>
      </c>
      <c r="L265" s="3" t="s">
        <v>722</v>
      </c>
      <c r="M265" s="3">
        <v>201</v>
      </c>
      <c r="N265" s="4" t="s">
        <v>723</v>
      </c>
      <c r="O265" s="3"/>
      <c r="P265" s="3"/>
      <c r="Q265" s="3" t="s">
        <v>850</v>
      </c>
      <c r="R265" s="3" t="str">
        <f t="shared" si="19"/>
        <v>ic_monster16</v>
      </c>
      <c r="S265" s="3" t="s">
        <v>1920</v>
      </c>
      <c r="T265" s="3">
        <v>1</v>
      </c>
      <c r="U265" s="3">
        <v>0</v>
      </c>
      <c r="V265" s="3">
        <v>1</v>
      </c>
      <c r="W265" s="7"/>
      <c r="X265" s="3" t="s">
        <v>1023</v>
      </c>
      <c r="Y265" s="3" t="s">
        <v>252</v>
      </c>
    </row>
    <row r="266" spans="1:25" x14ac:dyDescent="0.15">
      <c r="A266" s="3">
        <v>201206</v>
      </c>
      <c r="B266" s="3" t="s">
        <v>1024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0</v>
      </c>
      <c r="J266" s="4">
        <v>636</v>
      </c>
      <c r="K266" s="3">
        <v>2</v>
      </c>
      <c r="L266" s="3" t="s">
        <v>722</v>
      </c>
      <c r="M266" s="3">
        <v>201</v>
      </c>
      <c r="N266" s="4" t="s">
        <v>723</v>
      </c>
      <c r="O266" s="3"/>
      <c r="P266" s="3"/>
      <c r="Q266" s="3" t="s">
        <v>852</v>
      </c>
      <c r="R266" s="3" t="str">
        <f t="shared" si="19"/>
        <v>ic_monster17</v>
      </c>
      <c r="S266" s="3" t="s">
        <v>1921</v>
      </c>
      <c r="T266" s="3">
        <v>1</v>
      </c>
      <c r="U266" s="3">
        <v>0</v>
      </c>
      <c r="V266" s="3">
        <v>1</v>
      </c>
      <c r="W266" s="7"/>
      <c r="X266" s="3" t="s">
        <v>1024</v>
      </c>
      <c r="Y266" s="3" t="s">
        <v>252</v>
      </c>
    </row>
    <row r="267" spans="1:25" x14ac:dyDescent="0.15">
      <c r="A267" s="3">
        <v>201207</v>
      </c>
      <c r="B267" s="3" t="s">
        <v>1025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0</v>
      </c>
      <c r="J267" s="4">
        <v>637</v>
      </c>
      <c r="K267" s="3">
        <v>2</v>
      </c>
      <c r="L267" s="3" t="s">
        <v>722</v>
      </c>
      <c r="M267" s="3">
        <v>201</v>
      </c>
      <c r="N267" s="4" t="s">
        <v>723</v>
      </c>
      <c r="O267" s="3"/>
      <c r="P267" s="3"/>
      <c r="Q267" s="3" t="s">
        <v>854</v>
      </c>
      <c r="R267" s="3" t="str">
        <f t="shared" si="19"/>
        <v>ic_monster18</v>
      </c>
      <c r="S267" s="3" t="s">
        <v>1922</v>
      </c>
      <c r="T267" s="3">
        <v>1</v>
      </c>
      <c r="U267" s="3">
        <v>0</v>
      </c>
      <c r="V267" s="3">
        <v>1</v>
      </c>
      <c r="W267" s="7"/>
      <c r="X267" s="3" t="s">
        <v>1025</v>
      </c>
      <c r="Y267" s="3" t="s">
        <v>252</v>
      </c>
    </row>
    <row r="268" spans="1:25" x14ac:dyDescent="0.15">
      <c r="A268" s="3">
        <v>201208</v>
      </c>
      <c r="B268" s="3" t="s">
        <v>1026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0</v>
      </c>
      <c r="J268" s="4">
        <v>638</v>
      </c>
      <c r="K268" s="3">
        <v>2</v>
      </c>
      <c r="L268" s="3" t="s">
        <v>722</v>
      </c>
      <c r="M268" s="3">
        <v>201</v>
      </c>
      <c r="N268" s="4" t="s">
        <v>723</v>
      </c>
      <c r="O268" s="3"/>
      <c r="P268" s="3"/>
      <c r="Q268" s="3" t="s">
        <v>856</v>
      </c>
      <c r="R268" s="3" t="str">
        <f t="shared" si="19"/>
        <v>ic_monster19</v>
      </c>
      <c r="S268" s="3" t="s">
        <v>1923</v>
      </c>
      <c r="T268" s="3">
        <v>1</v>
      </c>
      <c r="U268" s="3">
        <v>0</v>
      </c>
      <c r="V268" s="3">
        <v>1</v>
      </c>
      <c r="W268" s="7"/>
      <c r="X268" s="3" t="s">
        <v>1026</v>
      </c>
      <c r="Y268" s="3" t="s">
        <v>252</v>
      </c>
    </row>
    <row r="269" spans="1:25" x14ac:dyDescent="0.15">
      <c r="A269" s="3">
        <v>201209</v>
      </c>
      <c r="B269" s="3" t="s">
        <v>1027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0</v>
      </c>
      <c r="J269" s="4">
        <v>639</v>
      </c>
      <c r="K269" s="3">
        <v>2</v>
      </c>
      <c r="L269" s="3" t="s">
        <v>722</v>
      </c>
      <c r="M269" s="3">
        <v>201</v>
      </c>
      <c r="N269" s="4" t="s">
        <v>723</v>
      </c>
      <c r="O269" s="3"/>
      <c r="P269" s="3"/>
      <c r="Q269" s="3" t="s">
        <v>858</v>
      </c>
      <c r="R269" s="3" t="str">
        <f t="shared" si="19"/>
        <v>ic_monster20</v>
      </c>
      <c r="S269" s="3" t="s">
        <v>1924</v>
      </c>
      <c r="T269" s="3">
        <v>1</v>
      </c>
      <c r="U269" s="3">
        <v>0</v>
      </c>
      <c r="V269" s="3">
        <v>1</v>
      </c>
      <c r="W269" s="7"/>
      <c r="X269" s="3" t="s">
        <v>1027</v>
      </c>
      <c r="Y269" s="3" t="s">
        <v>252</v>
      </c>
    </row>
    <row r="270" spans="1:25" x14ac:dyDescent="0.15">
      <c r="A270" s="3">
        <v>201210</v>
      </c>
      <c r="B270" s="3" t="s">
        <v>1028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0</v>
      </c>
      <c r="J270" s="4">
        <v>640</v>
      </c>
      <c r="K270" s="3">
        <v>2</v>
      </c>
      <c r="L270" s="3" t="s">
        <v>722</v>
      </c>
      <c r="M270" s="3">
        <v>201</v>
      </c>
      <c r="N270" s="4" t="s">
        <v>723</v>
      </c>
      <c r="O270" s="3"/>
      <c r="P270" s="3"/>
      <c r="Q270" s="3" t="s">
        <v>860</v>
      </c>
      <c r="R270" s="3" t="str">
        <f t="shared" si="19"/>
        <v>ic_monster21</v>
      </c>
      <c r="S270" s="3" t="s">
        <v>772</v>
      </c>
      <c r="T270" s="3">
        <v>1</v>
      </c>
      <c r="U270" s="3">
        <v>0</v>
      </c>
      <c r="V270" s="3">
        <v>1</v>
      </c>
      <c r="W270" s="7"/>
      <c r="X270" s="3" t="s">
        <v>1028</v>
      </c>
      <c r="Y270" s="3" t="s">
        <v>252</v>
      </c>
    </row>
    <row r="271" spans="1:25" x14ac:dyDescent="0.15">
      <c r="A271" s="3">
        <v>201211</v>
      </c>
      <c r="B271" s="3" t="s">
        <v>1029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0</v>
      </c>
      <c r="J271" s="4">
        <v>641</v>
      </c>
      <c r="K271" s="3">
        <v>2</v>
      </c>
      <c r="L271" s="3" t="s">
        <v>722</v>
      </c>
      <c r="M271" s="3">
        <v>201</v>
      </c>
      <c r="N271" s="4" t="s">
        <v>723</v>
      </c>
      <c r="O271" s="3"/>
      <c r="P271" s="3"/>
      <c r="Q271" s="3" t="s">
        <v>774</v>
      </c>
      <c r="R271" s="3" t="str">
        <f>CONCATENATE("ic_",Q271)</f>
        <v>ic_monster22</v>
      </c>
      <c r="S271" s="3" t="s">
        <v>774</v>
      </c>
      <c r="T271" s="3">
        <v>1</v>
      </c>
      <c r="U271" s="3">
        <v>0</v>
      </c>
      <c r="V271" s="3">
        <v>1</v>
      </c>
      <c r="W271" s="7"/>
      <c r="X271" s="3" t="str">
        <f t="shared" ref="X271:X302" si="20">B271</f>
        <v>1级蝙蝠</v>
      </c>
      <c r="Y271" s="3"/>
    </row>
    <row r="272" spans="1:25" x14ac:dyDescent="0.15">
      <c r="A272" s="3">
        <v>201212</v>
      </c>
      <c r="B272" s="3" t="s">
        <v>1030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0</v>
      </c>
      <c r="J272" s="4">
        <v>642</v>
      </c>
      <c r="K272" s="3">
        <v>2</v>
      </c>
      <c r="L272" s="3" t="s">
        <v>722</v>
      </c>
      <c r="M272" s="3">
        <v>201</v>
      </c>
      <c r="N272" s="4" t="s">
        <v>723</v>
      </c>
      <c r="O272" s="3"/>
      <c r="P272" s="3"/>
      <c r="Q272" s="3" t="s">
        <v>1031</v>
      </c>
      <c r="R272" s="3" t="str">
        <f t="shared" ref="R272:R280" si="21">R271</f>
        <v>ic_monster22</v>
      </c>
      <c r="S272" s="3" t="s">
        <v>774</v>
      </c>
      <c r="T272" s="3">
        <v>1</v>
      </c>
      <c r="U272" s="3">
        <v>0</v>
      </c>
      <c r="V272" s="3">
        <v>1</v>
      </c>
      <c r="W272" s="7"/>
      <c r="X272" s="3" t="str">
        <f t="shared" si="20"/>
        <v>2级蝙蝠</v>
      </c>
      <c r="Y272" s="3"/>
    </row>
    <row r="273" spans="1:25" x14ac:dyDescent="0.15">
      <c r="A273" s="3">
        <v>201213</v>
      </c>
      <c r="B273" s="3" t="s">
        <v>1032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0</v>
      </c>
      <c r="J273" s="4">
        <v>643</v>
      </c>
      <c r="K273" s="3">
        <v>2</v>
      </c>
      <c r="L273" s="3" t="s">
        <v>722</v>
      </c>
      <c r="M273" s="3">
        <v>201</v>
      </c>
      <c r="N273" s="4" t="s">
        <v>723</v>
      </c>
      <c r="O273" s="3"/>
      <c r="P273" s="3"/>
      <c r="Q273" s="3" t="s">
        <v>774</v>
      </c>
      <c r="R273" s="3" t="str">
        <f t="shared" si="21"/>
        <v>ic_monster22</v>
      </c>
      <c r="S273" s="3" t="s">
        <v>774</v>
      </c>
      <c r="T273" s="3">
        <v>1</v>
      </c>
      <c r="U273" s="3">
        <v>0</v>
      </c>
      <c r="V273" s="3">
        <v>1</v>
      </c>
      <c r="W273" s="7"/>
      <c r="X273" s="3" t="str">
        <f t="shared" si="20"/>
        <v>3级蝙蝠</v>
      </c>
      <c r="Y273" s="3"/>
    </row>
    <row r="274" spans="1:25" x14ac:dyDescent="0.15">
      <c r="A274" s="3">
        <v>201214</v>
      </c>
      <c r="B274" s="3" t="s">
        <v>1033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4">
        <v>644</v>
      </c>
      <c r="K274" s="3">
        <v>2</v>
      </c>
      <c r="L274" s="3" t="s">
        <v>722</v>
      </c>
      <c r="M274" s="3">
        <v>201</v>
      </c>
      <c r="N274" s="4" t="s">
        <v>723</v>
      </c>
      <c r="O274" s="3"/>
      <c r="P274" s="3"/>
      <c r="Q274" s="3" t="s">
        <v>1031</v>
      </c>
      <c r="R274" s="3" t="str">
        <f t="shared" si="21"/>
        <v>ic_monster22</v>
      </c>
      <c r="S274" s="3" t="s">
        <v>774</v>
      </c>
      <c r="T274" s="3">
        <v>1</v>
      </c>
      <c r="U274" s="3">
        <v>0</v>
      </c>
      <c r="V274" s="3">
        <v>1</v>
      </c>
      <c r="W274" s="7"/>
      <c r="X274" s="3" t="str">
        <f t="shared" si="20"/>
        <v>4级蝙蝠</v>
      </c>
      <c r="Y274" s="3"/>
    </row>
    <row r="275" spans="1:25" x14ac:dyDescent="0.15">
      <c r="A275" s="3">
        <v>201215</v>
      </c>
      <c r="B275" s="3" t="s">
        <v>1034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4">
        <v>645</v>
      </c>
      <c r="K275" s="3">
        <v>2</v>
      </c>
      <c r="L275" s="3" t="s">
        <v>722</v>
      </c>
      <c r="M275" s="3">
        <v>201</v>
      </c>
      <c r="N275" s="4" t="s">
        <v>723</v>
      </c>
      <c r="O275" s="3"/>
      <c r="P275" s="3"/>
      <c r="Q275" s="3" t="s">
        <v>774</v>
      </c>
      <c r="R275" s="3" t="str">
        <f t="shared" si="21"/>
        <v>ic_monster22</v>
      </c>
      <c r="S275" s="3" t="s">
        <v>774</v>
      </c>
      <c r="T275" s="3">
        <v>1</v>
      </c>
      <c r="U275" s="3">
        <v>0</v>
      </c>
      <c r="V275" s="3">
        <v>1</v>
      </c>
      <c r="W275" s="7"/>
      <c r="X275" s="3" t="str">
        <f t="shared" si="20"/>
        <v>5级蝙蝠</v>
      </c>
      <c r="Y275" s="3"/>
    </row>
    <row r="276" spans="1:25" x14ac:dyDescent="0.15">
      <c r="A276" s="3">
        <v>201216</v>
      </c>
      <c r="B276" s="3" t="s">
        <v>1035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0</v>
      </c>
      <c r="J276" s="4">
        <v>646</v>
      </c>
      <c r="K276" s="3">
        <v>2</v>
      </c>
      <c r="L276" s="3" t="s">
        <v>722</v>
      </c>
      <c r="M276" s="3">
        <v>201</v>
      </c>
      <c r="N276" s="4" t="s">
        <v>723</v>
      </c>
      <c r="O276" s="3"/>
      <c r="P276" s="3"/>
      <c r="Q276" s="3" t="s">
        <v>1031</v>
      </c>
      <c r="R276" s="3" t="str">
        <f t="shared" si="21"/>
        <v>ic_monster22</v>
      </c>
      <c r="S276" s="3" t="s">
        <v>774</v>
      </c>
      <c r="T276" s="3">
        <v>1</v>
      </c>
      <c r="U276" s="3">
        <v>0</v>
      </c>
      <c r="V276" s="3">
        <v>1</v>
      </c>
      <c r="W276" s="7"/>
      <c r="X276" s="3" t="str">
        <f t="shared" si="20"/>
        <v>6级蝙蝠</v>
      </c>
      <c r="Y276" s="3"/>
    </row>
    <row r="277" spans="1:25" x14ac:dyDescent="0.15">
      <c r="A277" s="3">
        <v>201217</v>
      </c>
      <c r="B277" s="3" t="s">
        <v>1036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4">
        <v>647</v>
      </c>
      <c r="K277" s="3">
        <v>2</v>
      </c>
      <c r="L277" s="3" t="s">
        <v>722</v>
      </c>
      <c r="M277" s="3">
        <v>201</v>
      </c>
      <c r="N277" s="4" t="s">
        <v>723</v>
      </c>
      <c r="O277" s="3"/>
      <c r="P277" s="3"/>
      <c r="Q277" s="3" t="s">
        <v>774</v>
      </c>
      <c r="R277" s="3" t="str">
        <f t="shared" si="21"/>
        <v>ic_monster22</v>
      </c>
      <c r="S277" s="3" t="s">
        <v>774</v>
      </c>
      <c r="T277" s="3">
        <v>1</v>
      </c>
      <c r="U277" s="3">
        <v>0</v>
      </c>
      <c r="V277" s="3">
        <v>1</v>
      </c>
      <c r="W277" s="7"/>
      <c r="X277" s="3" t="str">
        <f t="shared" si="20"/>
        <v>7级蝙蝠</v>
      </c>
      <c r="Y277" s="3"/>
    </row>
    <row r="278" spans="1:25" x14ac:dyDescent="0.15">
      <c r="A278" s="3">
        <v>201218</v>
      </c>
      <c r="B278" s="3" t="s">
        <v>1037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4">
        <v>648</v>
      </c>
      <c r="K278" s="3">
        <v>2</v>
      </c>
      <c r="L278" s="3" t="s">
        <v>722</v>
      </c>
      <c r="M278" s="3">
        <v>201</v>
      </c>
      <c r="N278" s="4" t="s">
        <v>723</v>
      </c>
      <c r="O278" s="3"/>
      <c r="P278" s="3"/>
      <c r="Q278" s="3" t="s">
        <v>1031</v>
      </c>
      <c r="R278" s="3" t="str">
        <f t="shared" si="21"/>
        <v>ic_monster22</v>
      </c>
      <c r="S278" s="3" t="s">
        <v>774</v>
      </c>
      <c r="T278" s="3">
        <v>1</v>
      </c>
      <c r="U278" s="3">
        <v>0</v>
      </c>
      <c r="V278" s="3">
        <v>1</v>
      </c>
      <c r="W278" s="7"/>
      <c r="X278" s="3" t="str">
        <f t="shared" si="20"/>
        <v>8级蝙蝠</v>
      </c>
      <c r="Y278" s="3"/>
    </row>
    <row r="279" spans="1:25" x14ac:dyDescent="0.15">
      <c r="A279" s="3">
        <v>201219</v>
      </c>
      <c r="B279" s="3" t="s">
        <v>1038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0</v>
      </c>
      <c r="J279" s="4">
        <v>649</v>
      </c>
      <c r="K279" s="3">
        <v>2</v>
      </c>
      <c r="L279" s="3" t="s">
        <v>722</v>
      </c>
      <c r="M279" s="3">
        <v>201</v>
      </c>
      <c r="N279" s="4" t="s">
        <v>723</v>
      </c>
      <c r="O279" s="3"/>
      <c r="P279" s="3"/>
      <c r="Q279" s="3" t="s">
        <v>774</v>
      </c>
      <c r="R279" s="3" t="str">
        <f t="shared" si="21"/>
        <v>ic_monster22</v>
      </c>
      <c r="S279" s="3" t="s">
        <v>774</v>
      </c>
      <c r="T279" s="3">
        <v>1</v>
      </c>
      <c r="U279" s="3">
        <v>0</v>
      </c>
      <c r="V279" s="3">
        <v>1</v>
      </c>
      <c r="W279" s="7"/>
      <c r="X279" s="3" t="str">
        <f t="shared" si="20"/>
        <v>9级蝙蝠</v>
      </c>
      <c r="Y279" s="3"/>
    </row>
    <row r="280" spans="1:25" x14ac:dyDescent="0.15">
      <c r="A280" s="3">
        <v>201220</v>
      </c>
      <c r="B280" s="3" t="s">
        <v>1039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0</v>
      </c>
      <c r="J280" s="4">
        <v>650</v>
      </c>
      <c r="K280" s="3">
        <v>2</v>
      </c>
      <c r="L280" s="3" t="s">
        <v>722</v>
      </c>
      <c r="M280" s="3">
        <v>201</v>
      </c>
      <c r="N280" s="4" t="s">
        <v>723</v>
      </c>
      <c r="O280" s="3"/>
      <c r="P280" s="3"/>
      <c r="Q280" s="3" t="s">
        <v>1031</v>
      </c>
      <c r="R280" s="3" t="str">
        <f t="shared" si="21"/>
        <v>ic_monster22</v>
      </c>
      <c r="S280" s="3" t="s">
        <v>774</v>
      </c>
      <c r="T280" s="3">
        <v>1</v>
      </c>
      <c r="U280" s="3">
        <v>0</v>
      </c>
      <c r="V280" s="3">
        <v>1</v>
      </c>
      <c r="W280" s="7"/>
      <c r="X280" s="3" t="str">
        <f t="shared" si="20"/>
        <v>10级蝙蝠</v>
      </c>
      <c r="Y280" s="3"/>
    </row>
    <row r="281" spans="1:25" x14ac:dyDescent="0.15">
      <c r="A281" s="3">
        <v>201221</v>
      </c>
      <c r="B281" s="3" t="s">
        <v>1040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0</v>
      </c>
      <c r="J281" s="4">
        <v>651</v>
      </c>
      <c r="K281" s="3">
        <v>2</v>
      </c>
      <c r="L281" s="3" t="s">
        <v>722</v>
      </c>
      <c r="M281" s="3">
        <v>201</v>
      </c>
      <c r="N281" s="4" t="s">
        <v>723</v>
      </c>
      <c r="O281" s="3"/>
      <c r="P281" s="3"/>
      <c r="Q281" s="3" t="s">
        <v>776</v>
      </c>
      <c r="R281" s="3" t="str">
        <f>CONCATENATE("ic_",Q281)</f>
        <v>ic_monster23</v>
      </c>
      <c r="S281" s="3" t="s">
        <v>1925</v>
      </c>
      <c r="T281" s="3">
        <v>1</v>
      </c>
      <c r="U281" s="3">
        <v>0</v>
      </c>
      <c r="V281" s="3">
        <v>1</v>
      </c>
      <c r="W281" s="7"/>
      <c r="X281" s="3" t="str">
        <f t="shared" si="20"/>
        <v>1级钢铁泰坦</v>
      </c>
      <c r="Y281" s="3"/>
    </row>
    <row r="282" spans="1:25" x14ac:dyDescent="0.15">
      <c r="A282" s="3">
        <v>201222</v>
      </c>
      <c r="B282" s="3" t="s">
        <v>1041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4">
        <v>652</v>
      </c>
      <c r="K282" s="3">
        <v>2</v>
      </c>
      <c r="L282" s="3" t="s">
        <v>722</v>
      </c>
      <c r="M282" s="3">
        <v>201</v>
      </c>
      <c r="N282" s="4" t="s">
        <v>723</v>
      </c>
      <c r="O282" s="3"/>
      <c r="P282" s="3"/>
      <c r="Q282" s="3" t="s">
        <v>1042</v>
      </c>
      <c r="R282" s="3" t="str">
        <f t="shared" ref="R282:R290" si="22">R281</f>
        <v>ic_monster23</v>
      </c>
      <c r="S282" s="3" t="s">
        <v>1925</v>
      </c>
      <c r="T282" s="3">
        <v>1</v>
      </c>
      <c r="U282" s="3">
        <v>0</v>
      </c>
      <c r="V282" s="3">
        <v>1</v>
      </c>
      <c r="W282" s="7"/>
      <c r="X282" s="3" t="str">
        <f t="shared" si="20"/>
        <v>2级钢铁泰坦</v>
      </c>
      <c r="Y282" s="3"/>
    </row>
    <row r="283" spans="1:25" x14ac:dyDescent="0.15">
      <c r="A283" s="3">
        <v>201223</v>
      </c>
      <c r="B283" s="3" t="s">
        <v>1043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4">
        <v>653</v>
      </c>
      <c r="K283" s="3">
        <v>2</v>
      </c>
      <c r="L283" s="3" t="s">
        <v>722</v>
      </c>
      <c r="M283" s="3">
        <v>201</v>
      </c>
      <c r="N283" s="4" t="s">
        <v>723</v>
      </c>
      <c r="O283" s="3"/>
      <c r="P283" s="3"/>
      <c r="Q283" s="3" t="s">
        <v>776</v>
      </c>
      <c r="R283" s="3" t="str">
        <f t="shared" si="22"/>
        <v>ic_monster23</v>
      </c>
      <c r="S283" s="3" t="s">
        <v>1925</v>
      </c>
      <c r="T283" s="3">
        <v>1</v>
      </c>
      <c r="U283" s="3">
        <v>0</v>
      </c>
      <c r="V283" s="3">
        <v>1</v>
      </c>
      <c r="W283" s="7"/>
      <c r="X283" s="3" t="str">
        <f t="shared" si="20"/>
        <v>3级钢铁泰坦</v>
      </c>
      <c r="Y283" s="3"/>
    </row>
    <row r="284" spans="1:25" x14ac:dyDescent="0.15">
      <c r="A284" s="3">
        <v>201224</v>
      </c>
      <c r="B284" s="3" t="s">
        <v>1044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4">
        <v>654</v>
      </c>
      <c r="K284" s="3">
        <v>2</v>
      </c>
      <c r="L284" s="3" t="s">
        <v>722</v>
      </c>
      <c r="M284" s="3">
        <v>201</v>
      </c>
      <c r="N284" s="4" t="s">
        <v>723</v>
      </c>
      <c r="O284" s="3"/>
      <c r="P284" s="3"/>
      <c r="Q284" s="3" t="s">
        <v>1042</v>
      </c>
      <c r="R284" s="3" t="str">
        <f t="shared" si="22"/>
        <v>ic_monster23</v>
      </c>
      <c r="S284" s="3" t="s">
        <v>1925</v>
      </c>
      <c r="T284" s="3">
        <v>1</v>
      </c>
      <c r="U284" s="3">
        <v>0</v>
      </c>
      <c r="V284" s="3">
        <v>1</v>
      </c>
      <c r="W284" s="7"/>
      <c r="X284" s="3" t="str">
        <f t="shared" si="20"/>
        <v>4级钢铁泰坦</v>
      </c>
      <c r="Y284" s="3"/>
    </row>
    <row r="285" spans="1:25" x14ac:dyDescent="0.15">
      <c r="A285" s="3">
        <v>201225</v>
      </c>
      <c r="B285" s="3" t="s">
        <v>1045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0</v>
      </c>
      <c r="J285" s="4">
        <v>655</v>
      </c>
      <c r="K285" s="3">
        <v>2</v>
      </c>
      <c r="L285" s="3" t="s">
        <v>722</v>
      </c>
      <c r="M285" s="3">
        <v>201</v>
      </c>
      <c r="N285" s="4" t="s">
        <v>723</v>
      </c>
      <c r="O285" s="3"/>
      <c r="P285" s="3"/>
      <c r="Q285" s="3" t="s">
        <v>776</v>
      </c>
      <c r="R285" s="3" t="str">
        <f t="shared" si="22"/>
        <v>ic_monster23</v>
      </c>
      <c r="S285" s="3" t="s">
        <v>1925</v>
      </c>
      <c r="T285" s="3">
        <v>1</v>
      </c>
      <c r="U285" s="3">
        <v>0</v>
      </c>
      <c r="V285" s="3">
        <v>1</v>
      </c>
      <c r="W285" s="7"/>
      <c r="X285" s="3" t="str">
        <f t="shared" si="20"/>
        <v>5级钢铁泰坦</v>
      </c>
      <c r="Y285" s="3"/>
    </row>
    <row r="286" spans="1:25" x14ac:dyDescent="0.15">
      <c r="A286" s="3">
        <v>201226</v>
      </c>
      <c r="B286" s="3" t="s">
        <v>1046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0</v>
      </c>
      <c r="J286" s="4">
        <v>656</v>
      </c>
      <c r="K286" s="3">
        <v>2</v>
      </c>
      <c r="L286" s="3" t="s">
        <v>722</v>
      </c>
      <c r="M286" s="3">
        <v>201</v>
      </c>
      <c r="N286" s="4" t="s">
        <v>723</v>
      </c>
      <c r="O286" s="3"/>
      <c r="P286" s="3"/>
      <c r="Q286" s="3" t="s">
        <v>1042</v>
      </c>
      <c r="R286" s="3" t="str">
        <f t="shared" si="22"/>
        <v>ic_monster23</v>
      </c>
      <c r="S286" s="3" t="s">
        <v>1925</v>
      </c>
      <c r="T286" s="3">
        <v>1</v>
      </c>
      <c r="U286" s="3">
        <v>0</v>
      </c>
      <c r="V286" s="3">
        <v>1</v>
      </c>
      <c r="W286" s="7"/>
      <c r="X286" s="3" t="str">
        <f t="shared" si="20"/>
        <v>6级钢铁泰坦</v>
      </c>
      <c r="Y286" s="3"/>
    </row>
    <row r="287" spans="1:25" x14ac:dyDescent="0.15">
      <c r="A287" s="3">
        <v>201227</v>
      </c>
      <c r="B287" s="3" t="s">
        <v>1047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0</v>
      </c>
      <c r="J287" s="4">
        <v>657</v>
      </c>
      <c r="K287" s="3">
        <v>2</v>
      </c>
      <c r="L287" s="3" t="s">
        <v>722</v>
      </c>
      <c r="M287" s="3">
        <v>201</v>
      </c>
      <c r="N287" s="4" t="s">
        <v>723</v>
      </c>
      <c r="O287" s="3"/>
      <c r="P287" s="3"/>
      <c r="Q287" s="3" t="s">
        <v>776</v>
      </c>
      <c r="R287" s="3" t="str">
        <f t="shared" si="22"/>
        <v>ic_monster23</v>
      </c>
      <c r="S287" s="3" t="s">
        <v>1925</v>
      </c>
      <c r="T287" s="3">
        <v>1</v>
      </c>
      <c r="U287" s="3">
        <v>0</v>
      </c>
      <c r="V287" s="3">
        <v>1</v>
      </c>
      <c r="W287" s="7"/>
      <c r="X287" s="3" t="str">
        <f t="shared" si="20"/>
        <v>7级钢铁泰坦</v>
      </c>
      <c r="Y287" s="3"/>
    </row>
    <row r="288" spans="1:25" x14ac:dyDescent="0.15">
      <c r="A288" s="3">
        <v>201228</v>
      </c>
      <c r="B288" s="3" t="s">
        <v>1048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0</v>
      </c>
      <c r="J288" s="4">
        <v>658</v>
      </c>
      <c r="K288" s="3">
        <v>2</v>
      </c>
      <c r="L288" s="3" t="s">
        <v>722</v>
      </c>
      <c r="M288" s="3">
        <v>201</v>
      </c>
      <c r="N288" s="4" t="s">
        <v>723</v>
      </c>
      <c r="O288" s="3"/>
      <c r="P288" s="3"/>
      <c r="Q288" s="3" t="s">
        <v>1042</v>
      </c>
      <c r="R288" s="3" t="str">
        <f t="shared" si="22"/>
        <v>ic_monster23</v>
      </c>
      <c r="S288" s="3" t="s">
        <v>1925</v>
      </c>
      <c r="T288" s="3">
        <v>1</v>
      </c>
      <c r="U288" s="3">
        <v>0</v>
      </c>
      <c r="V288" s="3">
        <v>1</v>
      </c>
      <c r="W288" s="7"/>
      <c r="X288" s="3" t="str">
        <f t="shared" si="20"/>
        <v>8级钢铁泰坦</v>
      </c>
      <c r="Y288" s="3"/>
    </row>
    <row r="289" spans="1:25" x14ac:dyDescent="0.15">
      <c r="A289" s="3">
        <v>201229</v>
      </c>
      <c r="B289" s="3" t="s">
        <v>1049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4">
        <v>659</v>
      </c>
      <c r="K289" s="3">
        <v>2</v>
      </c>
      <c r="L289" s="3" t="s">
        <v>722</v>
      </c>
      <c r="M289" s="3">
        <v>201</v>
      </c>
      <c r="N289" s="4" t="s">
        <v>723</v>
      </c>
      <c r="O289" s="3"/>
      <c r="P289" s="3"/>
      <c r="Q289" s="3" t="s">
        <v>776</v>
      </c>
      <c r="R289" s="3" t="str">
        <f t="shared" si="22"/>
        <v>ic_monster23</v>
      </c>
      <c r="S289" s="3" t="s">
        <v>1925</v>
      </c>
      <c r="T289" s="3">
        <v>1</v>
      </c>
      <c r="U289" s="3">
        <v>0</v>
      </c>
      <c r="V289" s="3">
        <v>1</v>
      </c>
      <c r="W289" s="7"/>
      <c r="X289" s="3" t="str">
        <f t="shared" si="20"/>
        <v>9级钢铁泰坦</v>
      </c>
      <c r="Y289" s="3"/>
    </row>
    <row r="290" spans="1:25" x14ac:dyDescent="0.15">
      <c r="A290" s="3">
        <v>201230</v>
      </c>
      <c r="B290" s="3" t="s">
        <v>1050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0</v>
      </c>
      <c r="J290" s="4">
        <v>660</v>
      </c>
      <c r="K290" s="3">
        <v>2</v>
      </c>
      <c r="L290" s="3" t="s">
        <v>722</v>
      </c>
      <c r="M290" s="3">
        <v>201</v>
      </c>
      <c r="N290" s="4" t="s">
        <v>723</v>
      </c>
      <c r="O290" s="3"/>
      <c r="P290" s="3"/>
      <c r="Q290" s="3" t="s">
        <v>1042</v>
      </c>
      <c r="R290" s="3" t="str">
        <f t="shared" si="22"/>
        <v>ic_monster23</v>
      </c>
      <c r="S290" s="3" t="s">
        <v>1925</v>
      </c>
      <c r="T290" s="3">
        <v>1</v>
      </c>
      <c r="U290" s="3">
        <v>0</v>
      </c>
      <c r="V290" s="3">
        <v>1</v>
      </c>
      <c r="W290" s="7"/>
      <c r="X290" s="3" t="str">
        <f t="shared" si="20"/>
        <v>10级钢铁泰坦</v>
      </c>
      <c r="Y290" s="3"/>
    </row>
    <row r="291" spans="1:25" x14ac:dyDescent="0.15">
      <c r="A291" s="3">
        <v>201231</v>
      </c>
      <c r="B291" s="3" t="s">
        <v>1051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0</v>
      </c>
      <c r="J291" s="4">
        <v>661</v>
      </c>
      <c r="K291" s="3">
        <v>2</v>
      </c>
      <c r="L291" s="3" t="s">
        <v>722</v>
      </c>
      <c r="M291" s="3">
        <v>201</v>
      </c>
      <c r="N291" s="4" t="s">
        <v>723</v>
      </c>
      <c r="O291" s="3"/>
      <c r="P291" s="3"/>
      <c r="Q291" s="3" t="s">
        <v>778</v>
      </c>
      <c r="R291" s="3" t="str">
        <f>CONCATENATE("ic_",Q291)</f>
        <v>ic_monster24</v>
      </c>
      <c r="S291" s="27" t="s">
        <v>1926</v>
      </c>
      <c r="T291" s="3">
        <v>1</v>
      </c>
      <c r="U291" s="3">
        <v>0</v>
      </c>
      <c r="V291" s="3">
        <v>1</v>
      </c>
      <c r="W291" s="7"/>
      <c r="X291" s="3" t="str">
        <f t="shared" si="20"/>
        <v>1级熔岩泰坦</v>
      </c>
      <c r="Y291" s="3"/>
    </row>
    <row r="292" spans="1:25" x14ac:dyDescent="0.15">
      <c r="A292" s="3">
        <v>201232</v>
      </c>
      <c r="B292" s="3" t="s">
        <v>1052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0</v>
      </c>
      <c r="J292" s="4">
        <v>662</v>
      </c>
      <c r="K292" s="3">
        <v>2</v>
      </c>
      <c r="L292" s="3" t="s">
        <v>722</v>
      </c>
      <c r="M292" s="3">
        <v>201</v>
      </c>
      <c r="N292" s="4" t="s">
        <v>723</v>
      </c>
      <c r="O292" s="3"/>
      <c r="P292" s="3"/>
      <c r="Q292" s="3" t="s">
        <v>1053</v>
      </c>
      <c r="R292" s="3" t="str">
        <f t="shared" ref="R292:R300" si="23">R291</f>
        <v>ic_monster24</v>
      </c>
      <c r="S292" s="27" t="s">
        <v>1926</v>
      </c>
      <c r="T292" s="3">
        <v>1</v>
      </c>
      <c r="U292" s="3">
        <v>0</v>
      </c>
      <c r="V292" s="3">
        <v>1</v>
      </c>
      <c r="W292" s="7"/>
      <c r="X292" s="3" t="str">
        <f t="shared" si="20"/>
        <v>2级熔岩泰坦</v>
      </c>
      <c r="Y292" s="3"/>
    </row>
    <row r="293" spans="1:25" x14ac:dyDescent="0.15">
      <c r="A293" s="3">
        <v>201233</v>
      </c>
      <c r="B293" s="3" t="s">
        <v>1054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4">
        <v>663</v>
      </c>
      <c r="K293" s="3">
        <v>2</v>
      </c>
      <c r="L293" s="3" t="s">
        <v>722</v>
      </c>
      <c r="M293" s="3">
        <v>201</v>
      </c>
      <c r="N293" s="4" t="s">
        <v>723</v>
      </c>
      <c r="O293" s="3"/>
      <c r="P293" s="3"/>
      <c r="Q293" s="3" t="s">
        <v>778</v>
      </c>
      <c r="R293" s="3" t="str">
        <f t="shared" si="23"/>
        <v>ic_monster24</v>
      </c>
      <c r="S293" s="27" t="s">
        <v>1926</v>
      </c>
      <c r="T293" s="3">
        <v>1</v>
      </c>
      <c r="U293" s="3">
        <v>0</v>
      </c>
      <c r="V293" s="3">
        <v>1</v>
      </c>
      <c r="W293" s="7"/>
      <c r="X293" s="3" t="str">
        <f t="shared" si="20"/>
        <v>3级熔岩泰坦</v>
      </c>
      <c r="Y293" s="3"/>
    </row>
    <row r="294" spans="1:25" x14ac:dyDescent="0.15">
      <c r="A294" s="3">
        <v>201234</v>
      </c>
      <c r="B294" s="3" t="s">
        <v>1055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0</v>
      </c>
      <c r="J294" s="4">
        <v>664</v>
      </c>
      <c r="K294" s="3">
        <v>2</v>
      </c>
      <c r="L294" s="3" t="s">
        <v>722</v>
      </c>
      <c r="M294" s="3">
        <v>201</v>
      </c>
      <c r="N294" s="4" t="s">
        <v>723</v>
      </c>
      <c r="O294" s="3"/>
      <c r="P294" s="3"/>
      <c r="Q294" s="3" t="s">
        <v>1053</v>
      </c>
      <c r="R294" s="3" t="str">
        <f t="shared" si="23"/>
        <v>ic_monster24</v>
      </c>
      <c r="S294" s="27" t="s">
        <v>1926</v>
      </c>
      <c r="T294" s="3">
        <v>1</v>
      </c>
      <c r="U294" s="3">
        <v>0</v>
      </c>
      <c r="V294" s="3">
        <v>1</v>
      </c>
      <c r="W294" s="7"/>
      <c r="X294" s="3" t="str">
        <f t="shared" si="20"/>
        <v>4级熔岩泰坦</v>
      </c>
      <c r="Y294" s="3"/>
    </row>
    <row r="295" spans="1:25" x14ac:dyDescent="0.15">
      <c r="A295" s="3">
        <v>201235</v>
      </c>
      <c r="B295" s="3" t="s">
        <v>1056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0</v>
      </c>
      <c r="J295" s="4">
        <v>665</v>
      </c>
      <c r="K295" s="3">
        <v>2</v>
      </c>
      <c r="L295" s="3" t="s">
        <v>722</v>
      </c>
      <c r="M295" s="3">
        <v>201</v>
      </c>
      <c r="N295" s="4" t="s">
        <v>723</v>
      </c>
      <c r="O295" s="3"/>
      <c r="P295" s="3"/>
      <c r="Q295" s="3" t="s">
        <v>778</v>
      </c>
      <c r="R295" s="3" t="str">
        <f t="shared" si="23"/>
        <v>ic_monster24</v>
      </c>
      <c r="S295" s="27" t="s">
        <v>1926</v>
      </c>
      <c r="T295" s="3">
        <v>1</v>
      </c>
      <c r="U295" s="3">
        <v>0</v>
      </c>
      <c r="V295" s="3">
        <v>1</v>
      </c>
      <c r="W295" s="7"/>
      <c r="X295" s="3" t="str">
        <f t="shared" si="20"/>
        <v>5级熔岩泰坦</v>
      </c>
      <c r="Y295" s="3"/>
    </row>
    <row r="296" spans="1:25" x14ac:dyDescent="0.15">
      <c r="A296" s="3">
        <v>201236</v>
      </c>
      <c r="B296" s="3" t="s">
        <v>1057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4">
        <v>666</v>
      </c>
      <c r="K296" s="3">
        <v>2</v>
      </c>
      <c r="L296" s="3" t="s">
        <v>722</v>
      </c>
      <c r="M296" s="3">
        <v>201</v>
      </c>
      <c r="N296" s="4" t="s">
        <v>723</v>
      </c>
      <c r="O296" s="3"/>
      <c r="P296" s="3"/>
      <c r="Q296" s="3" t="s">
        <v>1053</v>
      </c>
      <c r="R296" s="3" t="str">
        <f t="shared" si="23"/>
        <v>ic_monster24</v>
      </c>
      <c r="S296" s="27" t="s">
        <v>1926</v>
      </c>
      <c r="T296" s="3">
        <v>1</v>
      </c>
      <c r="U296" s="3">
        <v>0</v>
      </c>
      <c r="V296" s="3">
        <v>1</v>
      </c>
      <c r="W296" s="7"/>
      <c r="X296" s="3" t="str">
        <f t="shared" si="20"/>
        <v>6级熔岩泰坦</v>
      </c>
      <c r="Y296" s="3"/>
    </row>
    <row r="297" spans="1:25" x14ac:dyDescent="0.15">
      <c r="A297" s="3">
        <v>201237</v>
      </c>
      <c r="B297" s="3" t="s">
        <v>1058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4">
        <v>667</v>
      </c>
      <c r="K297" s="3">
        <v>2</v>
      </c>
      <c r="L297" s="3" t="s">
        <v>722</v>
      </c>
      <c r="M297" s="3">
        <v>201</v>
      </c>
      <c r="N297" s="4" t="s">
        <v>723</v>
      </c>
      <c r="O297" s="3"/>
      <c r="P297" s="3"/>
      <c r="Q297" s="3" t="s">
        <v>778</v>
      </c>
      <c r="R297" s="3" t="str">
        <f t="shared" si="23"/>
        <v>ic_monster24</v>
      </c>
      <c r="S297" s="27" t="s">
        <v>1926</v>
      </c>
      <c r="T297" s="3">
        <v>1</v>
      </c>
      <c r="U297" s="3">
        <v>0</v>
      </c>
      <c r="V297" s="3">
        <v>1</v>
      </c>
      <c r="W297" s="7"/>
      <c r="X297" s="3" t="str">
        <f t="shared" si="20"/>
        <v>7级熔岩泰坦</v>
      </c>
      <c r="Y297" s="3"/>
    </row>
    <row r="298" spans="1:25" x14ac:dyDescent="0.15">
      <c r="A298" s="3">
        <v>201238</v>
      </c>
      <c r="B298" s="3" t="s">
        <v>1059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0</v>
      </c>
      <c r="J298" s="4">
        <v>668</v>
      </c>
      <c r="K298" s="3">
        <v>2</v>
      </c>
      <c r="L298" s="3" t="s">
        <v>722</v>
      </c>
      <c r="M298" s="3">
        <v>201</v>
      </c>
      <c r="N298" s="4" t="s">
        <v>723</v>
      </c>
      <c r="O298" s="3"/>
      <c r="P298" s="3"/>
      <c r="Q298" s="3" t="s">
        <v>1053</v>
      </c>
      <c r="R298" s="3" t="str">
        <f t="shared" si="23"/>
        <v>ic_monster24</v>
      </c>
      <c r="S298" s="27" t="s">
        <v>1926</v>
      </c>
      <c r="T298" s="3">
        <v>1</v>
      </c>
      <c r="U298" s="3">
        <v>0</v>
      </c>
      <c r="V298" s="3">
        <v>1</v>
      </c>
      <c r="W298" s="7"/>
      <c r="X298" s="3" t="str">
        <f t="shared" si="20"/>
        <v>8级熔岩泰坦</v>
      </c>
      <c r="Y298" s="3"/>
    </row>
    <row r="299" spans="1:25" x14ac:dyDescent="0.15">
      <c r="A299" s="3">
        <v>201239</v>
      </c>
      <c r="B299" s="3" t="s">
        <v>1060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0</v>
      </c>
      <c r="J299" s="4">
        <v>669</v>
      </c>
      <c r="K299" s="3">
        <v>2</v>
      </c>
      <c r="L299" s="3" t="s">
        <v>722</v>
      </c>
      <c r="M299" s="3">
        <v>201</v>
      </c>
      <c r="N299" s="4" t="s">
        <v>723</v>
      </c>
      <c r="O299" s="3"/>
      <c r="P299" s="3"/>
      <c r="Q299" s="3" t="s">
        <v>778</v>
      </c>
      <c r="R299" s="3" t="str">
        <f t="shared" si="23"/>
        <v>ic_monster24</v>
      </c>
      <c r="S299" s="27" t="s">
        <v>1926</v>
      </c>
      <c r="T299" s="3">
        <v>1</v>
      </c>
      <c r="U299" s="3">
        <v>0</v>
      </c>
      <c r="V299" s="3">
        <v>1</v>
      </c>
      <c r="W299" s="7"/>
      <c r="X299" s="3" t="str">
        <f t="shared" si="20"/>
        <v>9级熔岩泰坦</v>
      </c>
      <c r="Y299" s="3"/>
    </row>
    <row r="300" spans="1:25" x14ac:dyDescent="0.15">
      <c r="A300" s="3">
        <v>201240</v>
      </c>
      <c r="B300" s="3" t="s">
        <v>1061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0</v>
      </c>
      <c r="J300" s="4">
        <v>670</v>
      </c>
      <c r="K300" s="3">
        <v>2</v>
      </c>
      <c r="L300" s="3" t="s">
        <v>722</v>
      </c>
      <c r="M300" s="3">
        <v>201</v>
      </c>
      <c r="N300" s="4" t="s">
        <v>723</v>
      </c>
      <c r="O300" s="3"/>
      <c r="P300" s="3"/>
      <c r="Q300" s="3" t="s">
        <v>1053</v>
      </c>
      <c r="R300" s="3" t="str">
        <f t="shared" si="23"/>
        <v>ic_monster24</v>
      </c>
      <c r="S300" s="27" t="s">
        <v>1926</v>
      </c>
      <c r="T300" s="3">
        <v>1</v>
      </c>
      <c r="U300" s="3">
        <v>0</v>
      </c>
      <c r="V300" s="3">
        <v>1</v>
      </c>
      <c r="W300" s="7"/>
      <c r="X300" s="3" t="str">
        <f t="shared" si="20"/>
        <v>10级熔岩泰坦</v>
      </c>
      <c r="Y300" s="3"/>
    </row>
    <row r="301" spans="1:25" x14ac:dyDescent="0.15">
      <c r="A301" s="3">
        <v>201241</v>
      </c>
      <c r="B301" s="3" t="s">
        <v>1062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4">
        <v>671</v>
      </c>
      <c r="K301" s="3">
        <v>2</v>
      </c>
      <c r="L301" s="3" t="s">
        <v>722</v>
      </c>
      <c r="M301" s="3">
        <v>201</v>
      </c>
      <c r="N301" s="4" t="s">
        <v>723</v>
      </c>
      <c r="O301" s="3"/>
      <c r="P301" s="3"/>
      <c r="Q301" s="3" t="s">
        <v>780</v>
      </c>
      <c r="R301" s="3" t="str">
        <f>CONCATENATE("ic_",Q301)</f>
        <v>ic_monster25</v>
      </c>
      <c r="S301" s="27" t="s">
        <v>1927</v>
      </c>
      <c r="T301" s="3">
        <v>1</v>
      </c>
      <c r="U301" s="3">
        <v>0</v>
      </c>
      <c r="V301" s="3">
        <v>1</v>
      </c>
      <c r="W301" s="7"/>
      <c r="X301" s="3" t="str">
        <f t="shared" si="20"/>
        <v>1级寒冰泰坦</v>
      </c>
      <c r="Y301" s="3"/>
    </row>
    <row r="302" spans="1:25" x14ac:dyDescent="0.15">
      <c r="A302" s="3">
        <v>201242</v>
      </c>
      <c r="B302" s="3" t="s">
        <v>1063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0</v>
      </c>
      <c r="J302" s="4">
        <v>672</v>
      </c>
      <c r="K302" s="3">
        <v>2</v>
      </c>
      <c r="L302" s="3" t="s">
        <v>722</v>
      </c>
      <c r="M302" s="3">
        <v>201</v>
      </c>
      <c r="N302" s="4" t="s">
        <v>723</v>
      </c>
      <c r="O302" s="3"/>
      <c r="P302" s="3"/>
      <c r="Q302" s="3" t="s">
        <v>1064</v>
      </c>
      <c r="R302" s="3" t="str">
        <f t="shared" ref="R302:R310" si="24">R301</f>
        <v>ic_monster25</v>
      </c>
      <c r="S302" s="27" t="s">
        <v>1927</v>
      </c>
      <c r="T302" s="3">
        <v>1</v>
      </c>
      <c r="U302" s="3">
        <v>0</v>
      </c>
      <c r="V302" s="3">
        <v>1</v>
      </c>
      <c r="W302" s="7"/>
      <c r="X302" s="3" t="str">
        <f t="shared" si="20"/>
        <v>2级寒冰泰坦</v>
      </c>
      <c r="Y302" s="3"/>
    </row>
    <row r="303" spans="1:25" x14ac:dyDescent="0.15">
      <c r="A303" s="3">
        <v>201243</v>
      </c>
      <c r="B303" s="3" t="s">
        <v>1065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0</v>
      </c>
      <c r="J303" s="4">
        <v>673</v>
      </c>
      <c r="K303" s="3">
        <v>2</v>
      </c>
      <c r="L303" s="3" t="s">
        <v>722</v>
      </c>
      <c r="M303" s="3">
        <v>201</v>
      </c>
      <c r="N303" s="4" t="s">
        <v>723</v>
      </c>
      <c r="O303" s="3"/>
      <c r="P303" s="3"/>
      <c r="Q303" s="3" t="s">
        <v>780</v>
      </c>
      <c r="R303" s="3" t="str">
        <f t="shared" si="24"/>
        <v>ic_monster25</v>
      </c>
      <c r="S303" s="27" t="s">
        <v>1927</v>
      </c>
      <c r="T303" s="3">
        <v>1</v>
      </c>
      <c r="U303" s="3">
        <v>0</v>
      </c>
      <c r="V303" s="3">
        <v>1</v>
      </c>
      <c r="W303" s="7"/>
      <c r="X303" s="3" t="str">
        <f t="shared" ref="X303:X334" si="25">B303</f>
        <v>3级寒冰泰坦</v>
      </c>
      <c r="Y303" s="3"/>
    </row>
    <row r="304" spans="1:25" x14ac:dyDescent="0.15">
      <c r="A304" s="3">
        <v>201244</v>
      </c>
      <c r="B304" s="3" t="s">
        <v>1066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0</v>
      </c>
      <c r="J304" s="4">
        <v>674</v>
      </c>
      <c r="K304" s="3">
        <v>2</v>
      </c>
      <c r="L304" s="3" t="s">
        <v>722</v>
      </c>
      <c r="M304" s="3">
        <v>201</v>
      </c>
      <c r="N304" s="4" t="s">
        <v>723</v>
      </c>
      <c r="O304" s="3"/>
      <c r="P304" s="3"/>
      <c r="Q304" s="3" t="s">
        <v>1064</v>
      </c>
      <c r="R304" s="3" t="str">
        <f t="shared" si="24"/>
        <v>ic_monster25</v>
      </c>
      <c r="S304" s="27" t="s">
        <v>1927</v>
      </c>
      <c r="T304" s="3">
        <v>1</v>
      </c>
      <c r="U304" s="3">
        <v>0</v>
      </c>
      <c r="V304" s="3">
        <v>1</v>
      </c>
      <c r="W304" s="7"/>
      <c r="X304" s="3" t="str">
        <f t="shared" si="25"/>
        <v>4级寒冰泰坦</v>
      </c>
      <c r="Y304" s="3"/>
    </row>
    <row r="305" spans="1:25" x14ac:dyDescent="0.15">
      <c r="A305" s="3">
        <v>201245</v>
      </c>
      <c r="B305" s="3" t="s">
        <v>1067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0</v>
      </c>
      <c r="J305" s="4">
        <v>675</v>
      </c>
      <c r="K305" s="3">
        <v>2</v>
      </c>
      <c r="L305" s="3" t="s">
        <v>722</v>
      </c>
      <c r="M305" s="3">
        <v>201</v>
      </c>
      <c r="N305" s="4" t="s">
        <v>723</v>
      </c>
      <c r="O305" s="3"/>
      <c r="P305" s="3"/>
      <c r="Q305" s="3" t="s">
        <v>780</v>
      </c>
      <c r="R305" s="3" t="str">
        <f t="shared" si="24"/>
        <v>ic_monster25</v>
      </c>
      <c r="S305" s="27" t="s">
        <v>1927</v>
      </c>
      <c r="T305" s="3">
        <v>1</v>
      </c>
      <c r="U305" s="3">
        <v>0</v>
      </c>
      <c r="V305" s="3">
        <v>1</v>
      </c>
      <c r="W305" s="7"/>
      <c r="X305" s="3" t="str">
        <f t="shared" si="25"/>
        <v>5级寒冰泰坦</v>
      </c>
      <c r="Y305" s="3"/>
    </row>
    <row r="306" spans="1:25" x14ac:dyDescent="0.15">
      <c r="A306" s="3">
        <v>201246</v>
      </c>
      <c r="B306" s="3" t="s">
        <v>1068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4">
        <v>676</v>
      </c>
      <c r="K306" s="3">
        <v>2</v>
      </c>
      <c r="L306" s="3" t="s">
        <v>722</v>
      </c>
      <c r="M306" s="3">
        <v>201</v>
      </c>
      <c r="N306" s="4" t="s">
        <v>723</v>
      </c>
      <c r="O306" s="3"/>
      <c r="P306" s="3"/>
      <c r="Q306" s="3" t="s">
        <v>1064</v>
      </c>
      <c r="R306" s="3" t="str">
        <f t="shared" si="24"/>
        <v>ic_monster25</v>
      </c>
      <c r="S306" s="27" t="s">
        <v>1927</v>
      </c>
      <c r="T306" s="3">
        <v>1</v>
      </c>
      <c r="U306" s="3">
        <v>0</v>
      </c>
      <c r="V306" s="3">
        <v>1</v>
      </c>
      <c r="W306" s="7"/>
      <c r="X306" s="3" t="str">
        <f t="shared" si="25"/>
        <v>6级寒冰泰坦</v>
      </c>
      <c r="Y306" s="3"/>
    </row>
    <row r="307" spans="1:25" x14ac:dyDescent="0.15">
      <c r="A307" s="3">
        <v>201247</v>
      </c>
      <c r="B307" s="3" t="s">
        <v>1069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0</v>
      </c>
      <c r="J307" s="4">
        <v>677</v>
      </c>
      <c r="K307" s="3">
        <v>2</v>
      </c>
      <c r="L307" s="3" t="s">
        <v>722</v>
      </c>
      <c r="M307" s="3">
        <v>201</v>
      </c>
      <c r="N307" s="4" t="s">
        <v>723</v>
      </c>
      <c r="O307" s="3"/>
      <c r="P307" s="3"/>
      <c r="Q307" s="3" t="s">
        <v>780</v>
      </c>
      <c r="R307" s="3" t="str">
        <f t="shared" si="24"/>
        <v>ic_monster25</v>
      </c>
      <c r="S307" s="27" t="s">
        <v>1927</v>
      </c>
      <c r="T307" s="3">
        <v>1</v>
      </c>
      <c r="U307" s="3">
        <v>0</v>
      </c>
      <c r="V307" s="3">
        <v>1</v>
      </c>
      <c r="W307" s="7"/>
      <c r="X307" s="3" t="str">
        <f t="shared" si="25"/>
        <v>7级寒冰泰坦</v>
      </c>
      <c r="Y307" s="3"/>
    </row>
    <row r="308" spans="1:25" x14ac:dyDescent="0.15">
      <c r="A308" s="3">
        <v>201248</v>
      </c>
      <c r="B308" s="3" t="s">
        <v>1070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4">
        <v>678</v>
      </c>
      <c r="K308" s="3">
        <v>2</v>
      </c>
      <c r="L308" s="3" t="s">
        <v>722</v>
      </c>
      <c r="M308" s="3">
        <v>201</v>
      </c>
      <c r="N308" s="4" t="s">
        <v>723</v>
      </c>
      <c r="O308" s="3"/>
      <c r="P308" s="3"/>
      <c r="Q308" s="3" t="s">
        <v>1064</v>
      </c>
      <c r="R308" s="3" t="str">
        <f t="shared" si="24"/>
        <v>ic_monster25</v>
      </c>
      <c r="S308" s="27" t="s">
        <v>1927</v>
      </c>
      <c r="T308" s="3">
        <v>1</v>
      </c>
      <c r="U308" s="3">
        <v>0</v>
      </c>
      <c r="V308" s="3">
        <v>1</v>
      </c>
      <c r="W308" s="7"/>
      <c r="X308" s="3" t="str">
        <f t="shared" si="25"/>
        <v>8级寒冰泰坦</v>
      </c>
      <c r="Y308" s="3"/>
    </row>
    <row r="309" spans="1:25" x14ac:dyDescent="0.15">
      <c r="A309" s="3">
        <v>201249</v>
      </c>
      <c r="B309" s="3" t="s">
        <v>1071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0</v>
      </c>
      <c r="J309" s="4">
        <v>679</v>
      </c>
      <c r="K309" s="3">
        <v>2</v>
      </c>
      <c r="L309" s="3" t="s">
        <v>722</v>
      </c>
      <c r="M309" s="3">
        <v>201</v>
      </c>
      <c r="N309" s="4" t="s">
        <v>723</v>
      </c>
      <c r="O309" s="3"/>
      <c r="P309" s="3"/>
      <c r="Q309" s="3" t="s">
        <v>780</v>
      </c>
      <c r="R309" s="3" t="str">
        <f t="shared" si="24"/>
        <v>ic_monster25</v>
      </c>
      <c r="S309" s="27" t="s">
        <v>1927</v>
      </c>
      <c r="T309" s="3">
        <v>1</v>
      </c>
      <c r="U309" s="3">
        <v>0</v>
      </c>
      <c r="V309" s="3">
        <v>1</v>
      </c>
      <c r="W309" s="7"/>
      <c r="X309" s="3" t="str">
        <f t="shared" si="25"/>
        <v>9级寒冰泰坦</v>
      </c>
      <c r="Y309" s="3"/>
    </row>
    <row r="310" spans="1:25" x14ac:dyDescent="0.15">
      <c r="A310" s="3">
        <v>201250</v>
      </c>
      <c r="B310" s="3" t="s">
        <v>1072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0</v>
      </c>
      <c r="J310" s="4">
        <v>680</v>
      </c>
      <c r="K310" s="3">
        <v>2</v>
      </c>
      <c r="L310" s="3" t="s">
        <v>722</v>
      </c>
      <c r="M310" s="3">
        <v>201</v>
      </c>
      <c r="N310" s="4" t="s">
        <v>723</v>
      </c>
      <c r="O310" s="3"/>
      <c r="P310" s="3"/>
      <c r="Q310" s="3" t="s">
        <v>1064</v>
      </c>
      <c r="R310" s="3" t="str">
        <f t="shared" si="24"/>
        <v>ic_monster25</v>
      </c>
      <c r="S310" s="27" t="s">
        <v>1927</v>
      </c>
      <c r="T310" s="3">
        <v>1</v>
      </c>
      <c r="U310" s="3">
        <v>0</v>
      </c>
      <c r="V310" s="3">
        <v>1</v>
      </c>
      <c r="W310" s="7"/>
      <c r="X310" s="3" t="str">
        <f t="shared" si="25"/>
        <v>10级寒冰泰坦</v>
      </c>
      <c r="Y310" s="3"/>
    </row>
    <row r="311" spans="1:25" x14ac:dyDescent="0.15">
      <c r="A311" s="3">
        <v>201251</v>
      </c>
      <c r="B311" s="3" t="s">
        <v>1073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0</v>
      </c>
      <c r="J311" s="4">
        <v>681</v>
      </c>
      <c r="K311" s="3">
        <v>2</v>
      </c>
      <c r="L311" s="3" t="s">
        <v>722</v>
      </c>
      <c r="M311" s="3">
        <v>201</v>
      </c>
      <c r="N311" s="4" t="s">
        <v>723</v>
      </c>
      <c r="O311" s="3"/>
      <c r="P311" s="3"/>
      <c r="Q311" s="3" t="s">
        <v>782</v>
      </c>
      <c r="R311" s="3" t="str">
        <f>CONCATENATE("ic_",Q311)</f>
        <v>ic_monster26</v>
      </c>
      <c r="S311" s="27" t="s">
        <v>1928</v>
      </c>
      <c r="T311" s="3">
        <v>1</v>
      </c>
      <c r="U311" s="3">
        <v>0</v>
      </c>
      <c r="V311" s="3">
        <v>1</v>
      </c>
      <c r="W311" s="7"/>
      <c r="X311" s="3" t="str">
        <f t="shared" si="25"/>
        <v>1级森林泰坦</v>
      </c>
      <c r="Y311" s="3"/>
    </row>
    <row r="312" spans="1:25" x14ac:dyDescent="0.15">
      <c r="A312" s="3">
        <v>201252</v>
      </c>
      <c r="B312" s="3" t="s">
        <v>1074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4">
        <v>682</v>
      </c>
      <c r="K312" s="3">
        <v>2</v>
      </c>
      <c r="L312" s="3" t="s">
        <v>722</v>
      </c>
      <c r="M312" s="3">
        <v>201</v>
      </c>
      <c r="N312" s="4" t="s">
        <v>723</v>
      </c>
      <c r="O312" s="3"/>
      <c r="P312" s="3"/>
      <c r="Q312" s="3" t="s">
        <v>1075</v>
      </c>
      <c r="R312" s="3" t="str">
        <f t="shared" ref="R312:R320" si="26">R311</f>
        <v>ic_monster26</v>
      </c>
      <c r="S312" s="27" t="s">
        <v>1928</v>
      </c>
      <c r="T312" s="3">
        <v>1</v>
      </c>
      <c r="U312" s="3">
        <v>0</v>
      </c>
      <c r="V312" s="3">
        <v>1</v>
      </c>
      <c r="W312" s="7"/>
      <c r="X312" s="3" t="str">
        <f t="shared" si="25"/>
        <v>2级森林泰坦</v>
      </c>
      <c r="Y312" s="3"/>
    </row>
    <row r="313" spans="1:25" x14ac:dyDescent="0.15">
      <c r="A313" s="3">
        <v>201253</v>
      </c>
      <c r="B313" s="3" t="s">
        <v>1076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4">
        <v>683</v>
      </c>
      <c r="K313" s="3">
        <v>2</v>
      </c>
      <c r="L313" s="3" t="s">
        <v>722</v>
      </c>
      <c r="M313" s="3">
        <v>201</v>
      </c>
      <c r="N313" s="4" t="s">
        <v>723</v>
      </c>
      <c r="O313" s="3"/>
      <c r="P313" s="3"/>
      <c r="Q313" s="3" t="s">
        <v>782</v>
      </c>
      <c r="R313" s="3" t="str">
        <f t="shared" si="26"/>
        <v>ic_monster26</v>
      </c>
      <c r="S313" s="27" t="s">
        <v>1928</v>
      </c>
      <c r="T313" s="3">
        <v>1</v>
      </c>
      <c r="U313" s="3">
        <v>0</v>
      </c>
      <c r="V313" s="3">
        <v>1</v>
      </c>
      <c r="W313" s="7"/>
      <c r="X313" s="3" t="str">
        <f t="shared" si="25"/>
        <v>3级森林泰坦</v>
      </c>
      <c r="Y313" s="3"/>
    </row>
    <row r="314" spans="1:25" x14ac:dyDescent="0.15">
      <c r="A314" s="3">
        <v>201254</v>
      </c>
      <c r="B314" s="3" t="s">
        <v>1077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0</v>
      </c>
      <c r="J314" s="4">
        <v>684</v>
      </c>
      <c r="K314" s="3">
        <v>2</v>
      </c>
      <c r="L314" s="3" t="s">
        <v>722</v>
      </c>
      <c r="M314" s="3">
        <v>201</v>
      </c>
      <c r="N314" s="4" t="s">
        <v>723</v>
      </c>
      <c r="O314" s="3"/>
      <c r="P314" s="3"/>
      <c r="Q314" s="3" t="s">
        <v>1075</v>
      </c>
      <c r="R314" s="3" t="str">
        <f t="shared" si="26"/>
        <v>ic_monster26</v>
      </c>
      <c r="S314" s="27" t="s">
        <v>1928</v>
      </c>
      <c r="T314" s="3">
        <v>1</v>
      </c>
      <c r="U314" s="3">
        <v>0</v>
      </c>
      <c r="V314" s="3">
        <v>1</v>
      </c>
      <c r="W314" s="7"/>
      <c r="X314" s="3" t="str">
        <f t="shared" si="25"/>
        <v>4级森林泰坦</v>
      </c>
      <c r="Y314" s="3"/>
    </row>
    <row r="315" spans="1:25" x14ac:dyDescent="0.15">
      <c r="A315" s="3">
        <v>201255</v>
      </c>
      <c r="B315" s="3" t="s">
        <v>1078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4">
        <v>685</v>
      </c>
      <c r="K315" s="3">
        <v>2</v>
      </c>
      <c r="L315" s="3" t="s">
        <v>722</v>
      </c>
      <c r="M315" s="3">
        <v>201</v>
      </c>
      <c r="N315" s="4" t="s">
        <v>723</v>
      </c>
      <c r="O315" s="3"/>
      <c r="P315" s="3"/>
      <c r="Q315" s="3" t="s">
        <v>782</v>
      </c>
      <c r="R315" s="3" t="str">
        <f t="shared" si="26"/>
        <v>ic_monster26</v>
      </c>
      <c r="S315" s="27" t="s">
        <v>1928</v>
      </c>
      <c r="T315" s="3">
        <v>1</v>
      </c>
      <c r="U315" s="3">
        <v>0</v>
      </c>
      <c r="V315" s="3">
        <v>1</v>
      </c>
      <c r="W315" s="7"/>
      <c r="X315" s="3" t="str">
        <f t="shared" si="25"/>
        <v>5级森林泰坦</v>
      </c>
      <c r="Y315" s="3"/>
    </row>
    <row r="316" spans="1:25" x14ac:dyDescent="0.15">
      <c r="A316" s="3">
        <v>201256</v>
      </c>
      <c r="B316" s="3" t="s">
        <v>1079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0</v>
      </c>
      <c r="J316" s="4">
        <v>686</v>
      </c>
      <c r="K316" s="3">
        <v>2</v>
      </c>
      <c r="L316" s="3" t="s">
        <v>722</v>
      </c>
      <c r="M316" s="3">
        <v>201</v>
      </c>
      <c r="N316" s="4" t="s">
        <v>723</v>
      </c>
      <c r="O316" s="3"/>
      <c r="P316" s="3"/>
      <c r="Q316" s="3" t="s">
        <v>1075</v>
      </c>
      <c r="R316" s="3" t="str">
        <f t="shared" si="26"/>
        <v>ic_monster26</v>
      </c>
      <c r="S316" s="27" t="s">
        <v>1928</v>
      </c>
      <c r="T316" s="3">
        <v>1</v>
      </c>
      <c r="U316" s="3">
        <v>0</v>
      </c>
      <c r="V316" s="3">
        <v>1</v>
      </c>
      <c r="W316" s="7"/>
      <c r="X316" s="3" t="str">
        <f t="shared" si="25"/>
        <v>6级森林泰坦</v>
      </c>
      <c r="Y316" s="3"/>
    </row>
    <row r="317" spans="1:25" x14ac:dyDescent="0.15">
      <c r="A317" s="3">
        <v>201257</v>
      </c>
      <c r="B317" s="3" t="s">
        <v>1080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4">
        <v>687</v>
      </c>
      <c r="K317" s="3">
        <v>2</v>
      </c>
      <c r="L317" s="3" t="s">
        <v>722</v>
      </c>
      <c r="M317" s="3">
        <v>201</v>
      </c>
      <c r="N317" s="4" t="s">
        <v>723</v>
      </c>
      <c r="O317" s="3"/>
      <c r="P317" s="3"/>
      <c r="Q317" s="3" t="s">
        <v>782</v>
      </c>
      <c r="R317" s="3" t="str">
        <f t="shared" si="26"/>
        <v>ic_monster26</v>
      </c>
      <c r="S317" s="27" t="s">
        <v>1928</v>
      </c>
      <c r="T317" s="3">
        <v>1</v>
      </c>
      <c r="U317" s="3">
        <v>0</v>
      </c>
      <c r="V317" s="3">
        <v>1</v>
      </c>
      <c r="W317" s="7"/>
      <c r="X317" s="3" t="str">
        <f t="shared" si="25"/>
        <v>7级森林泰坦</v>
      </c>
      <c r="Y317" s="3"/>
    </row>
    <row r="318" spans="1:25" x14ac:dyDescent="0.15">
      <c r="A318" s="3">
        <v>201258</v>
      </c>
      <c r="B318" s="3" t="s">
        <v>1081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0</v>
      </c>
      <c r="J318" s="4">
        <v>688</v>
      </c>
      <c r="K318" s="3">
        <v>2</v>
      </c>
      <c r="L318" s="3" t="s">
        <v>722</v>
      </c>
      <c r="M318" s="3">
        <v>201</v>
      </c>
      <c r="N318" s="4" t="s">
        <v>723</v>
      </c>
      <c r="O318" s="3"/>
      <c r="P318" s="3"/>
      <c r="Q318" s="3" t="s">
        <v>1075</v>
      </c>
      <c r="R318" s="3" t="str">
        <f t="shared" si="26"/>
        <v>ic_monster26</v>
      </c>
      <c r="S318" s="27" t="s">
        <v>1928</v>
      </c>
      <c r="T318" s="3">
        <v>1</v>
      </c>
      <c r="U318" s="3">
        <v>0</v>
      </c>
      <c r="V318" s="3">
        <v>1</v>
      </c>
      <c r="W318" s="7"/>
      <c r="X318" s="3" t="str">
        <f t="shared" si="25"/>
        <v>8级森林泰坦</v>
      </c>
      <c r="Y318" s="3"/>
    </row>
    <row r="319" spans="1:25" x14ac:dyDescent="0.15">
      <c r="A319" s="3">
        <v>201259</v>
      </c>
      <c r="B319" s="3" t="s">
        <v>1082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4">
        <v>689</v>
      </c>
      <c r="K319" s="3">
        <v>2</v>
      </c>
      <c r="L319" s="3" t="s">
        <v>722</v>
      </c>
      <c r="M319" s="3">
        <v>201</v>
      </c>
      <c r="N319" s="4" t="s">
        <v>723</v>
      </c>
      <c r="O319" s="3"/>
      <c r="P319" s="3"/>
      <c r="Q319" s="3" t="s">
        <v>782</v>
      </c>
      <c r="R319" s="3" t="str">
        <f t="shared" si="26"/>
        <v>ic_monster26</v>
      </c>
      <c r="S319" s="27" t="s">
        <v>1928</v>
      </c>
      <c r="T319" s="3">
        <v>1</v>
      </c>
      <c r="U319" s="3">
        <v>0</v>
      </c>
      <c r="V319" s="3">
        <v>1</v>
      </c>
      <c r="W319" s="7"/>
      <c r="X319" s="3" t="str">
        <f t="shared" si="25"/>
        <v>9级森林泰坦</v>
      </c>
      <c r="Y319" s="3"/>
    </row>
    <row r="320" spans="1:25" x14ac:dyDescent="0.15">
      <c r="A320" s="3">
        <v>201260</v>
      </c>
      <c r="B320" s="3" t="s">
        <v>1083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4">
        <v>690</v>
      </c>
      <c r="K320" s="3">
        <v>2</v>
      </c>
      <c r="L320" s="3" t="s">
        <v>722</v>
      </c>
      <c r="M320" s="3">
        <v>201</v>
      </c>
      <c r="N320" s="4" t="s">
        <v>723</v>
      </c>
      <c r="O320" s="3"/>
      <c r="P320" s="3"/>
      <c r="Q320" s="3" t="s">
        <v>1075</v>
      </c>
      <c r="R320" s="3" t="str">
        <f t="shared" si="26"/>
        <v>ic_monster26</v>
      </c>
      <c r="S320" s="27" t="s">
        <v>1928</v>
      </c>
      <c r="T320" s="3">
        <v>1</v>
      </c>
      <c r="U320" s="3">
        <v>0</v>
      </c>
      <c r="V320" s="3">
        <v>1</v>
      </c>
      <c r="W320" s="7"/>
      <c r="X320" s="3" t="str">
        <f t="shared" si="25"/>
        <v>10级森林泰坦</v>
      </c>
      <c r="Y320" s="3"/>
    </row>
    <row r="321" spans="1:25" x14ac:dyDescent="0.15">
      <c r="A321" s="3">
        <v>201261</v>
      </c>
      <c r="B321" s="3" t="s">
        <v>1084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4">
        <v>691</v>
      </c>
      <c r="K321" s="3">
        <v>2</v>
      </c>
      <c r="L321" s="3" t="s">
        <v>722</v>
      </c>
      <c r="M321" s="3">
        <v>201</v>
      </c>
      <c r="N321" s="4" t="s">
        <v>723</v>
      </c>
      <c r="O321" s="3"/>
      <c r="P321" s="3"/>
      <c r="Q321" s="3" t="s">
        <v>784</v>
      </c>
      <c r="R321" s="3" t="str">
        <f>CONCATENATE("ic_",Q321)</f>
        <v>ic_monster27</v>
      </c>
      <c r="S321" s="27" t="s">
        <v>1929</v>
      </c>
      <c r="T321" s="3">
        <v>1</v>
      </c>
      <c r="U321" s="3">
        <v>0</v>
      </c>
      <c r="V321" s="3">
        <v>1</v>
      </c>
      <c r="W321" s="7"/>
      <c r="X321" s="3" t="str">
        <f t="shared" si="25"/>
        <v>1级坚甲犀牛</v>
      </c>
      <c r="Y321" s="3"/>
    </row>
    <row r="322" spans="1:25" x14ac:dyDescent="0.15">
      <c r="A322" s="3">
        <v>201262</v>
      </c>
      <c r="B322" s="3" t="s">
        <v>1085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4">
        <v>692</v>
      </c>
      <c r="K322" s="3">
        <v>2</v>
      </c>
      <c r="L322" s="3" t="s">
        <v>722</v>
      </c>
      <c r="M322" s="3">
        <v>201</v>
      </c>
      <c r="N322" s="4" t="s">
        <v>723</v>
      </c>
      <c r="O322" s="3"/>
      <c r="P322" s="3"/>
      <c r="Q322" s="3" t="s">
        <v>1086</v>
      </c>
      <c r="R322" s="3" t="str">
        <f t="shared" ref="R322:R330" si="27">R321</f>
        <v>ic_monster27</v>
      </c>
      <c r="S322" s="27" t="s">
        <v>1929</v>
      </c>
      <c r="T322" s="3">
        <v>1</v>
      </c>
      <c r="U322" s="3">
        <v>0</v>
      </c>
      <c r="V322" s="3">
        <v>1</v>
      </c>
      <c r="W322" s="7"/>
      <c r="X322" s="3" t="str">
        <f t="shared" si="25"/>
        <v>2级坚甲犀牛</v>
      </c>
      <c r="Y322" s="3"/>
    </row>
    <row r="323" spans="1:25" x14ac:dyDescent="0.15">
      <c r="A323" s="3">
        <v>201263</v>
      </c>
      <c r="B323" s="3" t="s">
        <v>1087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0</v>
      </c>
      <c r="J323" s="4">
        <v>693</v>
      </c>
      <c r="K323" s="3">
        <v>2</v>
      </c>
      <c r="L323" s="3" t="s">
        <v>722</v>
      </c>
      <c r="M323" s="3">
        <v>201</v>
      </c>
      <c r="N323" s="4" t="s">
        <v>723</v>
      </c>
      <c r="O323" s="3"/>
      <c r="P323" s="3"/>
      <c r="Q323" s="3" t="s">
        <v>784</v>
      </c>
      <c r="R323" s="3" t="str">
        <f t="shared" si="27"/>
        <v>ic_monster27</v>
      </c>
      <c r="S323" s="27" t="s">
        <v>1929</v>
      </c>
      <c r="T323" s="3">
        <v>1</v>
      </c>
      <c r="U323" s="3">
        <v>0</v>
      </c>
      <c r="V323" s="3">
        <v>1</v>
      </c>
      <c r="W323" s="7"/>
      <c r="X323" s="3" t="str">
        <f t="shared" si="25"/>
        <v>3级坚甲犀牛</v>
      </c>
      <c r="Y323" s="3"/>
    </row>
    <row r="324" spans="1:25" x14ac:dyDescent="0.15">
      <c r="A324" s="3">
        <v>201264</v>
      </c>
      <c r="B324" s="3" t="s">
        <v>1088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0</v>
      </c>
      <c r="J324" s="4">
        <v>694</v>
      </c>
      <c r="K324" s="3">
        <v>2</v>
      </c>
      <c r="L324" s="3" t="s">
        <v>722</v>
      </c>
      <c r="M324" s="3">
        <v>201</v>
      </c>
      <c r="N324" s="4" t="s">
        <v>723</v>
      </c>
      <c r="O324" s="3"/>
      <c r="P324" s="3"/>
      <c r="Q324" s="3" t="s">
        <v>1086</v>
      </c>
      <c r="R324" s="3" t="str">
        <f t="shared" si="27"/>
        <v>ic_monster27</v>
      </c>
      <c r="S324" s="27" t="s">
        <v>1929</v>
      </c>
      <c r="T324" s="3">
        <v>1</v>
      </c>
      <c r="U324" s="3">
        <v>0</v>
      </c>
      <c r="V324" s="3">
        <v>1</v>
      </c>
      <c r="W324" s="7"/>
      <c r="X324" s="3" t="str">
        <f t="shared" si="25"/>
        <v>4级坚甲犀牛</v>
      </c>
      <c r="Y324" s="3"/>
    </row>
    <row r="325" spans="1:25" x14ac:dyDescent="0.15">
      <c r="A325" s="3">
        <v>201265</v>
      </c>
      <c r="B325" s="3" t="s">
        <v>1089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4">
        <v>695</v>
      </c>
      <c r="K325" s="3">
        <v>2</v>
      </c>
      <c r="L325" s="3" t="s">
        <v>722</v>
      </c>
      <c r="M325" s="3">
        <v>201</v>
      </c>
      <c r="N325" s="4" t="s">
        <v>723</v>
      </c>
      <c r="O325" s="3"/>
      <c r="P325" s="3"/>
      <c r="Q325" s="3" t="s">
        <v>784</v>
      </c>
      <c r="R325" s="3" t="str">
        <f t="shared" si="27"/>
        <v>ic_monster27</v>
      </c>
      <c r="S325" s="27" t="s">
        <v>1929</v>
      </c>
      <c r="T325" s="3">
        <v>1</v>
      </c>
      <c r="U325" s="3">
        <v>0</v>
      </c>
      <c r="V325" s="3">
        <v>1</v>
      </c>
      <c r="W325" s="7"/>
      <c r="X325" s="3" t="str">
        <f t="shared" si="25"/>
        <v>5级坚甲犀牛</v>
      </c>
      <c r="Y325" s="3"/>
    </row>
    <row r="326" spans="1:25" x14ac:dyDescent="0.15">
      <c r="A326" s="3">
        <v>201266</v>
      </c>
      <c r="B326" s="3" t="s">
        <v>1090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0</v>
      </c>
      <c r="J326" s="4">
        <v>696</v>
      </c>
      <c r="K326" s="3">
        <v>2</v>
      </c>
      <c r="L326" s="3" t="s">
        <v>722</v>
      </c>
      <c r="M326" s="3">
        <v>201</v>
      </c>
      <c r="N326" s="4" t="s">
        <v>723</v>
      </c>
      <c r="O326" s="3"/>
      <c r="P326" s="3"/>
      <c r="Q326" s="3" t="s">
        <v>1086</v>
      </c>
      <c r="R326" s="3" t="str">
        <f t="shared" si="27"/>
        <v>ic_monster27</v>
      </c>
      <c r="S326" s="27" t="s">
        <v>1929</v>
      </c>
      <c r="T326" s="3">
        <v>1</v>
      </c>
      <c r="U326" s="3">
        <v>0</v>
      </c>
      <c r="V326" s="3">
        <v>1</v>
      </c>
      <c r="W326" s="7"/>
      <c r="X326" s="3" t="str">
        <f t="shared" si="25"/>
        <v>6级坚甲犀牛</v>
      </c>
      <c r="Y326" s="3"/>
    </row>
    <row r="327" spans="1:25" x14ac:dyDescent="0.15">
      <c r="A327" s="3">
        <v>201267</v>
      </c>
      <c r="B327" s="3" t="s">
        <v>1091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0</v>
      </c>
      <c r="J327" s="4">
        <v>697</v>
      </c>
      <c r="K327" s="3">
        <v>2</v>
      </c>
      <c r="L327" s="3" t="s">
        <v>722</v>
      </c>
      <c r="M327" s="3">
        <v>201</v>
      </c>
      <c r="N327" s="4" t="s">
        <v>723</v>
      </c>
      <c r="O327" s="3"/>
      <c r="P327" s="3"/>
      <c r="Q327" s="3" t="s">
        <v>784</v>
      </c>
      <c r="R327" s="3" t="str">
        <f t="shared" si="27"/>
        <v>ic_monster27</v>
      </c>
      <c r="S327" s="27" t="s">
        <v>1929</v>
      </c>
      <c r="T327" s="3">
        <v>1</v>
      </c>
      <c r="U327" s="3">
        <v>0</v>
      </c>
      <c r="V327" s="3">
        <v>1</v>
      </c>
      <c r="W327" s="7"/>
      <c r="X327" s="3" t="str">
        <f t="shared" si="25"/>
        <v>7级坚甲犀牛</v>
      </c>
      <c r="Y327" s="3"/>
    </row>
    <row r="328" spans="1:25" x14ac:dyDescent="0.15">
      <c r="A328" s="3">
        <v>201268</v>
      </c>
      <c r="B328" s="3" t="s">
        <v>1092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0</v>
      </c>
      <c r="J328" s="4">
        <v>698</v>
      </c>
      <c r="K328" s="3">
        <v>2</v>
      </c>
      <c r="L328" s="3" t="s">
        <v>722</v>
      </c>
      <c r="M328" s="3">
        <v>201</v>
      </c>
      <c r="N328" s="4" t="s">
        <v>723</v>
      </c>
      <c r="O328" s="3"/>
      <c r="P328" s="3"/>
      <c r="Q328" s="3" t="s">
        <v>1086</v>
      </c>
      <c r="R328" s="3" t="str">
        <f t="shared" si="27"/>
        <v>ic_monster27</v>
      </c>
      <c r="S328" s="27" t="s">
        <v>1929</v>
      </c>
      <c r="T328" s="3">
        <v>1</v>
      </c>
      <c r="U328" s="3">
        <v>0</v>
      </c>
      <c r="V328" s="3">
        <v>1</v>
      </c>
      <c r="W328" s="7"/>
      <c r="X328" s="3" t="str">
        <f t="shared" si="25"/>
        <v>8级坚甲犀牛</v>
      </c>
      <c r="Y328" s="3"/>
    </row>
    <row r="329" spans="1:25" x14ac:dyDescent="0.15">
      <c r="A329" s="3">
        <v>201269</v>
      </c>
      <c r="B329" s="3" t="s">
        <v>1093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0</v>
      </c>
      <c r="J329" s="4">
        <v>699</v>
      </c>
      <c r="K329" s="3">
        <v>2</v>
      </c>
      <c r="L329" s="3" t="s">
        <v>722</v>
      </c>
      <c r="M329" s="3">
        <v>201</v>
      </c>
      <c r="N329" s="4" t="s">
        <v>723</v>
      </c>
      <c r="O329" s="3"/>
      <c r="P329" s="3"/>
      <c r="Q329" s="3" t="s">
        <v>784</v>
      </c>
      <c r="R329" s="3" t="str">
        <f t="shared" si="27"/>
        <v>ic_monster27</v>
      </c>
      <c r="S329" s="27" t="s">
        <v>1929</v>
      </c>
      <c r="T329" s="3">
        <v>1</v>
      </c>
      <c r="U329" s="3">
        <v>0</v>
      </c>
      <c r="V329" s="3">
        <v>1</v>
      </c>
      <c r="W329" s="7"/>
      <c r="X329" s="3" t="str">
        <f t="shared" si="25"/>
        <v>9级坚甲犀牛</v>
      </c>
      <c r="Y329" s="3"/>
    </row>
    <row r="330" spans="1:25" x14ac:dyDescent="0.15">
      <c r="A330" s="3">
        <v>201270</v>
      </c>
      <c r="B330" s="3" t="s">
        <v>1094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0</v>
      </c>
      <c r="J330" s="4">
        <v>700</v>
      </c>
      <c r="K330" s="3">
        <v>2</v>
      </c>
      <c r="L330" s="3" t="s">
        <v>722</v>
      </c>
      <c r="M330" s="3">
        <v>201</v>
      </c>
      <c r="N330" s="4" t="s">
        <v>723</v>
      </c>
      <c r="O330" s="3"/>
      <c r="P330" s="3"/>
      <c r="Q330" s="3" t="s">
        <v>1086</v>
      </c>
      <c r="R330" s="3" t="str">
        <f t="shared" si="27"/>
        <v>ic_monster27</v>
      </c>
      <c r="S330" s="27" t="s">
        <v>1929</v>
      </c>
      <c r="T330" s="3">
        <v>1</v>
      </c>
      <c r="U330" s="3">
        <v>0</v>
      </c>
      <c r="V330" s="3">
        <v>1</v>
      </c>
      <c r="W330" s="7"/>
      <c r="X330" s="3" t="str">
        <f t="shared" si="25"/>
        <v>10级坚甲犀牛</v>
      </c>
      <c r="Y330" s="3"/>
    </row>
    <row r="331" spans="1:25" x14ac:dyDescent="0.15">
      <c r="A331" s="3">
        <v>201271</v>
      </c>
      <c r="B331" s="3" t="s">
        <v>1095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0</v>
      </c>
      <c r="J331" s="4">
        <v>701</v>
      </c>
      <c r="K331" s="3">
        <v>2</v>
      </c>
      <c r="L331" s="3" t="s">
        <v>722</v>
      </c>
      <c r="M331" s="3">
        <v>201</v>
      </c>
      <c r="N331" s="4" t="s">
        <v>723</v>
      </c>
      <c r="O331" s="3"/>
      <c r="P331" s="3"/>
      <c r="Q331" s="3" t="s">
        <v>786</v>
      </c>
      <c r="R331" s="3" t="str">
        <f>CONCATENATE("ic_",Q331)</f>
        <v>ic_monster28</v>
      </c>
      <c r="S331" s="27" t="s">
        <v>1930</v>
      </c>
      <c r="T331" s="3">
        <v>1</v>
      </c>
      <c r="U331" s="3">
        <v>0</v>
      </c>
      <c r="V331" s="3">
        <v>1</v>
      </c>
      <c r="W331" s="7"/>
      <c r="X331" s="3" t="str">
        <f t="shared" si="25"/>
        <v>1级寄居蟹</v>
      </c>
      <c r="Y331" s="3"/>
    </row>
    <row r="332" spans="1:25" x14ac:dyDescent="0.15">
      <c r="A332" s="3">
        <v>201272</v>
      </c>
      <c r="B332" s="3" t="s">
        <v>1096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0</v>
      </c>
      <c r="J332" s="4">
        <v>702</v>
      </c>
      <c r="K332" s="3">
        <v>2</v>
      </c>
      <c r="L332" s="3" t="s">
        <v>722</v>
      </c>
      <c r="M332" s="3">
        <v>201</v>
      </c>
      <c r="N332" s="4" t="s">
        <v>723</v>
      </c>
      <c r="O332" s="3"/>
      <c r="P332" s="3"/>
      <c r="Q332" s="3" t="s">
        <v>1097</v>
      </c>
      <c r="R332" s="3" t="str">
        <f t="shared" ref="R332:R340" si="28">R331</f>
        <v>ic_monster28</v>
      </c>
      <c r="S332" s="27" t="s">
        <v>1930</v>
      </c>
      <c r="T332" s="3">
        <v>1</v>
      </c>
      <c r="U332" s="3">
        <v>0</v>
      </c>
      <c r="V332" s="3">
        <v>1</v>
      </c>
      <c r="W332" s="7"/>
      <c r="X332" s="3" t="str">
        <f t="shared" si="25"/>
        <v>2级寄居蟹</v>
      </c>
      <c r="Y332" s="3"/>
    </row>
    <row r="333" spans="1:25" x14ac:dyDescent="0.15">
      <c r="A333" s="3">
        <v>201273</v>
      </c>
      <c r="B333" s="3" t="s">
        <v>1098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0</v>
      </c>
      <c r="J333" s="4">
        <v>703</v>
      </c>
      <c r="K333" s="3">
        <v>2</v>
      </c>
      <c r="L333" s="3" t="s">
        <v>722</v>
      </c>
      <c r="M333" s="3">
        <v>201</v>
      </c>
      <c r="N333" s="4" t="s">
        <v>723</v>
      </c>
      <c r="O333" s="3"/>
      <c r="P333" s="3"/>
      <c r="Q333" s="3" t="s">
        <v>786</v>
      </c>
      <c r="R333" s="3" t="str">
        <f t="shared" si="28"/>
        <v>ic_monster28</v>
      </c>
      <c r="S333" s="27" t="s">
        <v>1930</v>
      </c>
      <c r="T333" s="3">
        <v>1</v>
      </c>
      <c r="U333" s="3">
        <v>0</v>
      </c>
      <c r="V333" s="3">
        <v>1</v>
      </c>
      <c r="W333" s="7"/>
      <c r="X333" s="3" t="str">
        <f t="shared" si="25"/>
        <v>3级寄居蟹</v>
      </c>
      <c r="Y333" s="3"/>
    </row>
    <row r="334" spans="1:25" x14ac:dyDescent="0.15">
      <c r="A334" s="3">
        <v>201274</v>
      </c>
      <c r="B334" s="3" t="s">
        <v>1099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4">
        <v>704</v>
      </c>
      <c r="K334" s="3">
        <v>2</v>
      </c>
      <c r="L334" s="3" t="s">
        <v>722</v>
      </c>
      <c r="M334" s="3">
        <v>201</v>
      </c>
      <c r="N334" s="4" t="s">
        <v>723</v>
      </c>
      <c r="O334" s="3"/>
      <c r="P334" s="3"/>
      <c r="Q334" s="3" t="s">
        <v>1097</v>
      </c>
      <c r="R334" s="3" t="str">
        <f t="shared" si="28"/>
        <v>ic_monster28</v>
      </c>
      <c r="S334" s="27" t="s">
        <v>1930</v>
      </c>
      <c r="T334" s="3">
        <v>1</v>
      </c>
      <c r="U334" s="3">
        <v>0</v>
      </c>
      <c r="V334" s="3">
        <v>1</v>
      </c>
      <c r="W334" s="7"/>
      <c r="X334" s="3" t="str">
        <f t="shared" si="25"/>
        <v>4级寄居蟹</v>
      </c>
      <c r="Y334" s="3"/>
    </row>
    <row r="335" spans="1:25" x14ac:dyDescent="0.15">
      <c r="A335" s="3">
        <v>201275</v>
      </c>
      <c r="B335" s="3" t="s">
        <v>1100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0</v>
      </c>
      <c r="J335" s="4">
        <v>705</v>
      </c>
      <c r="K335" s="3">
        <v>2</v>
      </c>
      <c r="L335" s="3" t="s">
        <v>722</v>
      </c>
      <c r="M335" s="3">
        <v>201</v>
      </c>
      <c r="N335" s="4" t="s">
        <v>723</v>
      </c>
      <c r="O335" s="3"/>
      <c r="P335" s="3"/>
      <c r="Q335" s="3" t="s">
        <v>786</v>
      </c>
      <c r="R335" s="3" t="str">
        <f t="shared" si="28"/>
        <v>ic_monster28</v>
      </c>
      <c r="S335" s="27" t="s">
        <v>1930</v>
      </c>
      <c r="T335" s="3">
        <v>1</v>
      </c>
      <c r="U335" s="3">
        <v>0</v>
      </c>
      <c r="V335" s="3">
        <v>1</v>
      </c>
      <c r="W335" s="7"/>
      <c r="X335" s="3" t="str">
        <f t="shared" ref="X335:X370" si="29">B335</f>
        <v>5级寄居蟹</v>
      </c>
      <c r="Y335" s="3"/>
    </row>
    <row r="336" spans="1:25" x14ac:dyDescent="0.15">
      <c r="A336" s="3">
        <v>201276</v>
      </c>
      <c r="B336" s="3" t="s">
        <v>1101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0</v>
      </c>
      <c r="J336" s="4">
        <v>706</v>
      </c>
      <c r="K336" s="3">
        <v>2</v>
      </c>
      <c r="L336" s="3" t="s">
        <v>722</v>
      </c>
      <c r="M336" s="3">
        <v>201</v>
      </c>
      <c r="N336" s="4" t="s">
        <v>723</v>
      </c>
      <c r="O336" s="3"/>
      <c r="P336" s="3"/>
      <c r="Q336" s="3" t="s">
        <v>1097</v>
      </c>
      <c r="R336" s="3" t="str">
        <f t="shared" si="28"/>
        <v>ic_monster28</v>
      </c>
      <c r="S336" s="27" t="s">
        <v>1930</v>
      </c>
      <c r="T336" s="3">
        <v>1</v>
      </c>
      <c r="U336" s="3">
        <v>0</v>
      </c>
      <c r="V336" s="3">
        <v>1</v>
      </c>
      <c r="W336" s="7"/>
      <c r="X336" s="3" t="str">
        <f t="shared" si="29"/>
        <v>6级寄居蟹</v>
      </c>
      <c r="Y336" s="3"/>
    </row>
    <row r="337" spans="1:25" x14ac:dyDescent="0.15">
      <c r="A337" s="3">
        <v>201277</v>
      </c>
      <c r="B337" s="3" t="s">
        <v>1102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4">
        <v>707</v>
      </c>
      <c r="K337" s="3">
        <v>2</v>
      </c>
      <c r="L337" s="3" t="s">
        <v>722</v>
      </c>
      <c r="M337" s="3">
        <v>201</v>
      </c>
      <c r="N337" s="4" t="s">
        <v>723</v>
      </c>
      <c r="O337" s="3"/>
      <c r="P337" s="3"/>
      <c r="Q337" s="3" t="s">
        <v>786</v>
      </c>
      <c r="R337" s="3" t="str">
        <f t="shared" si="28"/>
        <v>ic_monster28</v>
      </c>
      <c r="S337" s="27" t="s">
        <v>1930</v>
      </c>
      <c r="T337" s="3">
        <v>1</v>
      </c>
      <c r="U337" s="3">
        <v>0</v>
      </c>
      <c r="V337" s="3">
        <v>1</v>
      </c>
      <c r="W337" s="7"/>
      <c r="X337" s="3" t="str">
        <f t="shared" si="29"/>
        <v>7级寄居蟹</v>
      </c>
      <c r="Y337" s="3"/>
    </row>
    <row r="338" spans="1:25" x14ac:dyDescent="0.15">
      <c r="A338" s="3">
        <v>201278</v>
      </c>
      <c r="B338" s="3" t="s">
        <v>1103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0</v>
      </c>
      <c r="J338" s="4">
        <v>708</v>
      </c>
      <c r="K338" s="3">
        <v>2</v>
      </c>
      <c r="L338" s="3" t="s">
        <v>722</v>
      </c>
      <c r="M338" s="3">
        <v>201</v>
      </c>
      <c r="N338" s="4" t="s">
        <v>723</v>
      </c>
      <c r="O338" s="3"/>
      <c r="P338" s="3"/>
      <c r="Q338" s="3" t="s">
        <v>1097</v>
      </c>
      <c r="R338" s="3" t="str">
        <f t="shared" si="28"/>
        <v>ic_monster28</v>
      </c>
      <c r="S338" s="27" t="s">
        <v>1930</v>
      </c>
      <c r="T338" s="3">
        <v>1</v>
      </c>
      <c r="U338" s="3">
        <v>0</v>
      </c>
      <c r="V338" s="3">
        <v>1</v>
      </c>
      <c r="W338" s="7"/>
      <c r="X338" s="3" t="str">
        <f t="shared" si="29"/>
        <v>8级寄居蟹</v>
      </c>
      <c r="Y338" s="3"/>
    </row>
    <row r="339" spans="1:25" x14ac:dyDescent="0.15">
      <c r="A339" s="3">
        <v>201279</v>
      </c>
      <c r="B339" s="3" t="s">
        <v>1104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4">
        <v>709</v>
      </c>
      <c r="K339" s="3">
        <v>2</v>
      </c>
      <c r="L339" s="3" t="s">
        <v>722</v>
      </c>
      <c r="M339" s="3">
        <v>201</v>
      </c>
      <c r="N339" s="4" t="s">
        <v>723</v>
      </c>
      <c r="O339" s="3"/>
      <c r="P339" s="3"/>
      <c r="Q339" s="3" t="s">
        <v>786</v>
      </c>
      <c r="R339" s="3" t="str">
        <f t="shared" si="28"/>
        <v>ic_monster28</v>
      </c>
      <c r="S339" s="27" t="s">
        <v>1930</v>
      </c>
      <c r="T339" s="3">
        <v>1</v>
      </c>
      <c r="U339" s="3">
        <v>0</v>
      </c>
      <c r="V339" s="3">
        <v>1</v>
      </c>
      <c r="W339" s="7"/>
      <c r="X339" s="3" t="str">
        <f t="shared" si="29"/>
        <v>9级寄居蟹</v>
      </c>
      <c r="Y339" s="3"/>
    </row>
    <row r="340" spans="1:25" x14ac:dyDescent="0.15">
      <c r="A340" s="3">
        <v>201280</v>
      </c>
      <c r="B340" s="3" t="s">
        <v>1105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4">
        <v>710</v>
      </c>
      <c r="K340" s="3">
        <v>2</v>
      </c>
      <c r="L340" s="3" t="s">
        <v>722</v>
      </c>
      <c r="M340" s="3">
        <v>201</v>
      </c>
      <c r="N340" s="4" t="s">
        <v>723</v>
      </c>
      <c r="O340" s="3"/>
      <c r="P340" s="3"/>
      <c r="Q340" s="3" t="s">
        <v>1097</v>
      </c>
      <c r="R340" s="3" t="str">
        <f t="shared" si="28"/>
        <v>ic_monster28</v>
      </c>
      <c r="S340" s="27" t="s">
        <v>1930</v>
      </c>
      <c r="T340" s="3">
        <v>1</v>
      </c>
      <c r="U340" s="3">
        <v>0</v>
      </c>
      <c r="V340" s="3">
        <v>1</v>
      </c>
      <c r="W340" s="7"/>
      <c r="X340" s="3" t="str">
        <f t="shared" si="29"/>
        <v>10级寄居蟹</v>
      </c>
      <c r="Y340" s="3"/>
    </row>
    <row r="341" spans="1:25" x14ac:dyDescent="0.15">
      <c r="A341" s="3">
        <v>201281</v>
      </c>
      <c r="B341" s="27" t="s">
        <v>2114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4">
        <v>711</v>
      </c>
      <c r="K341" s="3">
        <v>2</v>
      </c>
      <c r="L341" s="3" t="s">
        <v>722</v>
      </c>
      <c r="M341" s="3">
        <v>201</v>
      </c>
      <c r="N341" s="4" t="s">
        <v>723</v>
      </c>
      <c r="O341" s="3"/>
      <c r="P341" s="3"/>
      <c r="Q341" s="27" t="s">
        <v>2731</v>
      </c>
      <c r="R341" s="3" t="str">
        <f>CONCATENATE("ic_",Q341)</f>
        <v>ic_monster29</v>
      </c>
      <c r="S341" s="27" t="s">
        <v>1931</v>
      </c>
      <c r="T341" s="3">
        <v>1</v>
      </c>
      <c r="U341" s="3">
        <v>0</v>
      </c>
      <c r="V341" s="3">
        <v>1</v>
      </c>
      <c r="W341" s="7"/>
      <c r="X341" s="3" t="str">
        <f t="shared" si="29"/>
        <v>1级海盗王</v>
      </c>
      <c r="Y341" s="3"/>
    </row>
    <row r="342" spans="1:25" x14ac:dyDescent="0.15">
      <c r="A342" s="3">
        <v>201282</v>
      </c>
      <c r="B342" s="3" t="s">
        <v>1106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4">
        <v>712</v>
      </c>
      <c r="K342" s="3">
        <v>2</v>
      </c>
      <c r="L342" s="3" t="s">
        <v>722</v>
      </c>
      <c r="M342" s="3">
        <v>201</v>
      </c>
      <c r="N342" s="4" t="s">
        <v>723</v>
      </c>
      <c r="O342" s="3"/>
      <c r="P342" s="3"/>
      <c r="Q342" s="3" t="s">
        <v>1107</v>
      </c>
      <c r="R342" s="3" t="str">
        <f t="shared" ref="R342:R350" si="30">R341</f>
        <v>ic_monster29</v>
      </c>
      <c r="S342" s="27" t="s">
        <v>1931</v>
      </c>
      <c r="T342" s="3">
        <v>1</v>
      </c>
      <c r="U342" s="3">
        <v>0</v>
      </c>
      <c r="V342" s="3">
        <v>1</v>
      </c>
      <c r="W342" s="7"/>
      <c r="X342" s="3" t="str">
        <f t="shared" si="29"/>
        <v>2级海盗王</v>
      </c>
      <c r="Y342" s="3"/>
    </row>
    <row r="343" spans="1:25" x14ac:dyDescent="0.15">
      <c r="A343" s="3">
        <v>201283</v>
      </c>
      <c r="B343" s="3" t="s">
        <v>1108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4">
        <v>713</v>
      </c>
      <c r="K343" s="3">
        <v>2</v>
      </c>
      <c r="L343" s="3" t="s">
        <v>722</v>
      </c>
      <c r="M343" s="3">
        <v>201</v>
      </c>
      <c r="N343" s="4" t="s">
        <v>723</v>
      </c>
      <c r="O343" s="3"/>
      <c r="P343" s="3"/>
      <c r="Q343" s="3" t="s">
        <v>788</v>
      </c>
      <c r="R343" s="3" t="str">
        <f t="shared" si="30"/>
        <v>ic_monster29</v>
      </c>
      <c r="S343" s="27" t="s">
        <v>1931</v>
      </c>
      <c r="T343" s="3">
        <v>1</v>
      </c>
      <c r="U343" s="3">
        <v>0</v>
      </c>
      <c r="V343" s="3">
        <v>1</v>
      </c>
      <c r="W343" s="7"/>
      <c r="X343" s="3" t="str">
        <f t="shared" si="29"/>
        <v>3级海盗王</v>
      </c>
      <c r="Y343" s="3"/>
    </row>
    <row r="344" spans="1:25" x14ac:dyDescent="0.15">
      <c r="A344" s="3">
        <v>201284</v>
      </c>
      <c r="B344" s="3" t="s">
        <v>1109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4">
        <v>714</v>
      </c>
      <c r="K344" s="3">
        <v>2</v>
      </c>
      <c r="L344" s="3" t="s">
        <v>722</v>
      </c>
      <c r="M344" s="3">
        <v>201</v>
      </c>
      <c r="N344" s="4" t="s">
        <v>723</v>
      </c>
      <c r="O344" s="3"/>
      <c r="P344" s="3"/>
      <c r="Q344" s="3" t="s">
        <v>1107</v>
      </c>
      <c r="R344" s="3" t="str">
        <f t="shared" si="30"/>
        <v>ic_monster29</v>
      </c>
      <c r="S344" s="27" t="s">
        <v>1931</v>
      </c>
      <c r="T344" s="3">
        <v>1</v>
      </c>
      <c r="U344" s="3">
        <v>0</v>
      </c>
      <c r="V344" s="3">
        <v>1</v>
      </c>
      <c r="W344" s="7"/>
      <c r="X344" s="3" t="str">
        <f t="shared" si="29"/>
        <v>4级海盗王</v>
      </c>
      <c r="Y344" s="3"/>
    </row>
    <row r="345" spans="1:25" x14ac:dyDescent="0.15">
      <c r="A345" s="3">
        <v>201285</v>
      </c>
      <c r="B345" s="3" t="s">
        <v>1110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4">
        <v>715</v>
      </c>
      <c r="K345" s="3">
        <v>2</v>
      </c>
      <c r="L345" s="3" t="s">
        <v>722</v>
      </c>
      <c r="M345" s="3">
        <v>201</v>
      </c>
      <c r="N345" s="4" t="s">
        <v>723</v>
      </c>
      <c r="O345" s="3"/>
      <c r="P345" s="3"/>
      <c r="Q345" s="3" t="s">
        <v>788</v>
      </c>
      <c r="R345" s="3" t="str">
        <f t="shared" si="30"/>
        <v>ic_monster29</v>
      </c>
      <c r="S345" s="27" t="s">
        <v>1931</v>
      </c>
      <c r="T345" s="3">
        <v>1</v>
      </c>
      <c r="U345" s="3">
        <v>0</v>
      </c>
      <c r="V345" s="3">
        <v>1</v>
      </c>
      <c r="W345" s="7"/>
      <c r="X345" s="3" t="str">
        <f t="shared" si="29"/>
        <v>5级海盗王</v>
      </c>
      <c r="Y345" s="3"/>
    </row>
    <row r="346" spans="1:25" x14ac:dyDescent="0.15">
      <c r="A346" s="3">
        <v>201286</v>
      </c>
      <c r="B346" s="3" t="s">
        <v>1111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4">
        <v>716</v>
      </c>
      <c r="K346" s="3">
        <v>2</v>
      </c>
      <c r="L346" s="3" t="s">
        <v>722</v>
      </c>
      <c r="M346" s="3">
        <v>201</v>
      </c>
      <c r="N346" s="4" t="s">
        <v>723</v>
      </c>
      <c r="O346" s="3"/>
      <c r="P346" s="3"/>
      <c r="Q346" s="3" t="s">
        <v>1107</v>
      </c>
      <c r="R346" s="3" t="str">
        <f t="shared" si="30"/>
        <v>ic_monster29</v>
      </c>
      <c r="S346" s="27" t="s">
        <v>1931</v>
      </c>
      <c r="T346" s="3">
        <v>1</v>
      </c>
      <c r="U346" s="3">
        <v>0</v>
      </c>
      <c r="V346" s="3">
        <v>1</v>
      </c>
      <c r="W346" s="7"/>
      <c r="X346" s="3" t="str">
        <f t="shared" si="29"/>
        <v>6级海盗王</v>
      </c>
      <c r="Y346" s="3"/>
    </row>
    <row r="347" spans="1:25" x14ac:dyDescent="0.15">
      <c r="A347" s="3">
        <v>201287</v>
      </c>
      <c r="B347" s="3" t="s">
        <v>1112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4">
        <v>717</v>
      </c>
      <c r="K347" s="3">
        <v>2</v>
      </c>
      <c r="L347" s="3" t="s">
        <v>722</v>
      </c>
      <c r="M347" s="3">
        <v>201</v>
      </c>
      <c r="N347" s="4" t="s">
        <v>723</v>
      </c>
      <c r="O347" s="3"/>
      <c r="P347" s="3"/>
      <c r="Q347" s="3" t="s">
        <v>788</v>
      </c>
      <c r="R347" s="3" t="str">
        <f t="shared" si="30"/>
        <v>ic_monster29</v>
      </c>
      <c r="S347" s="27" t="s">
        <v>1931</v>
      </c>
      <c r="T347" s="3">
        <v>1</v>
      </c>
      <c r="U347" s="3">
        <v>0</v>
      </c>
      <c r="V347" s="3">
        <v>1</v>
      </c>
      <c r="W347" s="7"/>
      <c r="X347" s="3" t="str">
        <f t="shared" si="29"/>
        <v>7级海盗王</v>
      </c>
      <c r="Y347" s="3"/>
    </row>
    <row r="348" spans="1:25" x14ac:dyDescent="0.15">
      <c r="A348" s="3">
        <v>201288</v>
      </c>
      <c r="B348" s="3" t="s">
        <v>1113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4">
        <v>718</v>
      </c>
      <c r="K348" s="3">
        <v>2</v>
      </c>
      <c r="L348" s="3" t="s">
        <v>722</v>
      </c>
      <c r="M348" s="3">
        <v>201</v>
      </c>
      <c r="N348" s="4" t="s">
        <v>723</v>
      </c>
      <c r="O348" s="3"/>
      <c r="P348" s="3"/>
      <c r="Q348" s="3" t="s">
        <v>1107</v>
      </c>
      <c r="R348" s="3" t="str">
        <f t="shared" si="30"/>
        <v>ic_monster29</v>
      </c>
      <c r="S348" s="27" t="s">
        <v>1931</v>
      </c>
      <c r="T348" s="3">
        <v>1</v>
      </c>
      <c r="U348" s="3">
        <v>0</v>
      </c>
      <c r="V348" s="3">
        <v>1</v>
      </c>
      <c r="W348" s="7"/>
      <c r="X348" s="3" t="str">
        <f t="shared" si="29"/>
        <v>8级海盗王</v>
      </c>
      <c r="Y348" s="3"/>
    </row>
    <row r="349" spans="1:25" x14ac:dyDescent="0.15">
      <c r="A349" s="3">
        <v>201289</v>
      </c>
      <c r="B349" s="3" t="s">
        <v>1114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4">
        <v>719</v>
      </c>
      <c r="K349" s="3">
        <v>2</v>
      </c>
      <c r="L349" s="3" t="s">
        <v>722</v>
      </c>
      <c r="M349" s="3">
        <v>201</v>
      </c>
      <c r="N349" s="4" t="s">
        <v>723</v>
      </c>
      <c r="O349" s="3"/>
      <c r="P349" s="3"/>
      <c r="Q349" s="3" t="s">
        <v>788</v>
      </c>
      <c r="R349" s="3" t="str">
        <f t="shared" si="30"/>
        <v>ic_monster29</v>
      </c>
      <c r="S349" s="27" t="s">
        <v>1931</v>
      </c>
      <c r="T349" s="3">
        <v>1</v>
      </c>
      <c r="U349" s="3">
        <v>0</v>
      </c>
      <c r="V349" s="3">
        <v>1</v>
      </c>
      <c r="W349" s="7"/>
      <c r="X349" s="3" t="str">
        <f t="shared" si="29"/>
        <v>9级海盗王</v>
      </c>
      <c r="Y349" s="3"/>
    </row>
    <row r="350" spans="1:25" x14ac:dyDescent="0.15">
      <c r="A350" s="3">
        <v>201290</v>
      </c>
      <c r="B350" s="3" t="s">
        <v>1115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4">
        <v>720</v>
      </c>
      <c r="K350" s="3">
        <v>2</v>
      </c>
      <c r="L350" s="3" t="s">
        <v>722</v>
      </c>
      <c r="M350" s="3">
        <v>201</v>
      </c>
      <c r="N350" s="4" t="s">
        <v>723</v>
      </c>
      <c r="O350" s="3"/>
      <c r="P350" s="3"/>
      <c r="Q350" s="3" t="s">
        <v>1107</v>
      </c>
      <c r="R350" s="3" t="str">
        <f t="shared" si="30"/>
        <v>ic_monster29</v>
      </c>
      <c r="S350" s="27" t="s">
        <v>1931</v>
      </c>
      <c r="T350" s="3">
        <v>1</v>
      </c>
      <c r="U350" s="3">
        <v>0</v>
      </c>
      <c r="V350" s="3">
        <v>1</v>
      </c>
      <c r="W350" s="7"/>
      <c r="X350" s="3" t="str">
        <f t="shared" si="29"/>
        <v>10级海盗王</v>
      </c>
      <c r="Y350" s="3"/>
    </row>
    <row r="351" spans="1:25" x14ac:dyDescent="0.15">
      <c r="A351" s="3">
        <v>201291</v>
      </c>
      <c r="B351" s="3" t="s">
        <v>1116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4">
        <v>721</v>
      </c>
      <c r="K351" s="3">
        <v>2</v>
      </c>
      <c r="L351" s="3" t="s">
        <v>722</v>
      </c>
      <c r="M351" s="3">
        <v>201</v>
      </c>
      <c r="N351" s="4" t="s">
        <v>723</v>
      </c>
      <c r="O351" s="3"/>
      <c r="P351" s="3"/>
      <c r="Q351" s="3" t="s">
        <v>790</v>
      </c>
      <c r="R351" s="3" t="str">
        <f>CONCATENATE("ic_",Q351)</f>
        <v>ic_monster30</v>
      </c>
      <c r="S351" s="27" t="s">
        <v>1932</v>
      </c>
      <c r="T351" s="3">
        <v>1</v>
      </c>
      <c r="U351" s="3">
        <v>0</v>
      </c>
      <c r="V351" s="3">
        <v>1</v>
      </c>
      <c r="W351" s="7"/>
      <c r="X351" s="3" t="str">
        <f t="shared" si="29"/>
        <v>1级海盗头目</v>
      </c>
      <c r="Y351" s="3"/>
    </row>
    <row r="352" spans="1:25" x14ac:dyDescent="0.15">
      <c r="A352" s="3">
        <v>201292</v>
      </c>
      <c r="B352" s="3" t="s">
        <v>1117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4">
        <v>722</v>
      </c>
      <c r="K352" s="3">
        <v>2</v>
      </c>
      <c r="L352" s="3" t="s">
        <v>722</v>
      </c>
      <c r="M352" s="3">
        <v>201</v>
      </c>
      <c r="N352" s="4" t="s">
        <v>723</v>
      </c>
      <c r="O352" s="3"/>
      <c r="P352" s="3"/>
      <c r="Q352" s="3" t="s">
        <v>1118</v>
      </c>
      <c r="R352" s="3" t="str">
        <f t="shared" ref="R352:R360" si="31">R351</f>
        <v>ic_monster30</v>
      </c>
      <c r="S352" s="27" t="s">
        <v>1932</v>
      </c>
      <c r="T352" s="3">
        <v>1</v>
      </c>
      <c r="U352" s="3">
        <v>0</v>
      </c>
      <c r="V352" s="3">
        <v>1</v>
      </c>
      <c r="W352" s="7"/>
      <c r="X352" s="3" t="str">
        <f t="shared" si="29"/>
        <v>2级海盗头目</v>
      </c>
      <c r="Y352" s="3"/>
    </row>
    <row r="353" spans="1:25" x14ac:dyDescent="0.15">
      <c r="A353" s="3">
        <v>201293</v>
      </c>
      <c r="B353" s="3" t="s">
        <v>1119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4">
        <v>723</v>
      </c>
      <c r="K353" s="3">
        <v>2</v>
      </c>
      <c r="L353" s="3" t="s">
        <v>722</v>
      </c>
      <c r="M353" s="3">
        <v>201</v>
      </c>
      <c r="N353" s="4" t="s">
        <v>723</v>
      </c>
      <c r="O353" s="3"/>
      <c r="P353" s="3"/>
      <c r="Q353" s="3" t="s">
        <v>790</v>
      </c>
      <c r="R353" s="3" t="str">
        <f t="shared" si="31"/>
        <v>ic_monster30</v>
      </c>
      <c r="S353" s="27" t="s">
        <v>1932</v>
      </c>
      <c r="T353" s="3">
        <v>1</v>
      </c>
      <c r="U353" s="3">
        <v>0</v>
      </c>
      <c r="V353" s="3">
        <v>1</v>
      </c>
      <c r="W353" s="7"/>
      <c r="X353" s="3" t="str">
        <f t="shared" si="29"/>
        <v>3级海盗头目</v>
      </c>
      <c r="Y353" s="3"/>
    </row>
    <row r="354" spans="1:25" x14ac:dyDescent="0.15">
      <c r="A354" s="3">
        <v>201294</v>
      </c>
      <c r="B354" s="3" t="s">
        <v>1120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4">
        <v>724</v>
      </c>
      <c r="K354" s="3">
        <v>2</v>
      </c>
      <c r="L354" s="3" t="s">
        <v>722</v>
      </c>
      <c r="M354" s="3">
        <v>201</v>
      </c>
      <c r="N354" s="4" t="s">
        <v>723</v>
      </c>
      <c r="O354" s="3"/>
      <c r="P354" s="3"/>
      <c r="Q354" s="3" t="s">
        <v>1118</v>
      </c>
      <c r="R354" s="3" t="str">
        <f t="shared" si="31"/>
        <v>ic_monster30</v>
      </c>
      <c r="S354" s="27" t="s">
        <v>1932</v>
      </c>
      <c r="T354" s="3">
        <v>1</v>
      </c>
      <c r="U354" s="3">
        <v>0</v>
      </c>
      <c r="V354" s="3">
        <v>1</v>
      </c>
      <c r="W354" s="7"/>
      <c r="X354" s="3" t="str">
        <f t="shared" si="29"/>
        <v>4级海盗头目</v>
      </c>
      <c r="Y354" s="3"/>
    </row>
    <row r="355" spans="1:25" x14ac:dyDescent="0.15">
      <c r="A355" s="3">
        <v>201295</v>
      </c>
      <c r="B355" s="3" t="s">
        <v>1121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4">
        <v>725</v>
      </c>
      <c r="K355" s="3">
        <v>2</v>
      </c>
      <c r="L355" s="3" t="s">
        <v>722</v>
      </c>
      <c r="M355" s="3">
        <v>201</v>
      </c>
      <c r="N355" s="4" t="s">
        <v>723</v>
      </c>
      <c r="O355" s="3"/>
      <c r="P355" s="3"/>
      <c r="Q355" s="3" t="s">
        <v>790</v>
      </c>
      <c r="R355" s="3" t="str">
        <f t="shared" si="31"/>
        <v>ic_monster30</v>
      </c>
      <c r="S355" s="27" t="s">
        <v>1932</v>
      </c>
      <c r="T355" s="3">
        <v>1</v>
      </c>
      <c r="U355" s="3">
        <v>0</v>
      </c>
      <c r="V355" s="3">
        <v>1</v>
      </c>
      <c r="W355" s="7"/>
      <c r="X355" s="3" t="str">
        <f t="shared" si="29"/>
        <v>5级海盗头目</v>
      </c>
      <c r="Y355" s="3"/>
    </row>
    <row r="356" spans="1:25" x14ac:dyDescent="0.15">
      <c r="A356" s="3">
        <v>201296</v>
      </c>
      <c r="B356" s="3" t="s">
        <v>1122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4">
        <v>726</v>
      </c>
      <c r="K356" s="3">
        <v>2</v>
      </c>
      <c r="L356" s="3" t="s">
        <v>722</v>
      </c>
      <c r="M356" s="3">
        <v>201</v>
      </c>
      <c r="N356" s="4" t="s">
        <v>723</v>
      </c>
      <c r="O356" s="3"/>
      <c r="P356" s="3"/>
      <c r="Q356" s="3" t="s">
        <v>1118</v>
      </c>
      <c r="R356" s="3" t="str">
        <f t="shared" si="31"/>
        <v>ic_monster30</v>
      </c>
      <c r="S356" s="27" t="s">
        <v>1932</v>
      </c>
      <c r="T356" s="3">
        <v>1</v>
      </c>
      <c r="U356" s="3">
        <v>0</v>
      </c>
      <c r="V356" s="3">
        <v>1</v>
      </c>
      <c r="W356" s="7"/>
      <c r="X356" s="3" t="str">
        <f t="shared" si="29"/>
        <v>6级海盗头目</v>
      </c>
      <c r="Y356" s="3"/>
    </row>
    <row r="357" spans="1:25" x14ac:dyDescent="0.15">
      <c r="A357" s="3">
        <v>201297</v>
      </c>
      <c r="B357" s="3" t="s">
        <v>1123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4">
        <v>727</v>
      </c>
      <c r="K357" s="3">
        <v>2</v>
      </c>
      <c r="L357" s="3" t="s">
        <v>722</v>
      </c>
      <c r="M357" s="3">
        <v>201</v>
      </c>
      <c r="N357" s="4" t="s">
        <v>723</v>
      </c>
      <c r="O357" s="3"/>
      <c r="P357" s="3"/>
      <c r="Q357" s="3" t="s">
        <v>790</v>
      </c>
      <c r="R357" s="3" t="str">
        <f t="shared" si="31"/>
        <v>ic_monster30</v>
      </c>
      <c r="S357" s="27" t="s">
        <v>1932</v>
      </c>
      <c r="T357" s="3">
        <v>1</v>
      </c>
      <c r="U357" s="3">
        <v>0</v>
      </c>
      <c r="V357" s="3">
        <v>1</v>
      </c>
      <c r="W357" s="7"/>
      <c r="X357" s="3" t="str">
        <f t="shared" si="29"/>
        <v>7级海盗头目</v>
      </c>
      <c r="Y357" s="3"/>
    </row>
    <row r="358" spans="1:25" x14ac:dyDescent="0.15">
      <c r="A358" s="3">
        <v>201298</v>
      </c>
      <c r="B358" s="3" t="s">
        <v>1124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4">
        <v>728</v>
      </c>
      <c r="K358" s="3">
        <v>2</v>
      </c>
      <c r="L358" s="3" t="s">
        <v>722</v>
      </c>
      <c r="M358" s="3">
        <v>201</v>
      </c>
      <c r="N358" s="4" t="s">
        <v>723</v>
      </c>
      <c r="O358" s="3"/>
      <c r="P358" s="3"/>
      <c r="Q358" s="3" t="s">
        <v>1118</v>
      </c>
      <c r="R358" s="3" t="str">
        <f t="shared" si="31"/>
        <v>ic_monster30</v>
      </c>
      <c r="S358" s="27" t="s">
        <v>1932</v>
      </c>
      <c r="T358" s="3">
        <v>1</v>
      </c>
      <c r="U358" s="3">
        <v>0</v>
      </c>
      <c r="V358" s="3">
        <v>1</v>
      </c>
      <c r="W358" s="7"/>
      <c r="X358" s="3" t="str">
        <f t="shared" si="29"/>
        <v>8级海盗头目</v>
      </c>
      <c r="Y358" s="3"/>
    </row>
    <row r="359" spans="1:25" x14ac:dyDescent="0.15">
      <c r="A359" s="3">
        <v>201299</v>
      </c>
      <c r="B359" s="3" t="s">
        <v>1125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4">
        <v>729</v>
      </c>
      <c r="K359" s="3">
        <v>2</v>
      </c>
      <c r="L359" s="3" t="s">
        <v>722</v>
      </c>
      <c r="M359" s="3">
        <v>201</v>
      </c>
      <c r="N359" s="4" t="s">
        <v>723</v>
      </c>
      <c r="O359" s="3"/>
      <c r="P359" s="3"/>
      <c r="Q359" s="3" t="s">
        <v>790</v>
      </c>
      <c r="R359" s="3" t="str">
        <f t="shared" si="31"/>
        <v>ic_monster30</v>
      </c>
      <c r="S359" s="27" t="s">
        <v>1932</v>
      </c>
      <c r="T359" s="3">
        <v>1</v>
      </c>
      <c r="U359" s="3">
        <v>0</v>
      </c>
      <c r="V359" s="3">
        <v>1</v>
      </c>
      <c r="W359" s="7"/>
      <c r="X359" s="3" t="str">
        <f t="shared" si="29"/>
        <v>9级海盗头目</v>
      </c>
      <c r="Y359" s="3"/>
    </row>
    <row r="360" spans="1:25" x14ac:dyDescent="0.15">
      <c r="A360" s="3">
        <v>201300</v>
      </c>
      <c r="B360" s="3" t="s">
        <v>1126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4">
        <v>730</v>
      </c>
      <c r="K360" s="3">
        <v>2</v>
      </c>
      <c r="L360" s="3" t="s">
        <v>722</v>
      </c>
      <c r="M360" s="3">
        <v>201</v>
      </c>
      <c r="N360" s="4" t="s">
        <v>723</v>
      </c>
      <c r="O360" s="3"/>
      <c r="P360" s="3"/>
      <c r="Q360" s="3" t="s">
        <v>1118</v>
      </c>
      <c r="R360" s="3" t="str">
        <f t="shared" si="31"/>
        <v>ic_monster30</v>
      </c>
      <c r="S360" s="27" t="s">
        <v>1932</v>
      </c>
      <c r="T360" s="3">
        <v>1</v>
      </c>
      <c r="U360" s="3">
        <v>0</v>
      </c>
      <c r="V360" s="3">
        <v>1</v>
      </c>
      <c r="W360" s="7"/>
      <c r="X360" s="3" t="str">
        <f t="shared" si="29"/>
        <v>10级海盗头目</v>
      </c>
      <c r="Y360" s="3"/>
    </row>
    <row r="361" spans="1:25" x14ac:dyDescent="0.15">
      <c r="A361" s="3">
        <v>201301</v>
      </c>
      <c r="B361" s="3" t="s">
        <v>1127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4">
        <v>731</v>
      </c>
      <c r="K361" s="3">
        <v>2</v>
      </c>
      <c r="L361" s="3" t="s">
        <v>722</v>
      </c>
      <c r="M361" s="3">
        <v>201</v>
      </c>
      <c r="N361" s="4" t="s">
        <v>723</v>
      </c>
      <c r="O361" s="3"/>
      <c r="P361" s="3"/>
      <c r="Q361" s="3" t="s">
        <v>792</v>
      </c>
      <c r="R361" s="3" t="str">
        <f>CONCATENATE("ic_",Q361)</f>
        <v>ic_monster31</v>
      </c>
      <c r="S361" s="27" t="s">
        <v>1933</v>
      </c>
      <c r="T361" s="3">
        <v>1</v>
      </c>
      <c r="U361" s="3">
        <v>0</v>
      </c>
      <c r="V361" s="3">
        <v>1</v>
      </c>
      <c r="W361" s="7"/>
      <c r="X361" s="3" t="str">
        <f t="shared" si="29"/>
        <v>1级暗夜收割者</v>
      </c>
      <c r="Y361" s="3"/>
    </row>
    <row r="362" spans="1:25" x14ac:dyDescent="0.15">
      <c r="A362" s="3">
        <v>201302</v>
      </c>
      <c r="B362" s="3" t="s">
        <v>1128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4">
        <v>732</v>
      </c>
      <c r="K362" s="3">
        <v>2</v>
      </c>
      <c r="L362" s="3" t="s">
        <v>722</v>
      </c>
      <c r="M362" s="3">
        <v>201</v>
      </c>
      <c r="N362" s="4" t="s">
        <v>723</v>
      </c>
      <c r="O362" s="3"/>
      <c r="P362" s="3"/>
      <c r="Q362" s="3" t="s">
        <v>1129</v>
      </c>
      <c r="R362" s="3" t="str">
        <f t="shared" ref="R362:R370" si="32">R361</f>
        <v>ic_monster31</v>
      </c>
      <c r="S362" s="27" t="s">
        <v>1933</v>
      </c>
      <c r="T362" s="3">
        <v>1</v>
      </c>
      <c r="U362" s="3">
        <v>0</v>
      </c>
      <c r="V362" s="3">
        <v>1</v>
      </c>
      <c r="W362" s="7"/>
      <c r="X362" s="3" t="str">
        <f t="shared" si="29"/>
        <v>2级暗夜收割者</v>
      </c>
      <c r="Y362" s="3"/>
    </row>
    <row r="363" spans="1:25" x14ac:dyDescent="0.15">
      <c r="A363" s="3">
        <v>201303</v>
      </c>
      <c r="B363" s="3" t="s">
        <v>1130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4">
        <v>733</v>
      </c>
      <c r="K363" s="3">
        <v>2</v>
      </c>
      <c r="L363" s="3" t="s">
        <v>722</v>
      </c>
      <c r="M363" s="3">
        <v>201</v>
      </c>
      <c r="N363" s="4" t="s">
        <v>723</v>
      </c>
      <c r="O363" s="3"/>
      <c r="P363" s="3"/>
      <c r="Q363" s="3" t="s">
        <v>792</v>
      </c>
      <c r="R363" s="3" t="str">
        <f t="shared" si="32"/>
        <v>ic_monster31</v>
      </c>
      <c r="S363" s="27" t="s">
        <v>1933</v>
      </c>
      <c r="T363" s="3">
        <v>1</v>
      </c>
      <c r="U363" s="3">
        <v>0</v>
      </c>
      <c r="V363" s="3">
        <v>1</v>
      </c>
      <c r="W363" s="7"/>
      <c r="X363" s="3" t="str">
        <f t="shared" si="29"/>
        <v>3级暗夜收割者</v>
      </c>
      <c r="Y363" s="3"/>
    </row>
    <row r="364" spans="1:25" x14ac:dyDescent="0.15">
      <c r="A364" s="3">
        <v>201304</v>
      </c>
      <c r="B364" s="3" t="s">
        <v>1131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4">
        <v>734</v>
      </c>
      <c r="K364" s="3">
        <v>2</v>
      </c>
      <c r="L364" s="3" t="s">
        <v>722</v>
      </c>
      <c r="M364" s="3">
        <v>201</v>
      </c>
      <c r="N364" s="4" t="s">
        <v>723</v>
      </c>
      <c r="O364" s="3"/>
      <c r="P364" s="3"/>
      <c r="Q364" s="3" t="s">
        <v>1129</v>
      </c>
      <c r="R364" s="3" t="str">
        <f t="shared" si="32"/>
        <v>ic_monster31</v>
      </c>
      <c r="S364" s="27" t="s">
        <v>1933</v>
      </c>
      <c r="T364" s="3">
        <v>1</v>
      </c>
      <c r="U364" s="3">
        <v>0</v>
      </c>
      <c r="V364" s="3">
        <v>1</v>
      </c>
      <c r="W364" s="7"/>
      <c r="X364" s="3" t="str">
        <f t="shared" si="29"/>
        <v>4级暗夜收割者</v>
      </c>
      <c r="Y364" s="3"/>
    </row>
    <row r="365" spans="1:25" x14ac:dyDescent="0.15">
      <c r="A365" s="3">
        <v>201305</v>
      </c>
      <c r="B365" s="3" t="s">
        <v>1132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4">
        <v>735</v>
      </c>
      <c r="K365" s="3">
        <v>2</v>
      </c>
      <c r="L365" s="3" t="s">
        <v>722</v>
      </c>
      <c r="M365" s="3">
        <v>201</v>
      </c>
      <c r="N365" s="4" t="s">
        <v>723</v>
      </c>
      <c r="O365" s="3"/>
      <c r="P365" s="3"/>
      <c r="Q365" s="3" t="s">
        <v>792</v>
      </c>
      <c r="R365" s="3" t="str">
        <f t="shared" si="32"/>
        <v>ic_monster31</v>
      </c>
      <c r="S365" s="27" t="s">
        <v>1933</v>
      </c>
      <c r="T365" s="3">
        <v>1</v>
      </c>
      <c r="U365" s="3">
        <v>0</v>
      </c>
      <c r="V365" s="3">
        <v>1</v>
      </c>
      <c r="W365" s="7"/>
      <c r="X365" s="3" t="str">
        <f t="shared" si="29"/>
        <v>5级暗夜收割者</v>
      </c>
      <c r="Y365" s="3"/>
    </row>
    <row r="366" spans="1:25" x14ac:dyDescent="0.15">
      <c r="A366" s="3">
        <v>201306</v>
      </c>
      <c r="B366" s="3" t="s">
        <v>1133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4">
        <v>736</v>
      </c>
      <c r="K366" s="3">
        <v>2</v>
      </c>
      <c r="L366" s="3" t="s">
        <v>722</v>
      </c>
      <c r="M366" s="3">
        <v>201</v>
      </c>
      <c r="N366" s="4" t="s">
        <v>723</v>
      </c>
      <c r="O366" s="3"/>
      <c r="P366" s="3"/>
      <c r="Q366" s="3" t="s">
        <v>1129</v>
      </c>
      <c r="R366" s="3" t="str">
        <f t="shared" si="32"/>
        <v>ic_monster31</v>
      </c>
      <c r="S366" s="27" t="s">
        <v>1933</v>
      </c>
      <c r="T366" s="3">
        <v>1</v>
      </c>
      <c r="U366" s="3">
        <v>0</v>
      </c>
      <c r="V366" s="3">
        <v>1</v>
      </c>
      <c r="W366" s="7"/>
      <c r="X366" s="3" t="str">
        <f t="shared" si="29"/>
        <v>6级暗夜收割者</v>
      </c>
      <c r="Y366" s="3"/>
    </row>
    <row r="367" spans="1:25" x14ac:dyDescent="0.15">
      <c r="A367" s="3">
        <v>201307</v>
      </c>
      <c r="B367" s="3" t="s">
        <v>1134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4">
        <v>737</v>
      </c>
      <c r="K367" s="3">
        <v>2</v>
      </c>
      <c r="L367" s="3" t="s">
        <v>722</v>
      </c>
      <c r="M367" s="3">
        <v>201</v>
      </c>
      <c r="N367" s="4" t="s">
        <v>723</v>
      </c>
      <c r="O367" s="3"/>
      <c r="P367" s="3"/>
      <c r="Q367" s="3" t="s">
        <v>792</v>
      </c>
      <c r="R367" s="3" t="str">
        <f t="shared" si="32"/>
        <v>ic_monster31</v>
      </c>
      <c r="S367" s="27" t="s">
        <v>1933</v>
      </c>
      <c r="T367" s="3">
        <v>1</v>
      </c>
      <c r="U367" s="3">
        <v>0</v>
      </c>
      <c r="V367" s="3">
        <v>1</v>
      </c>
      <c r="W367" s="7"/>
      <c r="X367" s="3" t="str">
        <f t="shared" si="29"/>
        <v>7级暗夜收割者</v>
      </c>
      <c r="Y367" s="3"/>
    </row>
    <row r="368" spans="1:25" x14ac:dyDescent="0.15">
      <c r="A368" s="3">
        <v>201308</v>
      </c>
      <c r="B368" s="3" t="s">
        <v>1135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4">
        <v>738</v>
      </c>
      <c r="K368" s="3">
        <v>2</v>
      </c>
      <c r="L368" s="3" t="s">
        <v>722</v>
      </c>
      <c r="M368" s="3">
        <v>201</v>
      </c>
      <c r="N368" s="4" t="s">
        <v>723</v>
      </c>
      <c r="O368" s="3"/>
      <c r="P368" s="3"/>
      <c r="Q368" s="3" t="s">
        <v>1129</v>
      </c>
      <c r="R368" s="3" t="str">
        <f t="shared" si="32"/>
        <v>ic_monster31</v>
      </c>
      <c r="S368" s="27" t="s">
        <v>1933</v>
      </c>
      <c r="T368" s="3">
        <v>1</v>
      </c>
      <c r="U368" s="3">
        <v>0</v>
      </c>
      <c r="V368" s="3">
        <v>1</v>
      </c>
      <c r="W368" s="7"/>
      <c r="X368" s="3" t="str">
        <f t="shared" si="29"/>
        <v>8级暗夜收割者</v>
      </c>
      <c r="Y368" s="3"/>
    </row>
    <row r="369" spans="1:25" x14ac:dyDescent="0.15">
      <c r="A369" s="3">
        <v>201309</v>
      </c>
      <c r="B369" s="3" t="s">
        <v>1136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4">
        <v>739</v>
      </c>
      <c r="K369" s="3">
        <v>2</v>
      </c>
      <c r="L369" s="3" t="s">
        <v>722</v>
      </c>
      <c r="M369" s="3">
        <v>201</v>
      </c>
      <c r="N369" s="4" t="s">
        <v>723</v>
      </c>
      <c r="O369" s="3"/>
      <c r="P369" s="3"/>
      <c r="Q369" s="3" t="s">
        <v>792</v>
      </c>
      <c r="R369" s="3" t="str">
        <f t="shared" si="32"/>
        <v>ic_monster31</v>
      </c>
      <c r="S369" s="27" t="s">
        <v>1933</v>
      </c>
      <c r="T369" s="3">
        <v>1</v>
      </c>
      <c r="U369" s="3">
        <v>0</v>
      </c>
      <c r="V369" s="3">
        <v>1</v>
      </c>
      <c r="W369" s="7"/>
      <c r="X369" s="3" t="str">
        <f t="shared" si="29"/>
        <v>9级暗夜收割者</v>
      </c>
      <c r="Y369" s="3"/>
    </row>
    <row r="370" spans="1:25" x14ac:dyDescent="0.15">
      <c r="A370" s="3">
        <v>201310</v>
      </c>
      <c r="B370" s="3" t="s">
        <v>1137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4">
        <v>740</v>
      </c>
      <c r="K370" s="3">
        <v>2</v>
      </c>
      <c r="L370" s="3" t="s">
        <v>722</v>
      </c>
      <c r="M370" s="3">
        <v>201</v>
      </c>
      <c r="N370" s="4" t="s">
        <v>723</v>
      </c>
      <c r="O370" s="3"/>
      <c r="P370" s="3"/>
      <c r="Q370" s="3" t="s">
        <v>1129</v>
      </c>
      <c r="R370" s="3" t="str">
        <f t="shared" si="32"/>
        <v>ic_monster31</v>
      </c>
      <c r="S370" s="27" t="s">
        <v>1933</v>
      </c>
      <c r="T370" s="3">
        <v>1</v>
      </c>
      <c r="U370" s="3">
        <v>0</v>
      </c>
      <c r="V370" s="3">
        <v>1</v>
      </c>
      <c r="W370" s="7"/>
      <c r="X370" s="3" t="str">
        <f t="shared" si="29"/>
        <v>10级暗夜收割者</v>
      </c>
      <c r="Y370" s="3"/>
    </row>
    <row r="371" spans="1:25" x14ac:dyDescent="0.15">
      <c r="A371" s="3">
        <v>201311</v>
      </c>
      <c r="B371" s="3" t="s">
        <v>1138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4">
        <v>741</v>
      </c>
      <c r="K371" s="3">
        <v>2</v>
      </c>
      <c r="L371" s="3" t="s">
        <v>722</v>
      </c>
      <c r="M371" s="3">
        <v>201</v>
      </c>
      <c r="N371" s="4" t="s">
        <v>723</v>
      </c>
      <c r="O371" s="3"/>
      <c r="P371" s="3"/>
      <c r="Q371" s="3" t="s">
        <v>793</v>
      </c>
      <c r="R371" s="3" t="s">
        <v>1139</v>
      </c>
      <c r="S371" s="27" t="s">
        <v>1934</v>
      </c>
      <c r="T371" s="3">
        <v>1</v>
      </c>
      <c r="U371" s="3">
        <v>0</v>
      </c>
      <c r="V371" s="3">
        <v>1</v>
      </c>
      <c r="W371" s="7"/>
      <c r="X371" s="3" t="s">
        <v>1138</v>
      </c>
      <c r="Y371" s="3"/>
    </row>
    <row r="372" spans="1:25" x14ac:dyDescent="0.15">
      <c r="A372" s="3">
        <v>201312</v>
      </c>
      <c r="B372" s="3" t="s">
        <v>1140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4">
        <v>742</v>
      </c>
      <c r="K372" s="3">
        <v>2</v>
      </c>
      <c r="L372" s="3" t="s">
        <v>722</v>
      </c>
      <c r="M372" s="3">
        <v>201</v>
      </c>
      <c r="N372" s="4" t="s">
        <v>723</v>
      </c>
      <c r="O372" s="3"/>
      <c r="P372" s="3"/>
      <c r="Q372" s="3" t="s">
        <v>1141</v>
      </c>
      <c r="R372" s="3" t="str">
        <f t="shared" ref="R372:R380" si="33">R371</f>
        <v>ic_monster32</v>
      </c>
      <c r="S372" s="27" t="s">
        <v>1934</v>
      </c>
      <c r="T372" s="3">
        <v>1</v>
      </c>
      <c r="U372" s="3">
        <v>0</v>
      </c>
      <c r="V372" s="3">
        <v>1</v>
      </c>
      <c r="W372" s="7"/>
      <c r="X372" s="3" t="s">
        <v>1140</v>
      </c>
      <c r="Y372" s="3"/>
    </row>
    <row r="373" spans="1:25" x14ac:dyDescent="0.15">
      <c r="A373" s="3">
        <v>201313</v>
      </c>
      <c r="B373" s="3" t="s">
        <v>1142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4">
        <v>743</v>
      </c>
      <c r="K373" s="3">
        <v>2</v>
      </c>
      <c r="L373" s="3" t="s">
        <v>722</v>
      </c>
      <c r="M373" s="3">
        <v>201</v>
      </c>
      <c r="N373" s="4" t="s">
        <v>723</v>
      </c>
      <c r="O373" s="3"/>
      <c r="P373" s="3"/>
      <c r="Q373" s="3" t="s">
        <v>793</v>
      </c>
      <c r="R373" s="3" t="str">
        <f t="shared" si="33"/>
        <v>ic_monster32</v>
      </c>
      <c r="S373" s="27" t="s">
        <v>1934</v>
      </c>
      <c r="T373" s="3">
        <v>1</v>
      </c>
      <c r="U373" s="3">
        <v>0</v>
      </c>
      <c r="V373" s="3">
        <v>1</v>
      </c>
      <c r="W373" s="7"/>
      <c r="X373" s="3" t="s">
        <v>1142</v>
      </c>
      <c r="Y373" s="3"/>
    </row>
    <row r="374" spans="1:25" x14ac:dyDescent="0.15">
      <c r="A374" s="3">
        <v>201314</v>
      </c>
      <c r="B374" s="3" t="s">
        <v>1143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4">
        <v>744</v>
      </c>
      <c r="K374" s="3">
        <v>2</v>
      </c>
      <c r="L374" s="3" t="s">
        <v>722</v>
      </c>
      <c r="M374" s="3">
        <v>201</v>
      </c>
      <c r="N374" s="4" t="s">
        <v>723</v>
      </c>
      <c r="O374" s="3"/>
      <c r="P374" s="3"/>
      <c r="Q374" s="3" t="s">
        <v>1141</v>
      </c>
      <c r="R374" s="3" t="str">
        <f t="shared" si="33"/>
        <v>ic_monster32</v>
      </c>
      <c r="S374" s="27" t="s">
        <v>1934</v>
      </c>
      <c r="T374" s="3">
        <v>1</v>
      </c>
      <c r="U374" s="3">
        <v>0</v>
      </c>
      <c r="V374" s="3">
        <v>1</v>
      </c>
      <c r="W374" s="7"/>
      <c r="X374" s="3" t="s">
        <v>1143</v>
      </c>
      <c r="Y374" s="3"/>
    </row>
    <row r="375" spans="1:25" x14ac:dyDescent="0.15">
      <c r="A375" s="3">
        <v>201315</v>
      </c>
      <c r="B375" s="3" t="s">
        <v>1144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4">
        <v>745</v>
      </c>
      <c r="K375" s="3">
        <v>2</v>
      </c>
      <c r="L375" s="3" t="s">
        <v>722</v>
      </c>
      <c r="M375" s="3">
        <v>201</v>
      </c>
      <c r="N375" s="4" t="s">
        <v>723</v>
      </c>
      <c r="O375" s="3"/>
      <c r="P375" s="3"/>
      <c r="Q375" s="3" t="s">
        <v>793</v>
      </c>
      <c r="R375" s="3" t="str">
        <f t="shared" si="33"/>
        <v>ic_monster32</v>
      </c>
      <c r="S375" s="27" t="s">
        <v>1934</v>
      </c>
      <c r="T375" s="3">
        <v>1</v>
      </c>
      <c r="U375" s="3">
        <v>0</v>
      </c>
      <c r="V375" s="3">
        <v>1</v>
      </c>
      <c r="W375" s="7"/>
      <c r="X375" s="3" t="s">
        <v>1144</v>
      </c>
      <c r="Y375" s="3"/>
    </row>
    <row r="376" spans="1:25" x14ac:dyDescent="0.15">
      <c r="A376" s="3">
        <v>201316</v>
      </c>
      <c r="B376" s="3" t="s">
        <v>1145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4">
        <v>746</v>
      </c>
      <c r="K376" s="3">
        <v>2</v>
      </c>
      <c r="L376" s="3" t="s">
        <v>722</v>
      </c>
      <c r="M376" s="3">
        <v>201</v>
      </c>
      <c r="N376" s="4" t="s">
        <v>723</v>
      </c>
      <c r="O376" s="3"/>
      <c r="P376" s="3"/>
      <c r="Q376" s="3" t="s">
        <v>1141</v>
      </c>
      <c r="R376" s="3" t="str">
        <f t="shared" si="33"/>
        <v>ic_monster32</v>
      </c>
      <c r="S376" s="27" t="s">
        <v>1934</v>
      </c>
      <c r="T376" s="3">
        <v>1</v>
      </c>
      <c r="U376" s="3">
        <v>0</v>
      </c>
      <c r="V376" s="3">
        <v>1</v>
      </c>
      <c r="W376" s="7"/>
      <c r="X376" s="3" t="s">
        <v>1145</v>
      </c>
      <c r="Y376" s="3"/>
    </row>
    <row r="377" spans="1:25" x14ac:dyDescent="0.15">
      <c r="A377" s="3">
        <v>201317</v>
      </c>
      <c r="B377" s="3" t="s">
        <v>1146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4">
        <v>747</v>
      </c>
      <c r="K377" s="3">
        <v>2</v>
      </c>
      <c r="L377" s="3" t="s">
        <v>722</v>
      </c>
      <c r="M377" s="3">
        <v>201</v>
      </c>
      <c r="N377" s="4" t="s">
        <v>723</v>
      </c>
      <c r="O377" s="3"/>
      <c r="P377" s="3"/>
      <c r="Q377" s="3" t="s">
        <v>793</v>
      </c>
      <c r="R377" s="3" t="str">
        <f t="shared" si="33"/>
        <v>ic_monster32</v>
      </c>
      <c r="S377" s="27" t="s">
        <v>1934</v>
      </c>
      <c r="T377" s="3">
        <v>1</v>
      </c>
      <c r="U377" s="3">
        <v>0</v>
      </c>
      <c r="V377" s="3">
        <v>1</v>
      </c>
      <c r="W377" s="7"/>
      <c r="X377" s="3" t="s">
        <v>1146</v>
      </c>
      <c r="Y377" s="3"/>
    </row>
    <row r="378" spans="1:25" x14ac:dyDescent="0.15">
      <c r="A378" s="3">
        <v>201318</v>
      </c>
      <c r="B378" s="3" t="s">
        <v>1147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4">
        <v>748</v>
      </c>
      <c r="K378" s="3">
        <v>2</v>
      </c>
      <c r="L378" s="3" t="s">
        <v>722</v>
      </c>
      <c r="M378" s="3">
        <v>201</v>
      </c>
      <c r="N378" s="4" t="s">
        <v>723</v>
      </c>
      <c r="O378" s="3"/>
      <c r="P378" s="3"/>
      <c r="Q378" s="3" t="s">
        <v>1141</v>
      </c>
      <c r="R378" s="3" t="str">
        <f t="shared" si="33"/>
        <v>ic_monster32</v>
      </c>
      <c r="S378" s="27" t="s">
        <v>1934</v>
      </c>
      <c r="T378" s="3">
        <v>1</v>
      </c>
      <c r="U378" s="3">
        <v>0</v>
      </c>
      <c r="V378" s="3">
        <v>1</v>
      </c>
      <c r="W378" s="7"/>
      <c r="X378" s="3" t="s">
        <v>1147</v>
      </c>
      <c r="Y378" s="3"/>
    </row>
    <row r="379" spans="1:25" x14ac:dyDescent="0.15">
      <c r="A379" s="3">
        <v>201319</v>
      </c>
      <c r="B379" s="3" t="s">
        <v>1148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4">
        <v>749</v>
      </c>
      <c r="K379" s="3">
        <v>2</v>
      </c>
      <c r="L379" s="3" t="s">
        <v>722</v>
      </c>
      <c r="M379" s="3">
        <v>201</v>
      </c>
      <c r="N379" s="4" t="s">
        <v>723</v>
      </c>
      <c r="O379" s="3"/>
      <c r="P379" s="3"/>
      <c r="Q379" s="3" t="s">
        <v>793</v>
      </c>
      <c r="R379" s="3" t="str">
        <f t="shared" si="33"/>
        <v>ic_monster32</v>
      </c>
      <c r="S379" s="27" t="s">
        <v>1934</v>
      </c>
      <c r="T379" s="3">
        <v>1</v>
      </c>
      <c r="U379" s="3">
        <v>0</v>
      </c>
      <c r="V379" s="3">
        <v>1</v>
      </c>
      <c r="W379" s="7"/>
      <c r="X379" s="3" t="s">
        <v>1148</v>
      </c>
      <c r="Y379" s="3"/>
    </row>
    <row r="380" spans="1:25" x14ac:dyDescent="0.15">
      <c r="A380" s="3">
        <v>201320</v>
      </c>
      <c r="B380" s="3" t="s">
        <v>1149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4">
        <v>750</v>
      </c>
      <c r="K380" s="3">
        <v>2</v>
      </c>
      <c r="L380" s="3" t="s">
        <v>722</v>
      </c>
      <c r="M380" s="3">
        <v>201</v>
      </c>
      <c r="N380" s="4" t="s">
        <v>723</v>
      </c>
      <c r="O380" s="3"/>
      <c r="P380" s="3"/>
      <c r="Q380" s="3" t="s">
        <v>1141</v>
      </c>
      <c r="R380" s="3" t="str">
        <f t="shared" si="33"/>
        <v>ic_monster32</v>
      </c>
      <c r="S380" s="27" t="s">
        <v>1934</v>
      </c>
      <c r="T380" s="3">
        <v>1</v>
      </c>
      <c r="U380" s="3">
        <v>0</v>
      </c>
      <c r="V380" s="3">
        <v>1</v>
      </c>
      <c r="W380" s="7"/>
      <c r="X380" s="3" t="s">
        <v>1149</v>
      </c>
      <c r="Y380" s="3"/>
    </row>
    <row r="381" spans="1:25" x14ac:dyDescent="0.15">
      <c r="A381" s="3">
        <v>201321</v>
      </c>
      <c r="B381" s="3" t="s">
        <v>1150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4">
        <v>751</v>
      </c>
      <c r="K381" s="3">
        <v>2</v>
      </c>
      <c r="L381" s="3" t="s">
        <v>722</v>
      </c>
      <c r="M381" s="3">
        <v>201</v>
      </c>
      <c r="N381" s="4" t="s">
        <v>723</v>
      </c>
      <c r="O381" s="3"/>
      <c r="P381" s="3"/>
      <c r="Q381" s="3" t="s">
        <v>795</v>
      </c>
      <c r="R381" s="3" t="s">
        <v>1151</v>
      </c>
      <c r="S381" s="27" t="s">
        <v>1935</v>
      </c>
      <c r="T381" s="3">
        <v>1</v>
      </c>
      <c r="U381" s="3">
        <v>0</v>
      </c>
      <c r="V381" s="3">
        <v>1</v>
      </c>
      <c r="W381" s="7"/>
      <c r="X381" s="3" t="s">
        <v>1150</v>
      </c>
      <c r="Y381" s="3"/>
    </row>
    <row r="382" spans="1:25" x14ac:dyDescent="0.15">
      <c r="A382" s="3">
        <v>201322</v>
      </c>
      <c r="B382" s="3" t="s">
        <v>1152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4">
        <v>752</v>
      </c>
      <c r="K382" s="3">
        <v>2</v>
      </c>
      <c r="L382" s="3" t="s">
        <v>722</v>
      </c>
      <c r="M382" s="3">
        <v>201</v>
      </c>
      <c r="N382" s="4" t="s">
        <v>723</v>
      </c>
      <c r="O382" s="3"/>
      <c r="P382" s="3"/>
      <c r="Q382" s="3" t="s">
        <v>1153</v>
      </c>
      <c r="R382" s="3" t="str">
        <f t="shared" ref="R382:R390" si="34">R381</f>
        <v>ic_monster34</v>
      </c>
      <c r="S382" s="27" t="s">
        <v>1935</v>
      </c>
      <c r="T382" s="3">
        <v>1</v>
      </c>
      <c r="U382" s="3">
        <v>0</v>
      </c>
      <c r="V382" s="3">
        <v>1</v>
      </c>
      <c r="W382" s="7"/>
      <c r="X382" s="3" t="s">
        <v>1152</v>
      </c>
      <c r="Y382" s="3"/>
    </row>
    <row r="383" spans="1:25" x14ac:dyDescent="0.15">
      <c r="A383" s="3">
        <v>201323</v>
      </c>
      <c r="B383" s="3" t="s">
        <v>1154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4">
        <v>753</v>
      </c>
      <c r="K383" s="3">
        <v>2</v>
      </c>
      <c r="L383" s="3" t="s">
        <v>722</v>
      </c>
      <c r="M383" s="3">
        <v>201</v>
      </c>
      <c r="N383" s="4" t="s">
        <v>723</v>
      </c>
      <c r="O383" s="3"/>
      <c r="P383" s="3"/>
      <c r="Q383" s="3" t="s">
        <v>795</v>
      </c>
      <c r="R383" s="3" t="str">
        <f t="shared" si="34"/>
        <v>ic_monster34</v>
      </c>
      <c r="S383" s="27" t="s">
        <v>1935</v>
      </c>
      <c r="T383" s="3">
        <v>1</v>
      </c>
      <c r="U383" s="3">
        <v>0</v>
      </c>
      <c r="V383" s="3">
        <v>1</v>
      </c>
      <c r="W383" s="7"/>
      <c r="X383" s="3" t="s">
        <v>1154</v>
      </c>
      <c r="Y383" s="3"/>
    </row>
    <row r="384" spans="1:25" x14ac:dyDescent="0.15">
      <c r="A384" s="3">
        <v>201324</v>
      </c>
      <c r="B384" s="3" t="s">
        <v>1155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4">
        <v>754</v>
      </c>
      <c r="K384" s="3">
        <v>2</v>
      </c>
      <c r="L384" s="3" t="s">
        <v>722</v>
      </c>
      <c r="M384" s="3">
        <v>201</v>
      </c>
      <c r="N384" s="4" t="s">
        <v>723</v>
      </c>
      <c r="O384" s="3"/>
      <c r="P384" s="3"/>
      <c r="Q384" s="3" t="s">
        <v>1153</v>
      </c>
      <c r="R384" s="3" t="str">
        <f t="shared" si="34"/>
        <v>ic_monster34</v>
      </c>
      <c r="S384" s="27" t="s">
        <v>1935</v>
      </c>
      <c r="T384" s="3">
        <v>1</v>
      </c>
      <c r="U384" s="3">
        <v>0</v>
      </c>
      <c r="V384" s="3">
        <v>1</v>
      </c>
      <c r="W384" s="7"/>
      <c r="X384" s="3" t="s">
        <v>1155</v>
      </c>
      <c r="Y384" s="3"/>
    </row>
    <row r="385" spans="1:25" x14ac:dyDescent="0.15">
      <c r="A385" s="3">
        <v>201325</v>
      </c>
      <c r="B385" s="3" t="s">
        <v>1156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4">
        <v>755</v>
      </c>
      <c r="K385" s="3">
        <v>2</v>
      </c>
      <c r="L385" s="3" t="s">
        <v>722</v>
      </c>
      <c r="M385" s="3">
        <v>201</v>
      </c>
      <c r="N385" s="4" t="s">
        <v>723</v>
      </c>
      <c r="O385" s="3"/>
      <c r="P385" s="3"/>
      <c r="Q385" s="3" t="s">
        <v>795</v>
      </c>
      <c r="R385" s="3" t="str">
        <f t="shared" si="34"/>
        <v>ic_monster34</v>
      </c>
      <c r="S385" s="27" t="s">
        <v>1935</v>
      </c>
      <c r="T385" s="3">
        <v>1</v>
      </c>
      <c r="U385" s="3">
        <v>0</v>
      </c>
      <c r="V385" s="3">
        <v>1</v>
      </c>
      <c r="W385" s="7"/>
      <c r="X385" s="3" t="s">
        <v>1156</v>
      </c>
      <c r="Y385" s="3"/>
    </row>
    <row r="386" spans="1:25" x14ac:dyDescent="0.15">
      <c r="A386" s="3">
        <v>201326</v>
      </c>
      <c r="B386" s="3" t="s">
        <v>1157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4">
        <v>756</v>
      </c>
      <c r="K386" s="3">
        <v>2</v>
      </c>
      <c r="L386" s="3" t="s">
        <v>722</v>
      </c>
      <c r="M386" s="3">
        <v>201</v>
      </c>
      <c r="N386" s="4" t="s">
        <v>723</v>
      </c>
      <c r="O386" s="3"/>
      <c r="P386" s="3"/>
      <c r="Q386" s="3" t="s">
        <v>1153</v>
      </c>
      <c r="R386" s="3" t="str">
        <f t="shared" si="34"/>
        <v>ic_monster34</v>
      </c>
      <c r="S386" s="27" t="s">
        <v>1935</v>
      </c>
      <c r="T386" s="3">
        <v>1</v>
      </c>
      <c r="U386" s="3">
        <v>0</v>
      </c>
      <c r="V386" s="3">
        <v>1</v>
      </c>
      <c r="W386" s="7"/>
      <c r="X386" s="3" t="s">
        <v>1157</v>
      </c>
      <c r="Y386" s="3"/>
    </row>
    <row r="387" spans="1:25" x14ac:dyDescent="0.15">
      <c r="A387" s="3">
        <v>201327</v>
      </c>
      <c r="B387" s="3" t="s">
        <v>1158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4">
        <v>757</v>
      </c>
      <c r="K387" s="3">
        <v>2</v>
      </c>
      <c r="L387" s="3" t="s">
        <v>722</v>
      </c>
      <c r="M387" s="3">
        <v>201</v>
      </c>
      <c r="N387" s="4" t="s">
        <v>723</v>
      </c>
      <c r="O387" s="3"/>
      <c r="P387" s="3"/>
      <c r="Q387" s="3" t="s">
        <v>795</v>
      </c>
      <c r="R387" s="3" t="str">
        <f t="shared" si="34"/>
        <v>ic_monster34</v>
      </c>
      <c r="S387" s="27" t="s">
        <v>1935</v>
      </c>
      <c r="T387" s="3">
        <v>1</v>
      </c>
      <c r="U387" s="3">
        <v>0</v>
      </c>
      <c r="V387" s="3">
        <v>1</v>
      </c>
      <c r="W387" s="7"/>
      <c r="X387" s="3" t="s">
        <v>1158</v>
      </c>
      <c r="Y387" s="3"/>
    </row>
    <row r="388" spans="1:25" x14ac:dyDescent="0.15">
      <c r="A388" s="3">
        <v>201328</v>
      </c>
      <c r="B388" s="3" t="s">
        <v>1159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4">
        <v>758</v>
      </c>
      <c r="K388" s="3">
        <v>2</v>
      </c>
      <c r="L388" s="3" t="s">
        <v>722</v>
      </c>
      <c r="M388" s="3">
        <v>201</v>
      </c>
      <c r="N388" s="4" t="s">
        <v>723</v>
      </c>
      <c r="O388" s="3"/>
      <c r="P388" s="3"/>
      <c r="Q388" s="3" t="s">
        <v>1153</v>
      </c>
      <c r="R388" s="3" t="str">
        <f t="shared" si="34"/>
        <v>ic_monster34</v>
      </c>
      <c r="S388" s="27" t="s">
        <v>1935</v>
      </c>
      <c r="T388" s="3">
        <v>1</v>
      </c>
      <c r="U388" s="3">
        <v>0</v>
      </c>
      <c r="V388" s="3">
        <v>1</v>
      </c>
      <c r="W388" s="7"/>
      <c r="X388" s="3" t="s">
        <v>1159</v>
      </c>
      <c r="Y388" s="3"/>
    </row>
    <row r="389" spans="1:25" x14ac:dyDescent="0.15">
      <c r="A389" s="3">
        <v>201329</v>
      </c>
      <c r="B389" s="3" t="s">
        <v>1160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4">
        <v>759</v>
      </c>
      <c r="K389" s="3">
        <v>2</v>
      </c>
      <c r="L389" s="3" t="s">
        <v>722</v>
      </c>
      <c r="M389" s="3">
        <v>201</v>
      </c>
      <c r="N389" s="4" t="s">
        <v>723</v>
      </c>
      <c r="O389" s="3"/>
      <c r="P389" s="3"/>
      <c r="Q389" s="3" t="s">
        <v>795</v>
      </c>
      <c r="R389" s="3" t="str">
        <f t="shared" si="34"/>
        <v>ic_monster34</v>
      </c>
      <c r="S389" s="27" t="s">
        <v>1935</v>
      </c>
      <c r="T389" s="3">
        <v>1</v>
      </c>
      <c r="U389" s="3">
        <v>0</v>
      </c>
      <c r="V389" s="3">
        <v>1</v>
      </c>
      <c r="W389" s="7"/>
      <c r="X389" s="3" t="s">
        <v>1160</v>
      </c>
      <c r="Y389" s="3"/>
    </row>
    <row r="390" spans="1:25" x14ac:dyDescent="0.15">
      <c r="A390" s="3">
        <v>201330</v>
      </c>
      <c r="B390" s="3" t="s">
        <v>1161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4">
        <v>760</v>
      </c>
      <c r="K390" s="3">
        <v>2</v>
      </c>
      <c r="L390" s="3" t="s">
        <v>722</v>
      </c>
      <c r="M390" s="3">
        <v>201</v>
      </c>
      <c r="N390" s="4" t="s">
        <v>723</v>
      </c>
      <c r="O390" s="3"/>
      <c r="P390" s="3"/>
      <c r="Q390" s="3" t="s">
        <v>1153</v>
      </c>
      <c r="R390" s="3" t="str">
        <f t="shared" si="34"/>
        <v>ic_monster34</v>
      </c>
      <c r="S390" s="27" t="s">
        <v>1935</v>
      </c>
      <c r="T390" s="3">
        <v>1</v>
      </c>
      <c r="U390" s="3">
        <v>0</v>
      </c>
      <c r="V390" s="3">
        <v>1</v>
      </c>
      <c r="W390" s="7"/>
      <c r="X390" s="3" t="s">
        <v>1161</v>
      </c>
      <c r="Y390" s="3"/>
    </row>
    <row r="391" spans="1:25" x14ac:dyDescent="0.15">
      <c r="A391" s="3">
        <v>201331</v>
      </c>
      <c r="B391" s="3" t="s">
        <v>1162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4">
        <v>761</v>
      </c>
      <c r="K391" s="3">
        <v>2</v>
      </c>
      <c r="L391" s="3" t="s">
        <v>722</v>
      </c>
      <c r="M391" s="3">
        <v>201</v>
      </c>
      <c r="N391" s="4" t="s">
        <v>723</v>
      </c>
      <c r="O391" s="3"/>
      <c r="P391" s="3"/>
      <c r="Q391" s="3" t="s">
        <v>797</v>
      </c>
      <c r="R391" s="3" t="s">
        <v>1163</v>
      </c>
      <c r="S391" s="27" t="s">
        <v>1936</v>
      </c>
      <c r="T391" s="3">
        <v>1</v>
      </c>
      <c r="U391" s="3">
        <v>0</v>
      </c>
      <c r="V391" s="3">
        <v>1</v>
      </c>
      <c r="W391" s="7"/>
      <c r="X391" t="s">
        <v>1162</v>
      </c>
      <c r="Y391" s="3"/>
    </row>
    <row r="392" spans="1:25" x14ac:dyDescent="0.15">
      <c r="A392" s="3">
        <v>201332</v>
      </c>
      <c r="B392" s="3" t="s">
        <v>1164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4">
        <v>762</v>
      </c>
      <c r="K392" s="3">
        <v>2</v>
      </c>
      <c r="L392" s="3" t="s">
        <v>722</v>
      </c>
      <c r="M392" s="3">
        <v>201</v>
      </c>
      <c r="N392" s="4" t="s">
        <v>723</v>
      </c>
      <c r="O392" s="3"/>
      <c r="P392" s="3"/>
      <c r="Q392" s="3" t="s">
        <v>1165</v>
      </c>
      <c r="R392" s="3" t="str">
        <f t="shared" ref="R392:R400" si="35">R391</f>
        <v>ic_monster35</v>
      </c>
      <c r="S392" s="27" t="s">
        <v>1936</v>
      </c>
      <c r="T392" s="3">
        <v>1</v>
      </c>
      <c r="U392" s="3">
        <v>0</v>
      </c>
      <c r="V392" s="3">
        <v>1</v>
      </c>
      <c r="W392" s="7"/>
      <c r="X392" t="s">
        <v>1164</v>
      </c>
      <c r="Y392" s="3"/>
    </row>
    <row r="393" spans="1:25" x14ac:dyDescent="0.15">
      <c r="A393" s="3">
        <v>201333</v>
      </c>
      <c r="B393" s="3" t="s">
        <v>1166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4">
        <v>763</v>
      </c>
      <c r="K393" s="3">
        <v>2</v>
      </c>
      <c r="L393" s="3" t="s">
        <v>722</v>
      </c>
      <c r="M393" s="3">
        <v>201</v>
      </c>
      <c r="N393" s="4" t="s">
        <v>723</v>
      </c>
      <c r="O393" s="3"/>
      <c r="P393" s="3"/>
      <c r="Q393" s="3" t="s">
        <v>797</v>
      </c>
      <c r="R393" s="3" t="str">
        <f t="shared" si="35"/>
        <v>ic_monster35</v>
      </c>
      <c r="S393" s="27" t="s">
        <v>1936</v>
      </c>
      <c r="T393" s="3">
        <v>1</v>
      </c>
      <c r="U393" s="3">
        <v>0</v>
      </c>
      <c r="V393" s="3">
        <v>1</v>
      </c>
      <c r="W393" s="7"/>
      <c r="X393" t="s">
        <v>1166</v>
      </c>
      <c r="Y393" s="3"/>
    </row>
    <row r="394" spans="1:25" x14ac:dyDescent="0.15">
      <c r="A394" s="3">
        <v>201334</v>
      </c>
      <c r="B394" s="3" t="s">
        <v>1167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4">
        <v>764</v>
      </c>
      <c r="K394" s="3">
        <v>2</v>
      </c>
      <c r="L394" s="3" t="s">
        <v>722</v>
      </c>
      <c r="M394" s="3">
        <v>201</v>
      </c>
      <c r="N394" s="4" t="s">
        <v>723</v>
      </c>
      <c r="O394" s="3"/>
      <c r="P394" s="3"/>
      <c r="Q394" s="3" t="s">
        <v>1165</v>
      </c>
      <c r="R394" s="3" t="str">
        <f t="shared" si="35"/>
        <v>ic_monster35</v>
      </c>
      <c r="S394" s="27" t="s">
        <v>1936</v>
      </c>
      <c r="T394" s="3">
        <v>1</v>
      </c>
      <c r="U394" s="3">
        <v>0</v>
      </c>
      <c r="V394" s="3">
        <v>1</v>
      </c>
      <c r="W394" s="7"/>
      <c r="X394" t="s">
        <v>1167</v>
      </c>
      <c r="Y394" s="3"/>
    </row>
    <row r="395" spans="1:25" x14ac:dyDescent="0.15">
      <c r="A395" s="3">
        <v>201335</v>
      </c>
      <c r="B395" s="3" t="s">
        <v>1168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4">
        <v>765</v>
      </c>
      <c r="K395" s="3">
        <v>2</v>
      </c>
      <c r="L395" s="3" t="s">
        <v>722</v>
      </c>
      <c r="M395" s="3">
        <v>201</v>
      </c>
      <c r="N395" s="4" t="s">
        <v>723</v>
      </c>
      <c r="O395" s="3"/>
      <c r="P395" s="3"/>
      <c r="Q395" s="3" t="s">
        <v>797</v>
      </c>
      <c r="R395" s="3" t="str">
        <f t="shared" si="35"/>
        <v>ic_monster35</v>
      </c>
      <c r="S395" s="27" t="s">
        <v>1936</v>
      </c>
      <c r="T395" s="3">
        <v>1</v>
      </c>
      <c r="U395" s="3">
        <v>0</v>
      </c>
      <c r="V395" s="3">
        <v>1</v>
      </c>
      <c r="W395" s="7"/>
      <c r="X395" t="s">
        <v>1168</v>
      </c>
      <c r="Y395" s="3"/>
    </row>
    <row r="396" spans="1:25" x14ac:dyDescent="0.15">
      <c r="A396" s="3">
        <v>201336</v>
      </c>
      <c r="B396" s="3" t="s">
        <v>1169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4">
        <v>766</v>
      </c>
      <c r="K396" s="3">
        <v>2</v>
      </c>
      <c r="L396" s="3" t="s">
        <v>722</v>
      </c>
      <c r="M396" s="3">
        <v>201</v>
      </c>
      <c r="N396" s="4" t="s">
        <v>723</v>
      </c>
      <c r="O396" s="3"/>
      <c r="P396" s="3"/>
      <c r="Q396" s="3" t="s">
        <v>1165</v>
      </c>
      <c r="R396" s="3" t="str">
        <f t="shared" si="35"/>
        <v>ic_monster35</v>
      </c>
      <c r="S396" s="27" t="s">
        <v>1936</v>
      </c>
      <c r="T396" s="3">
        <v>1</v>
      </c>
      <c r="U396" s="3">
        <v>0</v>
      </c>
      <c r="V396" s="3">
        <v>1</v>
      </c>
      <c r="W396" s="7"/>
      <c r="X396" t="s">
        <v>1169</v>
      </c>
      <c r="Y396" s="3"/>
    </row>
    <row r="397" spans="1:25" x14ac:dyDescent="0.15">
      <c r="A397" s="3">
        <v>201337</v>
      </c>
      <c r="B397" s="3" t="s">
        <v>1170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4">
        <v>767</v>
      </c>
      <c r="K397" s="3">
        <v>2</v>
      </c>
      <c r="L397" s="3" t="s">
        <v>722</v>
      </c>
      <c r="M397" s="3">
        <v>201</v>
      </c>
      <c r="N397" s="4" t="s">
        <v>723</v>
      </c>
      <c r="O397" s="3"/>
      <c r="P397" s="3"/>
      <c r="Q397" s="3" t="s">
        <v>797</v>
      </c>
      <c r="R397" s="3" t="str">
        <f t="shared" si="35"/>
        <v>ic_monster35</v>
      </c>
      <c r="S397" s="27" t="s">
        <v>1936</v>
      </c>
      <c r="T397" s="3">
        <v>1</v>
      </c>
      <c r="U397" s="3">
        <v>0</v>
      </c>
      <c r="V397" s="3">
        <v>1</v>
      </c>
      <c r="W397" s="7"/>
      <c r="X397" t="s">
        <v>1170</v>
      </c>
      <c r="Y397" s="3"/>
    </row>
    <row r="398" spans="1:25" x14ac:dyDescent="0.15">
      <c r="A398" s="3">
        <v>201338</v>
      </c>
      <c r="B398" s="3" t="s">
        <v>1171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4">
        <v>768</v>
      </c>
      <c r="K398" s="3">
        <v>2</v>
      </c>
      <c r="L398" s="3" t="s">
        <v>722</v>
      </c>
      <c r="M398" s="3">
        <v>201</v>
      </c>
      <c r="N398" s="4" t="s">
        <v>723</v>
      </c>
      <c r="O398" s="3"/>
      <c r="P398" s="3"/>
      <c r="Q398" s="3" t="s">
        <v>1165</v>
      </c>
      <c r="R398" s="3" t="str">
        <f t="shared" si="35"/>
        <v>ic_monster35</v>
      </c>
      <c r="S398" s="27" t="s">
        <v>1936</v>
      </c>
      <c r="T398" s="3">
        <v>1</v>
      </c>
      <c r="U398" s="3">
        <v>0</v>
      </c>
      <c r="V398" s="3">
        <v>1</v>
      </c>
      <c r="W398" s="7"/>
      <c r="X398" t="s">
        <v>1171</v>
      </c>
      <c r="Y398" s="3"/>
    </row>
    <row r="399" spans="1:25" x14ac:dyDescent="0.15">
      <c r="A399" s="3">
        <v>201339</v>
      </c>
      <c r="B399" s="3" t="s">
        <v>1172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4">
        <v>769</v>
      </c>
      <c r="K399" s="3">
        <v>2</v>
      </c>
      <c r="L399" s="3" t="s">
        <v>722</v>
      </c>
      <c r="M399" s="3">
        <v>201</v>
      </c>
      <c r="N399" s="4" t="s">
        <v>723</v>
      </c>
      <c r="O399" s="3"/>
      <c r="P399" s="3"/>
      <c r="Q399" s="3" t="s">
        <v>797</v>
      </c>
      <c r="R399" s="3" t="str">
        <f t="shared" si="35"/>
        <v>ic_monster35</v>
      </c>
      <c r="S399" s="27" t="s">
        <v>1936</v>
      </c>
      <c r="T399" s="3">
        <v>1</v>
      </c>
      <c r="U399" s="3">
        <v>0</v>
      </c>
      <c r="V399" s="3">
        <v>1</v>
      </c>
      <c r="W399" s="7"/>
      <c r="X399" t="s">
        <v>1172</v>
      </c>
      <c r="Y399" s="3"/>
    </row>
    <row r="400" spans="1:25" x14ac:dyDescent="0.15">
      <c r="A400" s="3">
        <v>201340</v>
      </c>
      <c r="B400" s="3" t="s">
        <v>1173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4">
        <v>770</v>
      </c>
      <c r="K400" s="3">
        <v>2</v>
      </c>
      <c r="L400" s="3" t="s">
        <v>722</v>
      </c>
      <c r="M400" s="3">
        <v>201</v>
      </c>
      <c r="N400" s="4" t="s">
        <v>723</v>
      </c>
      <c r="O400" s="3"/>
      <c r="P400" s="3"/>
      <c r="Q400" s="3" t="s">
        <v>1165</v>
      </c>
      <c r="R400" s="3" t="str">
        <f t="shared" si="35"/>
        <v>ic_monster35</v>
      </c>
      <c r="S400" s="27" t="s">
        <v>1936</v>
      </c>
      <c r="T400" s="3">
        <v>1</v>
      </c>
      <c r="U400" s="3">
        <v>0</v>
      </c>
      <c r="V400" s="3">
        <v>1</v>
      </c>
      <c r="W400" s="7"/>
      <c r="X400" t="s">
        <v>1725</v>
      </c>
      <c r="Y400" s="3"/>
    </row>
    <row r="401" spans="1:25" x14ac:dyDescent="0.15">
      <c r="A401" s="3">
        <v>201341</v>
      </c>
      <c r="B401" s="27" t="s">
        <v>2005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4">
        <v>771</v>
      </c>
      <c r="K401" s="3">
        <v>2</v>
      </c>
      <c r="L401" s="3" t="s">
        <v>722</v>
      </c>
      <c r="M401" s="3">
        <v>201</v>
      </c>
      <c r="N401" s="4" t="s">
        <v>723</v>
      </c>
      <c r="O401" s="3"/>
      <c r="P401" s="3"/>
      <c r="Q401" s="27" t="s">
        <v>1993</v>
      </c>
      <c r="R401" s="27" t="s">
        <v>1995</v>
      </c>
      <c r="S401" s="27" t="s">
        <v>1996</v>
      </c>
      <c r="T401" s="3">
        <v>1</v>
      </c>
      <c r="U401" s="3">
        <v>0</v>
      </c>
      <c r="V401" s="3">
        <v>1</v>
      </c>
      <c r="W401" s="7"/>
      <c r="X401" s="43" t="s">
        <v>2005</v>
      </c>
      <c r="Y401" s="3"/>
    </row>
    <row r="402" spans="1:25" x14ac:dyDescent="0.15">
      <c r="A402" s="3">
        <v>201342</v>
      </c>
      <c r="B402" s="27" t="s">
        <v>2006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4">
        <v>772</v>
      </c>
      <c r="K402" s="3">
        <v>2</v>
      </c>
      <c r="L402" s="3" t="s">
        <v>722</v>
      </c>
      <c r="M402" s="3">
        <v>201</v>
      </c>
      <c r="N402" s="4" t="s">
        <v>723</v>
      </c>
      <c r="O402" s="3"/>
      <c r="P402" s="3"/>
      <c r="Q402" s="27" t="s">
        <v>1994</v>
      </c>
      <c r="R402" s="3" t="str">
        <f t="shared" ref="R402:R410" si="36">R401</f>
        <v>ic_monster36</v>
      </c>
      <c r="S402" s="27" t="s">
        <v>1996</v>
      </c>
      <c r="T402" s="3">
        <v>1</v>
      </c>
      <c r="U402" s="3">
        <v>0</v>
      </c>
      <c r="V402" s="3">
        <v>1</v>
      </c>
      <c r="W402" s="7"/>
      <c r="X402" s="43" t="s">
        <v>2006</v>
      </c>
      <c r="Y402" s="3"/>
    </row>
    <row r="403" spans="1:25" x14ac:dyDescent="0.15">
      <c r="A403" s="3">
        <v>201343</v>
      </c>
      <c r="B403" s="27" t="s">
        <v>2007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4">
        <v>773</v>
      </c>
      <c r="K403" s="3">
        <v>2</v>
      </c>
      <c r="L403" s="3" t="s">
        <v>722</v>
      </c>
      <c r="M403" s="3">
        <v>201</v>
      </c>
      <c r="N403" s="4" t="s">
        <v>723</v>
      </c>
      <c r="O403" s="3"/>
      <c r="P403" s="3"/>
      <c r="Q403" s="27" t="s">
        <v>1993</v>
      </c>
      <c r="R403" s="3" t="str">
        <f t="shared" si="36"/>
        <v>ic_monster36</v>
      </c>
      <c r="S403" s="27" t="s">
        <v>1996</v>
      </c>
      <c r="T403" s="3">
        <v>1</v>
      </c>
      <c r="U403" s="3">
        <v>0</v>
      </c>
      <c r="V403" s="3">
        <v>1</v>
      </c>
      <c r="W403" s="7"/>
      <c r="X403" s="43" t="s">
        <v>2007</v>
      </c>
      <c r="Y403" s="3"/>
    </row>
    <row r="404" spans="1:25" x14ac:dyDescent="0.15">
      <c r="A404" s="3">
        <v>201344</v>
      </c>
      <c r="B404" s="27" t="s">
        <v>2008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4">
        <v>774</v>
      </c>
      <c r="K404" s="3">
        <v>2</v>
      </c>
      <c r="L404" s="3" t="s">
        <v>722</v>
      </c>
      <c r="M404" s="3">
        <v>201</v>
      </c>
      <c r="N404" s="4" t="s">
        <v>723</v>
      </c>
      <c r="O404" s="3"/>
      <c r="P404" s="3"/>
      <c r="Q404" s="27" t="s">
        <v>1994</v>
      </c>
      <c r="R404" s="3" t="str">
        <f t="shared" si="36"/>
        <v>ic_monster36</v>
      </c>
      <c r="S404" s="27" t="s">
        <v>1996</v>
      </c>
      <c r="T404" s="3">
        <v>1</v>
      </c>
      <c r="U404" s="3">
        <v>0</v>
      </c>
      <c r="V404" s="3">
        <v>1</v>
      </c>
      <c r="W404" s="7"/>
      <c r="X404" s="43" t="s">
        <v>2008</v>
      </c>
      <c r="Y404" s="3"/>
    </row>
    <row r="405" spans="1:25" x14ac:dyDescent="0.15">
      <c r="A405" s="3">
        <v>201345</v>
      </c>
      <c r="B405" s="27" t="s">
        <v>2009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4">
        <v>775</v>
      </c>
      <c r="K405" s="3">
        <v>2</v>
      </c>
      <c r="L405" s="3" t="s">
        <v>722</v>
      </c>
      <c r="M405" s="3">
        <v>201</v>
      </c>
      <c r="N405" s="4" t="s">
        <v>723</v>
      </c>
      <c r="O405" s="3"/>
      <c r="P405" s="3"/>
      <c r="Q405" s="27" t="s">
        <v>1993</v>
      </c>
      <c r="R405" s="3" t="str">
        <f t="shared" si="36"/>
        <v>ic_monster36</v>
      </c>
      <c r="S405" s="27" t="s">
        <v>1996</v>
      </c>
      <c r="T405" s="3">
        <v>1</v>
      </c>
      <c r="U405" s="3">
        <v>0</v>
      </c>
      <c r="V405" s="3">
        <v>1</v>
      </c>
      <c r="W405" s="7"/>
      <c r="X405" s="43" t="s">
        <v>2009</v>
      </c>
      <c r="Y405" s="3"/>
    </row>
    <row r="406" spans="1:25" x14ac:dyDescent="0.15">
      <c r="A406" s="3">
        <v>201346</v>
      </c>
      <c r="B406" s="27" t="s">
        <v>2010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4">
        <v>776</v>
      </c>
      <c r="K406" s="3">
        <v>2</v>
      </c>
      <c r="L406" s="3" t="s">
        <v>722</v>
      </c>
      <c r="M406" s="3">
        <v>201</v>
      </c>
      <c r="N406" s="4" t="s">
        <v>723</v>
      </c>
      <c r="O406" s="3"/>
      <c r="P406" s="3"/>
      <c r="Q406" s="27" t="s">
        <v>1994</v>
      </c>
      <c r="R406" s="3" t="str">
        <f t="shared" si="36"/>
        <v>ic_monster36</v>
      </c>
      <c r="S406" s="27" t="s">
        <v>1996</v>
      </c>
      <c r="T406" s="3">
        <v>1</v>
      </c>
      <c r="U406" s="3">
        <v>0</v>
      </c>
      <c r="V406" s="3">
        <v>1</v>
      </c>
      <c r="W406" s="7"/>
      <c r="X406" s="43" t="s">
        <v>2010</v>
      </c>
      <c r="Y406" s="3"/>
    </row>
    <row r="407" spans="1:25" x14ac:dyDescent="0.15">
      <c r="A407" s="3">
        <v>201347</v>
      </c>
      <c r="B407" s="27" t="s">
        <v>2011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4">
        <v>777</v>
      </c>
      <c r="K407" s="3">
        <v>2</v>
      </c>
      <c r="L407" s="3" t="s">
        <v>722</v>
      </c>
      <c r="M407" s="3">
        <v>201</v>
      </c>
      <c r="N407" s="4" t="s">
        <v>723</v>
      </c>
      <c r="O407" s="3"/>
      <c r="P407" s="3"/>
      <c r="Q407" s="27" t="s">
        <v>1993</v>
      </c>
      <c r="R407" s="3" t="str">
        <f t="shared" si="36"/>
        <v>ic_monster36</v>
      </c>
      <c r="S407" s="27" t="s">
        <v>1996</v>
      </c>
      <c r="T407" s="3">
        <v>1</v>
      </c>
      <c r="U407" s="3">
        <v>0</v>
      </c>
      <c r="V407" s="3">
        <v>1</v>
      </c>
      <c r="W407" s="7"/>
      <c r="X407" s="43" t="s">
        <v>2011</v>
      </c>
      <c r="Y407" s="3"/>
    </row>
    <row r="408" spans="1:25" x14ac:dyDescent="0.15">
      <c r="A408" s="3">
        <v>201348</v>
      </c>
      <c r="B408" s="27" t="s">
        <v>2012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4">
        <v>778</v>
      </c>
      <c r="K408" s="3">
        <v>2</v>
      </c>
      <c r="L408" s="3" t="s">
        <v>722</v>
      </c>
      <c r="M408" s="3">
        <v>201</v>
      </c>
      <c r="N408" s="4" t="s">
        <v>723</v>
      </c>
      <c r="O408" s="3"/>
      <c r="P408" s="3"/>
      <c r="Q408" s="27" t="s">
        <v>1994</v>
      </c>
      <c r="R408" s="3" t="str">
        <f t="shared" si="36"/>
        <v>ic_monster36</v>
      </c>
      <c r="S408" s="27" t="s">
        <v>1996</v>
      </c>
      <c r="T408" s="3">
        <v>1</v>
      </c>
      <c r="U408" s="3">
        <v>0</v>
      </c>
      <c r="V408" s="3">
        <v>1</v>
      </c>
      <c r="W408" s="7"/>
      <c r="X408" s="43" t="s">
        <v>2012</v>
      </c>
      <c r="Y408" s="3"/>
    </row>
    <row r="409" spans="1:25" x14ac:dyDescent="0.15">
      <c r="A409" s="3">
        <v>201349</v>
      </c>
      <c r="B409" s="27" t="s">
        <v>2013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4">
        <v>779</v>
      </c>
      <c r="K409" s="3">
        <v>2</v>
      </c>
      <c r="L409" s="3" t="s">
        <v>722</v>
      </c>
      <c r="M409" s="3">
        <v>201</v>
      </c>
      <c r="N409" s="4" t="s">
        <v>723</v>
      </c>
      <c r="O409" s="3"/>
      <c r="P409" s="3"/>
      <c r="Q409" s="27" t="s">
        <v>1993</v>
      </c>
      <c r="R409" s="3" t="str">
        <f t="shared" si="36"/>
        <v>ic_monster36</v>
      </c>
      <c r="S409" s="27" t="s">
        <v>1996</v>
      </c>
      <c r="T409" s="3">
        <v>1</v>
      </c>
      <c r="U409" s="3">
        <v>0</v>
      </c>
      <c r="V409" s="3">
        <v>1</v>
      </c>
      <c r="W409" s="7"/>
      <c r="X409" s="43" t="s">
        <v>2013</v>
      </c>
      <c r="Y409" s="3"/>
    </row>
    <row r="410" spans="1:25" x14ac:dyDescent="0.15">
      <c r="A410" s="3">
        <v>201350</v>
      </c>
      <c r="B410" s="27" t="s">
        <v>2014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4">
        <v>780</v>
      </c>
      <c r="K410" s="3">
        <v>2</v>
      </c>
      <c r="L410" s="3" t="s">
        <v>722</v>
      </c>
      <c r="M410" s="3">
        <v>201</v>
      </c>
      <c r="N410" s="4" t="s">
        <v>723</v>
      </c>
      <c r="O410" s="3"/>
      <c r="P410" s="3"/>
      <c r="Q410" s="27" t="s">
        <v>1994</v>
      </c>
      <c r="R410" s="3" t="str">
        <f t="shared" si="36"/>
        <v>ic_monster36</v>
      </c>
      <c r="S410" s="27" t="s">
        <v>1996</v>
      </c>
      <c r="T410" s="3">
        <v>1</v>
      </c>
      <c r="U410" s="3">
        <v>0</v>
      </c>
      <c r="V410" s="3">
        <v>1</v>
      </c>
      <c r="W410" s="7"/>
      <c r="X410" s="43" t="s">
        <v>2014</v>
      </c>
      <c r="Y410" s="3"/>
    </row>
    <row r="411" spans="1:25" x14ac:dyDescent="0.15">
      <c r="A411" s="3">
        <v>201351</v>
      </c>
      <c r="B411" s="27" t="s">
        <v>2015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4">
        <v>781</v>
      </c>
      <c r="K411" s="3">
        <v>2</v>
      </c>
      <c r="L411" s="3" t="s">
        <v>722</v>
      </c>
      <c r="M411" s="3">
        <v>201</v>
      </c>
      <c r="N411" s="4" t="s">
        <v>723</v>
      </c>
      <c r="O411" s="3"/>
      <c r="P411" s="3"/>
      <c r="Q411" s="27" t="s">
        <v>1980</v>
      </c>
      <c r="R411" s="27" t="s">
        <v>2040</v>
      </c>
      <c r="S411" s="27" t="s">
        <v>1998</v>
      </c>
      <c r="T411" s="3">
        <v>1</v>
      </c>
      <c r="U411" s="3">
        <v>0</v>
      </c>
      <c r="V411" s="3">
        <v>1</v>
      </c>
      <c r="W411" s="7"/>
      <c r="X411" s="43" t="s">
        <v>2015</v>
      </c>
      <c r="Y411" s="3"/>
    </row>
    <row r="412" spans="1:25" x14ac:dyDescent="0.15">
      <c r="A412" s="3">
        <v>201352</v>
      </c>
      <c r="B412" s="27" t="s">
        <v>2016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4">
        <v>782</v>
      </c>
      <c r="K412" s="3">
        <v>2</v>
      </c>
      <c r="L412" s="3" t="s">
        <v>722</v>
      </c>
      <c r="M412" s="3">
        <v>201</v>
      </c>
      <c r="N412" s="4" t="s">
        <v>723</v>
      </c>
      <c r="O412" s="3"/>
      <c r="P412" s="3"/>
      <c r="Q412" s="27" t="s">
        <v>2035</v>
      </c>
      <c r="R412" s="3" t="str">
        <f t="shared" ref="R412:R420" si="37">R411</f>
        <v>ic_monster37</v>
      </c>
      <c r="S412" s="27" t="s">
        <v>1998</v>
      </c>
      <c r="T412" s="3">
        <v>1</v>
      </c>
      <c r="U412" s="3">
        <v>0</v>
      </c>
      <c r="V412" s="3">
        <v>1</v>
      </c>
      <c r="W412" s="7"/>
      <c r="X412" s="43" t="s">
        <v>2016</v>
      </c>
      <c r="Y412" s="3"/>
    </row>
    <row r="413" spans="1:25" x14ac:dyDescent="0.15">
      <c r="A413" s="3">
        <v>201353</v>
      </c>
      <c r="B413" s="27" t="s">
        <v>2017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4">
        <v>783</v>
      </c>
      <c r="K413" s="3">
        <v>2</v>
      </c>
      <c r="L413" s="3" t="s">
        <v>722</v>
      </c>
      <c r="M413" s="3">
        <v>201</v>
      </c>
      <c r="N413" s="4" t="s">
        <v>723</v>
      </c>
      <c r="O413" s="3"/>
      <c r="P413" s="3"/>
      <c r="Q413" s="27" t="s">
        <v>1980</v>
      </c>
      <c r="R413" s="3" t="str">
        <f t="shared" si="37"/>
        <v>ic_monster37</v>
      </c>
      <c r="S413" s="27" t="s">
        <v>1998</v>
      </c>
      <c r="T413" s="3">
        <v>1</v>
      </c>
      <c r="U413" s="3">
        <v>0</v>
      </c>
      <c r="V413" s="3">
        <v>1</v>
      </c>
      <c r="W413" s="7"/>
      <c r="X413" s="43" t="s">
        <v>2017</v>
      </c>
      <c r="Y413" s="3"/>
    </row>
    <row r="414" spans="1:25" x14ac:dyDescent="0.15">
      <c r="A414" s="3">
        <v>201354</v>
      </c>
      <c r="B414" s="27" t="s">
        <v>2018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4">
        <v>784</v>
      </c>
      <c r="K414" s="3">
        <v>2</v>
      </c>
      <c r="L414" s="3" t="s">
        <v>722</v>
      </c>
      <c r="M414" s="3">
        <v>201</v>
      </c>
      <c r="N414" s="4" t="s">
        <v>723</v>
      </c>
      <c r="O414" s="3"/>
      <c r="P414" s="3"/>
      <c r="Q414" s="27" t="s">
        <v>2035</v>
      </c>
      <c r="R414" s="3" t="str">
        <f t="shared" si="37"/>
        <v>ic_monster37</v>
      </c>
      <c r="S414" s="27" t="s">
        <v>1998</v>
      </c>
      <c r="T414" s="3">
        <v>1</v>
      </c>
      <c r="U414" s="3">
        <v>0</v>
      </c>
      <c r="V414" s="3">
        <v>1</v>
      </c>
      <c r="W414" s="7"/>
      <c r="X414" s="43" t="s">
        <v>2018</v>
      </c>
      <c r="Y414" s="3"/>
    </row>
    <row r="415" spans="1:25" x14ac:dyDescent="0.15">
      <c r="A415" s="3">
        <v>201355</v>
      </c>
      <c r="B415" s="27" t="s">
        <v>2019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4">
        <v>785</v>
      </c>
      <c r="K415" s="3">
        <v>2</v>
      </c>
      <c r="L415" s="3" t="s">
        <v>722</v>
      </c>
      <c r="M415" s="3">
        <v>201</v>
      </c>
      <c r="N415" s="4" t="s">
        <v>723</v>
      </c>
      <c r="O415" s="3"/>
      <c r="P415" s="3"/>
      <c r="Q415" s="27" t="s">
        <v>1980</v>
      </c>
      <c r="R415" s="3" t="str">
        <f t="shared" si="37"/>
        <v>ic_monster37</v>
      </c>
      <c r="S415" s="27" t="s">
        <v>1998</v>
      </c>
      <c r="T415" s="3">
        <v>1</v>
      </c>
      <c r="U415" s="3">
        <v>0</v>
      </c>
      <c r="V415" s="3">
        <v>1</v>
      </c>
      <c r="W415" s="7"/>
      <c r="X415" s="43" t="s">
        <v>2019</v>
      </c>
      <c r="Y415" s="3"/>
    </row>
    <row r="416" spans="1:25" x14ac:dyDescent="0.15">
      <c r="A416" s="3">
        <v>201356</v>
      </c>
      <c r="B416" s="27" t="s">
        <v>2020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4">
        <v>786</v>
      </c>
      <c r="K416" s="3">
        <v>2</v>
      </c>
      <c r="L416" s="3" t="s">
        <v>722</v>
      </c>
      <c r="M416" s="3">
        <v>201</v>
      </c>
      <c r="N416" s="4" t="s">
        <v>723</v>
      </c>
      <c r="O416" s="3"/>
      <c r="P416" s="3"/>
      <c r="Q416" s="27" t="s">
        <v>2035</v>
      </c>
      <c r="R416" s="3" t="str">
        <f t="shared" si="37"/>
        <v>ic_monster37</v>
      </c>
      <c r="S416" s="27" t="s">
        <v>1998</v>
      </c>
      <c r="T416" s="3">
        <v>1</v>
      </c>
      <c r="U416" s="3">
        <v>0</v>
      </c>
      <c r="V416" s="3">
        <v>1</v>
      </c>
      <c r="W416" s="7"/>
      <c r="X416" s="43" t="s">
        <v>2020</v>
      </c>
      <c r="Y416" s="3"/>
    </row>
    <row r="417" spans="1:25" x14ac:dyDescent="0.15">
      <c r="A417" s="3">
        <v>201357</v>
      </c>
      <c r="B417" s="27" t="s">
        <v>2021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4">
        <v>787</v>
      </c>
      <c r="K417" s="3">
        <v>2</v>
      </c>
      <c r="L417" s="3" t="s">
        <v>722</v>
      </c>
      <c r="M417" s="3">
        <v>201</v>
      </c>
      <c r="N417" s="4" t="s">
        <v>723</v>
      </c>
      <c r="O417" s="3"/>
      <c r="P417" s="3"/>
      <c r="Q417" s="27" t="s">
        <v>1980</v>
      </c>
      <c r="R417" s="3" t="str">
        <f t="shared" si="37"/>
        <v>ic_monster37</v>
      </c>
      <c r="S417" s="27" t="s">
        <v>1998</v>
      </c>
      <c r="T417" s="3">
        <v>1</v>
      </c>
      <c r="U417" s="3">
        <v>0</v>
      </c>
      <c r="V417" s="3">
        <v>1</v>
      </c>
      <c r="W417" s="7"/>
      <c r="X417" s="43" t="s">
        <v>2021</v>
      </c>
      <c r="Y417" s="3"/>
    </row>
    <row r="418" spans="1:25" x14ac:dyDescent="0.15">
      <c r="A418" s="3">
        <v>201358</v>
      </c>
      <c r="B418" s="27" t="s">
        <v>2022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4">
        <v>788</v>
      </c>
      <c r="K418" s="3">
        <v>2</v>
      </c>
      <c r="L418" s="3" t="s">
        <v>722</v>
      </c>
      <c r="M418" s="3">
        <v>201</v>
      </c>
      <c r="N418" s="4" t="s">
        <v>723</v>
      </c>
      <c r="O418" s="3"/>
      <c r="P418" s="3"/>
      <c r="Q418" s="27" t="s">
        <v>2035</v>
      </c>
      <c r="R418" s="3" t="str">
        <f t="shared" si="37"/>
        <v>ic_monster37</v>
      </c>
      <c r="S418" s="27" t="s">
        <v>1998</v>
      </c>
      <c r="T418" s="3">
        <v>1</v>
      </c>
      <c r="U418" s="3">
        <v>0</v>
      </c>
      <c r="V418" s="3">
        <v>1</v>
      </c>
      <c r="W418" s="7"/>
      <c r="X418" s="43" t="s">
        <v>2022</v>
      </c>
      <c r="Y418" s="3"/>
    </row>
    <row r="419" spans="1:25" x14ac:dyDescent="0.15">
      <c r="A419" s="3">
        <v>201359</v>
      </c>
      <c r="B419" s="27" t="s">
        <v>2023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4">
        <v>789</v>
      </c>
      <c r="K419" s="3">
        <v>2</v>
      </c>
      <c r="L419" s="3" t="s">
        <v>722</v>
      </c>
      <c r="M419" s="3">
        <v>201</v>
      </c>
      <c r="N419" s="4" t="s">
        <v>723</v>
      </c>
      <c r="O419" s="3"/>
      <c r="P419" s="3"/>
      <c r="Q419" s="27" t="s">
        <v>1980</v>
      </c>
      <c r="R419" s="3" t="str">
        <f t="shared" si="37"/>
        <v>ic_monster37</v>
      </c>
      <c r="S419" s="27" t="s">
        <v>1998</v>
      </c>
      <c r="T419" s="3">
        <v>1</v>
      </c>
      <c r="U419" s="3">
        <v>0</v>
      </c>
      <c r="V419" s="3">
        <v>1</v>
      </c>
      <c r="W419" s="7"/>
      <c r="X419" s="43" t="s">
        <v>2023</v>
      </c>
      <c r="Y419" s="3"/>
    </row>
    <row r="420" spans="1:25" x14ac:dyDescent="0.15">
      <c r="A420" s="3">
        <v>201360</v>
      </c>
      <c r="B420" s="27" t="s">
        <v>2024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4">
        <v>790</v>
      </c>
      <c r="K420" s="3">
        <v>2</v>
      </c>
      <c r="L420" s="3" t="s">
        <v>722</v>
      </c>
      <c r="M420" s="3">
        <v>201</v>
      </c>
      <c r="N420" s="4" t="s">
        <v>723</v>
      </c>
      <c r="O420" s="3"/>
      <c r="P420" s="3"/>
      <c r="Q420" s="27" t="s">
        <v>2035</v>
      </c>
      <c r="R420" s="3" t="str">
        <f t="shared" si="37"/>
        <v>ic_monster37</v>
      </c>
      <c r="S420" s="27" t="s">
        <v>1998</v>
      </c>
      <c r="T420" s="3">
        <v>1</v>
      </c>
      <c r="U420" s="3">
        <v>0</v>
      </c>
      <c r="V420" s="3">
        <v>1</v>
      </c>
      <c r="W420" s="7"/>
      <c r="X420" s="43" t="s">
        <v>2024</v>
      </c>
      <c r="Y420" s="3"/>
    </row>
    <row r="421" spans="1:25" x14ac:dyDescent="0.15">
      <c r="A421" s="3">
        <v>201361</v>
      </c>
      <c r="B421" s="27" t="s">
        <v>2025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4">
        <v>791</v>
      </c>
      <c r="K421" s="3">
        <v>2</v>
      </c>
      <c r="L421" s="3" t="s">
        <v>722</v>
      </c>
      <c r="M421" s="3">
        <v>201</v>
      </c>
      <c r="N421" s="4" t="s">
        <v>723</v>
      </c>
      <c r="O421" s="3"/>
      <c r="P421" s="3"/>
      <c r="Q421" s="27" t="s">
        <v>2036</v>
      </c>
      <c r="R421" s="27" t="s">
        <v>2041</v>
      </c>
      <c r="S421" s="27" t="s">
        <v>2043</v>
      </c>
      <c r="T421" s="3">
        <v>1</v>
      </c>
      <c r="U421" s="3">
        <v>0</v>
      </c>
      <c r="V421" s="3">
        <v>1</v>
      </c>
      <c r="W421" s="7"/>
      <c r="X421" s="43" t="s">
        <v>2025</v>
      </c>
      <c r="Y421" s="3"/>
    </row>
    <row r="422" spans="1:25" x14ac:dyDescent="0.15">
      <c r="A422" s="3">
        <v>201362</v>
      </c>
      <c r="B422" s="27" t="s">
        <v>2026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4">
        <v>792</v>
      </c>
      <c r="K422" s="3">
        <v>2</v>
      </c>
      <c r="L422" s="3" t="s">
        <v>722</v>
      </c>
      <c r="M422" s="3">
        <v>201</v>
      </c>
      <c r="N422" s="4" t="s">
        <v>723</v>
      </c>
      <c r="O422" s="3"/>
      <c r="P422" s="3"/>
      <c r="Q422" s="27" t="s">
        <v>2037</v>
      </c>
      <c r="R422" s="3" t="str">
        <f t="shared" ref="R422:R430" si="38">R421</f>
        <v>ic_monster38</v>
      </c>
      <c r="S422" s="27" t="s">
        <v>2043</v>
      </c>
      <c r="T422" s="3">
        <v>1</v>
      </c>
      <c r="U422" s="3">
        <v>0</v>
      </c>
      <c r="V422" s="3">
        <v>1</v>
      </c>
      <c r="W422" s="7"/>
      <c r="X422" s="43" t="s">
        <v>2026</v>
      </c>
      <c r="Y422" s="3"/>
    </row>
    <row r="423" spans="1:25" x14ac:dyDescent="0.15">
      <c r="A423" s="3">
        <v>201363</v>
      </c>
      <c r="B423" s="27" t="s">
        <v>2027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4">
        <v>793</v>
      </c>
      <c r="K423" s="3">
        <v>2</v>
      </c>
      <c r="L423" s="3" t="s">
        <v>722</v>
      </c>
      <c r="M423" s="3">
        <v>201</v>
      </c>
      <c r="N423" s="4" t="s">
        <v>723</v>
      </c>
      <c r="O423" s="3"/>
      <c r="P423" s="3"/>
      <c r="Q423" s="27" t="s">
        <v>2036</v>
      </c>
      <c r="R423" s="3" t="str">
        <f t="shared" si="38"/>
        <v>ic_monster38</v>
      </c>
      <c r="S423" s="27" t="s">
        <v>2043</v>
      </c>
      <c r="T423" s="3">
        <v>1</v>
      </c>
      <c r="U423" s="3">
        <v>0</v>
      </c>
      <c r="V423" s="3">
        <v>1</v>
      </c>
      <c r="W423" s="7"/>
      <c r="X423" s="43" t="s">
        <v>2027</v>
      </c>
      <c r="Y423" s="3"/>
    </row>
    <row r="424" spans="1:25" x14ac:dyDescent="0.15">
      <c r="A424" s="3">
        <v>201364</v>
      </c>
      <c r="B424" s="27" t="s">
        <v>2028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4">
        <v>794</v>
      </c>
      <c r="K424" s="3">
        <v>2</v>
      </c>
      <c r="L424" s="3" t="s">
        <v>722</v>
      </c>
      <c r="M424" s="3">
        <v>201</v>
      </c>
      <c r="N424" s="4" t="s">
        <v>723</v>
      </c>
      <c r="O424" s="3"/>
      <c r="P424" s="3"/>
      <c r="Q424" s="27" t="s">
        <v>2037</v>
      </c>
      <c r="R424" s="3" t="str">
        <f t="shared" si="38"/>
        <v>ic_monster38</v>
      </c>
      <c r="S424" s="27" t="s">
        <v>2043</v>
      </c>
      <c r="T424" s="3">
        <v>1</v>
      </c>
      <c r="U424" s="3">
        <v>0</v>
      </c>
      <c r="V424" s="3">
        <v>1</v>
      </c>
      <c r="W424" s="7"/>
      <c r="X424" s="43" t="s">
        <v>2028</v>
      </c>
      <c r="Y424" s="3"/>
    </row>
    <row r="425" spans="1:25" x14ac:dyDescent="0.15">
      <c r="A425" s="3">
        <v>201365</v>
      </c>
      <c r="B425" s="27" t="s">
        <v>2029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4">
        <v>795</v>
      </c>
      <c r="K425" s="3">
        <v>2</v>
      </c>
      <c r="L425" s="3" t="s">
        <v>722</v>
      </c>
      <c r="M425" s="3">
        <v>201</v>
      </c>
      <c r="N425" s="4" t="s">
        <v>723</v>
      </c>
      <c r="O425" s="3"/>
      <c r="P425" s="3"/>
      <c r="Q425" s="27" t="s">
        <v>2036</v>
      </c>
      <c r="R425" s="3" t="str">
        <f t="shared" si="38"/>
        <v>ic_monster38</v>
      </c>
      <c r="S425" s="27" t="s">
        <v>2043</v>
      </c>
      <c r="T425" s="3">
        <v>1</v>
      </c>
      <c r="U425" s="3">
        <v>0</v>
      </c>
      <c r="V425" s="3">
        <v>1</v>
      </c>
      <c r="W425" s="7"/>
      <c r="X425" s="43" t="s">
        <v>2029</v>
      </c>
      <c r="Y425" s="3"/>
    </row>
    <row r="426" spans="1:25" x14ac:dyDescent="0.15">
      <c r="A426" s="3">
        <v>201366</v>
      </c>
      <c r="B426" s="27" t="s">
        <v>2030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4">
        <v>796</v>
      </c>
      <c r="K426" s="3">
        <v>2</v>
      </c>
      <c r="L426" s="3" t="s">
        <v>722</v>
      </c>
      <c r="M426" s="3">
        <v>201</v>
      </c>
      <c r="N426" s="4" t="s">
        <v>723</v>
      </c>
      <c r="O426" s="3"/>
      <c r="P426" s="3"/>
      <c r="Q426" s="27" t="s">
        <v>2037</v>
      </c>
      <c r="R426" s="3" t="str">
        <f t="shared" si="38"/>
        <v>ic_monster38</v>
      </c>
      <c r="S426" s="27" t="s">
        <v>2043</v>
      </c>
      <c r="T426" s="3">
        <v>1</v>
      </c>
      <c r="U426" s="3">
        <v>0</v>
      </c>
      <c r="V426" s="3">
        <v>1</v>
      </c>
      <c r="W426" s="7"/>
      <c r="X426" s="43" t="s">
        <v>2030</v>
      </c>
      <c r="Y426" s="3"/>
    </row>
    <row r="427" spans="1:25" x14ac:dyDescent="0.15">
      <c r="A427" s="3">
        <v>201367</v>
      </c>
      <c r="B427" s="27" t="s">
        <v>2031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4">
        <v>797</v>
      </c>
      <c r="K427" s="3">
        <v>2</v>
      </c>
      <c r="L427" s="3" t="s">
        <v>722</v>
      </c>
      <c r="M427" s="3">
        <v>201</v>
      </c>
      <c r="N427" s="4" t="s">
        <v>723</v>
      </c>
      <c r="O427" s="3"/>
      <c r="P427" s="3"/>
      <c r="Q427" s="27" t="s">
        <v>2036</v>
      </c>
      <c r="R427" s="3" t="str">
        <f t="shared" si="38"/>
        <v>ic_monster38</v>
      </c>
      <c r="S427" s="27" t="s">
        <v>2043</v>
      </c>
      <c r="T427" s="3">
        <v>1</v>
      </c>
      <c r="U427" s="3">
        <v>0</v>
      </c>
      <c r="V427" s="3">
        <v>1</v>
      </c>
      <c r="W427" s="7"/>
      <c r="X427" s="43" t="s">
        <v>2031</v>
      </c>
      <c r="Y427" s="3"/>
    </row>
    <row r="428" spans="1:25" x14ac:dyDescent="0.15">
      <c r="A428" s="3">
        <v>201368</v>
      </c>
      <c r="B428" s="27" t="s">
        <v>2032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4">
        <v>798</v>
      </c>
      <c r="K428" s="3">
        <v>2</v>
      </c>
      <c r="L428" s="3" t="s">
        <v>722</v>
      </c>
      <c r="M428" s="3">
        <v>201</v>
      </c>
      <c r="N428" s="4" t="s">
        <v>723</v>
      </c>
      <c r="O428" s="3"/>
      <c r="P428" s="3"/>
      <c r="Q428" s="27" t="s">
        <v>2037</v>
      </c>
      <c r="R428" s="3" t="str">
        <f t="shared" si="38"/>
        <v>ic_monster38</v>
      </c>
      <c r="S428" s="27" t="s">
        <v>2043</v>
      </c>
      <c r="T428" s="3">
        <v>1</v>
      </c>
      <c r="U428" s="3">
        <v>0</v>
      </c>
      <c r="V428" s="3">
        <v>1</v>
      </c>
      <c r="W428" s="7"/>
      <c r="X428" s="43" t="s">
        <v>2032</v>
      </c>
      <c r="Y428" s="3"/>
    </row>
    <row r="429" spans="1:25" x14ac:dyDescent="0.15">
      <c r="A429" s="3">
        <v>201369</v>
      </c>
      <c r="B429" s="27" t="s">
        <v>2033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4">
        <v>799</v>
      </c>
      <c r="K429" s="3">
        <v>2</v>
      </c>
      <c r="L429" s="3" t="s">
        <v>722</v>
      </c>
      <c r="M429" s="3">
        <v>201</v>
      </c>
      <c r="N429" s="4" t="s">
        <v>723</v>
      </c>
      <c r="O429" s="3"/>
      <c r="P429" s="3"/>
      <c r="Q429" s="27" t="s">
        <v>2036</v>
      </c>
      <c r="R429" s="3" t="str">
        <f t="shared" si="38"/>
        <v>ic_monster38</v>
      </c>
      <c r="S429" s="27" t="s">
        <v>2043</v>
      </c>
      <c r="T429" s="3">
        <v>1</v>
      </c>
      <c r="U429" s="3">
        <v>0</v>
      </c>
      <c r="V429" s="3">
        <v>1</v>
      </c>
      <c r="W429" s="7"/>
      <c r="X429" s="43" t="s">
        <v>2033</v>
      </c>
      <c r="Y429" s="3"/>
    </row>
    <row r="430" spans="1:25" x14ac:dyDescent="0.15">
      <c r="A430" s="3">
        <v>201370</v>
      </c>
      <c r="B430" s="27" t="s">
        <v>2034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4">
        <v>800</v>
      </c>
      <c r="K430" s="3">
        <v>2</v>
      </c>
      <c r="L430" s="3" t="s">
        <v>722</v>
      </c>
      <c r="M430" s="3">
        <v>201</v>
      </c>
      <c r="N430" s="4" t="s">
        <v>723</v>
      </c>
      <c r="O430" s="3"/>
      <c r="P430" s="3"/>
      <c r="Q430" s="27" t="s">
        <v>2037</v>
      </c>
      <c r="R430" s="3" t="str">
        <f t="shared" si="38"/>
        <v>ic_monster38</v>
      </c>
      <c r="S430" s="27" t="s">
        <v>2043</v>
      </c>
      <c r="T430" s="3">
        <v>1</v>
      </c>
      <c r="U430" s="3">
        <v>0</v>
      </c>
      <c r="V430" s="3">
        <v>1</v>
      </c>
      <c r="W430" s="7"/>
      <c r="X430" s="43" t="s">
        <v>2034</v>
      </c>
      <c r="Y430" s="3"/>
    </row>
    <row r="431" spans="1:25" x14ac:dyDescent="0.15">
      <c r="A431" s="3">
        <v>201371</v>
      </c>
      <c r="B431" s="27" t="s">
        <v>1983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4">
        <v>801</v>
      </c>
      <c r="K431" s="3">
        <v>2</v>
      </c>
      <c r="L431" s="3" t="s">
        <v>722</v>
      </c>
      <c r="M431" s="3">
        <v>201</v>
      </c>
      <c r="N431" s="4" t="s">
        <v>723</v>
      </c>
      <c r="O431" s="3"/>
      <c r="P431" s="3"/>
      <c r="Q431" s="27" t="s">
        <v>2038</v>
      </c>
      <c r="R431" s="27" t="s">
        <v>2042</v>
      </c>
      <c r="S431" s="27" t="s">
        <v>2044</v>
      </c>
      <c r="T431" s="3">
        <v>1</v>
      </c>
      <c r="U431" s="3">
        <v>0</v>
      </c>
      <c r="V431" s="3">
        <v>1</v>
      </c>
      <c r="W431" s="7"/>
      <c r="X431" s="43" t="s">
        <v>1983</v>
      </c>
      <c r="Y431" s="3"/>
    </row>
    <row r="432" spans="1:25" x14ac:dyDescent="0.15">
      <c r="A432" s="3">
        <v>201372</v>
      </c>
      <c r="B432" s="27" t="s">
        <v>1984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4">
        <v>802</v>
      </c>
      <c r="K432" s="3">
        <v>2</v>
      </c>
      <c r="L432" s="3" t="s">
        <v>722</v>
      </c>
      <c r="M432" s="3">
        <v>201</v>
      </c>
      <c r="N432" s="4" t="s">
        <v>723</v>
      </c>
      <c r="O432" s="3"/>
      <c r="P432" s="3"/>
      <c r="Q432" s="27" t="s">
        <v>2039</v>
      </c>
      <c r="R432" s="3" t="str">
        <f t="shared" ref="R432:R440" si="39">R431</f>
        <v>ic_monster39</v>
      </c>
      <c r="S432" s="27" t="s">
        <v>2044</v>
      </c>
      <c r="T432" s="3">
        <v>1</v>
      </c>
      <c r="U432" s="3">
        <v>0</v>
      </c>
      <c r="V432" s="3">
        <v>1</v>
      </c>
      <c r="W432" s="7"/>
      <c r="X432" s="43" t="s">
        <v>1984</v>
      </c>
      <c r="Y432" s="3"/>
    </row>
    <row r="433" spans="1:25" x14ac:dyDescent="0.15">
      <c r="A433" s="3">
        <v>201373</v>
      </c>
      <c r="B433" s="27" t="s">
        <v>1985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4">
        <v>803</v>
      </c>
      <c r="K433" s="3">
        <v>2</v>
      </c>
      <c r="L433" s="3" t="s">
        <v>722</v>
      </c>
      <c r="M433" s="3">
        <v>201</v>
      </c>
      <c r="N433" s="4" t="s">
        <v>723</v>
      </c>
      <c r="O433" s="3"/>
      <c r="P433" s="3"/>
      <c r="Q433" s="27" t="s">
        <v>2038</v>
      </c>
      <c r="R433" s="3" t="str">
        <f t="shared" si="39"/>
        <v>ic_monster39</v>
      </c>
      <c r="S433" s="27" t="s">
        <v>2044</v>
      </c>
      <c r="T433" s="3">
        <v>1</v>
      </c>
      <c r="U433" s="3">
        <v>0</v>
      </c>
      <c r="V433" s="3">
        <v>1</v>
      </c>
      <c r="W433" s="7"/>
      <c r="X433" s="43" t="s">
        <v>1985</v>
      </c>
      <c r="Y433" s="3"/>
    </row>
    <row r="434" spans="1:25" x14ac:dyDescent="0.15">
      <c r="A434" s="3">
        <v>201374</v>
      </c>
      <c r="B434" s="27" t="s">
        <v>1986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4">
        <v>804</v>
      </c>
      <c r="K434" s="3">
        <v>2</v>
      </c>
      <c r="L434" s="3" t="s">
        <v>722</v>
      </c>
      <c r="M434" s="3">
        <v>201</v>
      </c>
      <c r="N434" s="4" t="s">
        <v>723</v>
      </c>
      <c r="O434" s="3"/>
      <c r="P434" s="3"/>
      <c r="Q434" s="27" t="s">
        <v>2039</v>
      </c>
      <c r="R434" s="3" t="str">
        <f t="shared" si="39"/>
        <v>ic_monster39</v>
      </c>
      <c r="S434" s="27" t="s">
        <v>2044</v>
      </c>
      <c r="T434" s="3">
        <v>1</v>
      </c>
      <c r="U434" s="3">
        <v>0</v>
      </c>
      <c r="V434" s="3">
        <v>1</v>
      </c>
      <c r="W434" s="7"/>
      <c r="X434" s="43" t="s">
        <v>1986</v>
      </c>
      <c r="Y434" s="3"/>
    </row>
    <row r="435" spans="1:25" x14ac:dyDescent="0.15">
      <c r="A435" s="3">
        <v>201375</v>
      </c>
      <c r="B435" s="27" t="s">
        <v>1987</v>
      </c>
      <c r="C435" s="3">
        <v>0</v>
      </c>
      <c r="D435" s="3">
        <v>0</v>
      </c>
      <c r="E435" s="3">
        <v>0</v>
      </c>
      <c r="F435" s="3">
        <v>0</v>
      </c>
      <c r="G435" s="3">
        <v>0</v>
      </c>
      <c r="H435" s="3">
        <v>0</v>
      </c>
      <c r="I435" s="3">
        <v>0</v>
      </c>
      <c r="J435" s="4">
        <v>805</v>
      </c>
      <c r="K435" s="3">
        <v>2</v>
      </c>
      <c r="L435" s="3" t="s">
        <v>722</v>
      </c>
      <c r="M435" s="3">
        <v>201</v>
      </c>
      <c r="N435" s="4" t="s">
        <v>723</v>
      </c>
      <c r="O435" s="3"/>
      <c r="P435" s="3"/>
      <c r="Q435" s="27" t="s">
        <v>2038</v>
      </c>
      <c r="R435" s="3" t="str">
        <f t="shared" si="39"/>
        <v>ic_monster39</v>
      </c>
      <c r="S435" s="27" t="s">
        <v>2044</v>
      </c>
      <c r="T435" s="3">
        <v>1</v>
      </c>
      <c r="U435" s="3">
        <v>0</v>
      </c>
      <c r="V435" s="3">
        <v>1</v>
      </c>
      <c r="W435" s="7"/>
      <c r="X435" s="43" t="s">
        <v>1987</v>
      </c>
      <c r="Y435" s="3"/>
    </row>
    <row r="436" spans="1:25" x14ac:dyDescent="0.15">
      <c r="A436" s="3">
        <v>201376</v>
      </c>
      <c r="B436" s="27" t="s">
        <v>1988</v>
      </c>
      <c r="C436" s="3">
        <v>0</v>
      </c>
      <c r="D436" s="3">
        <v>0</v>
      </c>
      <c r="E436" s="3">
        <v>0</v>
      </c>
      <c r="F436" s="3">
        <v>0</v>
      </c>
      <c r="G436" s="3">
        <v>0</v>
      </c>
      <c r="H436" s="3">
        <v>0</v>
      </c>
      <c r="I436" s="3">
        <v>0</v>
      </c>
      <c r="J436" s="4">
        <v>806</v>
      </c>
      <c r="K436" s="3">
        <v>2</v>
      </c>
      <c r="L436" s="3" t="s">
        <v>722</v>
      </c>
      <c r="M436" s="3">
        <v>201</v>
      </c>
      <c r="N436" s="4" t="s">
        <v>723</v>
      </c>
      <c r="O436" s="3"/>
      <c r="P436" s="3"/>
      <c r="Q436" s="27" t="s">
        <v>2039</v>
      </c>
      <c r="R436" s="3" t="str">
        <f t="shared" si="39"/>
        <v>ic_monster39</v>
      </c>
      <c r="S436" s="27" t="s">
        <v>2044</v>
      </c>
      <c r="T436" s="3">
        <v>1</v>
      </c>
      <c r="U436" s="3">
        <v>0</v>
      </c>
      <c r="V436" s="3">
        <v>1</v>
      </c>
      <c r="W436" s="7"/>
      <c r="X436" s="43" t="s">
        <v>1988</v>
      </c>
      <c r="Y436" s="3"/>
    </row>
    <row r="437" spans="1:25" x14ac:dyDescent="0.15">
      <c r="A437" s="3">
        <v>201377</v>
      </c>
      <c r="B437" s="27" t="s">
        <v>1989</v>
      </c>
      <c r="C437" s="3">
        <v>0</v>
      </c>
      <c r="D437" s="3">
        <v>0</v>
      </c>
      <c r="E437" s="3">
        <v>0</v>
      </c>
      <c r="F437" s="3">
        <v>0</v>
      </c>
      <c r="G437" s="3">
        <v>0</v>
      </c>
      <c r="H437" s="3">
        <v>0</v>
      </c>
      <c r="I437" s="3">
        <v>0</v>
      </c>
      <c r="J437" s="4">
        <v>807</v>
      </c>
      <c r="K437" s="3">
        <v>2</v>
      </c>
      <c r="L437" s="3" t="s">
        <v>722</v>
      </c>
      <c r="M437" s="3">
        <v>201</v>
      </c>
      <c r="N437" s="4" t="s">
        <v>723</v>
      </c>
      <c r="O437" s="3"/>
      <c r="P437" s="3"/>
      <c r="Q437" s="27" t="s">
        <v>2038</v>
      </c>
      <c r="R437" s="3" t="str">
        <f t="shared" si="39"/>
        <v>ic_monster39</v>
      </c>
      <c r="S437" s="27" t="s">
        <v>2044</v>
      </c>
      <c r="T437" s="3">
        <v>1</v>
      </c>
      <c r="U437" s="3">
        <v>0</v>
      </c>
      <c r="V437" s="3">
        <v>1</v>
      </c>
      <c r="W437" s="7"/>
      <c r="X437" s="43" t="s">
        <v>1989</v>
      </c>
      <c r="Y437" s="3"/>
    </row>
    <row r="438" spans="1:25" x14ac:dyDescent="0.15">
      <c r="A438" s="3">
        <v>201378</v>
      </c>
      <c r="B438" s="27" t="s">
        <v>1990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4">
        <v>808</v>
      </c>
      <c r="K438" s="3">
        <v>2</v>
      </c>
      <c r="L438" s="3" t="s">
        <v>722</v>
      </c>
      <c r="M438" s="3">
        <v>201</v>
      </c>
      <c r="N438" s="4" t="s">
        <v>723</v>
      </c>
      <c r="O438" s="3"/>
      <c r="P438" s="3"/>
      <c r="Q438" s="27" t="s">
        <v>2039</v>
      </c>
      <c r="R438" s="3" t="str">
        <f t="shared" si="39"/>
        <v>ic_monster39</v>
      </c>
      <c r="S438" s="27" t="s">
        <v>2044</v>
      </c>
      <c r="T438" s="3">
        <v>1</v>
      </c>
      <c r="U438" s="3">
        <v>0</v>
      </c>
      <c r="V438" s="3">
        <v>1</v>
      </c>
      <c r="W438" s="7"/>
      <c r="X438" s="43" t="s">
        <v>1990</v>
      </c>
      <c r="Y438" s="3"/>
    </row>
    <row r="439" spans="1:25" x14ac:dyDescent="0.15">
      <c r="A439" s="3">
        <v>201379</v>
      </c>
      <c r="B439" s="27" t="s">
        <v>1991</v>
      </c>
      <c r="C439" s="3">
        <v>0</v>
      </c>
      <c r="D439" s="3">
        <v>0</v>
      </c>
      <c r="E439" s="3">
        <v>0</v>
      </c>
      <c r="F439" s="3">
        <v>0</v>
      </c>
      <c r="G439" s="3">
        <v>0</v>
      </c>
      <c r="H439" s="3">
        <v>0</v>
      </c>
      <c r="I439" s="3">
        <v>0</v>
      </c>
      <c r="J439" s="4">
        <v>809</v>
      </c>
      <c r="K439" s="3">
        <v>2</v>
      </c>
      <c r="L439" s="3" t="s">
        <v>722</v>
      </c>
      <c r="M439" s="3">
        <v>201</v>
      </c>
      <c r="N439" s="4" t="s">
        <v>723</v>
      </c>
      <c r="O439" s="3"/>
      <c r="P439" s="3"/>
      <c r="Q439" s="27" t="s">
        <v>2038</v>
      </c>
      <c r="R439" s="3" t="str">
        <f t="shared" si="39"/>
        <v>ic_monster39</v>
      </c>
      <c r="S439" s="27" t="s">
        <v>2044</v>
      </c>
      <c r="T439" s="3">
        <v>1</v>
      </c>
      <c r="U439" s="3">
        <v>0</v>
      </c>
      <c r="V439" s="3">
        <v>1</v>
      </c>
      <c r="W439" s="7"/>
      <c r="X439" s="43" t="s">
        <v>1991</v>
      </c>
      <c r="Y439" s="3"/>
    </row>
    <row r="440" spans="1:25" x14ac:dyDescent="0.15">
      <c r="A440" s="3">
        <v>201380</v>
      </c>
      <c r="B440" s="27" t="s">
        <v>1992</v>
      </c>
      <c r="C440" s="3">
        <v>0</v>
      </c>
      <c r="D440" s="3">
        <v>0</v>
      </c>
      <c r="E440" s="3">
        <v>0</v>
      </c>
      <c r="F440" s="3">
        <v>0</v>
      </c>
      <c r="G440" s="3">
        <v>0</v>
      </c>
      <c r="H440" s="3">
        <v>0</v>
      </c>
      <c r="I440" s="3">
        <v>0</v>
      </c>
      <c r="J440" s="4">
        <v>810</v>
      </c>
      <c r="K440" s="3">
        <v>2</v>
      </c>
      <c r="L440" s="3" t="s">
        <v>722</v>
      </c>
      <c r="M440" s="3">
        <v>201</v>
      </c>
      <c r="N440" s="4" t="s">
        <v>723</v>
      </c>
      <c r="O440" s="3"/>
      <c r="P440" s="3"/>
      <c r="Q440" s="27" t="s">
        <v>2039</v>
      </c>
      <c r="R440" s="3" t="str">
        <f t="shared" si="39"/>
        <v>ic_monster39</v>
      </c>
      <c r="S440" s="27" t="s">
        <v>2044</v>
      </c>
      <c r="T440" s="3">
        <v>1</v>
      </c>
      <c r="U440" s="3">
        <v>0</v>
      </c>
      <c r="V440" s="3">
        <v>1</v>
      </c>
      <c r="W440" s="7"/>
      <c r="X440" s="43" t="s">
        <v>1992</v>
      </c>
      <c r="Y440" s="3"/>
    </row>
    <row r="441" spans="1:25" x14ac:dyDescent="0.15">
      <c r="A441" s="3">
        <v>201381</v>
      </c>
      <c r="B441" s="27" t="s">
        <v>2058</v>
      </c>
      <c r="C441" s="3">
        <v>0</v>
      </c>
      <c r="D441" s="3">
        <v>0</v>
      </c>
      <c r="E441" s="3">
        <v>0</v>
      </c>
      <c r="F441" s="3">
        <v>0</v>
      </c>
      <c r="G441" s="3">
        <v>0</v>
      </c>
      <c r="H441" s="3">
        <v>0</v>
      </c>
      <c r="I441" s="3">
        <v>0</v>
      </c>
      <c r="J441" s="4">
        <v>791</v>
      </c>
      <c r="K441" s="3">
        <v>2</v>
      </c>
      <c r="L441" s="3" t="s">
        <v>722</v>
      </c>
      <c r="M441" s="3">
        <v>201</v>
      </c>
      <c r="N441" s="4" t="s">
        <v>723</v>
      </c>
      <c r="O441" s="3"/>
      <c r="P441" s="3"/>
      <c r="Q441" s="27" t="s">
        <v>2052</v>
      </c>
      <c r="R441" s="27" t="s">
        <v>2080</v>
      </c>
      <c r="S441" s="27" t="s">
        <v>2052</v>
      </c>
      <c r="T441" s="3">
        <v>1</v>
      </c>
      <c r="U441" s="3">
        <v>0</v>
      </c>
      <c r="V441" s="3">
        <v>1</v>
      </c>
      <c r="W441" s="7"/>
      <c r="X441" s="27" t="s">
        <v>2058</v>
      </c>
      <c r="Y441" s="3"/>
    </row>
    <row r="442" spans="1:25" x14ac:dyDescent="0.15">
      <c r="A442" s="3">
        <v>201382</v>
      </c>
      <c r="B442" s="27" t="s">
        <v>2059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0</v>
      </c>
      <c r="J442" s="4">
        <v>792</v>
      </c>
      <c r="K442" s="3">
        <v>2</v>
      </c>
      <c r="L442" s="3" t="s">
        <v>722</v>
      </c>
      <c r="M442" s="3">
        <v>201</v>
      </c>
      <c r="N442" s="4" t="s">
        <v>723</v>
      </c>
      <c r="O442" s="3"/>
      <c r="P442" s="3"/>
      <c r="Q442" s="27" t="s">
        <v>2052</v>
      </c>
      <c r="R442" s="27" t="s">
        <v>2080</v>
      </c>
      <c r="S442" s="27" t="s">
        <v>2052</v>
      </c>
      <c r="T442" s="3">
        <v>1</v>
      </c>
      <c r="U442" s="3">
        <v>0</v>
      </c>
      <c r="V442" s="3">
        <v>1</v>
      </c>
      <c r="W442" s="7"/>
      <c r="X442" s="27" t="s">
        <v>2059</v>
      </c>
      <c r="Y442" s="3"/>
    </row>
    <row r="443" spans="1:25" x14ac:dyDescent="0.15">
      <c r="A443" s="3">
        <v>201383</v>
      </c>
      <c r="B443" s="27" t="s">
        <v>2060</v>
      </c>
      <c r="C443" s="3">
        <v>0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0</v>
      </c>
      <c r="J443" s="4">
        <v>793</v>
      </c>
      <c r="K443" s="3">
        <v>2</v>
      </c>
      <c r="L443" s="3" t="s">
        <v>722</v>
      </c>
      <c r="M443" s="3">
        <v>201</v>
      </c>
      <c r="N443" s="4" t="s">
        <v>723</v>
      </c>
      <c r="O443" s="3"/>
      <c r="P443" s="3"/>
      <c r="Q443" s="27" t="s">
        <v>2052</v>
      </c>
      <c r="R443" s="27" t="s">
        <v>2080</v>
      </c>
      <c r="S443" s="27" t="s">
        <v>2052</v>
      </c>
      <c r="T443" s="3">
        <v>1</v>
      </c>
      <c r="U443" s="3">
        <v>0</v>
      </c>
      <c r="V443" s="3">
        <v>1</v>
      </c>
      <c r="W443" s="7"/>
      <c r="X443" s="27" t="s">
        <v>2060</v>
      </c>
      <c r="Y443" s="3"/>
    </row>
    <row r="444" spans="1:25" x14ac:dyDescent="0.15">
      <c r="A444" s="3">
        <v>201384</v>
      </c>
      <c r="B444" s="27" t="s">
        <v>2061</v>
      </c>
      <c r="C444" s="3">
        <v>0</v>
      </c>
      <c r="D444" s="3">
        <v>0</v>
      </c>
      <c r="E444" s="3">
        <v>0</v>
      </c>
      <c r="F444" s="3">
        <v>0</v>
      </c>
      <c r="G444" s="3">
        <v>0</v>
      </c>
      <c r="H444" s="3">
        <v>0</v>
      </c>
      <c r="I444" s="3">
        <v>0</v>
      </c>
      <c r="J444" s="4">
        <v>794</v>
      </c>
      <c r="K444" s="3">
        <v>2</v>
      </c>
      <c r="L444" s="3" t="s">
        <v>722</v>
      </c>
      <c r="M444" s="3">
        <v>201</v>
      </c>
      <c r="N444" s="4" t="s">
        <v>723</v>
      </c>
      <c r="O444" s="3"/>
      <c r="P444" s="3"/>
      <c r="Q444" s="27" t="s">
        <v>2052</v>
      </c>
      <c r="R444" s="27" t="s">
        <v>2080</v>
      </c>
      <c r="S444" s="27" t="s">
        <v>2052</v>
      </c>
      <c r="T444" s="3">
        <v>1</v>
      </c>
      <c r="U444" s="3">
        <v>0</v>
      </c>
      <c r="V444" s="3">
        <v>1</v>
      </c>
      <c r="W444" s="7"/>
      <c r="X444" s="27" t="s">
        <v>2061</v>
      </c>
      <c r="Y444" s="3"/>
    </row>
    <row r="445" spans="1:25" x14ac:dyDescent="0.15">
      <c r="A445" s="3">
        <v>201385</v>
      </c>
      <c r="B445" s="27" t="s">
        <v>2062</v>
      </c>
      <c r="C445" s="3">
        <v>0</v>
      </c>
      <c r="D445" s="3">
        <v>0</v>
      </c>
      <c r="E445" s="3">
        <v>0</v>
      </c>
      <c r="F445" s="3">
        <v>0</v>
      </c>
      <c r="G445" s="3">
        <v>0</v>
      </c>
      <c r="H445" s="3">
        <v>0</v>
      </c>
      <c r="I445" s="3">
        <v>0</v>
      </c>
      <c r="J445" s="4">
        <v>795</v>
      </c>
      <c r="K445" s="3">
        <v>2</v>
      </c>
      <c r="L445" s="3" t="s">
        <v>722</v>
      </c>
      <c r="M445" s="3">
        <v>201</v>
      </c>
      <c r="N445" s="4" t="s">
        <v>723</v>
      </c>
      <c r="O445" s="3"/>
      <c r="P445" s="3"/>
      <c r="Q445" s="27" t="s">
        <v>2052</v>
      </c>
      <c r="R445" s="27" t="s">
        <v>2080</v>
      </c>
      <c r="S445" s="27" t="s">
        <v>2052</v>
      </c>
      <c r="T445" s="3">
        <v>1</v>
      </c>
      <c r="U445" s="3">
        <v>0</v>
      </c>
      <c r="V445" s="3">
        <v>1</v>
      </c>
      <c r="W445" s="7"/>
      <c r="X445" s="27" t="s">
        <v>2062</v>
      </c>
      <c r="Y445" s="3"/>
    </row>
    <row r="446" spans="1:25" x14ac:dyDescent="0.15">
      <c r="A446" s="3">
        <v>201386</v>
      </c>
      <c r="B446" s="27" t="s">
        <v>2063</v>
      </c>
      <c r="C446" s="3">
        <v>0</v>
      </c>
      <c r="D446" s="3">
        <v>0</v>
      </c>
      <c r="E446" s="3">
        <v>0</v>
      </c>
      <c r="F446" s="3">
        <v>0</v>
      </c>
      <c r="G446" s="3">
        <v>0</v>
      </c>
      <c r="H446" s="3">
        <v>0</v>
      </c>
      <c r="I446" s="3">
        <v>0</v>
      </c>
      <c r="J446" s="4">
        <v>796</v>
      </c>
      <c r="K446" s="3">
        <v>2</v>
      </c>
      <c r="L446" s="3" t="s">
        <v>722</v>
      </c>
      <c r="M446" s="3">
        <v>201</v>
      </c>
      <c r="N446" s="4" t="s">
        <v>723</v>
      </c>
      <c r="O446" s="3"/>
      <c r="P446" s="3"/>
      <c r="Q446" s="27" t="s">
        <v>2052</v>
      </c>
      <c r="R446" s="27" t="s">
        <v>2080</v>
      </c>
      <c r="S446" s="27" t="s">
        <v>2052</v>
      </c>
      <c r="T446" s="3">
        <v>1</v>
      </c>
      <c r="U446" s="3">
        <v>0</v>
      </c>
      <c r="V446" s="3">
        <v>1</v>
      </c>
      <c r="W446" s="7"/>
      <c r="X446" s="27" t="s">
        <v>2063</v>
      </c>
      <c r="Y446" s="3"/>
    </row>
    <row r="447" spans="1:25" x14ac:dyDescent="0.15">
      <c r="A447" s="3">
        <v>201387</v>
      </c>
      <c r="B447" s="27" t="s">
        <v>2064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4">
        <v>797</v>
      </c>
      <c r="K447" s="3">
        <v>2</v>
      </c>
      <c r="L447" s="3" t="s">
        <v>722</v>
      </c>
      <c r="M447" s="3">
        <v>201</v>
      </c>
      <c r="N447" s="4" t="s">
        <v>723</v>
      </c>
      <c r="O447" s="3"/>
      <c r="P447" s="3"/>
      <c r="Q447" s="27" t="s">
        <v>2052</v>
      </c>
      <c r="R447" s="27" t="s">
        <v>2080</v>
      </c>
      <c r="S447" s="27" t="s">
        <v>2052</v>
      </c>
      <c r="T447" s="3">
        <v>1</v>
      </c>
      <c r="U447" s="3">
        <v>0</v>
      </c>
      <c r="V447" s="3">
        <v>1</v>
      </c>
      <c r="W447" s="7"/>
      <c r="X447" s="27" t="s">
        <v>2064</v>
      </c>
      <c r="Y447" s="3"/>
    </row>
    <row r="448" spans="1:25" x14ac:dyDescent="0.15">
      <c r="A448" s="3">
        <v>201388</v>
      </c>
      <c r="B448" s="27" t="s">
        <v>2065</v>
      </c>
      <c r="C448" s="3">
        <v>0</v>
      </c>
      <c r="D448" s="3">
        <v>0</v>
      </c>
      <c r="E448" s="3">
        <v>0</v>
      </c>
      <c r="F448" s="3">
        <v>0</v>
      </c>
      <c r="G448" s="3">
        <v>0</v>
      </c>
      <c r="H448" s="3">
        <v>0</v>
      </c>
      <c r="I448" s="3">
        <v>0</v>
      </c>
      <c r="J448" s="4">
        <v>798</v>
      </c>
      <c r="K448" s="3">
        <v>2</v>
      </c>
      <c r="L448" s="3" t="s">
        <v>722</v>
      </c>
      <c r="M448" s="3">
        <v>201</v>
      </c>
      <c r="N448" s="4" t="s">
        <v>723</v>
      </c>
      <c r="O448" s="3"/>
      <c r="P448" s="3"/>
      <c r="Q448" s="27" t="s">
        <v>2052</v>
      </c>
      <c r="R448" s="27" t="s">
        <v>2080</v>
      </c>
      <c r="S448" s="27" t="s">
        <v>2052</v>
      </c>
      <c r="T448" s="3">
        <v>1</v>
      </c>
      <c r="U448" s="3">
        <v>0</v>
      </c>
      <c r="V448" s="3">
        <v>1</v>
      </c>
      <c r="W448" s="7"/>
      <c r="X448" s="27" t="s">
        <v>2065</v>
      </c>
      <c r="Y448" s="3"/>
    </row>
    <row r="449" spans="1:25" x14ac:dyDescent="0.15">
      <c r="A449" s="3">
        <v>201389</v>
      </c>
      <c r="B449" s="27" t="s">
        <v>2066</v>
      </c>
      <c r="C449" s="3">
        <v>0</v>
      </c>
      <c r="D449" s="3">
        <v>0</v>
      </c>
      <c r="E449" s="3">
        <v>0</v>
      </c>
      <c r="F449" s="3">
        <v>0</v>
      </c>
      <c r="G449" s="3">
        <v>0</v>
      </c>
      <c r="H449" s="3">
        <v>0</v>
      </c>
      <c r="I449" s="3">
        <v>0</v>
      </c>
      <c r="J449" s="4">
        <v>799</v>
      </c>
      <c r="K449" s="3">
        <v>2</v>
      </c>
      <c r="L449" s="3" t="s">
        <v>722</v>
      </c>
      <c r="M449" s="3">
        <v>201</v>
      </c>
      <c r="N449" s="4" t="s">
        <v>723</v>
      </c>
      <c r="O449" s="3"/>
      <c r="P449" s="3"/>
      <c r="Q449" s="27" t="s">
        <v>2052</v>
      </c>
      <c r="R449" s="27" t="s">
        <v>2080</v>
      </c>
      <c r="S449" s="27" t="s">
        <v>2052</v>
      </c>
      <c r="T449" s="3">
        <v>1</v>
      </c>
      <c r="U449" s="3">
        <v>0</v>
      </c>
      <c r="V449" s="3">
        <v>1</v>
      </c>
      <c r="W449" s="7"/>
      <c r="X449" s="27" t="s">
        <v>2066</v>
      </c>
      <c r="Y449" s="3"/>
    </row>
    <row r="450" spans="1:25" x14ac:dyDescent="0.15">
      <c r="A450" s="3">
        <v>201390</v>
      </c>
      <c r="B450" s="27" t="s">
        <v>2067</v>
      </c>
      <c r="C450" s="3">
        <v>0</v>
      </c>
      <c r="D450" s="3">
        <v>0</v>
      </c>
      <c r="E450" s="3">
        <v>0</v>
      </c>
      <c r="F450" s="3">
        <v>0</v>
      </c>
      <c r="G450" s="3">
        <v>0</v>
      </c>
      <c r="H450" s="3">
        <v>0</v>
      </c>
      <c r="I450" s="3">
        <v>0</v>
      </c>
      <c r="J450" s="4">
        <v>800</v>
      </c>
      <c r="K450" s="3">
        <v>2</v>
      </c>
      <c r="L450" s="3" t="s">
        <v>722</v>
      </c>
      <c r="M450" s="3">
        <v>201</v>
      </c>
      <c r="N450" s="4" t="s">
        <v>723</v>
      </c>
      <c r="O450" s="3"/>
      <c r="P450" s="3"/>
      <c r="Q450" s="27" t="s">
        <v>2052</v>
      </c>
      <c r="R450" s="27" t="s">
        <v>2080</v>
      </c>
      <c r="S450" s="27" t="s">
        <v>2052</v>
      </c>
      <c r="T450" s="3">
        <v>1</v>
      </c>
      <c r="U450" s="3">
        <v>0</v>
      </c>
      <c r="V450" s="3">
        <v>1</v>
      </c>
      <c r="W450" s="7"/>
      <c r="X450" s="27" t="s">
        <v>2067</v>
      </c>
      <c r="Y450" s="3"/>
    </row>
    <row r="451" spans="1:25" x14ac:dyDescent="0.15">
      <c r="A451" s="3">
        <v>201391</v>
      </c>
      <c r="B451" s="27" t="s">
        <v>2068</v>
      </c>
      <c r="C451" s="3">
        <v>0</v>
      </c>
      <c r="D451" s="3">
        <v>0</v>
      </c>
      <c r="E451" s="3">
        <v>0</v>
      </c>
      <c r="F451" s="3">
        <v>0</v>
      </c>
      <c r="G451" s="3">
        <v>0</v>
      </c>
      <c r="H451" s="3">
        <v>0</v>
      </c>
      <c r="I451" s="3">
        <v>0</v>
      </c>
      <c r="J451" s="4">
        <v>801</v>
      </c>
      <c r="K451" s="3">
        <v>2</v>
      </c>
      <c r="L451" s="3" t="s">
        <v>722</v>
      </c>
      <c r="M451" s="3">
        <v>201</v>
      </c>
      <c r="N451" s="4" t="s">
        <v>723</v>
      </c>
      <c r="O451" s="3"/>
      <c r="P451" s="3"/>
      <c r="Q451" s="27" t="s">
        <v>2079</v>
      </c>
      <c r="R451" s="27" t="s">
        <v>2081</v>
      </c>
      <c r="S451" s="27" t="s">
        <v>2079</v>
      </c>
      <c r="T451" s="3">
        <v>1</v>
      </c>
      <c r="U451" s="3">
        <v>0</v>
      </c>
      <c r="V451" s="3">
        <v>1</v>
      </c>
      <c r="W451" s="7"/>
      <c r="X451" s="27" t="s">
        <v>2068</v>
      </c>
      <c r="Y451" s="3"/>
    </row>
    <row r="452" spans="1:25" x14ac:dyDescent="0.15">
      <c r="A452" s="3">
        <v>201392</v>
      </c>
      <c r="B452" s="27" t="s">
        <v>2069</v>
      </c>
      <c r="C452" s="3">
        <v>0</v>
      </c>
      <c r="D452" s="3">
        <v>0</v>
      </c>
      <c r="E452" s="3">
        <v>0</v>
      </c>
      <c r="F452" s="3">
        <v>0</v>
      </c>
      <c r="G452" s="3">
        <v>0</v>
      </c>
      <c r="H452" s="3">
        <v>0</v>
      </c>
      <c r="I452" s="3">
        <v>0</v>
      </c>
      <c r="J452" s="4">
        <v>802</v>
      </c>
      <c r="K452" s="3">
        <v>2</v>
      </c>
      <c r="L452" s="3" t="s">
        <v>722</v>
      </c>
      <c r="M452" s="3">
        <v>201</v>
      </c>
      <c r="N452" s="4" t="s">
        <v>723</v>
      </c>
      <c r="O452" s="3"/>
      <c r="P452" s="3"/>
      <c r="Q452" s="27" t="s">
        <v>2079</v>
      </c>
      <c r="R452" s="27" t="s">
        <v>2081</v>
      </c>
      <c r="S452" s="27" t="s">
        <v>2079</v>
      </c>
      <c r="T452" s="3">
        <v>1</v>
      </c>
      <c r="U452" s="3">
        <v>0</v>
      </c>
      <c r="V452" s="3">
        <v>1</v>
      </c>
      <c r="W452" s="7"/>
      <c r="X452" s="27" t="s">
        <v>2069</v>
      </c>
      <c r="Y452" s="3"/>
    </row>
    <row r="453" spans="1:25" x14ac:dyDescent="0.15">
      <c r="A453" s="3">
        <v>201393</v>
      </c>
      <c r="B453" s="27" t="s">
        <v>2070</v>
      </c>
      <c r="C453" s="3">
        <v>0</v>
      </c>
      <c r="D453" s="3">
        <v>0</v>
      </c>
      <c r="E453" s="3">
        <v>0</v>
      </c>
      <c r="F453" s="3">
        <v>0</v>
      </c>
      <c r="G453" s="3">
        <v>0</v>
      </c>
      <c r="H453" s="3">
        <v>0</v>
      </c>
      <c r="I453" s="3">
        <v>0</v>
      </c>
      <c r="J453" s="4">
        <v>803</v>
      </c>
      <c r="K453" s="3">
        <v>2</v>
      </c>
      <c r="L453" s="3" t="s">
        <v>722</v>
      </c>
      <c r="M453" s="3">
        <v>201</v>
      </c>
      <c r="N453" s="4" t="s">
        <v>723</v>
      </c>
      <c r="O453" s="3"/>
      <c r="P453" s="3"/>
      <c r="Q453" s="27" t="s">
        <v>2079</v>
      </c>
      <c r="R453" s="27" t="s">
        <v>2081</v>
      </c>
      <c r="S453" s="27" t="s">
        <v>2079</v>
      </c>
      <c r="T453" s="3">
        <v>1</v>
      </c>
      <c r="U453" s="3">
        <v>0</v>
      </c>
      <c r="V453" s="3">
        <v>1</v>
      </c>
      <c r="W453" s="7"/>
      <c r="X453" s="27" t="s">
        <v>2070</v>
      </c>
      <c r="Y453" s="3"/>
    </row>
    <row r="454" spans="1:25" x14ac:dyDescent="0.15">
      <c r="A454" s="3">
        <v>201394</v>
      </c>
      <c r="B454" s="27" t="s">
        <v>2071</v>
      </c>
      <c r="C454" s="3">
        <v>0</v>
      </c>
      <c r="D454" s="3">
        <v>0</v>
      </c>
      <c r="E454" s="3">
        <v>0</v>
      </c>
      <c r="F454" s="3">
        <v>0</v>
      </c>
      <c r="G454" s="3">
        <v>0</v>
      </c>
      <c r="H454" s="3">
        <v>0</v>
      </c>
      <c r="I454" s="3">
        <v>0</v>
      </c>
      <c r="J454" s="4">
        <v>804</v>
      </c>
      <c r="K454" s="3">
        <v>2</v>
      </c>
      <c r="L454" s="3" t="s">
        <v>722</v>
      </c>
      <c r="M454" s="3">
        <v>201</v>
      </c>
      <c r="N454" s="4" t="s">
        <v>723</v>
      </c>
      <c r="O454" s="3"/>
      <c r="P454" s="3"/>
      <c r="Q454" s="27" t="s">
        <v>2079</v>
      </c>
      <c r="R454" s="27" t="s">
        <v>2081</v>
      </c>
      <c r="S454" s="27" t="s">
        <v>2079</v>
      </c>
      <c r="T454" s="3">
        <v>1</v>
      </c>
      <c r="U454" s="3">
        <v>0</v>
      </c>
      <c r="V454" s="3">
        <v>1</v>
      </c>
      <c r="W454" s="7"/>
      <c r="X454" s="27" t="s">
        <v>2071</v>
      </c>
      <c r="Y454" s="3"/>
    </row>
    <row r="455" spans="1:25" x14ac:dyDescent="0.15">
      <c r="A455" s="3">
        <v>201395</v>
      </c>
      <c r="B455" s="27" t="s">
        <v>2072</v>
      </c>
      <c r="C455" s="3">
        <v>0</v>
      </c>
      <c r="D455" s="3">
        <v>0</v>
      </c>
      <c r="E455" s="3">
        <v>0</v>
      </c>
      <c r="F455" s="3">
        <v>0</v>
      </c>
      <c r="G455" s="3">
        <v>0</v>
      </c>
      <c r="H455" s="3">
        <v>0</v>
      </c>
      <c r="I455" s="3">
        <v>0</v>
      </c>
      <c r="J455" s="4">
        <v>805</v>
      </c>
      <c r="K455" s="3">
        <v>2</v>
      </c>
      <c r="L455" s="3" t="s">
        <v>722</v>
      </c>
      <c r="M455" s="3">
        <v>201</v>
      </c>
      <c r="N455" s="4" t="s">
        <v>723</v>
      </c>
      <c r="O455" s="3"/>
      <c r="P455" s="3"/>
      <c r="Q455" s="27" t="s">
        <v>2079</v>
      </c>
      <c r="R455" s="27" t="s">
        <v>2081</v>
      </c>
      <c r="S455" s="27" t="s">
        <v>2079</v>
      </c>
      <c r="T455" s="3">
        <v>1</v>
      </c>
      <c r="U455" s="3">
        <v>0</v>
      </c>
      <c r="V455" s="3">
        <v>1</v>
      </c>
      <c r="W455" s="7"/>
      <c r="X455" s="27" t="s">
        <v>2072</v>
      </c>
      <c r="Y455" s="3"/>
    </row>
    <row r="456" spans="1:25" x14ac:dyDescent="0.15">
      <c r="A456" s="3">
        <v>201396</v>
      </c>
      <c r="B456" s="27" t="s">
        <v>2073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4">
        <v>806</v>
      </c>
      <c r="K456" s="3">
        <v>2</v>
      </c>
      <c r="L456" s="3" t="s">
        <v>722</v>
      </c>
      <c r="M456" s="3">
        <v>201</v>
      </c>
      <c r="N456" s="4" t="s">
        <v>723</v>
      </c>
      <c r="O456" s="3"/>
      <c r="P456" s="3"/>
      <c r="Q456" s="27" t="s">
        <v>2079</v>
      </c>
      <c r="R456" s="27" t="s">
        <v>2081</v>
      </c>
      <c r="S456" s="27" t="s">
        <v>2079</v>
      </c>
      <c r="T456" s="3">
        <v>1</v>
      </c>
      <c r="U456" s="3">
        <v>0</v>
      </c>
      <c r="V456" s="3">
        <v>1</v>
      </c>
      <c r="W456" s="7"/>
      <c r="X456" s="27" t="s">
        <v>2073</v>
      </c>
      <c r="Y456" s="3"/>
    </row>
    <row r="457" spans="1:25" x14ac:dyDescent="0.15">
      <c r="A457" s="3">
        <v>201397</v>
      </c>
      <c r="B457" s="27" t="s">
        <v>2074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4">
        <v>807</v>
      </c>
      <c r="K457" s="3">
        <v>2</v>
      </c>
      <c r="L457" s="3" t="s">
        <v>722</v>
      </c>
      <c r="M457" s="3">
        <v>201</v>
      </c>
      <c r="N457" s="4" t="s">
        <v>723</v>
      </c>
      <c r="O457" s="3"/>
      <c r="P457" s="3"/>
      <c r="Q457" s="27" t="s">
        <v>2079</v>
      </c>
      <c r="R457" s="27" t="s">
        <v>2081</v>
      </c>
      <c r="S457" s="27" t="s">
        <v>2079</v>
      </c>
      <c r="T457" s="3">
        <v>1</v>
      </c>
      <c r="U457" s="3">
        <v>0</v>
      </c>
      <c r="V457" s="3">
        <v>1</v>
      </c>
      <c r="W457" s="7"/>
      <c r="X457" s="27" t="s">
        <v>2074</v>
      </c>
      <c r="Y457" s="3"/>
    </row>
    <row r="458" spans="1:25" x14ac:dyDescent="0.15">
      <c r="A458" s="3">
        <v>201398</v>
      </c>
      <c r="B458" s="27" t="s">
        <v>2075</v>
      </c>
      <c r="C458" s="3">
        <v>0</v>
      </c>
      <c r="D458" s="3">
        <v>0</v>
      </c>
      <c r="E458" s="3">
        <v>0</v>
      </c>
      <c r="F458" s="3">
        <v>0</v>
      </c>
      <c r="G458" s="3">
        <v>0</v>
      </c>
      <c r="H458" s="3">
        <v>0</v>
      </c>
      <c r="I458" s="3">
        <v>0</v>
      </c>
      <c r="J458" s="4">
        <v>808</v>
      </c>
      <c r="K458" s="3">
        <v>2</v>
      </c>
      <c r="L458" s="3" t="s">
        <v>722</v>
      </c>
      <c r="M458" s="3">
        <v>201</v>
      </c>
      <c r="N458" s="4" t="s">
        <v>723</v>
      </c>
      <c r="O458" s="3"/>
      <c r="P458" s="3"/>
      <c r="Q458" s="27" t="s">
        <v>2079</v>
      </c>
      <c r="R458" s="27" t="s">
        <v>2081</v>
      </c>
      <c r="S458" s="27" t="s">
        <v>2079</v>
      </c>
      <c r="T458" s="3">
        <v>1</v>
      </c>
      <c r="U458" s="3">
        <v>0</v>
      </c>
      <c r="V458" s="3">
        <v>1</v>
      </c>
      <c r="W458" s="7"/>
      <c r="X458" s="27" t="s">
        <v>2075</v>
      </c>
      <c r="Y458" s="3"/>
    </row>
    <row r="459" spans="1:25" x14ac:dyDescent="0.15">
      <c r="A459" s="3">
        <v>201399</v>
      </c>
      <c r="B459" s="27" t="s">
        <v>2076</v>
      </c>
      <c r="C459" s="3">
        <v>0</v>
      </c>
      <c r="D459" s="3">
        <v>0</v>
      </c>
      <c r="E459" s="3">
        <v>0</v>
      </c>
      <c r="F459" s="3">
        <v>0</v>
      </c>
      <c r="G459" s="3">
        <v>0</v>
      </c>
      <c r="H459" s="3">
        <v>0</v>
      </c>
      <c r="I459" s="3">
        <v>0</v>
      </c>
      <c r="J459" s="4">
        <v>809</v>
      </c>
      <c r="K459" s="3">
        <v>2</v>
      </c>
      <c r="L459" s="3" t="s">
        <v>722</v>
      </c>
      <c r="M459" s="3">
        <v>201</v>
      </c>
      <c r="N459" s="4" t="s">
        <v>723</v>
      </c>
      <c r="O459" s="3"/>
      <c r="P459" s="3"/>
      <c r="Q459" s="27" t="s">
        <v>2079</v>
      </c>
      <c r="R459" s="27" t="s">
        <v>2081</v>
      </c>
      <c r="S459" s="27" t="s">
        <v>2079</v>
      </c>
      <c r="T459" s="3">
        <v>1</v>
      </c>
      <c r="U459" s="3">
        <v>0</v>
      </c>
      <c r="V459" s="3">
        <v>1</v>
      </c>
      <c r="W459" s="7"/>
      <c r="X459" s="27" t="s">
        <v>2076</v>
      </c>
      <c r="Y459" s="3"/>
    </row>
    <row r="460" spans="1:25" x14ac:dyDescent="0.15">
      <c r="A460" s="3">
        <v>201400</v>
      </c>
      <c r="B460" s="27" t="s">
        <v>2077</v>
      </c>
      <c r="C460" s="3">
        <v>0</v>
      </c>
      <c r="D460" s="3">
        <v>0</v>
      </c>
      <c r="E460" s="3">
        <v>0</v>
      </c>
      <c r="F460" s="3">
        <v>0</v>
      </c>
      <c r="G460" s="3">
        <v>0</v>
      </c>
      <c r="H460" s="3">
        <v>0</v>
      </c>
      <c r="I460" s="3">
        <v>0</v>
      </c>
      <c r="J460" s="4">
        <v>810</v>
      </c>
      <c r="K460" s="3">
        <v>2</v>
      </c>
      <c r="L460" s="3" t="s">
        <v>722</v>
      </c>
      <c r="M460" s="3">
        <v>201</v>
      </c>
      <c r="N460" s="4" t="s">
        <v>723</v>
      </c>
      <c r="O460" s="3"/>
      <c r="P460" s="3"/>
      <c r="Q460" s="27" t="s">
        <v>2079</v>
      </c>
      <c r="R460" s="27" t="s">
        <v>2081</v>
      </c>
      <c r="S460" s="27" t="s">
        <v>2079</v>
      </c>
      <c r="T460" s="3">
        <v>1</v>
      </c>
      <c r="U460" s="3">
        <v>0</v>
      </c>
      <c r="V460" s="3">
        <v>1</v>
      </c>
      <c r="W460" s="7"/>
      <c r="X460" s="27" t="s">
        <v>2077</v>
      </c>
      <c r="Y460" s="3"/>
    </row>
    <row r="461" spans="1:25" x14ac:dyDescent="0.15">
      <c r="A461" s="3">
        <v>201401</v>
      </c>
      <c r="B461" s="27" t="s">
        <v>3068</v>
      </c>
      <c r="C461" s="3">
        <v>0</v>
      </c>
      <c r="D461" s="3">
        <v>0</v>
      </c>
      <c r="E461" s="3">
        <v>0</v>
      </c>
      <c r="F461" s="3">
        <v>0</v>
      </c>
      <c r="G461" s="3">
        <v>0</v>
      </c>
      <c r="H461" s="3">
        <v>0</v>
      </c>
      <c r="I461" s="3">
        <v>0</v>
      </c>
      <c r="J461" s="4">
        <v>811</v>
      </c>
      <c r="K461" s="3">
        <v>2</v>
      </c>
      <c r="L461" s="3" t="s">
        <v>722</v>
      </c>
      <c r="M461" s="3">
        <v>201</v>
      </c>
      <c r="N461" s="4" t="s">
        <v>723</v>
      </c>
      <c r="O461" s="3"/>
      <c r="P461" s="3"/>
      <c r="Q461" s="27" t="s">
        <v>2999</v>
      </c>
      <c r="R461" s="3" t="str">
        <f t="shared" ref="R461" si="40">CONCATENATE("ic_",Q461)</f>
        <v>ic_dragon1</v>
      </c>
      <c r="S461" s="3" t="str">
        <f t="shared" ref="S461" si="41">Q461</f>
        <v>dragon1</v>
      </c>
      <c r="T461" s="3">
        <v>1</v>
      </c>
      <c r="U461" s="3">
        <v>0</v>
      </c>
      <c r="V461" s="3">
        <v>1</v>
      </c>
      <c r="W461" s="7"/>
      <c r="X461" s="27" t="s">
        <v>3068</v>
      </c>
      <c r="Y461" s="3"/>
    </row>
    <row r="462" spans="1:25" x14ac:dyDescent="0.15">
      <c r="A462" s="3">
        <v>201402</v>
      </c>
      <c r="B462" s="27" t="s">
        <v>3069</v>
      </c>
      <c r="C462" s="3">
        <v>0</v>
      </c>
      <c r="D462" s="3">
        <v>0</v>
      </c>
      <c r="E462" s="3">
        <v>0</v>
      </c>
      <c r="F462" s="3">
        <v>0</v>
      </c>
      <c r="G462" s="3">
        <v>0</v>
      </c>
      <c r="H462" s="3">
        <v>0</v>
      </c>
      <c r="I462" s="3">
        <v>0</v>
      </c>
      <c r="J462" s="4">
        <v>812</v>
      </c>
      <c r="K462" s="3">
        <v>2</v>
      </c>
      <c r="L462" s="3" t="s">
        <v>722</v>
      </c>
      <c r="M462" s="3">
        <v>201</v>
      </c>
      <c r="N462" s="4" t="s">
        <v>723</v>
      </c>
      <c r="O462" s="3"/>
      <c r="P462" s="3"/>
      <c r="Q462" s="27" t="s">
        <v>2999</v>
      </c>
      <c r="R462" s="3" t="str">
        <f t="shared" ref="R462:R525" si="42">CONCATENATE("ic_",Q462)</f>
        <v>ic_dragon1</v>
      </c>
      <c r="S462" s="3" t="str">
        <f t="shared" ref="S462:S525" si="43">Q462</f>
        <v>dragon1</v>
      </c>
      <c r="T462" s="3">
        <v>1</v>
      </c>
      <c r="U462" s="3">
        <v>0</v>
      </c>
      <c r="V462" s="3">
        <v>1</v>
      </c>
      <c r="W462" s="7"/>
      <c r="X462" s="27" t="s">
        <v>3069</v>
      </c>
      <c r="Y462" s="3"/>
    </row>
    <row r="463" spans="1:25" x14ac:dyDescent="0.15">
      <c r="A463" s="3">
        <v>201403</v>
      </c>
      <c r="B463" s="27" t="s">
        <v>3070</v>
      </c>
      <c r="C463" s="3">
        <v>0</v>
      </c>
      <c r="D463" s="3">
        <v>0</v>
      </c>
      <c r="E463" s="3">
        <v>0</v>
      </c>
      <c r="F463" s="3">
        <v>0</v>
      </c>
      <c r="G463" s="3">
        <v>0</v>
      </c>
      <c r="H463" s="3">
        <v>0</v>
      </c>
      <c r="I463" s="3">
        <v>0</v>
      </c>
      <c r="J463" s="4">
        <v>813</v>
      </c>
      <c r="K463" s="3">
        <v>2</v>
      </c>
      <c r="L463" s="3" t="s">
        <v>722</v>
      </c>
      <c r="M463" s="3">
        <v>201</v>
      </c>
      <c r="N463" s="4" t="s">
        <v>723</v>
      </c>
      <c r="O463" s="3"/>
      <c r="P463" s="3"/>
      <c r="Q463" s="27" t="s">
        <v>2999</v>
      </c>
      <c r="R463" s="3" t="str">
        <f t="shared" si="42"/>
        <v>ic_dragon1</v>
      </c>
      <c r="S463" s="3" t="str">
        <f t="shared" si="43"/>
        <v>dragon1</v>
      </c>
      <c r="T463" s="3">
        <v>1</v>
      </c>
      <c r="U463" s="3">
        <v>0</v>
      </c>
      <c r="V463" s="3">
        <v>1</v>
      </c>
      <c r="W463" s="7"/>
      <c r="X463" s="27" t="s">
        <v>3070</v>
      </c>
      <c r="Y463" s="3"/>
    </row>
    <row r="464" spans="1:25" x14ac:dyDescent="0.15">
      <c r="A464" s="3">
        <v>201404</v>
      </c>
      <c r="B464" s="27" t="s">
        <v>3071</v>
      </c>
      <c r="C464" s="3">
        <v>0</v>
      </c>
      <c r="D464" s="3">
        <v>0</v>
      </c>
      <c r="E464" s="3">
        <v>0</v>
      </c>
      <c r="F464" s="3">
        <v>0</v>
      </c>
      <c r="G464" s="3">
        <v>0</v>
      </c>
      <c r="H464" s="3">
        <v>0</v>
      </c>
      <c r="I464" s="3">
        <v>0</v>
      </c>
      <c r="J464" s="4">
        <v>814</v>
      </c>
      <c r="K464" s="3">
        <v>2</v>
      </c>
      <c r="L464" s="3" t="s">
        <v>722</v>
      </c>
      <c r="M464" s="3">
        <v>201</v>
      </c>
      <c r="N464" s="4" t="s">
        <v>723</v>
      </c>
      <c r="O464" s="3"/>
      <c r="P464" s="3"/>
      <c r="Q464" s="27" t="s">
        <v>2999</v>
      </c>
      <c r="R464" s="3" t="str">
        <f t="shared" si="42"/>
        <v>ic_dragon1</v>
      </c>
      <c r="S464" s="3" t="str">
        <f t="shared" si="43"/>
        <v>dragon1</v>
      </c>
      <c r="T464" s="3">
        <v>1</v>
      </c>
      <c r="U464" s="3">
        <v>0</v>
      </c>
      <c r="V464" s="3">
        <v>1</v>
      </c>
      <c r="W464" s="7"/>
      <c r="X464" s="27" t="s">
        <v>3071</v>
      </c>
      <c r="Y464" s="3"/>
    </row>
    <row r="465" spans="1:25" x14ac:dyDescent="0.15">
      <c r="A465" s="3">
        <v>201405</v>
      </c>
      <c r="B465" s="27" t="s">
        <v>3072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0</v>
      </c>
      <c r="J465" s="4">
        <v>815</v>
      </c>
      <c r="K465" s="3">
        <v>2</v>
      </c>
      <c r="L465" s="3" t="s">
        <v>722</v>
      </c>
      <c r="M465" s="3">
        <v>201</v>
      </c>
      <c r="N465" s="4" t="s">
        <v>723</v>
      </c>
      <c r="O465" s="3"/>
      <c r="P465" s="3"/>
      <c r="Q465" s="27" t="s">
        <v>2999</v>
      </c>
      <c r="R465" s="3" t="str">
        <f t="shared" si="42"/>
        <v>ic_dragon1</v>
      </c>
      <c r="S465" s="3" t="str">
        <f t="shared" si="43"/>
        <v>dragon1</v>
      </c>
      <c r="T465" s="3">
        <v>1</v>
      </c>
      <c r="U465" s="3">
        <v>0</v>
      </c>
      <c r="V465" s="3">
        <v>1</v>
      </c>
      <c r="W465" s="7"/>
      <c r="X465" s="27" t="s">
        <v>3072</v>
      </c>
      <c r="Y465" s="3"/>
    </row>
    <row r="466" spans="1:25" x14ac:dyDescent="0.15">
      <c r="A466" s="3">
        <v>201406</v>
      </c>
      <c r="B466" s="27" t="s">
        <v>3073</v>
      </c>
      <c r="C466" s="3">
        <v>0</v>
      </c>
      <c r="D466" s="3">
        <v>0</v>
      </c>
      <c r="E466" s="3">
        <v>0</v>
      </c>
      <c r="F466" s="3">
        <v>0</v>
      </c>
      <c r="G466" s="3">
        <v>0</v>
      </c>
      <c r="H466" s="3">
        <v>0</v>
      </c>
      <c r="I466" s="3">
        <v>0</v>
      </c>
      <c r="J466" s="4">
        <v>816</v>
      </c>
      <c r="K466" s="3">
        <v>2</v>
      </c>
      <c r="L466" s="3" t="s">
        <v>722</v>
      </c>
      <c r="M466" s="3">
        <v>201</v>
      </c>
      <c r="N466" s="4" t="s">
        <v>723</v>
      </c>
      <c r="O466" s="3"/>
      <c r="P466" s="3"/>
      <c r="Q466" s="27" t="s">
        <v>2999</v>
      </c>
      <c r="R466" s="3" t="str">
        <f t="shared" si="42"/>
        <v>ic_dragon1</v>
      </c>
      <c r="S466" s="3" t="str">
        <f t="shared" si="43"/>
        <v>dragon1</v>
      </c>
      <c r="T466" s="3">
        <v>1</v>
      </c>
      <c r="U466" s="3">
        <v>0</v>
      </c>
      <c r="V466" s="3">
        <v>1</v>
      </c>
      <c r="W466" s="7"/>
      <c r="X466" s="27" t="s">
        <v>3073</v>
      </c>
      <c r="Y466" s="3"/>
    </row>
    <row r="467" spans="1:25" x14ac:dyDescent="0.15">
      <c r="A467" s="3">
        <v>201407</v>
      </c>
      <c r="B467" s="27" t="s">
        <v>3074</v>
      </c>
      <c r="C467" s="3">
        <v>0</v>
      </c>
      <c r="D467" s="3">
        <v>0</v>
      </c>
      <c r="E467" s="3">
        <v>0</v>
      </c>
      <c r="F467" s="3">
        <v>0</v>
      </c>
      <c r="G467" s="3">
        <v>0</v>
      </c>
      <c r="H467" s="3">
        <v>0</v>
      </c>
      <c r="I467" s="3">
        <v>0</v>
      </c>
      <c r="J467" s="4">
        <v>817</v>
      </c>
      <c r="K467" s="3">
        <v>2</v>
      </c>
      <c r="L467" s="3" t="s">
        <v>722</v>
      </c>
      <c r="M467" s="3">
        <v>201</v>
      </c>
      <c r="N467" s="4" t="s">
        <v>723</v>
      </c>
      <c r="O467" s="3"/>
      <c r="P467" s="3"/>
      <c r="Q467" s="27" t="s">
        <v>2999</v>
      </c>
      <c r="R467" s="3" t="str">
        <f t="shared" si="42"/>
        <v>ic_dragon1</v>
      </c>
      <c r="S467" s="3" t="str">
        <f t="shared" si="43"/>
        <v>dragon1</v>
      </c>
      <c r="T467" s="3">
        <v>1</v>
      </c>
      <c r="U467" s="3">
        <v>0</v>
      </c>
      <c r="V467" s="3">
        <v>1</v>
      </c>
      <c r="W467" s="7"/>
      <c r="X467" s="27" t="s">
        <v>3074</v>
      </c>
      <c r="Y467" s="3"/>
    </row>
    <row r="468" spans="1:25" x14ac:dyDescent="0.15">
      <c r="A468" s="3">
        <v>201408</v>
      </c>
      <c r="B468" s="27" t="s">
        <v>3075</v>
      </c>
      <c r="C468" s="3">
        <v>0</v>
      </c>
      <c r="D468" s="3">
        <v>0</v>
      </c>
      <c r="E468" s="3">
        <v>0</v>
      </c>
      <c r="F468" s="3">
        <v>0</v>
      </c>
      <c r="G468" s="3">
        <v>0</v>
      </c>
      <c r="H468" s="3">
        <v>0</v>
      </c>
      <c r="I468" s="3">
        <v>0</v>
      </c>
      <c r="J468" s="4">
        <v>818</v>
      </c>
      <c r="K468" s="3">
        <v>2</v>
      </c>
      <c r="L468" s="3" t="s">
        <v>722</v>
      </c>
      <c r="M468" s="3">
        <v>201</v>
      </c>
      <c r="N468" s="4" t="s">
        <v>723</v>
      </c>
      <c r="O468" s="3"/>
      <c r="P468" s="3"/>
      <c r="Q468" s="27" t="s">
        <v>2999</v>
      </c>
      <c r="R468" s="3" t="str">
        <f t="shared" si="42"/>
        <v>ic_dragon1</v>
      </c>
      <c r="S468" s="3" t="str">
        <f t="shared" si="43"/>
        <v>dragon1</v>
      </c>
      <c r="T468" s="3">
        <v>1</v>
      </c>
      <c r="U468" s="3">
        <v>0</v>
      </c>
      <c r="V468" s="3">
        <v>1</v>
      </c>
      <c r="W468" s="7"/>
      <c r="X468" s="27" t="s">
        <v>3075</v>
      </c>
      <c r="Y468" s="3"/>
    </row>
    <row r="469" spans="1:25" x14ac:dyDescent="0.15">
      <c r="A469" s="3">
        <v>201409</v>
      </c>
      <c r="B469" s="27" t="s">
        <v>3076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0</v>
      </c>
      <c r="I469" s="3">
        <v>0</v>
      </c>
      <c r="J469" s="4">
        <v>819</v>
      </c>
      <c r="K469" s="3">
        <v>2</v>
      </c>
      <c r="L469" s="3" t="s">
        <v>722</v>
      </c>
      <c r="M469" s="3">
        <v>201</v>
      </c>
      <c r="N469" s="4" t="s">
        <v>723</v>
      </c>
      <c r="O469" s="3"/>
      <c r="P469" s="3"/>
      <c r="Q469" s="27" t="s">
        <v>2999</v>
      </c>
      <c r="R469" s="3" t="str">
        <f t="shared" si="42"/>
        <v>ic_dragon1</v>
      </c>
      <c r="S469" s="3" t="str">
        <f t="shared" si="43"/>
        <v>dragon1</v>
      </c>
      <c r="T469" s="3">
        <v>1</v>
      </c>
      <c r="U469" s="3">
        <v>0</v>
      </c>
      <c r="V469" s="3">
        <v>1</v>
      </c>
      <c r="W469" s="7"/>
      <c r="X469" s="27" t="s">
        <v>3076</v>
      </c>
      <c r="Y469" s="3"/>
    </row>
    <row r="470" spans="1:25" x14ac:dyDescent="0.15">
      <c r="A470" s="3">
        <v>201410</v>
      </c>
      <c r="B470" s="27" t="s">
        <v>3077</v>
      </c>
      <c r="C470" s="3">
        <v>0</v>
      </c>
      <c r="D470" s="3">
        <v>0</v>
      </c>
      <c r="E470" s="3">
        <v>0</v>
      </c>
      <c r="F470" s="3">
        <v>0</v>
      </c>
      <c r="G470" s="3">
        <v>0</v>
      </c>
      <c r="H470" s="3">
        <v>0</v>
      </c>
      <c r="I470" s="3">
        <v>0</v>
      </c>
      <c r="J470" s="4">
        <v>820</v>
      </c>
      <c r="K470" s="3">
        <v>2</v>
      </c>
      <c r="L470" s="3" t="s">
        <v>722</v>
      </c>
      <c r="M470" s="3">
        <v>201</v>
      </c>
      <c r="N470" s="4" t="s">
        <v>723</v>
      </c>
      <c r="O470" s="3"/>
      <c r="P470" s="3"/>
      <c r="Q470" s="27" t="s">
        <v>2999</v>
      </c>
      <c r="R470" s="3" t="str">
        <f t="shared" si="42"/>
        <v>ic_dragon1</v>
      </c>
      <c r="S470" s="3" t="str">
        <f t="shared" si="43"/>
        <v>dragon1</v>
      </c>
      <c r="T470" s="3">
        <v>1</v>
      </c>
      <c r="U470" s="3">
        <v>0</v>
      </c>
      <c r="V470" s="3">
        <v>1</v>
      </c>
      <c r="W470" s="7"/>
      <c r="X470" s="27" t="s">
        <v>3077</v>
      </c>
      <c r="Y470" s="3"/>
    </row>
    <row r="471" spans="1:25" x14ac:dyDescent="0.15">
      <c r="A471" s="3">
        <v>201411</v>
      </c>
      <c r="B471" s="27" t="s">
        <v>3078</v>
      </c>
      <c r="C471" s="3">
        <v>0</v>
      </c>
      <c r="D471" s="3">
        <v>0</v>
      </c>
      <c r="E471" s="3">
        <v>0</v>
      </c>
      <c r="F471" s="3">
        <v>0</v>
      </c>
      <c r="G471" s="3">
        <v>0</v>
      </c>
      <c r="H471" s="3">
        <v>0</v>
      </c>
      <c r="I471" s="3">
        <v>0</v>
      </c>
      <c r="J471" s="4">
        <v>811</v>
      </c>
      <c r="K471" s="3">
        <v>2</v>
      </c>
      <c r="L471" s="3" t="s">
        <v>722</v>
      </c>
      <c r="M471" s="3">
        <v>201</v>
      </c>
      <c r="N471" s="4" t="s">
        <v>723</v>
      </c>
      <c r="O471" s="3"/>
      <c r="P471" s="3"/>
      <c r="Q471" s="27" t="s">
        <v>3037</v>
      </c>
      <c r="R471" s="3" t="str">
        <f t="shared" si="42"/>
        <v>ic_dragon2</v>
      </c>
      <c r="S471" s="3" t="str">
        <f t="shared" si="43"/>
        <v>dragon2</v>
      </c>
      <c r="T471" s="3">
        <v>1</v>
      </c>
      <c r="U471" s="3">
        <v>0</v>
      </c>
      <c r="V471" s="3">
        <v>1</v>
      </c>
      <c r="W471" s="7"/>
      <c r="X471" s="27" t="s">
        <v>3078</v>
      </c>
      <c r="Y471" s="3"/>
    </row>
    <row r="472" spans="1:25" x14ac:dyDescent="0.15">
      <c r="A472" s="3">
        <v>201412</v>
      </c>
      <c r="B472" s="27" t="s">
        <v>3079</v>
      </c>
      <c r="C472" s="3">
        <v>0</v>
      </c>
      <c r="D472" s="3">
        <v>0</v>
      </c>
      <c r="E472" s="3">
        <v>0</v>
      </c>
      <c r="F472" s="3">
        <v>0</v>
      </c>
      <c r="G472" s="3">
        <v>0</v>
      </c>
      <c r="H472" s="3">
        <v>0</v>
      </c>
      <c r="I472" s="3">
        <v>0</v>
      </c>
      <c r="J472" s="4">
        <v>812</v>
      </c>
      <c r="K472" s="3">
        <v>2</v>
      </c>
      <c r="L472" s="3" t="s">
        <v>722</v>
      </c>
      <c r="M472" s="3">
        <v>201</v>
      </c>
      <c r="N472" s="4" t="s">
        <v>723</v>
      </c>
      <c r="O472" s="3"/>
      <c r="P472" s="3"/>
      <c r="Q472" s="27" t="s">
        <v>3037</v>
      </c>
      <c r="R472" s="3" t="str">
        <f t="shared" si="42"/>
        <v>ic_dragon2</v>
      </c>
      <c r="S472" s="3" t="str">
        <f t="shared" si="43"/>
        <v>dragon2</v>
      </c>
      <c r="T472" s="3">
        <v>1</v>
      </c>
      <c r="U472" s="3">
        <v>0</v>
      </c>
      <c r="V472" s="3">
        <v>1</v>
      </c>
      <c r="W472" s="7"/>
      <c r="X472" s="27" t="s">
        <v>3079</v>
      </c>
      <c r="Y472" s="3"/>
    </row>
    <row r="473" spans="1:25" x14ac:dyDescent="0.15">
      <c r="A473" s="3">
        <v>201413</v>
      </c>
      <c r="B473" s="27" t="s">
        <v>3080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4">
        <v>813</v>
      </c>
      <c r="K473" s="3">
        <v>2</v>
      </c>
      <c r="L473" s="3" t="s">
        <v>722</v>
      </c>
      <c r="M473" s="3">
        <v>201</v>
      </c>
      <c r="N473" s="4" t="s">
        <v>723</v>
      </c>
      <c r="O473" s="3"/>
      <c r="P473" s="3"/>
      <c r="Q473" s="27" t="s">
        <v>3037</v>
      </c>
      <c r="R473" s="3" t="str">
        <f t="shared" si="42"/>
        <v>ic_dragon2</v>
      </c>
      <c r="S473" s="3" t="str">
        <f t="shared" si="43"/>
        <v>dragon2</v>
      </c>
      <c r="T473" s="3">
        <v>1</v>
      </c>
      <c r="U473" s="3">
        <v>0</v>
      </c>
      <c r="V473" s="3">
        <v>1</v>
      </c>
      <c r="W473" s="7"/>
      <c r="X473" s="27" t="s">
        <v>3080</v>
      </c>
      <c r="Y473" s="3"/>
    </row>
    <row r="474" spans="1:25" x14ac:dyDescent="0.15">
      <c r="A474" s="3">
        <v>201414</v>
      </c>
      <c r="B474" s="27" t="s">
        <v>3081</v>
      </c>
      <c r="C474" s="3">
        <v>0</v>
      </c>
      <c r="D474" s="3">
        <v>0</v>
      </c>
      <c r="E474" s="3">
        <v>0</v>
      </c>
      <c r="F474" s="3">
        <v>0</v>
      </c>
      <c r="G474" s="3">
        <v>0</v>
      </c>
      <c r="H474" s="3">
        <v>0</v>
      </c>
      <c r="I474" s="3">
        <v>0</v>
      </c>
      <c r="J474" s="4">
        <v>814</v>
      </c>
      <c r="K474" s="3">
        <v>2</v>
      </c>
      <c r="L474" s="3" t="s">
        <v>722</v>
      </c>
      <c r="M474" s="3">
        <v>201</v>
      </c>
      <c r="N474" s="4" t="s">
        <v>723</v>
      </c>
      <c r="O474" s="3"/>
      <c r="P474" s="3"/>
      <c r="Q474" s="27" t="s">
        <v>3037</v>
      </c>
      <c r="R474" s="3" t="str">
        <f t="shared" si="42"/>
        <v>ic_dragon2</v>
      </c>
      <c r="S474" s="3" t="str">
        <f t="shared" si="43"/>
        <v>dragon2</v>
      </c>
      <c r="T474" s="3">
        <v>1</v>
      </c>
      <c r="U474" s="3">
        <v>0</v>
      </c>
      <c r="V474" s="3">
        <v>1</v>
      </c>
      <c r="W474" s="7"/>
      <c r="X474" s="27" t="s">
        <v>3081</v>
      </c>
      <c r="Y474" s="3"/>
    </row>
    <row r="475" spans="1:25" x14ac:dyDescent="0.15">
      <c r="A475" s="3">
        <v>201415</v>
      </c>
      <c r="B475" s="27" t="s">
        <v>3082</v>
      </c>
      <c r="C475" s="3">
        <v>0</v>
      </c>
      <c r="D475" s="3">
        <v>0</v>
      </c>
      <c r="E475" s="3">
        <v>0</v>
      </c>
      <c r="F475" s="3">
        <v>0</v>
      </c>
      <c r="G475" s="3">
        <v>0</v>
      </c>
      <c r="H475" s="3">
        <v>0</v>
      </c>
      <c r="I475" s="3">
        <v>0</v>
      </c>
      <c r="J475" s="4">
        <v>815</v>
      </c>
      <c r="K475" s="3">
        <v>2</v>
      </c>
      <c r="L475" s="3" t="s">
        <v>722</v>
      </c>
      <c r="M475" s="3">
        <v>201</v>
      </c>
      <c r="N475" s="4" t="s">
        <v>723</v>
      </c>
      <c r="O475" s="3"/>
      <c r="P475" s="3"/>
      <c r="Q475" s="27" t="s">
        <v>3037</v>
      </c>
      <c r="R475" s="3" t="str">
        <f t="shared" si="42"/>
        <v>ic_dragon2</v>
      </c>
      <c r="S475" s="3" t="str">
        <f t="shared" si="43"/>
        <v>dragon2</v>
      </c>
      <c r="T475" s="3">
        <v>1</v>
      </c>
      <c r="U475" s="3">
        <v>0</v>
      </c>
      <c r="V475" s="3">
        <v>1</v>
      </c>
      <c r="W475" s="7"/>
      <c r="X475" s="27" t="s">
        <v>3082</v>
      </c>
      <c r="Y475" s="3"/>
    </row>
    <row r="476" spans="1:25" x14ac:dyDescent="0.15">
      <c r="A476" s="3">
        <v>201416</v>
      </c>
      <c r="B476" s="27" t="s">
        <v>3083</v>
      </c>
      <c r="C476" s="3">
        <v>0</v>
      </c>
      <c r="D476" s="3">
        <v>0</v>
      </c>
      <c r="E476" s="3">
        <v>0</v>
      </c>
      <c r="F476" s="3">
        <v>0</v>
      </c>
      <c r="G476" s="3">
        <v>0</v>
      </c>
      <c r="H476" s="3">
        <v>0</v>
      </c>
      <c r="I476" s="3">
        <v>0</v>
      </c>
      <c r="J476" s="4">
        <v>816</v>
      </c>
      <c r="K476" s="3">
        <v>2</v>
      </c>
      <c r="L476" s="3" t="s">
        <v>722</v>
      </c>
      <c r="M476" s="3">
        <v>201</v>
      </c>
      <c r="N476" s="4" t="s">
        <v>723</v>
      </c>
      <c r="O476" s="3"/>
      <c r="P476" s="3"/>
      <c r="Q476" s="27" t="s">
        <v>3037</v>
      </c>
      <c r="R476" s="3" t="str">
        <f t="shared" si="42"/>
        <v>ic_dragon2</v>
      </c>
      <c r="S476" s="3" t="str">
        <f t="shared" si="43"/>
        <v>dragon2</v>
      </c>
      <c r="T476" s="3">
        <v>1</v>
      </c>
      <c r="U476" s="3">
        <v>0</v>
      </c>
      <c r="V476" s="3">
        <v>1</v>
      </c>
      <c r="W476" s="7"/>
      <c r="X476" s="27" t="s">
        <v>3083</v>
      </c>
      <c r="Y476" s="3"/>
    </row>
    <row r="477" spans="1:25" x14ac:dyDescent="0.15">
      <c r="A477" s="3">
        <v>201417</v>
      </c>
      <c r="B477" s="27" t="s">
        <v>3084</v>
      </c>
      <c r="C477" s="3">
        <v>0</v>
      </c>
      <c r="D477" s="3">
        <v>0</v>
      </c>
      <c r="E477" s="3">
        <v>0</v>
      </c>
      <c r="F477" s="3">
        <v>0</v>
      </c>
      <c r="G477" s="3">
        <v>0</v>
      </c>
      <c r="H477" s="3">
        <v>0</v>
      </c>
      <c r="I477" s="3">
        <v>0</v>
      </c>
      <c r="J477" s="4">
        <v>817</v>
      </c>
      <c r="K477" s="3">
        <v>2</v>
      </c>
      <c r="L477" s="3" t="s">
        <v>722</v>
      </c>
      <c r="M477" s="3">
        <v>201</v>
      </c>
      <c r="N477" s="4" t="s">
        <v>723</v>
      </c>
      <c r="O477" s="3"/>
      <c r="P477" s="3"/>
      <c r="Q477" s="27" t="s">
        <v>3037</v>
      </c>
      <c r="R477" s="3" t="str">
        <f t="shared" si="42"/>
        <v>ic_dragon2</v>
      </c>
      <c r="S477" s="3" t="str">
        <f t="shared" si="43"/>
        <v>dragon2</v>
      </c>
      <c r="T477" s="3">
        <v>1</v>
      </c>
      <c r="U477" s="3">
        <v>0</v>
      </c>
      <c r="V477" s="3">
        <v>1</v>
      </c>
      <c r="W477" s="7"/>
      <c r="X477" s="27" t="s">
        <v>3084</v>
      </c>
      <c r="Y477" s="3"/>
    </row>
    <row r="478" spans="1:25" x14ac:dyDescent="0.15">
      <c r="A478" s="3">
        <v>201418</v>
      </c>
      <c r="B478" s="27" t="s">
        <v>3085</v>
      </c>
      <c r="C478" s="3">
        <v>0</v>
      </c>
      <c r="D478" s="3">
        <v>0</v>
      </c>
      <c r="E478" s="3">
        <v>0</v>
      </c>
      <c r="F478" s="3">
        <v>0</v>
      </c>
      <c r="G478" s="3">
        <v>0</v>
      </c>
      <c r="H478" s="3">
        <v>0</v>
      </c>
      <c r="I478" s="3">
        <v>0</v>
      </c>
      <c r="J478" s="4">
        <v>818</v>
      </c>
      <c r="K478" s="3">
        <v>2</v>
      </c>
      <c r="L478" s="3" t="s">
        <v>722</v>
      </c>
      <c r="M478" s="3">
        <v>201</v>
      </c>
      <c r="N478" s="4" t="s">
        <v>723</v>
      </c>
      <c r="O478" s="3"/>
      <c r="P478" s="3"/>
      <c r="Q478" s="27" t="s">
        <v>3037</v>
      </c>
      <c r="R478" s="3" t="str">
        <f t="shared" si="42"/>
        <v>ic_dragon2</v>
      </c>
      <c r="S478" s="3" t="str">
        <f t="shared" si="43"/>
        <v>dragon2</v>
      </c>
      <c r="T478" s="3">
        <v>1</v>
      </c>
      <c r="U478" s="3">
        <v>0</v>
      </c>
      <c r="V478" s="3">
        <v>1</v>
      </c>
      <c r="W478" s="7"/>
      <c r="X478" s="27" t="s">
        <v>3085</v>
      </c>
      <c r="Y478" s="3"/>
    </row>
    <row r="479" spans="1:25" x14ac:dyDescent="0.15">
      <c r="A479" s="3">
        <v>201419</v>
      </c>
      <c r="B479" s="27" t="s">
        <v>3086</v>
      </c>
      <c r="C479" s="3">
        <v>0</v>
      </c>
      <c r="D479" s="3">
        <v>0</v>
      </c>
      <c r="E479" s="3">
        <v>0</v>
      </c>
      <c r="F479" s="3">
        <v>0</v>
      </c>
      <c r="G479" s="3">
        <v>0</v>
      </c>
      <c r="H479" s="3">
        <v>0</v>
      </c>
      <c r="I479" s="3">
        <v>0</v>
      </c>
      <c r="J479" s="4">
        <v>819</v>
      </c>
      <c r="K479" s="3">
        <v>2</v>
      </c>
      <c r="L479" s="3" t="s">
        <v>722</v>
      </c>
      <c r="M479" s="3">
        <v>201</v>
      </c>
      <c r="N479" s="4" t="s">
        <v>723</v>
      </c>
      <c r="O479" s="3"/>
      <c r="P479" s="3"/>
      <c r="Q479" s="27" t="s">
        <v>3037</v>
      </c>
      <c r="R479" s="3" t="str">
        <f t="shared" si="42"/>
        <v>ic_dragon2</v>
      </c>
      <c r="S479" s="3" t="str">
        <f t="shared" si="43"/>
        <v>dragon2</v>
      </c>
      <c r="T479" s="3">
        <v>1</v>
      </c>
      <c r="U479" s="3">
        <v>0</v>
      </c>
      <c r="V479" s="3">
        <v>1</v>
      </c>
      <c r="W479" s="7"/>
      <c r="X479" s="27" t="s">
        <v>3086</v>
      </c>
      <c r="Y479" s="3"/>
    </row>
    <row r="480" spans="1:25" x14ac:dyDescent="0.15">
      <c r="A480" s="3">
        <v>201420</v>
      </c>
      <c r="B480" s="27" t="s">
        <v>3087</v>
      </c>
      <c r="C480" s="3">
        <v>0</v>
      </c>
      <c r="D480" s="3">
        <v>0</v>
      </c>
      <c r="E480" s="3">
        <v>0</v>
      </c>
      <c r="F480" s="3">
        <v>0</v>
      </c>
      <c r="G480" s="3">
        <v>0</v>
      </c>
      <c r="H480" s="3">
        <v>0</v>
      </c>
      <c r="I480" s="3">
        <v>0</v>
      </c>
      <c r="J480" s="4">
        <v>820</v>
      </c>
      <c r="K480" s="3">
        <v>2</v>
      </c>
      <c r="L480" s="3" t="s">
        <v>722</v>
      </c>
      <c r="M480" s="3">
        <v>201</v>
      </c>
      <c r="N480" s="4" t="s">
        <v>723</v>
      </c>
      <c r="O480" s="3"/>
      <c r="P480" s="3"/>
      <c r="Q480" s="27" t="s">
        <v>3037</v>
      </c>
      <c r="R480" s="3" t="str">
        <f t="shared" si="42"/>
        <v>ic_dragon2</v>
      </c>
      <c r="S480" s="3" t="str">
        <f t="shared" si="43"/>
        <v>dragon2</v>
      </c>
      <c r="T480" s="3">
        <v>1</v>
      </c>
      <c r="U480" s="3">
        <v>0</v>
      </c>
      <c r="V480" s="3">
        <v>1</v>
      </c>
      <c r="W480" s="7"/>
      <c r="X480" s="27" t="s">
        <v>3087</v>
      </c>
      <c r="Y480" s="3"/>
    </row>
    <row r="481" spans="1:25" x14ac:dyDescent="0.15">
      <c r="A481" s="3">
        <v>201421</v>
      </c>
      <c r="B481" s="27" t="s">
        <v>3088</v>
      </c>
      <c r="C481" s="3">
        <v>0</v>
      </c>
      <c r="D481" s="3">
        <v>0</v>
      </c>
      <c r="E481" s="3">
        <v>0</v>
      </c>
      <c r="F481" s="3">
        <v>0</v>
      </c>
      <c r="G481" s="3">
        <v>0</v>
      </c>
      <c r="H481" s="3">
        <v>0</v>
      </c>
      <c r="I481" s="3">
        <v>0</v>
      </c>
      <c r="J481" s="4">
        <v>811</v>
      </c>
      <c r="K481" s="3">
        <v>2</v>
      </c>
      <c r="L481" s="3" t="s">
        <v>722</v>
      </c>
      <c r="M481" s="3">
        <v>201</v>
      </c>
      <c r="N481" s="4" t="s">
        <v>723</v>
      </c>
      <c r="O481" s="3"/>
      <c r="P481" s="3"/>
      <c r="Q481" s="27" t="s">
        <v>3038</v>
      </c>
      <c r="R481" s="3" t="str">
        <f t="shared" si="42"/>
        <v>ic_dragon3</v>
      </c>
      <c r="S481" s="3" t="str">
        <f t="shared" si="43"/>
        <v>dragon3</v>
      </c>
      <c r="T481" s="3">
        <v>1</v>
      </c>
      <c r="U481" s="3">
        <v>0</v>
      </c>
      <c r="V481" s="3">
        <v>1</v>
      </c>
      <c r="W481" s="7"/>
      <c r="X481" s="27" t="s">
        <v>3088</v>
      </c>
      <c r="Y481" s="3"/>
    </row>
    <row r="482" spans="1:25" x14ac:dyDescent="0.15">
      <c r="A482" s="3">
        <v>201422</v>
      </c>
      <c r="B482" s="27" t="s">
        <v>3089</v>
      </c>
      <c r="C482" s="3">
        <v>0</v>
      </c>
      <c r="D482" s="3">
        <v>0</v>
      </c>
      <c r="E482" s="3">
        <v>0</v>
      </c>
      <c r="F482" s="3">
        <v>0</v>
      </c>
      <c r="G482" s="3">
        <v>0</v>
      </c>
      <c r="H482" s="3">
        <v>0</v>
      </c>
      <c r="I482" s="3">
        <v>0</v>
      </c>
      <c r="J482" s="4">
        <v>812</v>
      </c>
      <c r="K482" s="3">
        <v>2</v>
      </c>
      <c r="L482" s="3" t="s">
        <v>722</v>
      </c>
      <c r="M482" s="3">
        <v>201</v>
      </c>
      <c r="N482" s="4" t="s">
        <v>723</v>
      </c>
      <c r="O482" s="3"/>
      <c r="P482" s="3"/>
      <c r="Q482" s="27" t="s">
        <v>3038</v>
      </c>
      <c r="R482" s="3" t="str">
        <f t="shared" si="42"/>
        <v>ic_dragon3</v>
      </c>
      <c r="S482" s="3" t="str">
        <f t="shared" si="43"/>
        <v>dragon3</v>
      </c>
      <c r="T482" s="3">
        <v>1</v>
      </c>
      <c r="U482" s="3">
        <v>0</v>
      </c>
      <c r="V482" s="3">
        <v>1</v>
      </c>
      <c r="W482" s="7"/>
      <c r="X482" s="27" t="s">
        <v>3089</v>
      </c>
      <c r="Y482" s="3"/>
    </row>
    <row r="483" spans="1:25" x14ac:dyDescent="0.15">
      <c r="A483" s="3">
        <v>201423</v>
      </c>
      <c r="B483" s="27" t="s">
        <v>3090</v>
      </c>
      <c r="C483" s="3">
        <v>0</v>
      </c>
      <c r="D483" s="3">
        <v>0</v>
      </c>
      <c r="E483" s="3">
        <v>0</v>
      </c>
      <c r="F483" s="3">
        <v>0</v>
      </c>
      <c r="G483" s="3">
        <v>0</v>
      </c>
      <c r="H483" s="3">
        <v>0</v>
      </c>
      <c r="I483" s="3">
        <v>0</v>
      </c>
      <c r="J483" s="4">
        <v>813</v>
      </c>
      <c r="K483" s="3">
        <v>2</v>
      </c>
      <c r="L483" s="3" t="s">
        <v>722</v>
      </c>
      <c r="M483" s="3">
        <v>201</v>
      </c>
      <c r="N483" s="4" t="s">
        <v>723</v>
      </c>
      <c r="O483" s="3"/>
      <c r="P483" s="3"/>
      <c r="Q483" s="27" t="s">
        <v>3038</v>
      </c>
      <c r="R483" s="3" t="str">
        <f t="shared" si="42"/>
        <v>ic_dragon3</v>
      </c>
      <c r="S483" s="3" t="str">
        <f t="shared" si="43"/>
        <v>dragon3</v>
      </c>
      <c r="T483" s="3">
        <v>1</v>
      </c>
      <c r="U483" s="3">
        <v>0</v>
      </c>
      <c r="V483" s="3">
        <v>1</v>
      </c>
      <c r="W483" s="7"/>
      <c r="X483" s="27" t="s">
        <v>3090</v>
      </c>
      <c r="Y483" s="3"/>
    </row>
    <row r="484" spans="1:25" x14ac:dyDescent="0.15">
      <c r="A484" s="3">
        <v>201424</v>
      </c>
      <c r="B484" s="27" t="s">
        <v>3091</v>
      </c>
      <c r="C484" s="3">
        <v>0</v>
      </c>
      <c r="D484" s="3">
        <v>0</v>
      </c>
      <c r="E484" s="3">
        <v>0</v>
      </c>
      <c r="F484" s="3">
        <v>0</v>
      </c>
      <c r="G484" s="3">
        <v>0</v>
      </c>
      <c r="H484" s="3">
        <v>0</v>
      </c>
      <c r="I484" s="3">
        <v>0</v>
      </c>
      <c r="J484" s="4">
        <v>814</v>
      </c>
      <c r="K484" s="3">
        <v>2</v>
      </c>
      <c r="L484" s="3" t="s">
        <v>722</v>
      </c>
      <c r="M484" s="3">
        <v>201</v>
      </c>
      <c r="N484" s="4" t="s">
        <v>723</v>
      </c>
      <c r="O484" s="3"/>
      <c r="P484" s="3"/>
      <c r="Q484" s="27" t="s">
        <v>3038</v>
      </c>
      <c r="R484" s="3" t="str">
        <f t="shared" si="42"/>
        <v>ic_dragon3</v>
      </c>
      <c r="S484" s="3" t="str">
        <f t="shared" si="43"/>
        <v>dragon3</v>
      </c>
      <c r="T484" s="3">
        <v>1</v>
      </c>
      <c r="U484" s="3">
        <v>0</v>
      </c>
      <c r="V484" s="3">
        <v>1</v>
      </c>
      <c r="W484" s="7"/>
      <c r="X484" s="27" t="s">
        <v>3091</v>
      </c>
      <c r="Y484" s="3"/>
    </row>
    <row r="485" spans="1:25" x14ac:dyDescent="0.15">
      <c r="A485" s="3">
        <v>201425</v>
      </c>
      <c r="B485" s="27" t="s">
        <v>3092</v>
      </c>
      <c r="C485" s="3">
        <v>0</v>
      </c>
      <c r="D485" s="3">
        <v>0</v>
      </c>
      <c r="E485" s="3">
        <v>0</v>
      </c>
      <c r="F485" s="3">
        <v>0</v>
      </c>
      <c r="G485" s="3">
        <v>0</v>
      </c>
      <c r="H485" s="3">
        <v>0</v>
      </c>
      <c r="I485" s="3">
        <v>0</v>
      </c>
      <c r="J485" s="4">
        <v>815</v>
      </c>
      <c r="K485" s="3">
        <v>2</v>
      </c>
      <c r="L485" s="3" t="s">
        <v>722</v>
      </c>
      <c r="M485" s="3">
        <v>201</v>
      </c>
      <c r="N485" s="4" t="s">
        <v>723</v>
      </c>
      <c r="O485" s="3"/>
      <c r="P485" s="3"/>
      <c r="Q485" s="27" t="s">
        <v>3038</v>
      </c>
      <c r="R485" s="3" t="str">
        <f t="shared" si="42"/>
        <v>ic_dragon3</v>
      </c>
      <c r="S485" s="3" t="str">
        <f t="shared" si="43"/>
        <v>dragon3</v>
      </c>
      <c r="T485" s="3">
        <v>1</v>
      </c>
      <c r="U485" s="3">
        <v>0</v>
      </c>
      <c r="V485" s="3">
        <v>1</v>
      </c>
      <c r="W485" s="7"/>
      <c r="X485" s="27" t="s">
        <v>3092</v>
      </c>
      <c r="Y485" s="3"/>
    </row>
    <row r="486" spans="1:25" x14ac:dyDescent="0.15">
      <c r="A486" s="3">
        <v>201426</v>
      </c>
      <c r="B486" s="27" t="s">
        <v>3093</v>
      </c>
      <c r="C486" s="3">
        <v>0</v>
      </c>
      <c r="D486" s="3">
        <v>0</v>
      </c>
      <c r="E486" s="3">
        <v>0</v>
      </c>
      <c r="F486" s="3">
        <v>0</v>
      </c>
      <c r="G486" s="3">
        <v>0</v>
      </c>
      <c r="H486" s="3">
        <v>0</v>
      </c>
      <c r="I486" s="3">
        <v>0</v>
      </c>
      <c r="J486" s="4">
        <v>816</v>
      </c>
      <c r="K486" s="3">
        <v>2</v>
      </c>
      <c r="L486" s="3" t="s">
        <v>722</v>
      </c>
      <c r="M486" s="3">
        <v>201</v>
      </c>
      <c r="N486" s="4" t="s">
        <v>723</v>
      </c>
      <c r="O486" s="3"/>
      <c r="P486" s="3"/>
      <c r="Q486" s="27" t="s">
        <v>3038</v>
      </c>
      <c r="R486" s="3" t="str">
        <f t="shared" si="42"/>
        <v>ic_dragon3</v>
      </c>
      <c r="S486" s="3" t="str">
        <f t="shared" si="43"/>
        <v>dragon3</v>
      </c>
      <c r="T486" s="3">
        <v>1</v>
      </c>
      <c r="U486" s="3">
        <v>0</v>
      </c>
      <c r="V486" s="3">
        <v>1</v>
      </c>
      <c r="W486" s="7"/>
      <c r="X486" s="27" t="s">
        <v>3093</v>
      </c>
      <c r="Y486" s="3"/>
    </row>
    <row r="487" spans="1:25" x14ac:dyDescent="0.15">
      <c r="A487" s="3">
        <v>201427</v>
      </c>
      <c r="B487" s="27" t="s">
        <v>3094</v>
      </c>
      <c r="C487" s="3">
        <v>0</v>
      </c>
      <c r="D487" s="3">
        <v>0</v>
      </c>
      <c r="E487" s="3">
        <v>0</v>
      </c>
      <c r="F487" s="3">
        <v>0</v>
      </c>
      <c r="G487" s="3">
        <v>0</v>
      </c>
      <c r="H487" s="3">
        <v>0</v>
      </c>
      <c r="I487" s="3">
        <v>0</v>
      </c>
      <c r="J487" s="4">
        <v>817</v>
      </c>
      <c r="K487" s="3">
        <v>2</v>
      </c>
      <c r="L487" s="3" t="s">
        <v>722</v>
      </c>
      <c r="M487" s="3">
        <v>201</v>
      </c>
      <c r="N487" s="4" t="s">
        <v>723</v>
      </c>
      <c r="O487" s="3"/>
      <c r="P487" s="3"/>
      <c r="Q487" s="27" t="s">
        <v>3038</v>
      </c>
      <c r="R487" s="3" t="str">
        <f t="shared" si="42"/>
        <v>ic_dragon3</v>
      </c>
      <c r="S487" s="3" t="str">
        <f t="shared" si="43"/>
        <v>dragon3</v>
      </c>
      <c r="T487" s="3">
        <v>1</v>
      </c>
      <c r="U487" s="3">
        <v>0</v>
      </c>
      <c r="V487" s="3">
        <v>1</v>
      </c>
      <c r="W487" s="7"/>
      <c r="X487" s="27" t="s">
        <v>3094</v>
      </c>
      <c r="Y487" s="3"/>
    </row>
    <row r="488" spans="1:25" x14ac:dyDescent="0.15">
      <c r="A488" s="3">
        <v>201428</v>
      </c>
      <c r="B488" s="27" t="s">
        <v>3095</v>
      </c>
      <c r="C488" s="3">
        <v>0</v>
      </c>
      <c r="D488" s="3">
        <v>0</v>
      </c>
      <c r="E488" s="3">
        <v>0</v>
      </c>
      <c r="F488" s="3">
        <v>0</v>
      </c>
      <c r="G488" s="3">
        <v>0</v>
      </c>
      <c r="H488" s="3">
        <v>0</v>
      </c>
      <c r="I488" s="3">
        <v>0</v>
      </c>
      <c r="J488" s="4">
        <v>818</v>
      </c>
      <c r="K488" s="3">
        <v>2</v>
      </c>
      <c r="L488" s="3" t="s">
        <v>722</v>
      </c>
      <c r="M488" s="3">
        <v>201</v>
      </c>
      <c r="N488" s="4" t="s">
        <v>723</v>
      </c>
      <c r="O488" s="3"/>
      <c r="P488" s="3"/>
      <c r="Q488" s="27" t="s">
        <v>3038</v>
      </c>
      <c r="R488" s="3" t="str">
        <f t="shared" si="42"/>
        <v>ic_dragon3</v>
      </c>
      <c r="S488" s="3" t="str">
        <f t="shared" si="43"/>
        <v>dragon3</v>
      </c>
      <c r="T488" s="3">
        <v>1</v>
      </c>
      <c r="U488" s="3">
        <v>0</v>
      </c>
      <c r="V488" s="3">
        <v>1</v>
      </c>
      <c r="W488" s="7"/>
      <c r="X488" s="27" t="s">
        <v>3095</v>
      </c>
      <c r="Y488" s="3"/>
    </row>
    <row r="489" spans="1:25" x14ac:dyDescent="0.15">
      <c r="A489" s="3">
        <v>201429</v>
      </c>
      <c r="B489" s="27" t="s">
        <v>3096</v>
      </c>
      <c r="C489" s="3">
        <v>0</v>
      </c>
      <c r="D489" s="3">
        <v>0</v>
      </c>
      <c r="E489" s="3">
        <v>0</v>
      </c>
      <c r="F489" s="3">
        <v>0</v>
      </c>
      <c r="G489" s="3">
        <v>0</v>
      </c>
      <c r="H489" s="3">
        <v>0</v>
      </c>
      <c r="I489" s="3">
        <v>0</v>
      </c>
      <c r="J489" s="4">
        <v>819</v>
      </c>
      <c r="K489" s="3">
        <v>2</v>
      </c>
      <c r="L489" s="3" t="s">
        <v>722</v>
      </c>
      <c r="M489" s="3">
        <v>201</v>
      </c>
      <c r="N489" s="4" t="s">
        <v>723</v>
      </c>
      <c r="O489" s="3"/>
      <c r="P489" s="3"/>
      <c r="Q489" s="27" t="s">
        <v>3038</v>
      </c>
      <c r="R489" s="3" t="str">
        <f t="shared" si="42"/>
        <v>ic_dragon3</v>
      </c>
      <c r="S489" s="3" t="str">
        <f t="shared" si="43"/>
        <v>dragon3</v>
      </c>
      <c r="T489" s="3">
        <v>1</v>
      </c>
      <c r="U489" s="3">
        <v>0</v>
      </c>
      <c r="V489" s="3">
        <v>1</v>
      </c>
      <c r="W489" s="7"/>
      <c r="X489" s="27" t="s">
        <v>3096</v>
      </c>
      <c r="Y489" s="3"/>
    </row>
    <row r="490" spans="1:25" x14ac:dyDescent="0.15">
      <c r="A490" s="3">
        <v>201430</v>
      </c>
      <c r="B490" s="27" t="s">
        <v>3097</v>
      </c>
      <c r="C490" s="3">
        <v>0</v>
      </c>
      <c r="D490" s="3">
        <v>0</v>
      </c>
      <c r="E490" s="3">
        <v>0</v>
      </c>
      <c r="F490" s="3">
        <v>0</v>
      </c>
      <c r="G490" s="3">
        <v>0</v>
      </c>
      <c r="H490" s="3">
        <v>0</v>
      </c>
      <c r="I490" s="3">
        <v>0</v>
      </c>
      <c r="J490" s="4">
        <v>820</v>
      </c>
      <c r="K490" s="3">
        <v>2</v>
      </c>
      <c r="L490" s="3" t="s">
        <v>722</v>
      </c>
      <c r="M490" s="3">
        <v>201</v>
      </c>
      <c r="N490" s="4" t="s">
        <v>723</v>
      </c>
      <c r="O490" s="3"/>
      <c r="P490" s="3"/>
      <c r="Q490" s="27" t="s">
        <v>3291</v>
      </c>
      <c r="R490" s="3" t="str">
        <f t="shared" si="42"/>
        <v>ic_dragon3</v>
      </c>
      <c r="S490" s="3" t="str">
        <f t="shared" si="43"/>
        <v>dragon3</v>
      </c>
      <c r="T490" s="3">
        <v>1</v>
      </c>
      <c r="U490" s="3">
        <v>0</v>
      </c>
      <c r="V490" s="3">
        <v>1</v>
      </c>
      <c r="W490" s="7"/>
      <c r="X490" s="27" t="s">
        <v>3097</v>
      </c>
      <c r="Y490" s="3"/>
    </row>
    <row r="491" spans="1:25" x14ac:dyDescent="0.15">
      <c r="A491" s="3">
        <v>201431</v>
      </c>
      <c r="B491" s="27" t="s">
        <v>3098</v>
      </c>
      <c r="C491" s="3">
        <v>0</v>
      </c>
      <c r="D491" s="3">
        <v>0</v>
      </c>
      <c r="E491" s="3">
        <v>0</v>
      </c>
      <c r="F491" s="3">
        <v>0</v>
      </c>
      <c r="G491" s="3">
        <v>0</v>
      </c>
      <c r="H491" s="3">
        <v>0</v>
      </c>
      <c r="I491" s="3">
        <v>0</v>
      </c>
      <c r="J491" s="4">
        <v>811</v>
      </c>
      <c r="K491" s="3">
        <v>2</v>
      </c>
      <c r="L491" s="3" t="s">
        <v>722</v>
      </c>
      <c r="M491" s="3">
        <v>201</v>
      </c>
      <c r="N491" s="4" t="s">
        <v>723</v>
      </c>
      <c r="O491" s="3"/>
      <c r="P491" s="3"/>
      <c r="Q491" s="27" t="s">
        <v>3292</v>
      </c>
      <c r="R491" s="3" t="str">
        <f t="shared" si="42"/>
        <v>ic_dragon4</v>
      </c>
      <c r="S491" s="3" t="str">
        <f t="shared" si="43"/>
        <v>dragon4</v>
      </c>
      <c r="T491" s="3">
        <v>1</v>
      </c>
      <c r="U491" s="3">
        <v>0</v>
      </c>
      <c r="V491" s="3">
        <v>1</v>
      </c>
      <c r="W491" s="7"/>
      <c r="X491" s="27" t="s">
        <v>3098</v>
      </c>
      <c r="Y491" s="3"/>
    </row>
    <row r="492" spans="1:25" x14ac:dyDescent="0.15">
      <c r="A492" s="3">
        <v>201432</v>
      </c>
      <c r="B492" s="27" t="s">
        <v>3099</v>
      </c>
      <c r="C492" s="3">
        <v>0</v>
      </c>
      <c r="D492" s="3">
        <v>0</v>
      </c>
      <c r="E492" s="3">
        <v>0</v>
      </c>
      <c r="F492" s="3">
        <v>0</v>
      </c>
      <c r="G492" s="3">
        <v>0</v>
      </c>
      <c r="H492" s="3">
        <v>0</v>
      </c>
      <c r="I492" s="3">
        <v>0</v>
      </c>
      <c r="J492" s="4">
        <v>812</v>
      </c>
      <c r="K492" s="3">
        <v>2</v>
      </c>
      <c r="L492" s="3" t="s">
        <v>722</v>
      </c>
      <c r="M492" s="3">
        <v>201</v>
      </c>
      <c r="N492" s="4" t="s">
        <v>723</v>
      </c>
      <c r="O492" s="3"/>
      <c r="P492" s="3"/>
      <c r="Q492" s="27" t="s">
        <v>3292</v>
      </c>
      <c r="R492" s="3" t="str">
        <f t="shared" si="42"/>
        <v>ic_dragon4</v>
      </c>
      <c r="S492" s="3" t="str">
        <f t="shared" si="43"/>
        <v>dragon4</v>
      </c>
      <c r="T492" s="3">
        <v>1</v>
      </c>
      <c r="U492" s="3">
        <v>0</v>
      </c>
      <c r="V492" s="3">
        <v>1</v>
      </c>
      <c r="W492" s="7"/>
      <c r="X492" s="27" t="s">
        <v>3099</v>
      </c>
      <c r="Y492" s="3"/>
    </row>
    <row r="493" spans="1:25" x14ac:dyDescent="0.15">
      <c r="A493" s="3">
        <v>201433</v>
      </c>
      <c r="B493" s="27" t="s">
        <v>3100</v>
      </c>
      <c r="C493" s="3">
        <v>0</v>
      </c>
      <c r="D493" s="3">
        <v>0</v>
      </c>
      <c r="E493" s="3">
        <v>0</v>
      </c>
      <c r="F493" s="3">
        <v>0</v>
      </c>
      <c r="G493" s="3">
        <v>0</v>
      </c>
      <c r="H493" s="3">
        <v>0</v>
      </c>
      <c r="I493" s="3">
        <v>0</v>
      </c>
      <c r="J493" s="4">
        <v>813</v>
      </c>
      <c r="K493" s="3">
        <v>2</v>
      </c>
      <c r="L493" s="3" t="s">
        <v>722</v>
      </c>
      <c r="M493" s="3">
        <v>201</v>
      </c>
      <c r="N493" s="4" t="s">
        <v>723</v>
      </c>
      <c r="O493" s="3"/>
      <c r="P493" s="3"/>
      <c r="Q493" s="27" t="s">
        <v>3292</v>
      </c>
      <c r="R493" s="3" t="str">
        <f t="shared" si="42"/>
        <v>ic_dragon4</v>
      </c>
      <c r="S493" s="3" t="str">
        <f t="shared" si="43"/>
        <v>dragon4</v>
      </c>
      <c r="T493" s="3">
        <v>1</v>
      </c>
      <c r="U493" s="3">
        <v>0</v>
      </c>
      <c r="V493" s="3">
        <v>1</v>
      </c>
      <c r="W493" s="7"/>
      <c r="X493" s="27" t="s">
        <v>3100</v>
      </c>
      <c r="Y493" s="3"/>
    </row>
    <row r="494" spans="1:25" x14ac:dyDescent="0.15">
      <c r="A494" s="3">
        <v>201434</v>
      </c>
      <c r="B494" s="27" t="s">
        <v>3101</v>
      </c>
      <c r="C494" s="3">
        <v>0</v>
      </c>
      <c r="D494" s="3">
        <v>0</v>
      </c>
      <c r="E494" s="3">
        <v>0</v>
      </c>
      <c r="F494" s="3">
        <v>0</v>
      </c>
      <c r="G494" s="3">
        <v>0</v>
      </c>
      <c r="H494" s="3">
        <v>0</v>
      </c>
      <c r="I494" s="3">
        <v>0</v>
      </c>
      <c r="J494" s="4">
        <v>814</v>
      </c>
      <c r="K494" s="3">
        <v>2</v>
      </c>
      <c r="L494" s="3" t="s">
        <v>722</v>
      </c>
      <c r="M494" s="3">
        <v>201</v>
      </c>
      <c r="N494" s="4" t="s">
        <v>723</v>
      </c>
      <c r="O494" s="3"/>
      <c r="P494" s="3"/>
      <c r="Q494" s="27" t="s">
        <v>3292</v>
      </c>
      <c r="R494" s="3" t="str">
        <f t="shared" si="42"/>
        <v>ic_dragon4</v>
      </c>
      <c r="S494" s="3" t="str">
        <f t="shared" si="43"/>
        <v>dragon4</v>
      </c>
      <c r="T494" s="3">
        <v>1</v>
      </c>
      <c r="U494" s="3">
        <v>0</v>
      </c>
      <c r="V494" s="3">
        <v>1</v>
      </c>
      <c r="W494" s="7"/>
      <c r="X494" s="27" t="s">
        <v>3101</v>
      </c>
      <c r="Y494" s="3"/>
    </row>
    <row r="495" spans="1:25" x14ac:dyDescent="0.15">
      <c r="A495" s="3">
        <v>201435</v>
      </c>
      <c r="B495" s="27" t="s">
        <v>3102</v>
      </c>
      <c r="C495" s="3">
        <v>0</v>
      </c>
      <c r="D495" s="3">
        <v>0</v>
      </c>
      <c r="E495" s="3">
        <v>0</v>
      </c>
      <c r="F495" s="3">
        <v>0</v>
      </c>
      <c r="G495" s="3">
        <v>0</v>
      </c>
      <c r="H495" s="3">
        <v>0</v>
      </c>
      <c r="I495" s="3">
        <v>0</v>
      </c>
      <c r="J495" s="4">
        <v>815</v>
      </c>
      <c r="K495" s="3">
        <v>2</v>
      </c>
      <c r="L495" s="3" t="s">
        <v>722</v>
      </c>
      <c r="M495" s="3">
        <v>201</v>
      </c>
      <c r="N495" s="4" t="s">
        <v>723</v>
      </c>
      <c r="O495" s="3"/>
      <c r="P495" s="3"/>
      <c r="Q495" s="27" t="s">
        <v>3292</v>
      </c>
      <c r="R495" s="3" t="str">
        <f t="shared" si="42"/>
        <v>ic_dragon4</v>
      </c>
      <c r="S495" s="3" t="str">
        <f t="shared" si="43"/>
        <v>dragon4</v>
      </c>
      <c r="T495" s="3">
        <v>1</v>
      </c>
      <c r="U495" s="3">
        <v>0</v>
      </c>
      <c r="V495" s="3">
        <v>1</v>
      </c>
      <c r="W495" s="7"/>
      <c r="X495" s="27" t="s">
        <v>3102</v>
      </c>
      <c r="Y495" s="3"/>
    </row>
    <row r="496" spans="1:25" x14ac:dyDescent="0.15">
      <c r="A496" s="3">
        <v>201436</v>
      </c>
      <c r="B496" s="27" t="s">
        <v>3103</v>
      </c>
      <c r="C496" s="3">
        <v>0</v>
      </c>
      <c r="D496" s="3">
        <v>0</v>
      </c>
      <c r="E496" s="3">
        <v>0</v>
      </c>
      <c r="F496" s="3">
        <v>0</v>
      </c>
      <c r="G496" s="3">
        <v>0</v>
      </c>
      <c r="H496" s="3">
        <v>0</v>
      </c>
      <c r="I496" s="3">
        <v>0</v>
      </c>
      <c r="J496" s="4">
        <v>816</v>
      </c>
      <c r="K496" s="3">
        <v>2</v>
      </c>
      <c r="L496" s="3" t="s">
        <v>722</v>
      </c>
      <c r="M496" s="3">
        <v>201</v>
      </c>
      <c r="N496" s="4" t="s">
        <v>723</v>
      </c>
      <c r="O496" s="3"/>
      <c r="P496" s="3"/>
      <c r="Q496" s="27" t="s">
        <v>3292</v>
      </c>
      <c r="R496" s="3" t="str">
        <f t="shared" si="42"/>
        <v>ic_dragon4</v>
      </c>
      <c r="S496" s="3" t="str">
        <f t="shared" si="43"/>
        <v>dragon4</v>
      </c>
      <c r="T496" s="3">
        <v>1</v>
      </c>
      <c r="U496" s="3">
        <v>0</v>
      </c>
      <c r="V496" s="3">
        <v>1</v>
      </c>
      <c r="W496" s="7"/>
      <c r="X496" s="27" t="s">
        <v>3103</v>
      </c>
      <c r="Y496" s="3"/>
    </row>
    <row r="497" spans="1:25" x14ac:dyDescent="0.15">
      <c r="A497" s="3">
        <v>201437</v>
      </c>
      <c r="B497" s="27" t="s">
        <v>3104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0</v>
      </c>
      <c r="I497" s="3">
        <v>0</v>
      </c>
      <c r="J497" s="4">
        <v>817</v>
      </c>
      <c r="K497" s="3">
        <v>2</v>
      </c>
      <c r="L497" s="3" t="s">
        <v>722</v>
      </c>
      <c r="M497" s="3">
        <v>201</v>
      </c>
      <c r="N497" s="4" t="s">
        <v>723</v>
      </c>
      <c r="O497" s="3"/>
      <c r="P497" s="3"/>
      <c r="Q497" s="27" t="s">
        <v>3292</v>
      </c>
      <c r="R497" s="3" t="str">
        <f t="shared" si="42"/>
        <v>ic_dragon4</v>
      </c>
      <c r="S497" s="3" t="str">
        <f t="shared" si="43"/>
        <v>dragon4</v>
      </c>
      <c r="T497" s="3">
        <v>1</v>
      </c>
      <c r="U497" s="3">
        <v>0</v>
      </c>
      <c r="V497" s="3">
        <v>1</v>
      </c>
      <c r="W497" s="7"/>
      <c r="X497" s="27" t="s">
        <v>3104</v>
      </c>
      <c r="Y497" s="3"/>
    </row>
    <row r="498" spans="1:25" x14ac:dyDescent="0.15">
      <c r="A498" s="3">
        <v>201438</v>
      </c>
      <c r="B498" s="27" t="s">
        <v>3105</v>
      </c>
      <c r="C498" s="3">
        <v>0</v>
      </c>
      <c r="D498" s="3">
        <v>0</v>
      </c>
      <c r="E498" s="3">
        <v>0</v>
      </c>
      <c r="F498" s="3">
        <v>0</v>
      </c>
      <c r="G498" s="3">
        <v>0</v>
      </c>
      <c r="H498" s="3">
        <v>0</v>
      </c>
      <c r="I498" s="3">
        <v>0</v>
      </c>
      <c r="J498" s="4">
        <v>818</v>
      </c>
      <c r="K498" s="3">
        <v>2</v>
      </c>
      <c r="L498" s="3" t="s">
        <v>722</v>
      </c>
      <c r="M498" s="3">
        <v>201</v>
      </c>
      <c r="N498" s="4" t="s">
        <v>723</v>
      </c>
      <c r="O498" s="3"/>
      <c r="P498" s="3"/>
      <c r="Q498" s="27" t="s">
        <v>3292</v>
      </c>
      <c r="R498" s="3" t="str">
        <f t="shared" si="42"/>
        <v>ic_dragon4</v>
      </c>
      <c r="S498" s="3" t="str">
        <f t="shared" si="43"/>
        <v>dragon4</v>
      </c>
      <c r="T498" s="3">
        <v>1</v>
      </c>
      <c r="U498" s="3">
        <v>0</v>
      </c>
      <c r="V498" s="3">
        <v>1</v>
      </c>
      <c r="W498" s="7"/>
      <c r="X498" s="27" t="s">
        <v>3105</v>
      </c>
      <c r="Y498" s="3"/>
    </row>
    <row r="499" spans="1:25" x14ac:dyDescent="0.15">
      <c r="A499" s="3">
        <v>201439</v>
      </c>
      <c r="B499" s="27" t="s">
        <v>3106</v>
      </c>
      <c r="C499" s="3">
        <v>0</v>
      </c>
      <c r="D499" s="3">
        <v>0</v>
      </c>
      <c r="E499" s="3">
        <v>0</v>
      </c>
      <c r="F499" s="3">
        <v>0</v>
      </c>
      <c r="G499" s="3">
        <v>0</v>
      </c>
      <c r="H499" s="3">
        <v>0</v>
      </c>
      <c r="I499" s="3">
        <v>0</v>
      </c>
      <c r="J499" s="4">
        <v>819</v>
      </c>
      <c r="K499" s="3">
        <v>2</v>
      </c>
      <c r="L499" s="3" t="s">
        <v>722</v>
      </c>
      <c r="M499" s="3">
        <v>201</v>
      </c>
      <c r="N499" s="4" t="s">
        <v>723</v>
      </c>
      <c r="O499" s="3"/>
      <c r="P499" s="3"/>
      <c r="Q499" s="27" t="s">
        <v>3292</v>
      </c>
      <c r="R499" s="3" t="str">
        <f t="shared" si="42"/>
        <v>ic_dragon4</v>
      </c>
      <c r="S499" s="3" t="str">
        <f t="shared" si="43"/>
        <v>dragon4</v>
      </c>
      <c r="T499" s="3">
        <v>1</v>
      </c>
      <c r="U499" s="3">
        <v>0</v>
      </c>
      <c r="V499" s="3">
        <v>1</v>
      </c>
      <c r="W499" s="7"/>
      <c r="X499" s="27" t="s">
        <v>3106</v>
      </c>
      <c r="Y499" s="3"/>
    </row>
    <row r="500" spans="1:25" x14ac:dyDescent="0.15">
      <c r="A500" s="3">
        <v>201440</v>
      </c>
      <c r="B500" s="27" t="s">
        <v>3107</v>
      </c>
      <c r="C500" s="3">
        <v>0</v>
      </c>
      <c r="D500" s="3">
        <v>0</v>
      </c>
      <c r="E500" s="3">
        <v>0</v>
      </c>
      <c r="F500" s="3">
        <v>0</v>
      </c>
      <c r="G500" s="3">
        <v>0</v>
      </c>
      <c r="H500" s="3">
        <v>0</v>
      </c>
      <c r="I500" s="3">
        <v>0</v>
      </c>
      <c r="J500" s="4">
        <v>820</v>
      </c>
      <c r="K500" s="3">
        <v>2</v>
      </c>
      <c r="L500" s="3" t="s">
        <v>722</v>
      </c>
      <c r="M500" s="3">
        <v>201</v>
      </c>
      <c r="N500" s="4" t="s">
        <v>723</v>
      </c>
      <c r="O500" s="3"/>
      <c r="P500" s="3"/>
      <c r="Q500" s="27" t="s">
        <v>3292</v>
      </c>
      <c r="R500" s="3" t="str">
        <f t="shared" si="42"/>
        <v>ic_dragon4</v>
      </c>
      <c r="S500" s="3" t="str">
        <f t="shared" si="43"/>
        <v>dragon4</v>
      </c>
      <c r="T500" s="3">
        <v>1</v>
      </c>
      <c r="U500" s="3">
        <v>0</v>
      </c>
      <c r="V500" s="3">
        <v>1</v>
      </c>
      <c r="W500" s="7"/>
      <c r="X500" s="27" t="s">
        <v>3107</v>
      </c>
      <c r="Y500" s="3"/>
    </row>
    <row r="501" spans="1:25" x14ac:dyDescent="0.15">
      <c r="A501" s="3">
        <v>201441</v>
      </c>
      <c r="B501" s="27" t="s">
        <v>3108</v>
      </c>
      <c r="C501" s="3">
        <v>0</v>
      </c>
      <c r="D501" s="3">
        <v>0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4">
        <v>811</v>
      </c>
      <c r="K501" s="3">
        <v>2</v>
      </c>
      <c r="L501" s="3" t="s">
        <v>722</v>
      </c>
      <c r="M501" s="3">
        <v>201</v>
      </c>
      <c r="N501" s="4" t="s">
        <v>723</v>
      </c>
      <c r="O501" s="3"/>
      <c r="P501" s="3"/>
      <c r="Q501" s="27" t="s">
        <v>3040</v>
      </c>
      <c r="R501" s="3" t="str">
        <f t="shared" si="42"/>
        <v>ic_dragon5</v>
      </c>
      <c r="S501" s="3" t="str">
        <f t="shared" si="43"/>
        <v>dragon5</v>
      </c>
      <c r="T501" s="3">
        <v>1</v>
      </c>
      <c r="U501" s="3">
        <v>0</v>
      </c>
      <c r="V501" s="3">
        <v>1</v>
      </c>
      <c r="W501" s="7"/>
      <c r="X501" s="27" t="s">
        <v>3108</v>
      </c>
      <c r="Y501" s="3"/>
    </row>
    <row r="502" spans="1:25" x14ac:dyDescent="0.15">
      <c r="A502" s="3">
        <v>201442</v>
      </c>
      <c r="B502" s="27" t="s">
        <v>3109</v>
      </c>
      <c r="C502" s="3">
        <v>0</v>
      </c>
      <c r="D502" s="3">
        <v>0</v>
      </c>
      <c r="E502" s="3">
        <v>0</v>
      </c>
      <c r="F502" s="3">
        <v>0</v>
      </c>
      <c r="G502" s="3">
        <v>0</v>
      </c>
      <c r="H502" s="3">
        <v>0</v>
      </c>
      <c r="I502" s="3">
        <v>0</v>
      </c>
      <c r="J502" s="4">
        <v>812</v>
      </c>
      <c r="K502" s="3">
        <v>2</v>
      </c>
      <c r="L502" s="3" t="s">
        <v>722</v>
      </c>
      <c r="M502" s="3">
        <v>201</v>
      </c>
      <c r="N502" s="4" t="s">
        <v>723</v>
      </c>
      <c r="O502" s="3"/>
      <c r="P502" s="3"/>
      <c r="Q502" s="27" t="s">
        <v>3040</v>
      </c>
      <c r="R502" s="3" t="str">
        <f t="shared" si="42"/>
        <v>ic_dragon5</v>
      </c>
      <c r="S502" s="3" t="str">
        <f t="shared" si="43"/>
        <v>dragon5</v>
      </c>
      <c r="T502" s="3">
        <v>1</v>
      </c>
      <c r="U502" s="3">
        <v>0</v>
      </c>
      <c r="V502" s="3">
        <v>1</v>
      </c>
      <c r="W502" s="7"/>
      <c r="X502" s="27" t="s">
        <v>3109</v>
      </c>
      <c r="Y502" s="3"/>
    </row>
    <row r="503" spans="1:25" x14ac:dyDescent="0.15">
      <c r="A503" s="3">
        <v>201443</v>
      </c>
      <c r="B503" s="27" t="s">
        <v>3110</v>
      </c>
      <c r="C503" s="3">
        <v>0</v>
      </c>
      <c r="D503" s="3">
        <v>0</v>
      </c>
      <c r="E503" s="3">
        <v>0</v>
      </c>
      <c r="F503" s="3">
        <v>0</v>
      </c>
      <c r="G503" s="3">
        <v>0</v>
      </c>
      <c r="H503" s="3">
        <v>0</v>
      </c>
      <c r="I503" s="3">
        <v>0</v>
      </c>
      <c r="J503" s="4">
        <v>813</v>
      </c>
      <c r="K503" s="3">
        <v>2</v>
      </c>
      <c r="L503" s="3" t="s">
        <v>722</v>
      </c>
      <c r="M503" s="3">
        <v>201</v>
      </c>
      <c r="N503" s="4" t="s">
        <v>723</v>
      </c>
      <c r="O503" s="3"/>
      <c r="P503" s="3"/>
      <c r="Q503" s="27" t="s">
        <v>3040</v>
      </c>
      <c r="R503" s="3" t="str">
        <f t="shared" si="42"/>
        <v>ic_dragon5</v>
      </c>
      <c r="S503" s="3" t="str">
        <f t="shared" si="43"/>
        <v>dragon5</v>
      </c>
      <c r="T503" s="3">
        <v>1</v>
      </c>
      <c r="U503" s="3">
        <v>0</v>
      </c>
      <c r="V503" s="3">
        <v>1</v>
      </c>
      <c r="W503" s="7"/>
      <c r="X503" s="27" t="s">
        <v>3110</v>
      </c>
      <c r="Y503" s="3"/>
    </row>
    <row r="504" spans="1:25" x14ac:dyDescent="0.15">
      <c r="A504" s="3">
        <v>201444</v>
      </c>
      <c r="B504" s="27" t="s">
        <v>3111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4">
        <v>814</v>
      </c>
      <c r="K504" s="3">
        <v>2</v>
      </c>
      <c r="L504" s="3" t="s">
        <v>722</v>
      </c>
      <c r="M504" s="3">
        <v>201</v>
      </c>
      <c r="N504" s="4" t="s">
        <v>723</v>
      </c>
      <c r="O504" s="3"/>
      <c r="P504" s="3"/>
      <c r="Q504" s="27" t="s">
        <v>3040</v>
      </c>
      <c r="R504" s="3" t="str">
        <f t="shared" si="42"/>
        <v>ic_dragon5</v>
      </c>
      <c r="S504" s="3" t="str">
        <f t="shared" si="43"/>
        <v>dragon5</v>
      </c>
      <c r="T504" s="3">
        <v>1</v>
      </c>
      <c r="U504" s="3">
        <v>0</v>
      </c>
      <c r="V504" s="3">
        <v>1</v>
      </c>
      <c r="W504" s="7"/>
      <c r="X504" s="27" t="s">
        <v>3111</v>
      </c>
      <c r="Y504" s="3"/>
    </row>
    <row r="505" spans="1:25" x14ac:dyDescent="0.15">
      <c r="A505" s="3">
        <v>201445</v>
      </c>
      <c r="B505" s="27" t="s">
        <v>3112</v>
      </c>
      <c r="C505" s="3">
        <v>0</v>
      </c>
      <c r="D505" s="3">
        <v>0</v>
      </c>
      <c r="E505" s="3">
        <v>0</v>
      </c>
      <c r="F505" s="3">
        <v>0</v>
      </c>
      <c r="G505" s="3">
        <v>0</v>
      </c>
      <c r="H505" s="3">
        <v>0</v>
      </c>
      <c r="I505" s="3">
        <v>0</v>
      </c>
      <c r="J505" s="4">
        <v>815</v>
      </c>
      <c r="K505" s="3">
        <v>2</v>
      </c>
      <c r="L505" s="3" t="s">
        <v>722</v>
      </c>
      <c r="M505" s="3">
        <v>201</v>
      </c>
      <c r="N505" s="4" t="s">
        <v>723</v>
      </c>
      <c r="O505" s="3"/>
      <c r="P505" s="3"/>
      <c r="Q505" s="27" t="s">
        <v>3040</v>
      </c>
      <c r="R505" s="3" t="str">
        <f t="shared" si="42"/>
        <v>ic_dragon5</v>
      </c>
      <c r="S505" s="3" t="str">
        <f t="shared" si="43"/>
        <v>dragon5</v>
      </c>
      <c r="T505" s="3">
        <v>1</v>
      </c>
      <c r="U505" s="3">
        <v>0</v>
      </c>
      <c r="V505" s="3">
        <v>1</v>
      </c>
      <c r="W505" s="7"/>
      <c r="X505" s="27" t="s">
        <v>3112</v>
      </c>
      <c r="Y505" s="3"/>
    </row>
    <row r="506" spans="1:25" x14ac:dyDescent="0.15">
      <c r="A506" s="3">
        <v>201446</v>
      </c>
      <c r="B506" s="27" t="s">
        <v>3113</v>
      </c>
      <c r="C506" s="3">
        <v>0</v>
      </c>
      <c r="D506" s="3">
        <v>0</v>
      </c>
      <c r="E506" s="3">
        <v>0</v>
      </c>
      <c r="F506" s="3">
        <v>0</v>
      </c>
      <c r="G506" s="3">
        <v>0</v>
      </c>
      <c r="H506" s="3">
        <v>0</v>
      </c>
      <c r="I506" s="3">
        <v>0</v>
      </c>
      <c r="J506" s="4">
        <v>816</v>
      </c>
      <c r="K506" s="3">
        <v>2</v>
      </c>
      <c r="L506" s="3" t="s">
        <v>722</v>
      </c>
      <c r="M506" s="3">
        <v>201</v>
      </c>
      <c r="N506" s="4" t="s">
        <v>723</v>
      </c>
      <c r="O506" s="3"/>
      <c r="P506" s="3"/>
      <c r="Q506" s="27" t="s">
        <v>3040</v>
      </c>
      <c r="R506" s="3" t="str">
        <f t="shared" si="42"/>
        <v>ic_dragon5</v>
      </c>
      <c r="S506" s="3" t="str">
        <f t="shared" si="43"/>
        <v>dragon5</v>
      </c>
      <c r="T506" s="3">
        <v>1</v>
      </c>
      <c r="U506" s="3">
        <v>0</v>
      </c>
      <c r="V506" s="3">
        <v>1</v>
      </c>
      <c r="W506" s="7"/>
      <c r="X506" s="27" t="s">
        <v>3113</v>
      </c>
      <c r="Y506" s="3"/>
    </row>
    <row r="507" spans="1:25" x14ac:dyDescent="0.15">
      <c r="A507" s="3">
        <v>201447</v>
      </c>
      <c r="B507" s="27" t="s">
        <v>3114</v>
      </c>
      <c r="C507" s="3">
        <v>0</v>
      </c>
      <c r="D507" s="3">
        <v>0</v>
      </c>
      <c r="E507" s="3">
        <v>0</v>
      </c>
      <c r="F507" s="3">
        <v>0</v>
      </c>
      <c r="G507" s="3">
        <v>0</v>
      </c>
      <c r="H507" s="3">
        <v>0</v>
      </c>
      <c r="I507" s="3">
        <v>0</v>
      </c>
      <c r="J507" s="4">
        <v>817</v>
      </c>
      <c r="K507" s="3">
        <v>2</v>
      </c>
      <c r="L507" s="3" t="s">
        <v>722</v>
      </c>
      <c r="M507" s="3">
        <v>201</v>
      </c>
      <c r="N507" s="4" t="s">
        <v>723</v>
      </c>
      <c r="O507" s="3"/>
      <c r="P507" s="3"/>
      <c r="Q507" s="27" t="s">
        <v>3040</v>
      </c>
      <c r="R507" s="3" t="str">
        <f t="shared" si="42"/>
        <v>ic_dragon5</v>
      </c>
      <c r="S507" s="3" t="str">
        <f t="shared" si="43"/>
        <v>dragon5</v>
      </c>
      <c r="T507" s="3">
        <v>1</v>
      </c>
      <c r="U507" s="3">
        <v>0</v>
      </c>
      <c r="V507" s="3">
        <v>1</v>
      </c>
      <c r="W507" s="7"/>
      <c r="X507" s="27" t="s">
        <v>3114</v>
      </c>
      <c r="Y507" s="3"/>
    </row>
    <row r="508" spans="1:25" x14ac:dyDescent="0.15">
      <c r="A508" s="3">
        <v>201448</v>
      </c>
      <c r="B508" s="27" t="s">
        <v>3115</v>
      </c>
      <c r="C508" s="3">
        <v>0</v>
      </c>
      <c r="D508" s="3">
        <v>0</v>
      </c>
      <c r="E508" s="3">
        <v>0</v>
      </c>
      <c r="F508" s="3">
        <v>0</v>
      </c>
      <c r="G508" s="3">
        <v>0</v>
      </c>
      <c r="H508" s="3">
        <v>0</v>
      </c>
      <c r="I508" s="3">
        <v>0</v>
      </c>
      <c r="J508" s="4">
        <v>818</v>
      </c>
      <c r="K508" s="3">
        <v>2</v>
      </c>
      <c r="L508" s="3" t="s">
        <v>722</v>
      </c>
      <c r="M508" s="3">
        <v>201</v>
      </c>
      <c r="N508" s="4" t="s">
        <v>723</v>
      </c>
      <c r="O508" s="3"/>
      <c r="P508" s="3"/>
      <c r="Q508" s="27" t="s">
        <v>3040</v>
      </c>
      <c r="R508" s="3" t="str">
        <f t="shared" si="42"/>
        <v>ic_dragon5</v>
      </c>
      <c r="S508" s="3" t="str">
        <f t="shared" si="43"/>
        <v>dragon5</v>
      </c>
      <c r="T508" s="3">
        <v>1</v>
      </c>
      <c r="U508" s="3">
        <v>0</v>
      </c>
      <c r="V508" s="3">
        <v>1</v>
      </c>
      <c r="W508" s="7"/>
      <c r="X508" s="27" t="s">
        <v>3115</v>
      </c>
      <c r="Y508" s="3"/>
    </row>
    <row r="509" spans="1:25" x14ac:dyDescent="0.15">
      <c r="A509" s="3">
        <v>201449</v>
      </c>
      <c r="B509" s="27" t="s">
        <v>3116</v>
      </c>
      <c r="C509" s="3">
        <v>0</v>
      </c>
      <c r="D509" s="3">
        <v>0</v>
      </c>
      <c r="E509" s="3">
        <v>0</v>
      </c>
      <c r="F509" s="3">
        <v>0</v>
      </c>
      <c r="G509" s="3">
        <v>0</v>
      </c>
      <c r="H509" s="3">
        <v>0</v>
      </c>
      <c r="I509" s="3">
        <v>0</v>
      </c>
      <c r="J509" s="4">
        <v>819</v>
      </c>
      <c r="K509" s="3">
        <v>2</v>
      </c>
      <c r="L509" s="3" t="s">
        <v>722</v>
      </c>
      <c r="M509" s="3">
        <v>201</v>
      </c>
      <c r="N509" s="4" t="s">
        <v>723</v>
      </c>
      <c r="O509" s="3"/>
      <c r="P509" s="3"/>
      <c r="Q509" s="27" t="s">
        <v>3040</v>
      </c>
      <c r="R509" s="3" t="str">
        <f t="shared" si="42"/>
        <v>ic_dragon5</v>
      </c>
      <c r="S509" s="3" t="str">
        <f t="shared" si="43"/>
        <v>dragon5</v>
      </c>
      <c r="T509" s="3">
        <v>1</v>
      </c>
      <c r="U509" s="3">
        <v>0</v>
      </c>
      <c r="V509" s="3">
        <v>1</v>
      </c>
      <c r="W509" s="7"/>
      <c r="X509" s="27" t="s">
        <v>3116</v>
      </c>
      <c r="Y509" s="3"/>
    </row>
    <row r="510" spans="1:25" x14ac:dyDescent="0.15">
      <c r="A510" s="3">
        <v>201450</v>
      </c>
      <c r="B510" s="27" t="s">
        <v>3117</v>
      </c>
      <c r="C510" s="3">
        <v>0</v>
      </c>
      <c r="D510" s="3">
        <v>0</v>
      </c>
      <c r="E510" s="3">
        <v>0</v>
      </c>
      <c r="F510" s="3">
        <v>0</v>
      </c>
      <c r="G510" s="3">
        <v>0</v>
      </c>
      <c r="H510" s="3">
        <v>0</v>
      </c>
      <c r="I510" s="3">
        <v>0</v>
      </c>
      <c r="J510" s="4">
        <v>820</v>
      </c>
      <c r="K510" s="3">
        <v>2</v>
      </c>
      <c r="L510" s="3" t="s">
        <v>722</v>
      </c>
      <c r="M510" s="3">
        <v>201</v>
      </c>
      <c r="N510" s="4" t="s">
        <v>723</v>
      </c>
      <c r="O510" s="3"/>
      <c r="P510" s="3"/>
      <c r="Q510" s="27" t="s">
        <v>3040</v>
      </c>
      <c r="R510" s="3" t="str">
        <f t="shared" si="42"/>
        <v>ic_dragon5</v>
      </c>
      <c r="S510" s="3" t="str">
        <f t="shared" si="43"/>
        <v>dragon5</v>
      </c>
      <c r="T510" s="3">
        <v>1</v>
      </c>
      <c r="U510" s="3">
        <v>0</v>
      </c>
      <c r="V510" s="3">
        <v>1</v>
      </c>
      <c r="W510" s="7"/>
      <c r="X510" s="27" t="s">
        <v>3117</v>
      </c>
      <c r="Y510" s="3"/>
    </row>
    <row r="511" spans="1:25" x14ac:dyDescent="0.15">
      <c r="A511" s="3">
        <v>201451</v>
      </c>
      <c r="B511" s="27" t="s">
        <v>3118</v>
      </c>
      <c r="C511" s="3">
        <v>0</v>
      </c>
      <c r="D511" s="3">
        <v>0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4">
        <v>811</v>
      </c>
      <c r="K511" s="3">
        <v>2</v>
      </c>
      <c r="L511" s="3" t="s">
        <v>722</v>
      </c>
      <c r="M511" s="3">
        <v>201</v>
      </c>
      <c r="N511" s="4" t="s">
        <v>723</v>
      </c>
      <c r="O511" s="3"/>
      <c r="P511" s="3"/>
      <c r="Q511" s="27" t="s">
        <v>3041</v>
      </c>
      <c r="R511" s="3" t="str">
        <f t="shared" si="42"/>
        <v>ic_dragon6</v>
      </c>
      <c r="S511" s="3" t="str">
        <f t="shared" si="43"/>
        <v>dragon6</v>
      </c>
      <c r="T511" s="3">
        <v>1</v>
      </c>
      <c r="U511" s="3">
        <v>0</v>
      </c>
      <c r="V511" s="3">
        <v>1</v>
      </c>
      <c r="W511" s="7"/>
      <c r="X511" s="27" t="s">
        <v>3118</v>
      </c>
      <c r="Y511" s="3"/>
    </row>
    <row r="512" spans="1:25" x14ac:dyDescent="0.15">
      <c r="A512" s="3">
        <v>201452</v>
      </c>
      <c r="B512" s="27" t="s">
        <v>3119</v>
      </c>
      <c r="C512" s="3">
        <v>0</v>
      </c>
      <c r="D512" s="3">
        <v>0</v>
      </c>
      <c r="E512" s="3">
        <v>0</v>
      </c>
      <c r="F512" s="3">
        <v>0</v>
      </c>
      <c r="G512" s="3">
        <v>0</v>
      </c>
      <c r="H512" s="3">
        <v>0</v>
      </c>
      <c r="I512" s="3">
        <v>0</v>
      </c>
      <c r="J512" s="4">
        <v>812</v>
      </c>
      <c r="K512" s="3">
        <v>2</v>
      </c>
      <c r="L512" s="3" t="s">
        <v>722</v>
      </c>
      <c r="M512" s="3">
        <v>201</v>
      </c>
      <c r="N512" s="4" t="s">
        <v>723</v>
      </c>
      <c r="O512" s="3"/>
      <c r="P512" s="3"/>
      <c r="Q512" s="27" t="s">
        <v>3041</v>
      </c>
      <c r="R512" s="3" t="str">
        <f t="shared" si="42"/>
        <v>ic_dragon6</v>
      </c>
      <c r="S512" s="3" t="str">
        <f t="shared" si="43"/>
        <v>dragon6</v>
      </c>
      <c r="T512" s="3">
        <v>1</v>
      </c>
      <c r="U512" s="3">
        <v>0</v>
      </c>
      <c r="V512" s="3">
        <v>1</v>
      </c>
      <c r="W512" s="7"/>
      <c r="X512" s="27" t="s">
        <v>3119</v>
      </c>
      <c r="Y512" s="3"/>
    </row>
    <row r="513" spans="1:25" x14ac:dyDescent="0.15">
      <c r="A513" s="3">
        <v>201453</v>
      </c>
      <c r="B513" s="27" t="s">
        <v>3120</v>
      </c>
      <c r="C513" s="3">
        <v>0</v>
      </c>
      <c r="D513" s="3">
        <v>0</v>
      </c>
      <c r="E513" s="3">
        <v>0</v>
      </c>
      <c r="F513" s="3">
        <v>0</v>
      </c>
      <c r="G513" s="3">
        <v>0</v>
      </c>
      <c r="H513" s="3">
        <v>0</v>
      </c>
      <c r="I513" s="3">
        <v>0</v>
      </c>
      <c r="J513" s="4">
        <v>813</v>
      </c>
      <c r="K513" s="3">
        <v>2</v>
      </c>
      <c r="L513" s="3" t="s">
        <v>722</v>
      </c>
      <c r="M513" s="3">
        <v>201</v>
      </c>
      <c r="N513" s="4" t="s">
        <v>723</v>
      </c>
      <c r="O513" s="3"/>
      <c r="P513" s="3"/>
      <c r="Q513" s="27" t="s">
        <v>3041</v>
      </c>
      <c r="R513" s="3" t="str">
        <f t="shared" si="42"/>
        <v>ic_dragon6</v>
      </c>
      <c r="S513" s="3" t="str">
        <f t="shared" si="43"/>
        <v>dragon6</v>
      </c>
      <c r="T513" s="3">
        <v>1</v>
      </c>
      <c r="U513" s="3">
        <v>0</v>
      </c>
      <c r="V513" s="3">
        <v>1</v>
      </c>
      <c r="W513" s="7"/>
      <c r="X513" s="27" t="s">
        <v>3120</v>
      </c>
      <c r="Y513" s="3"/>
    </row>
    <row r="514" spans="1:25" x14ac:dyDescent="0.15">
      <c r="A514" s="3">
        <v>201454</v>
      </c>
      <c r="B514" s="27" t="s">
        <v>3121</v>
      </c>
      <c r="C514" s="3">
        <v>0</v>
      </c>
      <c r="D514" s="3">
        <v>0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4">
        <v>814</v>
      </c>
      <c r="K514" s="3">
        <v>2</v>
      </c>
      <c r="L514" s="3" t="s">
        <v>722</v>
      </c>
      <c r="M514" s="3">
        <v>201</v>
      </c>
      <c r="N514" s="4" t="s">
        <v>723</v>
      </c>
      <c r="O514" s="3"/>
      <c r="P514" s="3"/>
      <c r="Q514" s="27" t="s">
        <v>3041</v>
      </c>
      <c r="R514" s="3" t="str">
        <f t="shared" si="42"/>
        <v>ic_dragon6</v>
      </c>
      <c r="S514" s="3" t="str">
        <f t="shared" si="43"/>
        <v>dragon6</v>
      </c>
      <c r="T514" s="3">
        <v>1</v>
      </c>
      <c r="U514" s="3">
        <v>0</v>
      </c>
      <c r="V514" s="3">
        <v>1</v>
      </c>
      <c r="W514" s="7"/>
      <c r="X514" s="27" t="s">
        <v>3121</v>
      </c>
      <c r="Y514" s="3"/>
    </row>
    <row r="515" spans="1:25" x14ac:dyDescent="0.15">
      <c r="A515" s="3">
        <v>201455</v>
      </c>
      <c r="B515" s="27" t="s">
        <v>3122</v>
      </c>
      <c r="C515" s="3">
        <v>0</v>
      </c>
      <c r="D515" s="3">
        <v>0</v>
      </c>
      <c r="E515" s="3">
        <v>0</v>
      </c>
      <c r="F515" s="3">
        <v>0</v>
      </c>
      <c r="G515" s="3">
        <v>0</v>
      </c>
      <c r="H515" s="3">
        <v>0</v>
      </c>
      <c r="I515" s="3">
        <v>0</v>
      </c>
      <c r="J515" s="4">
        <v>815</v>
      </c>
      <c r="K515" s="3">
        <v>2</v>
      </c>
      <c r="L515" s="3" t="s">
        <v>722</v>
      </c>
      <c r="M515" s="3">
        <v>201</v>
      </c>
      <c r="N515" s="4" t="s">
        <v>723</v>
      </c>
      <c r="O515" s="3"/>
      <c r="P515" s="3"/>
      <c r="Q515" s="27" t="s">
        <v>3041</v>
      </c>
      <c r="R515" s="3" t="str">
        <f t="shared" si="42"/>
        <v>ic_dragon6</v>
      </c>
      <c r="S515" s="3" t="str">
        <f t="shared" si="43"/>
        <v>dragon6</v>
      </c>
      <c r="T515" s="3">
        <v>1</v>
      </c>
      <c r="U515" s="3">
        <v>0</v>
      </c>
      <c r="V515" s="3">
        <v>1</v>
      </c>
      <c r="W515" s="7"/>
      <c r="X515" s="27" t="s">
        <v>3122</v>
      </c>
      <c r="Y515" s="3"/>
    </row>
    <row r="516" spans="1:25" x14ac:dyDescent="0.15">
      <c r="A516" s="3">
        <v>201456</v>
      </c>
      <c r="B516" s="27" t="s">
        <v>3123</v>
      </c>
      <c r="C516" s="3">
        <v>0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4">
        <v>816</v>
      </c>
      <c r="K516" s="3">
        <v>2</v>
      </c>
      <c r="L516" s="3" t="s">
        <v>722</v>
      </c>
      <c r="M516" s="3">
        <v>201</v>
      </c>
      <c r="N516" s="4" t="s">
        <v>723</v>
      </c>
      <c r="O516" s="3"/>
      <c r="P516" s="3"/>
      <c r="Q516" s="27" t="s">
        <v>3041</v>
      </c>
      <c r="R516" s="3" t="str">
        <f t="shared" si="42"/>
        <v>ic_dragon6</v>
      </c>
      <c r="S516" s="3" t="str">
        <f t="shared" si="43"/>
        <v>dragon6</v>
      </c>
      <c r="T516" s="3">
        <v>1</v>
      </c>
      <c r="U516" s="3">
        <v>0</v>
      </c>
      <c r="V516" s="3">
        <v>1</v>
      </c>
      <c r="W516" s="7"/>
      <c r="X516" s="27" t="s">
        <v>3123</v>
      </c>
      <c r="Y516" s="3"/>
    </row>
    <row r="517" spans="1:25" x14ac:dyDescent="0.15">
      <c r="A517" s="3">
        <v>201457</v>
      </c>
      <c r="B517" s="27" t="s">
        <v>3124</v>
      </c>
      <c r="C517" s="3">
        <v>0</v>
      </c>
      <c r="D517" s="3">
        <v>0</v>
      </c>
      <c r="E517" s="3">
        <v>0</v>
      </c>
      <c r="F517" s="3">
        <v>0</v>
      </c>
      <c r="G517" s="3">
        <v>0</v>
      </c>
      <c r="H517" s="3">
        <v>0</v>
      </c>
      <c r="I517" s="3">
        <v>0</v>
      </c>
      <c r="J517" s="4">
        <v>817</v>
      </c>
      <c r="K517" s="3">
        <v>2</v>
      </c>
      <c r="L517" s="3" t="s">
        <v>722</v>
      </c>
      <c r="M517" s="3">
        <v>201</v>
      </c>
      <c r="N517" s="4" t="s">
        <v>723</v>
      </c>
      <c r="O517" s="3"/>
      <c r="P517" s="3"/>
      <c r="Q517" s="27" t="s">
        <v>3041</v>
      </c>
      <c r="R517" s="3" t="str">
        <f t="shared" si="42"/>
        <v>ic_dragon6</v>
      </c>
      <c r="S517" s="3" t="str">
        <f t="shared" si="43"/>
        <v>dragon6</v>
      </c>
      <c r="T517" s="3">
        <v>1</v>
      </c>
      <c r="U517" s="3">
        <v>0</v>
      </c>
      <c r="V517" s="3">
        <v>1</v>
      </c>
      <c r="W517" s="7"/>
      <c r="X517" s="27" t="s">
        <v>3124</v>
      </c>
      <c r="Y517" s="3"/>
    </row>
    <row r="518" spans="1:25" x14ac:dyDescent="0.15">
      <c r="A518" s="3">
        <v>201458</v>
      </c>
      <c r="B518" s="27" t="s">
        <v>3125</v>
      </c>
      <c r="C518" s="3">
        <v>0</v>
      </c>
      <c r="D518" s="3">
        <v>0</v>
      </c>
      <c r="E518" s="3">
        <v>0</v>
      </c>
      <c r="F518" s="3">
        <v>0</v>
      </c>
      <c r="G518" s="3">
        <v>0</v>
      </c>
      <c r="H518" s="3">
        <v>0</v>
      </c>
      <c r="I518" s="3">
        <v>0</v>
      </c>
      <c r="J518" s="4">
        <v>818</v>
      </c>
      <c r="K518" s="3">
        <v>2</v>
      </c>
      <c r="L518" s="3" t="s">
        <v>722</v>
      </c>
      <c r="M518" s="3">
        <v>201</v>
      </c>
      <c r="N518" s="4" t="s">
        <v>723</v>
      </c>
      <c r="O518" s="3"/>
      <c r="P518" s="3"/>
      <c r="Q518" s="27" t="s">
        <v>3041</v>
      </c>
      <c r="R518" s="3" t="str">
        <f t="shared" si="42"/>
        <v>ic_dragon6</v>
      </c>
      <c r="S518" s="3" t="str">
        <f t="shared" si="43"/>
        <v>dragon6</v>
      </c>
      <c r="T518" s="3">
        <v>1</v>
      </c>
      <c r="U518" s="3">
        <v>0</v>
      </c>
      <c r="V518" s="3">
        <v>1</v>
      </c>
      <c r="W518" s="7"/>
      <c r="X518" s="27" t="s">
        <v>3125</v>
      </c>
      <c r="Y518" s="3"/>
    </row>
    <row r="519" spans="1:25" x14ac:dyDescent="0.15">
      <c r="A519" s="3">
        <v>201459</v>
      </c>
      <c r="B519" s="27" t="s">
        <v>3126</v>
      </c>
      <c r="C519" s="3">
        <v>0</v>
      </c>
      <c r="D519" s="3">
        <v>0</v>
      </c>
      <c r="E519" s="3">
        <v>0</v>
      </c>
      <c r="F519" s="3">
        <v>0</v>
      </c>
      <c r="G519" s="3">
        <v>0</v>
      </c>
      <c r="H519" s="3">
        <v>0</v>
      </c>
      <c r="I519" s="3">
        <v>0</v>
      </c>
      <c r="J519" s="4">
        <v>819</v>
      </c>
      <c r="K519" s="3">
        <v>2</v>
      </c>
      <c r="L519" s="3" t="s">
        <v>722</v>
      </c>
      <c r="M519" s="3">
        <v>201</v>
      </c>
      <c r="N519" s="4" t="s">
        <v>723</v>
      </c>
      <c r="O519" s="3"/>
      <c r="P519" s="3"/>
      <c r="Q519" s="27" t="s">
        <v>3041</v>
      </c>
      <c r="R519" s="3" t="str">
        <f t="shared" si="42"/>
        <v>ic_dragon6</v>
      </c>
      <c r="S519" s="3" t="str">
        <f t="shared" si="43"/>
        <v>dragon6</v>
      </c>
      <c r="T519" s="3">
        <v>1</v>
      </c>
      <c r="U519" s="3">
        <v>0</v>
      </c>
      <c r="V519" s="3">
        <v>1</v>
      </c>
      <c r="W519" s="7"/>
      <c r="X519" s="27" t="s">
        <v>3126</v>
      </c>
      <c r="Y519" s="3"/>
    </row>
    <row r="520" spans="1:25" x14ac:dyDescent="0.15">
      <c r="A520" s="3">
        <v>201460</v>
      </c>
      <c r="B520" s="27" t="s">
        <v>3127</v>
      </c>
      <c r="C520" s="3">
        <v>0</v>
      </c>
      <c r="D520" s="3">
        <v>0</v>
      </c>
      <c r="E520" s="3">
        <v>0</v>
      </c>
      <c r="F520" s="3">
        <v>0</v>
      </c>
      <c r="G520" s="3">
        <v>0</v>
      </c>
      <c r="H520" s="3">
        <v>0</v>
      </c>
      <c r="I520" s="3">
        <v>0</v>
      </c>
      <c r="J520" s="4">
        <v>820</v>
      </c>
      <c r="K520" s="3">
        <v>2</v>
      </c>
      <c r="L520" s="3" t="s">
        <v>722</v>
      </c>
      <c r="M520" s="3">
        <v>201</v>
      </c>
      <c r="N520" s="4" t="s">
        <v>723</v>
      </c>
      <c r="O520" s="3"/>
      <c r="P520" s="3"/>
      <c r="Q520" s="27" t="s">
        <v>3041</v>
      </c>
      <c r="R520" s="3" t="str">
        <f t="shared" si="42"/>
        <v>ic_dragon6</v>
      </c>
      <c r="S520" s="3" t="str">
        <f t="shared" si="43"/>
        <v>dragon6</v>
      </c>
      <c r="T520" s="3">
        <v>1</v>
      </c>
      <c r="U520" s="3">
        <v>0</v>
      </c>
      <c r="V520" s="3">
        <v>1</v>
      </c>
      <c r="W520" s="7"/>
      <c r="X520" s="27" t="s">
        <v>3127</v>
      </c>
      <c r="Y520" s="3"/>
    </row>
    <row r="521" spans="1:25" x14ac:dyDescent="0.15">
      <c r="A521" s="3">
        <v>201461</v>
      </c>
      <c r="B521" s="27" t="s">
        <v>3128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4">
        <v>811</v>
      </c>
      <c r="K521" s="3">
        <v>2</v>
      </c>
      <c r="L521" s="3" t="s">
        <v>722</v>
      </c>
      <c r="M521" s="3">
        <v>201</v>
      </c>
      <c r="N521" s="4" t="s">
        <v>723</v>
      </c>
      <c r="O521" s="3"/>
      <c r="P521" s="3"/>
      <c r="Q521" s="27" t="s">
        <v>3293</v>
      </c>
      <c r="R521" s="3" t="str">
        <f t="shared" si="42"/>
        <v>ic_dragon7</v>
      </c>
      <c r="S521" s="3" t="str">
        <f t="shared" si="43"/>
        <v>dragon7</v>
      </c>
      <c r="T521" s="3">
        <v>1</v>
      </c>
      <c r="U521" s="3">
        <v>0</v>
      </c>
      <c r="V521" s="3">
        <v>1</v>
      </c>
      <c r="W521" s="7"/>
      <c r="X521" s="27" t="s">
        <v>3128</v>
      </c>
      <c r="Y521" s="3"/>
    </row>
    <row r="522" spans="1:25" x14ac:dyDescent="0.15">
      <c r="A522" s="3">
        <v>201462</v>
      </c>
      <c r="B522" s="27" t="s">
        <v>3129</v>
      </c>
      <c r="C522" s="3">
        <v>0</v>
      </c>
      <c r="D522" s="3">
        <v>0</v>
      </c>
      <c r="E522" s="3">
        <v>0</v>
      </c>
      <c r="F522" s="3">
        <v>0</v>
      </c>
      <c r="G522" s="3">
        <v>0</v>
      </c>
      <c r="H522" s="3">
        <v>0</v>
      </c>
      <c r="I522" s="3">
        <v>0</v>
      </c>
      <c r="J522" s="4">
        <v>812</v>
      </c>
      <c r="K522" s="3">
        <v>2</v>
      </c>
      <c r="L522" s="3" t="s">
        <v>722</v>
      </c>
      <c r="M522" s="3">
        <v>201</v>
      </c>
      <c r="N522" s="4" t="s">
        <v>723</v>
      </c>
      <c r="O522" s="3"/>
      <c r="P522" s="3"/>
      <c r="Q522" s="27" t="s">
        <v>3293</v>
      </c>
      <c r="R522" s="3" t="str">
        <f t="shared" si="42"/>
        <v>ic_dragon7</v>
      </c>
      <c r="S522" s="3" t="str">
        <f t="shared" si="43"/>
        <v>dragon7</v>
      </c>
      <c r="T522" s="3">
        <v>1</v>
      </c>
      <c r="U522" s="3">
        <v>0</v>
      </c>
      <c r="V522" s="3">
        <v>1</v>
      </c>
      <c r="W522" s="7"/>
      <c r="X522" s="27" t="s">
        <v>3129</v>
      </c>
      <c r="Y522" s="3"/>
    </row>
    <row r="523" spans="1:25" x14ac:dyDescent="0.15">
      <c r="A523" s="3">
        <v>201463</v>
      </c>
      <c r="B523" s="27" t="s">
        <v>3130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4">
        <v>813</v>
      </c>
      <c r="K523" s="3">
        <v>2</v>
      </c>
      <c r="L523" s="3" t="s">
        <v>722</v>
      </c>
      <c r="M523" s="3">
        <v>201</v>
      </c>
      <c r="N523" s="4" t="s">
        <v>723</v>
      </c>
      <c r="O523" s="3"/>
      <c r="P523" s="3"/>
      <c r="Q523" s="27" t="s">
        <v>3293</v>
      </c>
      <c r="R523" s="3" t="str">
        <f t="shared" si="42"/>
        <v>ic_dragon7</v>
      </c>
      <c r="S523" s="3" t="str">
        <f t="shared" si="43"/>
        <v>dragon7</v>
      </c>
      <c r="T523" s="3">
        <v>1</v>
      </c>
      <c r="U523" s="3">
        <v>0</v>
      </c>
      <c r="V523" s="3">
        <v>1</v>
      </c>
      <c r="W523" s="7"/>
      <c r="X523" s="27" t="s">
        <v>3130</v>
      </c>
      <c r="Y523" s="3"/>
    </row>
    <row r="524" spans="1:25" x14ac:dyDescent="0.15">
      <c r="A524" s="3">
        <v>201464</v>
      </c>
      <c r="B524" s="27" t="s">
        <v>3131</v>
      </c>
      <c r="C524" s="3">
        <v>0</v>
      </c>
      <c r="D524" s="3">
        <v>0</v>
      </c>
      <c r="E524" s="3">
        <v>0</v>
      </c>
      <c r="F524" s="3">
        <v>0</v>
      </c>
      <c r="G524" s="3">
        <v>0</v>
      </c>
      <c r="H524" s="3">
        <v>0</v>
      </c>
      <c r="I524" s="3">
        <v>0</v>
      </c>
      <c r="J524" s="4">
        <v>814</v>
      </c>
      <c r="K524" s="3">
        <v>2</v>
      </c>
      <c r="L524" s="3" t="s">
        <v>722</v>
      </c>
      <c r="M524" s="3">
        <v>201</v>
      </c>
      <c r="N524" s="4" t="s">
        <v>723</v>
      </c>
      <c r="O524" s="3"/>
      <c r="P524" s="3"/>
      <c r="Q524" s="27" t="s">
        <v>3293</v>
      </c>
      <c r="R524" s="3" t="str">
        <f t="shared" si="42"/>
        <v>ic_dragon7</v>
      </c>
      <c r="S524" s="3" t="str">
        <f t="shared" si="43"/>
        <v>dragon7</v>
      </c>
      <c r="T524" s="3">
        <v>1</v>
      </c>
      <c r="U524" s="3">
        <v>0</v>
      </c>
      <c r="V524" s="3">
        <v>1</v>
      </c>
      <c r="W524" s="7"/>
      <c r="X524" s="27" t="s">
        <v>3131</v>
      </c>
      <c r="Y524" s="3"/>
    </row>
    <row r="525" spans="1:25" x14ac:dyDescent="0.15">
      <c r="A525" s="3">
        <v>201465</v>
      </c>
      <c r="B525" s="27" t="s">
        <v>3132</v>
      </c>
      <c r="C525" s="3">
        <v>0</v>
      </c>
      <c r="D525" s="3">
        <v>0</v>
      </c>
      <c r="E525" s="3">
        <v>0</v>
      </c>
      <c r="F525" s="3">
        <v>0</v>
      </c>
      <c r="G525" s="3">
        <v>0</v>
      </c>
      <c r="H525" s="3">
        <v>0</v>
      </c>
      <c r="I525" s="3">
        <v>0</v>
      </c>
      <c r="J525" s="4">
        <v>815</v>
      </c>
      <c r="K525" s="3">
        <v>2</v>
      </c>
      <c r="L525" s="3" t="s">
        <v>722</v>
      </c>
      <c r="M525" s="3">
        <v>201</v>
      </c>
      <c r="N525" s="4" t="s">
        <v>723</v>
      </c>
      <c r="O525" s="3"/>
      <c r="P525" s="3"/>
      <c r="Q525" s="27" t="s">
        <v>3293</v>
      </c>
      <c r="R525" s="3" t="str">
        <f t="shared" si="42"/>
        <v>ic_dragon7</v>
      </c>
      <c r="S525" s="3" t="str">
        <f t="shared" si="43"/>
        <v>dragon7</v>
      </c>
      <c r="T525" s="3">
        <v>1</v>
      </c>
      <c r="U525" s="3">
        <v>0</v>
      </c>
      <c r="V525" s="3">
        <v>1</v>
      </c>
      <c r="W525" s="7"/>
      <c r="X525" s="27" t="s">
        <v>3132</v>
      </c>
      <c r="Y525" s="3"/>
    </row>
    <row r="526" spans="1:25" x14ac:dyDescent="0.15">
      <c r="A526" s="3">
        <v>201466</v>
      </c>
      <c r="B526" s="27" t="s">
        <v>3133</v>
      </c>
      <c r="C526" s="3">
        <v>0</v>
      </c>
      <c r="D526" s="3">
        <v>0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4">
        <v>816</v>
      </c>
      <c r="K526" s="3">
        <v>2</v>
      </c>
      <c r="L526" s="3" t="s">
        <v>722</v>
      </c>
      <c r="M526" s="3">
        <v>201</v>
      </c>
      <c r="N526" s="4" t="s">
        <v>723</v>
      </c>
      <c r="O526" s="3"/>
      <c r="P526" s="3"/>
      <c r="Q526" s="27" t="s">
        <v>3293</v>
      </c>
      <c r="R526" s="3" t="str">
        <f t="shared" ref="R526:R589" si="44">CONCATENATE("ic_",Q526)</f>
        <v>ic_dragon7</v>
      </c>
      <c r="S526" s="3" t="str">
        <f t="shared" ref="S526:S589" si="45">Q526</f>
        <v>dragon7</v>
      </c>
      <c r="T526" s="3">
        <v>1</v>
      </c>
      <c r="U526" s="3">
        <v>0</v>
      </c>
      <c r="V526" s="3">
        <v>1</v>
      </c>
      <c r="W526" s="7"/>
      <c r="X526" s="27" t="s">
        <v>3133</v>
      </c>
      <c r="Y526" s="3"/>
    </row>
    <row r="527" spans="1:25" x14ac:dyDescent="0.15">
      <c r="A527" s="3">
        <v>201467</v>
      </c>
      <c r="B527" s="27" t="s">
        <v>3134</v>
      </c>
      <c r="C527" s="3">
        <v>0</v>
      </c>
      <c r="D527" s="3">
        <v>0</v>
      </c>
      <c r="E527" s="3">
        <v>0</v>
      </c>
      <c r="F527" s="3">
        <v>0</v>
      </c>
      <c r="G527" s="3">
        <v>0</v>
      </c>
      <c r="H527" s="3">
        <v>0</v>
      </c>
      <c r="I527" s="3">
        <v>0</v>
      </c>
      <c r="J527" s="4">
        <v>817</v>
      </c>
      <c r="K527" s="3">
        <v>2</v>
      </c>
      <c r="L527" s="3" t="s">
        <v>722</v>
      </c>
      <c r="M527" s="3">
        <v>201</v>
      </c>
      <c r="N527" s="4" t="s">
        <v>723</v>
      </c>
      <c r="O527" s="3"/>
      <c r="P527" s="3"/>
      <c r="Q527" s="27" t="s">
        <v>3293</v>
      </c>
      <c r="R527" s="3" t="str">
        <f t="shared" si="44"/>
        <v>ic_dragon7</v>
      </c>
      <c r="S527" s="3" t="str">
        <f t="shared" si="45"/>
        <v>dragon7</v>
      </c>
      <c r="T527" s="3">
        <v>1</v>
      </c>
      <c r="U527" s="3">
        <v>0</v>
      </c>
      <c r="V527" s="3">
        <v>1</v>
      </c>
      <c r="W527" s="7"/>
      <c r="X527" s="27" t="s">
        <v>3134</v>
      </c>
      <c r="Y527" s="3"/>
    </row>
    <row r="528" spans="1:25" x14ac:dyDescent="0.15">
      <c r="A528" s="3">
        <v>201468</v>
      </c>
      <c r="B528" s="27" t="s">
        <v>3135</v>
      </c>
      <c r="C528" s="3">
        <v>0</v>
      </c>
      <c r="D528" s="3">
        <v>0</v>
      </c>
      <c r="E528" s="3">
        <v>0</v>
      </c>
      <c r="F528" s="3">
        <v>0</v>
      </c>
      <c r="G528" s="3">
        <v>0</v>
      </c>
      <c r="H528" s="3">
        <v>0</v>
      </c>
      <c r="I528" s="3">
        <v>0</v>
      </c>
      <c r="J528" s="4">
        <v>818</v>
      </c>
      <c r="K528" s="3">
        <v>2</v>
      </c>
      <c r="L528" s="3" t="s">
        <v>722</v>
      </c>
      <c r="M528" s="3">
        <v>201</v>
      </c>
      <c r="N528" s="4" t="s">
        <v>723</v>
      </c>
      <c r="O528" s="3"/>
      <c r="P528" s="3"/>
      <c r="Q528" s="27" t="s">
        <v>3293</v>
      </c>
      <c r="R528" s="3" t="str">
        <f t="shared" si="44"/>
        <v>ic_dragon7</v>
      </c>
      <c r="S528" s="3" t="str">
        <f t="shared" si="45"/>
        <v>dragon7</v>
      </c>
      <c r="T528" s="3">
        <v>1</v>
      </c>
      <c r="U528" s="3">
        <v>0</v>
      </c>
      <c r="V528" s="3">
        <v>1</v>
      </c>
      <c r="W528" s="7"/>
      <c r="X528" s="27" t="s">
        <v>3135</v>
      </c>
      <c r="Y528" s="3"/>
    </row>
    <row r="529" spans="1:25" x14ac:dyDescent="0.15">
      <c r="A529" s="3">
        <v>201469</v>
      </c>
      <c r="B529" s="27" t="s">
        <v>3136</v>
      </c>
      <c r="C529" s="3">
        <v>0</v>
      </c>
      <c r="D529" s="3">
        <v>0</v>
      </c>
      <c r="E529" s="3">
        <v>0</v>
      </c>
      <c r="F529" s="3">
        <v>0</v>
      </c>
      <c r="G529" s="3">
        <v>0</v>
      </c>
      <c r="H529" s="3">
        <v>0</v>
      </c>
      <c r="I529" s="3">
        <v>0</v>
      </c>
      <c r="J529" s="4">
        <v>819</v>
      </c>
      <c r="K529" s="3">
        <v>2</v>
      </c>
      <c r="L529" s="3" t="s">
        <v>722</v>
      </c>
      <c r="M529" s="3">
        <v>201</v>
      </c>
      <c r="N529" s="4" t="s">
        <v>723</v>
      </c>
      <c r="O529" s="3"/>
      <c r="P529" s="3"/>
      <c r="Q529" s="27" t="s">
        <v>3293</v>
      </c>
      <c r="R529" s="3" t="str">
        <f t="shared" si="44"/>
        <v>ic_dragon7</v>
      </c>
      <c r="S529" s="3" t="str">
        <f t="shared" si="45"/>
        <v>dragon7</v>
      </c>
      <c r="T529" s="3">
        <v>1</v>
      </c>
      <c r="U529" s="3">
        <v>0</v>
      </c>
      <c r="V529" s="3">
        <v>1</v>
      </c>
      <c r="W529" s="7"/>
      <c r="X529" s="27" t="s">
        <v>3136</v>
      </c>
      <c r="Y529" s="3"/>
    </row>
    <row r="530" spans="1:25" x14ac:dyDescent="0.15">
      <c r="A530" s="3">
        <v>201470</v>
      </c>
      <c r="B530" s="27" t="s">
        <v>3137</v>
      </c>
      <c r="C530" s="3">
        <v>0</v>
      </c>
      <c r="D530" s="3">
        <v>0</v>
      </c>
      <c r="E530" s="3">
        <v>0</v>
      </c>
      <c r="F530" s="3">
        <v>0</v>
      </c>
      <c r="G530" s="3">
        <v>0</v>
      </c>
      <c r="H530" s="3">
        <v>0</v>
      </c>
      <c r="I530" s="3">
        <v>0</v>
      </c>
      <c r="J530" s="4">
        <v>820</v>
      </c>
      <c r="K530" s="3">
        <v>2</v>
      </c>
      <c r="L530" s="3" t="s">
        <v>722</v>
      </c>
      <c r="M530" s="3">
        <v>201</v>
      </c>
      <c r="N530" s="4" t="s">
        <v>723</v>
      </c>
      <c r="O530" s="3"/>
      <c r="P530" s="3"/>
      <c r="Q530" s="27" t="s">
        <v>3293</v>
      </c>
      <c r="R530" s="3" t="str">
        <f t="shared" si="44"/>
        <v>ic_dragon7</v>
      </c>
      <c r="S530" s="3" t="str">
        <f t="shared" si="45"/>
        <v>dragon7</v>
      </c>
      <c r="T530" s="3">
        <v>1</v>
      </c>
      <c r="U530" s="3">
        <v>0</v>
      </c>
      <c r="V530" s="3">
        <v>1</v>
      </c>
      <c r="W530" s="7"/>
      <c r="X530" s="27" t="s">
        <v>3137</v>
      </c>
      <c r="Y530" s="3"/>
    </row>
    <row r="531" spans="1:25" x14ac:dyDescent="0.15">
      <c r="A531" s="3">
        <v>201471</v>
      </c>
      <c r="B531" s="27" t="s">
        <v>3138</v>
      </c>
      <c r="C531" s="3">
        <v>0</v>
      </c>
      <c r="D531" s="3">
        <v>0</v>
      </c>
      <c r="E531" s="3">
        <v>0</v>
      </c>
      <c r="F531" s="3">
        <v>0</v>
      </c>
      <c r="G531" s="3">
        <v>0</v>
      </c>
      <c r="H531" s="3">
        <v>0</v>
      </c>
      <c r="I531" s="3">
        <v>0</v>
      </c>
      <c r="J531" s="4">
        <v>811</v>
      </c>
      <c r="K531" s="3">
        <v>2</v>
      </c>
      <c r="L531" s="3" t="s">
        <v>722</v>
      </c>
      <c r="M531" s="3">
        <v>201</v>
      </c>
      <c r="N531" s="4" t="s">
        <v>723</v>
      </c>
      <c r="O531" s="3"/>
      <c r="P531" s="3"/>
      <c r="Q531" s="27" t="s">
        <v>3043</v>
      </c>
      <c r="R531" s="3" t="str">
        <f t="shared" si="44"/>
        <v>ic_dragon8</v>
      </c>
      <c r="S531" s="3" t="str">
        <f t="shared" si="45"/>
        <v>dragon8</v>
      </c>
      <c r="T531" s="3">
        <v>1</v>
      </c>
      <c r="U531" s="3">
        <v>0</v>
      </c>
      <c r="V531" s="3">
        <v>1</v>
      </c>
      <c r="W531" s="7"/>
      <c r="X531" s="27" t="s">
        <v>3138</v>
      </c>
      <c r="Y531" s="3"/>
    </row>
    <row r="532" spans="1:25" x14ac:dyDescent="0.15">
      <c r="A532" s="3">
        <v>201472</v>
      </c>
      <c r="B532" s="27" t="s">
        <v>3139</v>
      </c>
      <c r="C532" s="3">
        <v>0</v>
      </c>
      <c r="D532" s="3">
        <v>0</v>
      </c>
      <c r="E532" s="3">
        <v>0</v>
      </c>
      <c r="F532" s="3">
        <v>0</v>
      </c>
      <c r="G532" s="3">
        <v>0</v>
      </c>
      <c r="H532" s="3">
        <v>0</v>
      </c>
      <c r="I532" s="3">
        <v>0</v>
      </c>
      <c r="J532" s="4">
        <v>812</v>
      </c>
      <c r="K532" s="3">
        <v>2</v>
      </c>
      <c r="L532" s="3" t="s">
        <v>722</v>
      </c>
      <c r="M532" s="3">
        <v>201</v>
      </c>
      <c r="N532" s="4" t="s">
        <v>723</v>
      </c>
      <c r="O532" s="3"/>
      <c r="P532" s="3"/>
      <c r="Q532" s="27" t="s">
        <v>3043</v>
      </c>
      <c r="R532" s="3" t="str">
        <f t="shared" si="44"/>
        <v>ic_dragon8</v>
      </c>
      <c r="S532" s="3" t="str">
        <f t="shared" si="45"/>
        <v>dragon8</v>
      </c>
      <c r="T532" s="3">
        <v>1</v>
      </c>
      <c r="U532" s="3">
        <v>0</v>
      </c>
      <c r="V532" s="3">
        <v>1</v>
      </c>
      <c r="W532" s="7"/>
      <c r="X532" s="27" t="s">
        <v>3139</v>
      </c>
      <c r="Y532" s="3"/>
    </row>
    <row r="533" spans="1:25" x14ac:dyDescent="0.15">
      <c r="A533" s="3">
        <v>201473</v>
      </c>
      <c r="B533" s="27" t="s">
        <v>3140</v>
      </c>
      <c r="C533" s="3">
        <v>0</v>
      </c>
      <c r="D533" s="3">
        <v>0</v>
      </c>
      <c r="E533" s="3">
        <v>0</v>
      </c>
      <c r="F533" s="3">
        <v>0</v>
      </c>
      <c r="G533" s="3">
        <v>0</v>
      </c>
      <c r="H533" s="3">
        <v>0</v>
      </c>
      <c r="I533" s="3">
        <v>0</v>
      </c>
      <c r="J533" s="4">
        <v>813</v>
      </c>
      <c r="K533" s="3">
        <v>2</v>
      </c>
      <c r="L533" s="3" t="s">
        <v>722</v>
      </c>
      <c r="M533" s="3">
        <v>201</v>
      </c>
      <c r="N533" s="4" t="s">
        <v>723</v>
      </c>
      <c r="O533" s="3"/>
      <c r="P533" s="3"/>
      <c r="Q533" s="27" t="s">
        <v>3043</v>
      </c>
      <c r="R533" s="3" t="str">
        <f t="shared" si="44"/>
        <v>ic_dragon8</v>
      </c>
      <c r="S533" s="3" t="str">
        <f t="shared" si="45"/>
        <v>dragon8</v>
      </c>
      <c r="T533" s="3">
        <v>1</v>
      </c>
      <c r="U533" s="3">
        <v>0</v>
      </c>
      <c r="V533" s="3">
        <v>1</v>
      </c>
      <c r="W533" s="7"/>
      <c r="X533" s="27" t="s">
        <v>3140</v>
      </c>
      <c r="Y533" s="3"/>
    </row>
    <row r="534" spans="1:25" x14ac:dyDescent="0.15">
      <c r="A534" s="3">
        <v>201474</v>
      </c>
      <c r="B534" s="27" t="s">
        <v>3141</v>
      </c>
      <c r="C534" s="3">
        <v>0</v>
      </c>
      <c r="D534" s="3">
        <v>0</v>
      </c>
      <c r="E534" s="3">
        <v>0</v>
      </c>
      <c r="F534" s="3">
        <v>0</v>
      </c>
      <c r="G534" s="3">
        <v>0</v>
      </c>
      <c r="H534" s="3">
        <v>0</v>
      </c>
      <c r="I534" s="3">
        <v>0</v>
      </c>
      <c r="J534" s="4">
        <v>814</v>
      </c>
      <c r="K534" s="3">
        <v>2</v>
      </c>
      <c r="L534" s="3" t="s">
        <v>722</v>
      </c>
      <c r="M534" s="3">
        <v>201</v>
      </c>
      <c r="N534" s="4" t="s">
        <v>723</v>
      </c>
      <c r="O534" s="3"/>
      <c r="P534" s="3"/>
      <c r="Q534" s="27" t="s">
        <v>3043</v>
      </c>
      <c r="R534" s="3" t="str">
        <f t="shared" si="44"/>
        <v>ic_dragon8</v>
      </c>
      <c r="S534" s="3" t="str">
        <f t="shared" si="45"/>
        <v>dragon8</v>
      </c>
      <c r="T534" s="3">
        <v>1</v>
      </c>
      <c r="U534" s="3">
        <v>0</v>
      </c>
      <c r="V534" s="3">
        <v>1</v>
      </c>
      <c r="W534" s="7"/>
      <c r="X534" s="27" t="s">
        <v>3141</v>
      </c>
      <c r="Y534" s="3"/>
    </row>
    <row r="535" spans="1:25" x14ac:dyDescent="0.15">
      <c r="A535" s="3">
        <v>201475</v>
      </c>
      <c r="B535" s="27" t="s">
        <v>3142</v>
      </c>
      <c r="C535" s="3">
        <v>0</v>
      </c>
      <c r="D535" s="3">
        <v>0</v>
      </c>
      <c r="E535" s="3">
        <v>0</v>
      </c>
      <c r="F535" s="3">
        <v>0</v>
      </c>
      <c r="G535" s="3">
        <v>0</v>
      </c>
      <c r="H535" s="3">
        <v>0</v>
      </c>
      <c r="I535" s="3">
        <v>0</v>
      </c>
      <c r="J535" s="4">
        <v>815</v>
      </c>
      <c r="K535" s="3">
        <v>2</v>
      </c>
      <c r="L535" s="3" t="s">
        <v>722</v>
      </c>
      <c r="M535" s="3">
        <v>201</v>
      </c>
      <c r="N535" s="4" t="s">
        <v>723</v>
      </c>
      <c r="O535" s="3"/>
      <c r="P535" s="3"/>
      <c r="Q535" s="27" t="s">
        <v>3043</v>
      </c>
      <c r="R535" s="3" t="str">
        <f t="shared" si="44"/>
        <v>ic_dragon8</v>
      </c>
      <c r="S535" s="3" t="str">
        <f t="shared" si="45"/>
        <v>dragon8</v>
      </c>
      <c r="T535" s="3">
        <v>1</v>
      </c>
      <c r="U535" s="3">
        <v>0</v>
      </c>
      <c r="V535" s="3">
        <v>1</v>
      </c>
      <c r="W535" s="7"/>
      <c r="X535" s="27" t="s">
        <v>3142</v>
      </c>
      <c r="Y535" s="3"/>
    </row>
    <row r="536" spans="1:25" x14ac:dyDescent="0.15">
      <c r="A536" s="3">
        <v>201476</v>
      </c>
      <c r="B536" s="27" t="s">
        <v>3143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4">
        <v>816</v>
      </c>
      <c r="K536" s="3">
        <v>2</v>
      </c>
      <c r="L536" s="3" t="s">
        <v>722</v>
      </c>
      <c r="M536" s="3">
        <v>201</v>
      </c>
      <c r="N536" s="4" t="s">
        <v>723</v>
      </c>
      <c r="O536" s="3"/>
      <c r="P536" s="3"/>
      <c r="Q536" s="27" t="s">
        <v>3043</v>
      </c>
      <c r="R536" s="3" t="str">
        <f t="shared" si="44"/>
        <v>ic_dragon8</v>
      </c>
      <c r="S536" s="3" t="str">
        <f t="shared" si="45"/>
        <v>dragon8</v>
      </c>
      <c r="T536" s="3">
        <v>1</v>
      </c>
      <c r="U536" s="3">
        <v>0</v>
      </c>
      <c r="V536" s="3">
        <v>1</v>
      </c>
      <c r="W536" s="7"/>
      <c r="X536" s="27" t="s">
        <v>3143</v>
      </c>
      <c r="Y536" s="3"/>
    </row>
    <row r="537" spans="1:25" x14ac:dyDescent="0.15">
      <c r="A537" s="3">
        <v>201477</v>
      </c>
      <c r="B537" s="27" t="s">
        <v>3144</v>
      </c>
      <c r="C537" s="3">
        <v>0</v>
      </c>
      <c r="D537" s="3">
        <v>0</v>
      </c>
      <c r="E537" s="3">
        <v>0</v>
      </c>
      <c r="F537" s="3">
        <v>0</v>
      </c>
      <c r="G537" s="3">
        <v>0</v>
      </c>
      <c r="H537" s="3">
        <v>0</v>
      </c>
      <c r="I537" s="3">
        <v>0</v>
      </c>
      <c r="J537" s="4">
        <v>817</v>
      </c>
      <c r="K537" s="3">
        <v>2</v>
      </c>
      <c r="L537" s="3" t="s">
        <v>722</v>
      </c>
      <c r="M537" s="3">
        <v>201</v>
      </c>
      <c r="N537" s="4" t="s">
        <v>723</v>
      </c>
      <c r="O537" s="3"/>
      <c r="P537" s="3"/>
      <c r="Q537" s="27" t="s">
        <v>3043</v>
      </c>
      <c r="R537" s="3" t="str">
        <f t="shared" si="44"/>
        <v>ic_dragon8</v>
      </c>
      <c r="S537" s="3" t="str">
        <f t="shared" si="45"/>
        <v>dragon8</v>
      </c>
      <c r="T537" s="3">
        <v>1</v>
      </c>
      <c r="U537" s="3">
        <v>0</v>
      </c>
      <c r="V537" s="3">
        <v>1</v>
      </c>
      <c r="W537" s="7"/>
      <c r="X537" s="27" t="s">
        <v>3144</v>
      </c>
      <c r="Y537" s="3"/>
    </row>
    <row r="538" spans="1:25" x14ac:dyDescent="0.15">
      <c r="A538" s="3">
        <v>201478</v>
      </c>
      <c r="B538" s="27" t="s">
        <v>3145</v>
      </c>
      <c r="C538" s="3">
        <v>0</v>
      </c>
      <c r="D538" s="3">
        <v>0</v>
      </c>
      <c r="E538" s="3">
        <v>0</v>
      </c>
      <c r="F538" s="3">
        <v>0</v>
      </c>
      <c r="G538" s="3">
        <v>0</v>
      </c>
      <c r="H538" s="3">
        <v>0</v>
      </c>
      <c r="I538" s="3">
        <v>0</v>
      </c>
      <c r="J538" s="4">
        <v>818</v>
      </c>
      <c r="K538" s="3">
        <v>2</v>
      </c>
      <c r="L538" s="3" t="s">
        <v>722</v>
      </c>
      <c r="M538" s="3">
        <v>201</v>
      </c>
      <c r="N538" s="4" t="s">
        <v>723</v>
      </c>
      <c r="O538" s="3"/>
      <c r="P538" s="3"/>
      <c r="Q538" s="27" t="s">
        <v>3043</v>
      </c>
      <c r="R538" s="3" t="str">
        <f t="shared" si="44"/>
        <v>ic_dragon8</v>
      </c>
      <c r="S538" s="3" t="str">
        <f t="shared" si="45"/>
        <v>dragon8</v>
      </c>
      <c r="T538" s="3">
        <v>1</v>
      </c>
      <c r="U538" s="3">
        <v>0</v>
      </c>
      <c r="V538" s="3">
        <v>1</v>
      </c>
      <c r="W538" s="7"/>
      <c r="X538" s="27" t="s">
        <v>3145</v>
      </c>
      <c r="Y538" s="3"/>
    </row>
    <row r="539" spans="1:25" x14ac:dyDescent="0.15">
      <c r="A539" s="3">
        <v>201479</v>
      </c>
      <c r="B539" s="27" t="s">
        <v>3146</v>
      </c>
      <c r="C539" s="3">
        <v>0</v>
      </c>
      <c r="D539" s="3">
        <v>0</v>
      </c>
      <c r="E539" s="3">
        <v>0</v>
      </c>
      <c r="F539" s="3">
        <v>0</v>
      </c>
      <c r="G539" s="3">
        <v>0</v>
      </c>
      <c r="H539" s="3">
        <v>0</v>
      </c>
      <c r="I539" s="3">
        <v>0</v>
      </c>
      <c r="J539" s="4">
        <v>819</v>
      </c>
      <c r="K539" s="3">
        <v>2</v>
      </c>
      <c r="L539" s="3" t="s">
        <v>722</v>
      </c>
      <c r="M539" s="3">
        <v>201</v>
      </c>
      <c r="N539" s="4" t="s">
        <v>723</v>
      </c>
      <c r="O539" s="3"/>
      <c r="P539" s="3"/>
      <c r="Q539" s="27" t="s">
        <v>3043</v>
      </c>
      <c r="R539" s="3" t="str">
        <f t="shared" si="44"/>
        <v>ic_dragon8</v>
      </c>
      <c r="S539" s="3" t="str">
        <f t="shared" si="45"/>
        <v>dragon8</v>
      </c>
      <c r="T539" s="3">
        <v>1</v>
      </c>
      <c r="U539" s="3">
        <v>0</v>
      </c>
      <c r="V539" s="3">
        <v>1</v>
      </c>
      <c r="W539" s="7"/>
      <c r="X539" s="27" t="s">
        <v>3146</v>
      </c>
      <c r="Y539" s="3"/>
    </row>
    <row r="540" spans="1:25" x14ac:dyDescent="0.15">
      <c r="A540" s="3">
        <v>201480</v>
      </c>
      <c r="B540" s="27" t="s">
        <v>3147</v>
      </c>
      <c r="C540" s="3">
        <v>0</v>
      </c>
      <c r="D540" s="3">
        <v>0</v>
      </c>
      <c r="E540" s="3">
        <v>0</v>
      </c>
      <c r="F540" s="3">
        <v>0</v>
      </c>
      <c r="G540" s="3">
        <v>0</v>
      </c>
      <c r="H540" s="3">
        <v>0</v>
      </c>
      <c r="I540" s="3">
        <v>0</v>
      </c>
      <c r="J540" s="4">
        <v>820</v>
      </c>
      <c r="K540" s="3">
        <v>2</v>
      </c>
      <c r="L540" s="3" t="s">
        <v>722</v>
      </c>
      <c r="M540" s="3">
        <v>201</v>
      </c>
      <c r="N540" s="4" t="s">
        <v>723</v>
      </c>
      <c r="O540" s="3"/>
      <c r="P540" s="3"/>
      <c r="Q540" s="27" t="s">
        <v>3043</v>
      </c>
      <c r="R540" s="3" t="str">
        <f t="shared" si="44"/>
        <v>ic_dragon8</v>
      </c>
      <c r="S540" s="3" t="str">
        <f t="shared" si="45"/>
        <v>dragon8</v>
      </c>
      <c r="T540" s="3">
        <v>1</v>
      </c>
      <c r="U540" s="3">
        <v>0</v>
      </c>
      <c r="V540" s="3">
        <v>1</v>
      </c>
      <c r="W540" s="7"/>
      <c r="X540" s="27" t="s">
        <v>3147</v>
      </c>
      <c r="Y540" s="3"/>
    </row>
    <row r="541" spans="1:25" x14ac:dyDescent="0.15">
      <c r="A541" s="3">
        <v>201481</v>
      </c>
      <c r="B541" s="27" t="s">
        <v>3148</v>
      </c>
      <c r="C541" s="3">
        <v>0</v>
      </c>
      <c r="D541" s="3">
        <v>0</v>
      </c>
      <c r="E541" s="3">
        <v>0</v>
      </c>
      <c r="F541" s="3">
        <v>0</v>
      </c>
      <c r="G541" s="3">
        <v>0</v>
      </c>
      <c r="H541" s="3">
        <v>0</v>
      </c>
      <c r="I541" s="3">
        <v>0</v>
      </c>
      <c r="J541" s="4">
        <v>811</v>
      </c>
      <c r="K541" s="3">
        <v>2</v>
      </c>
      <c r="L541" s="3" t="s">
        <v>722</v>
      </c>
      <c r="M541" s="3">
        <v>201</v>
      </c>
      <c r="N541" s="4" t="s">
        <v>723</v>
      </c>
      <c r="O541" s="3"/>
      <c r="P541" s="3"/>
      <c r="Q541" s="27" t="s">
        <v>3044</v>
      </c>
      <c r="R541" s="3" t="str">
        <f t="shared" si="44"/>
        <v>ic_dragon9</v>
      </c>
      <c r="S541" s="3" t="str">
        <f t="shared" si="45"/>
        <v>dragon9</v>
      </c>
      <c r="T541" s="3">
        <v>1</v>
      </c>
      <c r="U541" s="3">
        <v>0</v>
      </c>
      <c r="V541" s="3">
        <v>1</v>
      </c>
      <c r="W541" s="7"/>
      <c r="X541" s="27" t="s">
        <v>3148</v>
      </c>
      <c r="Y541" s="3"/>
    </row>
    <row r="542" spans="1:25" x14ac:dyDescent="0.15">
      <c r="A542" s="3">
        <v>201482</v>
      </c>
      <c r="B542" s="27" t="s">
        <v>3149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0</v>
      </c>
      <c r="J542" s="4">
        <v>812</v>
      </c>
      <c r="K542" s="3">
        <v>2</v>
      </c>
      <c r="L542" s="3" t="s">
        <v>722</v>
      </c>
      <c r="M542" s="3">
        <v>201</v>
      </c>
      <c r="N542" s="4" t="s">
        <v>723</v>
      </c>
      <c r="O542" s="3"/>
      <c r="P542" s="3"/>
      <c r="Q542" s="27" t="s">
        <v>3044</v>
      </c>
      <c r="R542" s="3" t="str">
        <f t="shared" si="44"/>
        <v>ic_dragon9</v>
      </c>
      <c r="S542" s="3" t="str">
        <f t="shared" si="45"/>
        <v>dragon9</v>
      </c>
      <c r="T542" s="3">
        <v>1</v>
      </c>
      <c r="U542" s="3">
        <v>0</v>
      </c>
      <c r="V542" s="3">
        <v>1</v>
      </c>
      <c r="W542" s="7"/>
      <c r="X542" s="27" t="s">
        <v>3149</v>
      </c>
      <c r="Y542" s="3"/>
    </row>
    <row r="543" spans="1:25" x14ac:dyDescent="0.15">
      <c r="A543" s="3">
        <v>201483</v>
      </c>
      <c r="B543" s="27" t="s">
        <v>3150</v>
      </c>
      <c r="C543" s="3">
        <v>0</v>
      </c>
      <c r="D543" s="3">
        <v>0</v>
      </c>
      <c r="E543" s="3">
        <v>0</v>
      </c>
      <c r="F543" s="3">
        <v>0</v>
      </c>
      <c r="G543" s="3">
        <v>0</v>
      </c>
      <c r="H543" s="3">
        <v>0</v>
      </c>
      <c r="I543" s="3">
        <v>0</v>
      </c>
      <c r="J543" s="4">
        <v>813</v>
      </c>
      <c r="K543" s="3">
        <v>2</v>
      </c>
      <c r="L543" s="3" t="s">
        <v>722</v>
      </c>
      <c r="M543" s="3">
        <v>201</v>
      </c>
      <c r="N543" s="4" t="s">
        <v>723</v>
      </c>
      <c r="O543" s="3"/>
      <c r="P543" s="3"/>
      <c r="Q543" s="27" t="s">
        <v>3044</v>
      </c>
      <c r="R543" s="3" t="str">
        <f t="shared" si="44"/>
        <v>ic_dragon9</v>
      </c>
      <c r="S543" s="3" t="str">
        <f t="shared" si="45"/>
        <v>dragon9</v>
      </c>
      <c r="T543" s="3">
        <v>1</v>
      </c>
      <c r="U543" s="3">
        <v>0</v>
      </c>
      <c r="V543" s="3">
        <v>1</v>
      </c>
      <c r="W543" s="7"/>
      <c r="X543" s="27" t="s">
        <v>3150</v>
      </c>
      <c r="Y543" s="3"/>
    </row>
    <row r="544" spans="1:25" x14ac:dyDescent="0.15">
      <c r="A544" s="3">
        <v>201484</v>
      </c>
      <c r="B544" s="27" t="s">
        <v>3151</v>
      </c>
      <c r="C544" s="3">
        <v>0</v>
      </c>
      <c r="D544" s="3">
        <v>0</v>
      </c>
      <c r="E544" s="3">
        <v>0</v>
      </c>
      <c r="F544" s="3">
        <v>0</v>
      </c>
      <c r="G544" s="3">
        <v>0</v>
      </c>
      <c r="H544" s="3">
        <v>0</v>
      </c>
      <c r="I544" s="3">
        <v>0</v>
      </c>
      <c r="J544" s="4">
        <v>814</v>
      </c>
      <c r="K544" s="3">
        <v>2</v>
      </c>
      <c r="L544" s="3" t="s">
        <v>722</v>
      </c>
      <c r="M544" s="3">
        <v>201</v>
      </c>
      <c r="N544" s="4" t="s">
        <v>723</v>
      </c>
      <c r="O544" s="3"/>
      <c r="P544" s="3"/>
      <c r="Q544" s="27" t="s">
        <v>3044</v>
      </c>
      <c r="R544" s="3" t="str">
        <f t="shared" si="44"/>
        <v>ic_dragon9</v>
      </c>
      <c r="S544" s="3" t="str">
        <f t="shared" si="45"/>
        <v>dragon9</v>
      </c>
      <c r="T544" s="3">
        <v>1</v>
      </c>
      <c r="U544" s="3">
        <v>0</v>
      </c>
      <c r="V544" s="3">
        <v>1</v>
      </c>
      <c r="W544" s="7"/>
      <c r="X544" s="27" t="s">
        <v>3151</v>
      </c>
      <c r="Y544" s="3"/>
    </row>
    <row r="545" spans="1:25" x14ac:dyDescent="0.15">
      <c r="A545" s="3">
        <v>201485</v>
      </c>
      <c r="B545" s="27" t="s">
        <v>3152</v>
      </c>
      <c r="C545" s="3">
        <v>0</v>
      </c>
      <c r="D545" s="3">
        <v>0</v>
      </c>
      <c r="E545" s="3">
        <v>0</v>
      </c>
      <c r="F545" s="3">
        <v>0</v>
      </c>
      <c r="G545" s="3">
        <v>0</v>
      </c>
      <c r="H545" s="3">
        <v>0</v>
      </c>
      <c r="I545" s="3">
        <v>0</v>
      </c>
      <c r="J545" s="4">
        <v>815</v>
      </c>
      <c r="K545" s="3">
        <v>2</v>
      </c>
      <c r="L545" s="3" t="s">
        <v>722</v>
      </c>
      <c r="M545" s="3">
        <v>201</v>
      </c>
      <c r="N545" s="4" t="s">
        <v>723</v>
      </c>
      <c r="O545" s="3"/>
      <c r="P545" s="3"/>
      <c r="Q545" s="27" t="s">
        <v>3044</v>
      </c>
      <c r="R545" s="3" t="str">
        <f t="shared" si="44"/>
        <v>ic_dragon9</v>
      </c>
      <c r="S545" s="3" t="str">
        <f t="shared" si="45"/>
        <v>dragon9</v>
      </c>
      <c r="T545" s="3">
        <v>1</v>
      </c>
      <c r="U545" s="3">
        <v>0</v>
      </c>
      <c r="V545" s="3">
        <v>1</v>
      </c>
      <c r="W545" s="7"/>
      <c r="X545" s="27" t="s">
        <v>3152</v>
      </c>
      <c r="Y545" s="3"/>
    </row>
    <row r="546" spans="1:25" x14ac:dyDescent="0.15">
      <c r="A546" s="3">
        <v>201486</v>
      </c>
      <c r="B546" s="27" t="s">
        <v>3153</v>
      </c>
      <c r="C546" s="3">
        <v>0</v>
      </c>
      <c r="D546" s="3">
        <v>0</v>
      </c>
      <c r="E546" s="3">
        <v>0</v>
      </c>
      <c r="F546" s="3">
        <v>0</v>
      </c>
      <c r="G546" s="3">
        <v>0</v>
      </c>
      <c r="H546" s="3">
        <v>0</v>
      </c>
      <c r="I546" s="3">
        <v>0</v>
      </c>
      <c r="J546" s="4">
        <v>816</v>
      </c>
      <c r="K546" s="3">
        <v>2</v>
      </c>
      <c r="L546" s="3" t="s">
        <v>722</v>
      </c>
      <c r="M546" s="3">
        <v>201</v>
      </c>
      <c r="N546" s="4" t="s">
        <v>723</v>
      </c>
      <c r="O546" s="3"/>
      <c r="P546" s="3"/>
      <c r="Q546" s="27" t="s">
        <v>3044</v>
      </c>
      <c r="R546" s="3" t="str">
        <f t="shared" si="44"/>
        <v>ic_dragon9</v>
      </c>
      <c r="S546" s="3" t="str">
        <f t="shared" si="45"/>
        <v>dragon9</v>
      </c>
      <c r="T546" s="3">
        <v>1</v>
      </c>
      <c r="U546" s="3">
        <v>0</v>
      </c>
      <c r="V546" s="3">
        <v>1</v>
      </c>
      <c r="W546" s="7"/>
      <c r="X546" s="27" t="s">
        <v>3153</v>
      </c>
      <c r="Y546" s="3"/>
    </row>
    <row r="547" spans="1:25" x14ac:dyDescent="0.15">
      <c r="A547" s="3">
        <v>201487</v>
      </c>
      <c r="B547" s="27" t="s">
        <v>3154</v>
      </c>
      <c r="C547" s="3">
        <v>0</v>
      </c>
      <c r="D547" s="3">
        <v>0</v>
      </c>
      <c r="E547" s="3">
        <v>0</v>
      </c>
      <c r="F547" s="3">
        <v>0</v>
      </c>
      <c r="G547" s="3">
        <v>0</v>
      </c>
      <c r="H547" s="3">
        <v>0</v>
      </c>
      <c r="I547" s="3">
        <v>0</v>
      </c>
      <c r="J547" s="4">
        <v>817</v>
      </c>
      <c r="K547" s="3">
        <v>2</v>
      </c>
      <c r="L547" s="3" t="s">
        <v>722</v>
      </c>
      <c r="M547" s="3">
        <v>201</v>
      </c>
      <c r="N547" s="4" t="s">
        <v>723</v>
      </c>
      <c r="O547" s="3"/>
      <c r="P547" s="3"/>
      <c r="Q547" s="27" t="s">
        <v>3044</v>
      </c>
      <c r="R547" s="3" t="str">
        <f t="shared" si="44"/>
        <v>ic_dragon9</v>
      </c>
      <c r="S547" s="3" t="str">
        <f t="shared" si="45"/>
        <v>dragon9</v>
      </c>
      <c r="T547" s="3">
        <v>1</v>
      </c>
      <c r="U547" s="3">
        <v>0</v>
      </c>
      <c r="V547" s="3">
        <v>1</v>
      </c>
      <c r="W547" s="7"/>
      <c r="X547" s="27" t="s">
        <v>3154</v>
      </c>
      <c r="Y547" s="3"/>
    </row>
    <row r="548" spans="1:25" x14ac:dyDescent="0.15">
      <c r="A548" s="3">
        <v>201488</v>
      </c>
      <c r="B548" s="27" t="s">
        <v>3155</v>
      </c>
      <c r="C548" s="3">
        <v>0</v>
      </c>
      <c r="D548" s="3">
        <v>0</v>
      </c>
      <c r="E548" s="3">
        <v>0</v>
      </c>
      <c r="F548" s="3">
        <v>0</v>
      </c>
      <c r="G548" s="3">
        <v>0</v>
      </c>
      <c r="H548" s="3">
        <v>0</v>
      </c>
      <c r="I548" s="3">
        <v>0</v>
      </c>
      <c r="J548" s="4">
        <v>818</v>
      </c>
      <c r="K548" s="3">
        <v>2</v>
      </c>
      <c r="L548" s="3" t="s">
        <v>722</v>
      </c>
      <c r="M548" s="3">
        <v>201</v>
      </c>
      <c r="N548" s="4" t="s">
        <v>723</v>
      </c>
      <c r="O548" s="3"/>
      <c r="P548" s="3"/>
      <c r="Q548" s="27" t="s">
        <v>3044</v>
      </c>
      <c r="R548" s="3" t="str">
        <f t="shared" si="44"/>
        <v>ic_dragon9</v>
      </c>
      <c r="S548" s="3" t="str">
        <f t="shared" si="45"/>
        <v>dragon9</v>
      </c>
      <c r="T548" s="3">
        <v>1</v>
      </c>
      <c r="U548" s="3">
        <v>0</v>
      </c>
      <c r="V548" s="3">
        <v>1</v>
      </c>
      <c r="W548" s="7"/>
      <c r="X548" s="27" t="s">
        <v>3155</v>
      </c>
      <c r="Y548" s="3"/>
    </row>
    <row r="549" spans="1:25" x14ac:dyDescent="0.15">
      <c r="A549" s="3">
        <v>201489</v>
      </c>
      <c r="B549" s="27" t="s">
        <v>3156</v>
      </c>
      <c r="C549" s="3">
        <v>0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4">
        <v>819</v>
      </c>
      <c r="K549" s="3">
        <v>2</v>
      </c>
      <c r="L549" s="3" t="s">
        <v>722</v>
      </c>
      <c r="M549" s="3">
        <v>201</v>
      </c>
      <c r="N549" s="4" t="s">
        <v>723</v>
      </c>
      <c r="O549" s="3"/>
      <c r="P549" s="3"/>
      <c r="Q549" s="27" t="s">
        <v>3044</v>
      </c>
      <c r="R549" s="3" t="str">
        <f t="shared" si="44"/>
        <v>ic_dragon9</v>
      </c>
      <c r="S549" s="3" t="str">
        <f t="shared" si="45"/>
        <v>dragon9</v>
      </c>
      <c r="T549" s="3">
        <v>1</v>
      </c>
      <c r="U549" s="3">
        <v>0</v>
      </c>
      <c r="V549" s="3">
        <v>1</v>
      </c>
      <c r="W549" s="7"/>
      <c r="X549" s="27" t="s">
        <v>3156</v>
      </c>
      <c r="Y549" s="3"/>
    </row>
    <row r="550" spans="1:25" x14ac:dyDescent="0.15">
      <c r="A550" s="3">
        <v>201490</v>
      </c>
      <c r="B550" s="27" t="s">
        <v>3157</v>
      </c>
      <c r="C550" s="3">
        <v>0</v>
      </c>
      <c r="D550" s="3">
        <v>0</v>
      </c>
      <c r="E550" s="3">
        <v>0</v>
      </c>
      <c r="F550" s="3">
        <v>0</v>
      </c>
      <c r="G550" s="3">
        <v>0</v>
      </c>
      <c r="H550" s="3">
        <v>0</v>
      </c>
      <c r="I550" s="3">
        <v>0</v>
      </c>
      <c r="J550" s="4">
        <v>820</v>
      </c>
      <c r="K550" s="3">
        <v>2</v>
      </c>
      <c r="L550" s="3" t="s">
        <v>722</v>
      </c>
      <c r="M550" s="3">
        <v>201</v>
      </c>
      <c r="N550" s="4" t="s">
        <v>723</v>
      </c>
      <c r="O550" s="3"/>
      <c r="P550" s="3"/>
      <c r="Q550" s="27" t="s">
        <v>3044</v>
      </c>
      <c r="R550" s="3" t="str">
        <f t="shared" si="44"/>
        <v>ic_dragon9</v>
      </c>
      <c r="S550" s="3" t="str">
        <f t="shared" si="45"/>
        <v>dragon9</v>
      </c>
      <c r="T550" s="3">
        <v>1</v>
      </c>
      <c r="U550" s="3">
        <v>0</v>
      </c>
      <c r="V550" s="3">
        <v>1</v>
      </c>
      <c r="W550" s="7"/>
      <c r="X550" s="27" t="s">
        <v>3157</v>
      </c>
      <c r="Y550" s="3"/>
    </row>
    <row r="551" spans="1:25" x14ac:dyDescent="0.15">
      <c r="A551" s="3">
        <v>201491</v>
      </c>
      <c r="B551" s="27" t="s">
        <v>3158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4">
        <v>811</v>
      </c>
      <c r="K551" s="3">
        <v>2</v>
      </c>
      <c r="L551" s="3" t="s">
        <v>722</v>
      </c>
      <c r="M551" s="3">
        <v>201</v>
      </c>
      <c r="N551" s="4" t="s">
        <v>723</v>
      </c>
      <c r="O551" s="3"/>
      <c r="P551" s="3"/>
      <c r="Q551" s="27" t="s">
        <v>3045</v>
      </c>
      <c r="R551" s="3" t="str">
        <f t="shared" si="44"/>
        <v>ic_dragon10</v>
      </c>
      <c r="S551" s="3" t="str">
        <f t="shared" si="45"/>
        <v>dragon10</v>
      </c>
      <c r="T551" s="3">
        <v>1</v>
      </c>
      <c r="U551" s="3">
        <v>0</v>
      </c>
      <c r="V551" s="3">
        <v>1</v>
      </c>
      <c r="W551" s="7"/>
      <c r="X551" s="27" t="s">
        <v>3158</v>
      </c>
      <c r="Y551" s="3"/>
    </row>
    <row r="552" spans="1:25" x14ac:dyDescent="0.15">
      <c r="A552" s="3">
        <v>201492</v>
      </c>
      <c r="B552" s="27" t="s">
        <v>3159</v>
      </c>
      <c r="C552" s="3">
        <v>0</v>
      </c>
      <c r="D552" s="3">
        <v>0</v>
      </c>
      <c r="E552" s="3">
        <v>0</v>
      </c>
      <c r="F552" s="3">
        <v>0</v>
      </c>
      <c r="G552" s="3">
        <v>0</v>
      </c>
      <c r="H552" s="3">
        <v>0</v>
      </c>
      <c r="I552" s="3">
        <v>0</v>
      </c>
      <c r="J552" s="4">
        <v>812</v>
      </c>
      <c r="K552" s="3">
        <v>2</v>
      </c>
      <c r="L552" s="3" t="s">
        <v>722</v>
      </c>
      <c r="M552" s="3">
        <v>201</v>
      </c>
      <c r="N552" s="4" t="s">
        <v>723</v>
      </c>
      <c r="O552" s="3"/>
      <c r="P552" s="3"/>
      <c r="Q552" s="27" t="s">
        <v>3045</v>
      </c>
      <c r="R552" s="3" t="str">
        <f t="shared" si="44"/>
        <v>ic_dragon10</v>
      </c>
      <c r="S552" s="3" t="str">
        <f t="shared" si="45"/>
        <v>dragon10</v>
      </c>
      <c r="T552" s="3">
        <v>1</v>
      </c>
      <c r="U552" s="3">
        <v>0</v>
      </c>
      <c r="V552" s="3">
        <v>1</v>
      </c>
      <c r="W552" s="7"/>
      <c r="X552" s="27" t="s">
        <v>3159</v>
      </c>
      <c r="Y552" s="3"/>
    </row>
    <row r="553" spans="1:25" x14ac:dyDescent="0.15">
      <c r="A553" s="3">
        <v>201493</v>
      </c>
      <c r="B553" s="27" t="s">
        <v>3160</v>
      </c>
      <c r="C553" s="3">
        <v>0</v>
      </c>
      <c r="D553" s="3">
        <v>0</v>
      </c>
      <c r="E553" s="3">
        <v>0</v>
      </c>
      <c r="F553" s="3">
        <v>0</v>
      </c>
      <c r="G553" s="3">
        <v>0</v>
      </c>
      <c r="H553" s="3">
        <v>0</v>
      </c>
      <c r="I553" s="3">
        <v>0</v>
      </c>
      <c r="J553" s="4">
        <v>813</v>
      </c>
      <c r="K553" s="3">
        <v>2</v>
      </c>
      <c r="L553" s="3" t="s">
        <v>722</v>
      </c>
      <c r="M553" s="3">
        <v>201</v>
      </c>
      <c r="N553" s="4" t="s">
        <v>723</v>
      </c>
      <c r="O553" s="3"/>
      <c r="P553" s="3"/>
      <c r="Q553" s="27" t="s">
        <v>3045</v>
      </c>
      <c r="R553" s="3" t="str">
        <f t="shared" si="44"/>
        <v>ic_dragon10</v>
      </c>
      <c r="S553" s="3" t="str">
        <f t="shared" si="45"/>
        <v>dragon10</v>
      </c>
      <c r="T553" s="3">
        <v>1</v>
      </c>
      <c r="U553" s="3">
        <v>0</v>
      </c>
      <c r="V553" s="3">
        <v>1</v>
      </c>
      <c r="W553" s="7"/>
      <c r="X553" s="27" t="s">
        <v>3160</v>
      </c>
      <c r="Y553" s="3"/>
    </row>
    <row r="554" spans="1:25" x14ac:dyDescent="0.15">
      <c r="A554" s="3">
        <v>201494</v>
      </c>
      <c r="B554" s="27" t="s">
        <v>3161</v>
      </c>
      <c r="C554" s="3">
        <v>0</v>
      </c>
      <c r="D554" s="3">
        <v>0</v>
      </c>
      <c r="E554" s="3">
        <v>0</v>
      </c>
      <c r="F554" s="3">
        <v>0</v>
      </c>
      <c r="G554" s="3">
        <v>0</v>
      </c>
      <c r="H554" s="3">
        <v>0</v>
      </c>
      <c r="I554" s="3">
        <v>0</v>
      </c>
      <c r="J554" s="4">
        <v>814</v>
      </c>
      <c r="K554" s="3">
        <v>2</v>
      </c>
      <c r="L554" s="3" t="s">
        <v>722</v>
      </c>
      <c r="M554" s="3">
        <v>201</v>
      </c>
      <c r="N554" s="4" t="s">
        <v>723</v>
      </c>
      <c r="O554" s="3"/>
      <c r="P554" s="3"/>
      <c r="Q554" s="27" t="s">
        <v>3045</v>
      </c>
      <c r="R554" s="3" t="str">
        <f t="shared" si="44"/>
        <v>ic_dragon10</v>
      </c>
      <c r="S554" s="3" t="str">
        <f t="shared" si="45"/>
        <v>dragon10</v>
      </c>
      <c r="T554" s="3">
        <v>1</v>
      </c>
      <c r="U554" s="3">
        <v>0</v>
      </c>
      <c r="V554" s="3">
        <v>1</v>
      </c>
      <c r="W554" s="7"/>
      <c r="X554" s="27" t="s">
        <v>3161</v>
      </c>
      <c r="Y554" s="3"/>
    </row>
    <row r="555" spans="1:25" x14ac:dyDescent="0.15">
      <c r="A555" s="3">
        <v>201495</v>
      </c>
      <c r="B555" s="27" t="s">
        <v>3162</v>
      </c>
      <c r="C555" s="3">
        <v>0</v>
      </c>
      <c r="D555" s="3">
        <v>0</v>
      </c>
      <c r="E555" s="3">
        <v>0</v>
      </c>
      <c r="F555" s="3">
        <v>0</v>
      </c>
      <c r="G555" s="3">
        <v>0</v>
      </c>
      <c r="H555" s="3">
        <v>0</v>
      </c>
      <c r="I555" s="3">
        <v>0</v>
      </c>
      <c r="J555" s="4">
        <v>815</v>
      </c>
      <c r="K555" s="3">
        <v>2</v>
      </c>
      <c r="L555" s="3" t="s">
        <v>722</v>
      </c>
      <c r="M555" s="3">
        <v>201</v>
      </c>
      <c r="N555" s="4" t="s">
        <v>723</v>
      </c>
      <c r="O555" s="3"/>
      <c r="P555" s="3"/>
      <c r="Q555" s="27" t="s">
        <v>3045</v>
      </c>
      <c r="R555" s="3" t="str">
        <f t="shared" si="44"/>
        <v>ic_dragon10</v>
      </c>
      <c r="S555" s="3" t="str">
        <f t="shared" si="45"/>
        <v>dragon10</v>
      </c>
      <c r="T555" s="3">
        <v>1</v>
      </c>
      <c r="U555" s="3">
        <v>0</v>
      </c>
      <c r="V555" s="3">
        <v>1</v>
      </c>
      <c r="W555" s="7"/>
      <c r="X555" s="27" t="s">
        <v>3162</v>
      </c>
      <c r="Y555" s="3"/>
    </row>
    <row r="556" spans="1:25" x14ac:dyDescent="0.15">
      <c r="A556" s="3">
        <v>201496</v>
      </c>
      <c r="B556" s="27" t="s">
        <v>3163</v>
      </c>
      <c r="C556" s="3">
        <v>0</v>
      </c>
      <c r="D556" s="3">
        <v>0</v>
      </c>
      <c r="E556" s="3">
        <v>0</v>
      </c>
      <c r="F556" s="3">
        <v>0</v>
      </c>
      <c r="G556" s="3">
        <v>0</v>
      </c>
      <c r="H556" s="3">
        <v>0</v>
      </c>
      <c r="I556" s="3">
        <v>0</v>
      </c>
      <c r="J556" s="4">
        <v>816</v>
      </c>
      <c r="K556" s="3">
        <v>2</v>
      </c>
      <c r="L556" s="3" t="s">
        <v>722</v>
      </c>
      <c r="M556" s="3">
        <v>201</v>
      </c>
      <c r="N556" s="4" t="s">
        <v>723</v>
      </c>
      <c r="O556" s="3"/>
      <c r="P556" s="3"/>
      <c r="Q556" s="27" t="s">
        <v>3045</v>
      </c>
      <c r="R556" s="3" t="str">
        <f t="shared" si="44"/>
        <v>ic_dragon10</v>
      </c>
      <c r="S556" s="3" t="str">
        <f t="shared" si="45"/>
        <v>dragon10</v>
      </c>
      <c r="T556" s="3">
        <v>1</v>
      </c>
      <c r="U556" s="3">
        <v>0</v>
      </c>
      <c r="V556" s="3">
        <v>1</v>
      </c>
      <c r="W556" s="7"/>
      <c r="X556" s="27" t="s">
        <v>3163</v>
      </c>
      <c r="Y556" s="3"/>
    </row>
    <row r="557" spans="1:25" x14ac:dyDescent="0.15">
      <c r="A557" s="3">
        <v>201497</v>
      </c>
      <c r="B557" s="27" t="s">
        <v>3164</v>
      </c>
      <c r="C557" s="3">
        <v>0</v>
      </c>
      <c r="D557" s="3">
        <v>0</v>
      </c>
      <c r="E557" s="3">
        <v>0</v>
      </c>
      <c r="F557" s="3">
        <v>0</v>
      </c>
      <c r="G557" s="3">
        <v>0</v>
      </c>
      <c r="H557" s="3">
        <v>0</v>
      </c>
      <c r="I557" s="3">
        <v>0</v>
      </c>
      <c r="J557" s="4">
        <v>817</v>
      </c>
      <c r="K557" s="3">
        <v>2</v>
      </c>
      <c r="L557" s="3" t="s">
        <v>722</v>
      </c>
      <c r="M557" s="3">
        <v>201</v>
      </c>
      <c r="N557" s="4" t="s">
        <v>723</v>
      </c>
      <c r="O557" s="3"/>
      <c r="P557" s="3"/>
      <c r="Q557" s="27" t="s">
        <v>3045</v>
      </c>
      <c r="R557" s="3" t="str">
        <f t="shared" si="44"/>
        <v>ic_dragon10</v>
      </c>
      <c r="S557" s="3" t="str">
        <f t="shared" si="45"/>
        <v>dragon10</v>
      </c>
      <c r="T557" s="3">
        <v>1</v>
      </c>
      <c r="U557" s="3">
        <v>0</v>
      </c>
      <c r="V557" s="3">
        <v>1</v>
      </c>
      <c r="W557" s="7"/>
      <c r="X557" s="27" t="s">
        <v>3164</v>
      </c>
      <c r="Y557" s="3"/>
    </row>
    <row r="558" spans="1:25" x14ac:dyDescent="0.15">
      <c r="A558" s="3">
        <v>201498</v>
      </c>
      <c r="B558" s="27" t="s">
        <v>3165</v>
      </c>
      <c r="C558" s="3">
        <v>0</v>
      </c>
      <c r="D558" s="3">
        <v>0</v>
      </c>
      <c r="E558" s="3">
        <v>0</v>
      </c>
      <c r="F558" s="3">
        <v>0</v>
      </c>
      <c r="G558" s="3">
        <v>0</v>
      </c>
      <c r="H558" s="3">
        <v>0</v>
      </c>
      <c r="I558" s="3">
        <v>0</v>
      </c>
      <c r="J558" s="4">
        <v>818</v>
      </c>
      <c r="K558" s="3">
        <v>2</v>
      </c>
      <c r="L558" s="3" t="s">
        <v>722</v>
      </c>
      <c r="M558" s="3">
        <v>201</v>
      </c>
      <c r="N558" s="4" t="s">
        <v>723</v>
      </c>
      <c r="O558" s="3"/>
      <c r="P558" s="3"/>
      <c r="Q558" s="27" t="s">
        <v>3045</v>
      </c>
      <c r="R558" s="3" t="str">
        <f t="shared" si="44"/>
        <v>ic_dragon10</v>
      </c>
      <c r="S558" s="3" t="str">
        <f t="shared" si="45"/>
        <v>dragon10</v>
      </c>
      <c r="T558" s="3">
        <v>1</v>
      </c>
      <c r="U558" s="3">
        <v>0</v>
      </c>
      <c r="V558" s="3">
        <v>1</v>
      </c>
      <c r="W558" s="7"/>
      <c r="X558" s="27" t="s">
        <v>3165</v>
      </c>
      <c r="Y558" s="3"/>
    </row>
    <row r="559" spans="1:25" x14ac:dyDescent="0.15">
      <c r="A559" s="3">
        <v>201499</v>
      </c>
      <c r="B559" s="27" t="s">
        <v>3166</v>
      </c>
      <c r="C559" s="3">
        <v>0</v>
      </c>
      <c r="D559" s="3">
        <v>0</v>
      </c>
      <c r="E559" s="3">
        <v>0</v>
      </c>
      <c r="F559" s="3">
        <v>0</v>
      </c>
      <c r="G559" s="3">
        <v>0</v>
      </c>
      <c r="H559" s="3">
        <v>0</v>
      </c>
      <c r="I559" s="3">
        <v>0</v>
      </c>
      <c r="J559" s="4">
        <v>819</v>
      </c>
      <c r="K559" s="3">
        <v>2</v>
      </c>
      <c r="L559" s="3" t="s">
        <v>722</v>
      </c>
      <c r="M559" s="3">
        <v>201</v>
      </c>
      <c r="N559" s="4" t="s">
        <v>723</v>
      </c>
      <c r="O559" s="3"/>
      <c r="P559" s="3"/>
      <c r="Q559" s="27" t="s">
        <v>3045</v>
      </c>
      <c r="R559" s="3" t="str">
        <f t="shared" si="44"/>
        <v>ic_dragon10</v>
      </c>
      <c r="S559" s="3" t="str">
        <f t="shared" si="45"/>
        <v>dragon10</v>
      </c>
      <c r="T559" s="3">
        <v>1</v>
      </c>
      <c r="U559" s="3">
        <v>0</v>
      </c>
      <c r="V559" s="3">
        <v>1</v>
      </c>
      <c r="W559" s="7"/>
      <c r="X559" s="27" t="s">
        <v>3166</v>
      </c>
      <c r="Y559" s="3"/>
    </row>
    <row r="560" spans="1:25" x14ac:dyDescent="0.15">
      <c r="A560" s="3">
        <v>201500</v>
      </c>
      <c r="B560" s="27" t="s">
        <v>3167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4">
        <v>820</v>
      </c>
      <c r="K560" s="3">
        <v>2</v>
      </c>
      <c r="L560" s="3" t="s">
        <v>722</v>
      </c>
      <c r="M560" s="3">
        <v>201</v>
      </c>
      <c r="N560" s="4" t="s">
        <v>723</v>
      </c>
      <c r="O560" s="3"/>
      <c r="P560" s="3"/>
      <c r="Q560" s="27" t="s">
        <v>3045</v>
      </c>
      <c r="R560" s="3" t="str">
        <f t="shared" si="44"/>
        <v>ic_dragon10</v>
      </c>
      <c r="S560" s="3" t="str">
        <f t="shared" si="45"/>
        <v>dragon10</v>
      </c>
      <c r="T560" s="3">
        <v>1</v>
      </c>
      <c r="U560" s="3">
        <v>0</v>
      </c>
      <c r="V560" s="3">
        <v>1</v>
      </c>
      <c r="W560" s="7"/>
      <c r="X560" s="27" t="s">
        <v>3167</v>
      </c>
      <c r="Y560" s="3"/>
    </row>
    <row r="561" spans="1:25" x14ac:dyDescent="0.15">
      <c r="A561" s="3">
        <v>201501</v>
      </c>
      <c r="B561" s="27" t="s">
        <v>3168</v>
      </c>
      <c r="C561" s="3">
        <v>0</v>
      </c>
      <c r="D561" s="3">
        <v>0</v>
      </c>
      <c r="E561" s="3">
        <v>0</v>
      </c>
      <c r="F561" s="3">
        <v>0</v>
      </c>
      <c r="G561" s="3">
        <v>0</v>
      </c>
      <c r="H561" s="3">
        <v>0</v>
      </c>
      <c r="I561" s="3">
        <v>0</v>
      </c>
      <c r="J561" s="4">
        <v>811</v>
      </c>
      <c r="K561" s="3">
        <v>2</v>
      </c>
      <c r="L561" s="3" t="s">
        <v>722</v>
      </c>
      <c r="M561" s="3">
        <v>201</v>
      </c>
      <c r="N561" s="4" t="s">
        <v>723</v>
      </c>
      <c r="O561" s="3"/>
      <c r="P561" s="3"/>
      <c r="Q561" s="27" t="s">
        <v>3046</v>
      </c>
      <c r="R561" s="3" t="str">
        <f t="shared" si="44"/>
        <v>ic_dragon11</v>
      </c>
      <c r="S561" s="3" t="str">
        <f t="shared" si="45"/>
        <v>dragon11</v>
      </c>
      <c r="T561" s="3">
        <v>1</v>
      </c>
      <c r="U561" s="3">
        <v>0</v>
      </c>
      <c r="V561" s="3">
        <v>1</v>
      </c>
      <c r="W561" s="7"/>
      <c r="X561" s="27" t="s">
        <v>3168</v>
      </c>
      <c r="Y561" s="3"/>
    </row>
    <row r="562" spans="1:25" x14ac:dyDescent="0.15">
      <c r="A562" s="3">
        <v>201502</v>
      </c>
      <c r="B562" s="27" t="s">
        <v>3169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4">
        <v>812</v>
      </c>
      <c r="K562" s="3">
        <v>2</v>
      </c>
      <c r="L562" s="3" t="s">
        <v>722</v>
      </c>
      <c r="M562" s="3">
        <v>201</v>
      </c>
      <c r="N562" s="4" t="s">
        <v>723</v>
      </c>
      <c r="O562" s="3"/>
      <c r="P562" s="3"/>
      <c r="Q562" s="27" t="s">
        <v>3046</v>
      </c>
      <c r="R562" s="3" t="str">
        <f t="shared" si="44"/>
        <v>ic_dragon11</v>
      </c>
      <c r="S562" s="3" t="str">
        <f t="shared" si="45"/>
        <v>dragon11</v>
      </c>
      <c r="T562" s="3">
        <v>1</v>
      </c>
      <c r="U562" s="3">
        <v>0</v>
      </c>
      <c r="V562" s="3">
        <v>1</v>
      </c>
      <c r="W562" s="7"/>
      <c r="X562" s="27" t="s">
        <v>3169</v>
      </c>
      <c r="Y562" s="3"/>
    </row>
    <row r="563" spans="1:25" x14ac:dyDescent="0.15">
      <c r="A563" s="3">
        <v>201503</v>
      </c>
      <c r="B563" s="27" t="s">
        <v>3170</v>
      </c>
      <c r="C563" s="3">
        <v>0</v>
      </c>
      <c r="D563" s="3">
        <v>0</v>
      </c>
      <c r="E563" s="3">
        <v>0</v>
      </c>
      <c r="F563" s="3">
        <v>0</v>
      </c>
      <c r="G563" s="3">
        <v>0</v>
      </c>
      <c r="H563" s="3">
        <v>0</v>
      </c>
      <c r="I563" s="3">
        <v>0</v>
      </c>
      <c r="J563" s="4">
        <v>813</v>
      </c>
      <c r="K563" s="3">
        <v>2</v>
      </c>
      <c r="L563" s="3" t="s">
        <v>722</v>
      </c>
      <c r="M563" s="3">
        <v>201</v>
      </c>
      <c r="N563" s="4" t="s">
        <v>723</v>
      </c>
      <c r="O563" s="3"/>
      <c r="P563" s="3"/>
      <c r="Q563" s="27" t="s">
        <v>3046</v>
      </c>
      <c r="R563" s="3" t="str">
        <f t="shared" si="44"/>
        <v>ic_dragon11</v>
      </c>
      <c r="S563" s="3" t="str">
        <f t="shared" si="45"/>
        <v>dragon11</v>
      </c>
      <c r="T563" s="3">
        <v>1</v>
      </c>
      <c r="U563" s="3">
        <v>0</v>
      </c>
      <c r="V563" s="3">
        <v>1</v>
      </c>
      <c r="W563" s="7"/>
      <c r="X563" s="27" t="s">
        <v>3170</v>
      </c>
      <c r="Y563" s="3"/>
    </row>
    <row r="564" spans="1:25" x14ac:dyDescent="0.15">
      <c r="A564" s="3">
        <v>201504</v>
      </c>
      <c r="B564" s="27" t="s">
        <v>3171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4">
        <v>814</v>
      </c>
      <c r="K564" s="3">
        <v>2</v>
      </c>
      <c r="L564" s="3" t="s">
        <v>722</v>
      </c>
      <c r="M564" s="3">
        <v>201</v>
      </c>
      <c r="N564" s="4" t="s">
        <v>723</v>
      </c>
      <c r="O564" s="3"/>
      <c r="P564" s="3"/>
      <c r="Q564" s="27" t="s">
        <v>3046</v>
      </c>
      <c r="R564" s="3" t="str">
        <f t="shared" si="44"/>
        <v>ic_dragon11</v>
      </c>
      <c r="S564" s="3" t="str">
        <f t="shared" si="45"/>
        <v>dragon11</v>
      </c>
      <c r="T564" s="3">
        <v>1</v>
      </c>
      <c r="U564" s="3">
        <v>0</v>
      </c>
      <c r="V564" s="3">
        <v>1</v>
      </c>
      <c r="W564" s="7"/>
      <c r="X564" s="27" t="s">
        <v>3171</v>
      </c>
      <c r="Y564" s="3"/>
    </row>
    <row r="565" spans="1:25" x14ac:dyDescent="0.15">
      <c r="A565" s="3">
        <v>201505</v>
      </c>
      <c r="B565" s="27" t="s">
        <v>3172</v>
      </c>
      <c r="C565" s="3">
        <v>0</v>
      </c>
      <c r="D565" s="3">
        <v>0</v>
      </c>
      <c r="E565" s="3">
        <v>0</v>
      </c>
      <c r="F565" s="3">
        <v>0</v>
      </c>
      <c r="G565" s="3">
        <v>0</v>
      </c>
      <c r="H565" s="3">
        <v>0</v>
      </c>
      <c r="I565" s="3">
        <v>0</v>
      </c>
      <c r="J565" s="4">
        <v>815</v>
      </c>
      <c r="K565" s="3">
        <v>2</v>
      </c>
      <c r="L565" s="3" t="s">
        <v>722</v>
      </c>
      <c r="M565" s="3">
        <v>201</v>
      </c>
      <c r="N565" s="4" t="s">
        <v>723</v>
      </c>
      <c r="O565" s="3"/>
      <c r="P565" s="3"/>
      <c r="Q565" s="27" t="s">
        <v>3046</v>
      </c>
      <c r="R565" s="3" t="str">
        <f t="shared" si="44"/>
        <v>ic_dragon11</v>
      </c>
      <c r="S565" s="3" t="str">
        <f t="shared" si="45"/>
        <v>dragon11</v>
      </c>
      <c r="T565" s="3">
        <v>1</v>
      </c>
      <c r="U565" s="3">
        <v>0</v>
      </c>
      <c r="V565" s="3">
        <v>1</v>
      </c>
      <c r="W565" s="7"/>
      <c r="X565" s="27" t="s">
        <v>3172</v>
      </c>
      <c r="Y565" s="3"/>
    </row>
    <row r="566" spans="1:25" x14ac:dyDescent="0.15">
      <c r="A566" s="3">
        <v>201506</v>
      </c>
      <c r="B566" s="27" t="s">
        <v>3173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4">
        <v>816</v>
      </c>
      <c r="K566" s="3">
        <v>2</v>
      </c>
      <c r="L566" s="3" t="s">
        <v>722</v>
      </c>
      <c r="M566" s="3">
        <v>201</v>
      </c>
      <c r="N566" s="4" t="s">
        <v>723</v>
      </c>
      <c r="O566" s="3"/>
      <c r="P566" s="3"/>
      <c r="Q566" s="27" t="s">
        <v>3046</v>
      </c>
      <c r="R566" s="3" t="str">
        <f t="shared" si="44"/>
        <v>ic_dragon11</v>
      </c>
      <c r="S566" s="3" t="str">
        <f t="shared" si="45"/>
        <v>dragon11</v>
      </c>
      <c r="T566" s="3">
        <v>1</v>
      </c>
      <c r="U566" s="3">
        <v>0</v>
      </c>
      <c r="V566" s="3">
        <v>1</v>
      </c>
      <c r="W566" s="7"/>
      <c r="X566" s="27" t="s">
        <v>3173</v>
      </c>
      <c r="Y566" s="3"/>
    </row>
    <row r="567" spans="1:25" x14ac:dyDescent="0.15">
      <c r="A567" s="3">
        <v>201507</v>
      </c>
      <c r="B567" s="27" t="s">
        <v>3174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4">
        <v>817</v>
      </c>
      <c r="K567" s="3">
        <v>2</v>
      </c>
      <c r="L567" s="3" t="s">
        <v>722</v>
      </c>
      <c r="M567" s="3">
        <v>201</v>
      </c>
      <c r="N567" s="4" t="s">
        <v>723</v>
      </c>
      <c r="O567" s="3"/>
      <c r="P567" s="3"/>
      <c r="Q567" s="27" t="s">
        <v>3046</v>
      </c>
      <c r="R567" s="3" t="str">
        <f t="shared" si="44"/>
        <v>ic_dragon11</v>
      </c>
      <c r="S567" s="3" t="str">
        <f t="shared" si="45"/>
        <v>dragon11</v>
      </c>
      <c r="T567" s="3">
        <v>1</v>
      </c>
      <c r="U567" s="3">
        <v>0</v>
      </c>
      <c r="V567" s="3">
        <v>1</v>
      </c>
      <c r="W567" s="7"/>
      <c r="X567" s="27" t="s">
        <v>3174</v>
      </c>
      <c r="Y567" s="3"/>
    </row>
    <row r="568" spans="1:25" x14ac:dyDescent="0.15">
      <c r="A568" s="3">
        <v>201508</v>
      </c>
      <c r="B568" s="27" t="s">
        <v>3175</v>
      </c>
      <c r="C568" s="3">
        <v>0</v>
      </c>
      <c r="D568" s="3">
        <v>0</v>
      </c>
      <c r="E568" s="3">
        <v>0</v>
      </c>
      <c r="F568" s="3">
        <v>0</v>
      </c>
      <c r="G568" s="3">
        <v>0</v>
      </c>
      <c r="H568" s="3">
        <v>0</v>
      </c>
      <c r="I568" s="3">
        <v>0</v>
      </c>
      <c r="J568" s="4">
        <v>818</v>
      </c>
      <c r="K568" s="3">
        <v>2</v>
      </c>
      <c r="L568" s="3" t="s">
        <v>722</v>
      </c>
      <c r="M568" s="3">
        <v>201</v>
      </c>
      <c r="N568" s="4" t="s">
        <v>723</v>
      </c>
      <c r="O568" s="3"/>
      <c r="P568" s="3"/>
      <c r="Q568" s="27" t="s">
        <v>3046</v>
      </c>
      <c r="R568" s="3" t="str">
        <f t="shared" si="44"/>
        <v>ic_dragon11</v>
      </c>
      <c r="S568" s="3" t="str">
        <f t="shared" si="45"/>
        <v>dragon11</v>
      </c>
      <c r="T568" s="3">
        <v>1</v>
      </c>
      <c r="U568" s="3">
        <v>0</v>
      </c>
      <c r="V568" s="3">
        <v>1</v>
      </c>
      <c r="W568" s="7"/>
      <c r="X568" s="27" t="s">
        <v>3175</v>
      </c>
      <c r="Y568" s="3"/>
    </row>
    <row r="569" spans="1:25" x14ac:dyDescent="0.15">
      <c r="A569" s="3">
        <v>201509</v>
      </c>
      <c r="B569" s="27" t="s">
        <v>3176</v>
      </c>
      <c r="C569" s="3">
        <v>0</v>
      </c>
      <c r="D569" s="3">
        <v>0</v>
      </c>
      <c r="E569" s="3">
        <v>0</v>
      </c>
      <c r="F569" s="3">
        <v>0</v>
      </c>
      <c r="G569" s="3">
        <v>0</v>
      </c>
      <c r="H569" s="3">
        <v>0</v>
      </c>
      <c r="I569" s="3">
        <v>0</v>
      </c>
      <c r="J569" s="4">
        <v>819</v>
      </c>
      <c r="K569" s="3">
        <v>2</v>
      </c>
      <c r="L569" s="3" t="s">
        <v>722</v>
      </c>
      <c r="M569" s="3">
        <v>201</v>
      </c>
      <c r="N569" s="4" t="s">
        <v>723</v>
      </c>
      <c r="O569" s="3"/>
      <c r="P569" s="3"/>
      <c r="Q569" s="27" t="s">
        <v>3046</v>
      </c>
      <c r="R569" s="3" t="str">
        <f t="shared" si="44"/>
        <v>ic_dragon11</v>
      </c>
      <c r="S569" s="3" t="str">
        <f t="shared" si="45"/>
        <v>dragon11</v>
      </c>
      <c r="T569" s="3">
        <v>1</v>
      </c>
      <c r="U569" s="3">
        <v>0</v>
      </c>
      <c r="V569" s="3">
        <v>1</v>
      </c>
      <c r="W569" s="7"/>
      <c r="X569" s="27" t="s">
        <v>3176</v>
      </c>
      <c r="Y569" s="3"/>
    </row>
    <row r="570" spans="1:25" x14ac:dyDescent="0.15">
      <c r="A570" s="3">
        <v>201510</v>
      </c>
      <c r="B570" s="27" t="s">
        <v>3177</v>
      </c>
      <c r="C570" s="3">
        <v>0</v>
      </c>
      <c r="D570" s="3">
        <v>0</v>
      </c>
      <c r="E570" s="3">
        <v>0</v>
      </c>
      <c r="F570" s="3">
        <v>0</v>
      </c>
      <c r="G570" s="3">
        <v>0</v>
      </c>
      <c r="H570" s="3">
        <v>0</v>
      </c>
      <c r="I570" s="3">
        <v>0</v>
      </c>
      <c r="J570" s="4">
        <v>820</v>
      </c>
      <c r="K570" s="3">
        <v>2</v>
      </c>
      <c r="L570" s="3" t="s">
        <v>722</v>
      </c>
      <c r="M570" s="3">
        <v>201</v>
      </c>
      <c r="N570" s="4" t="s">
        <v>723</v>
      </c>
      <c r="O570" s="3"/>
      <c r="P570" s="3"/>
      <c r="Q570" s="27" t="s">
        <v>3046</v>
      </c>
      <c r="R570" s="3" t="str">
        <f t="shared" si="44"/>
        <v>ic_dragon11</v>
      </c>
      <c r="S570" s="3" t="str">
        <f t="shared" si="45"/>
        <v>dragon11</v>
      </c>
      <c r="T570" s="3">
        <v>1</v>
      </c>
      <c r="U570" s="3">
        <v>0</v>
      </c>
      <c r="V570" s="3">
        <v>1</v>
      </c>
      <c r="W570" s="7"/>
      <c r="X570" s="27" t="s">
        <v>3177</v>
      </c>
      <c r="Y570" s="3"/>
    </row>
    <row r="571" spans="1:25" x14ac:dyDescent="0.15">
      <c r="A571" s="3">
        <v>201511</v>
      </c>
      <c r="B571" s="27" t="s">
        <v>3178</v>
      </c>
      <c r="C571" s="3">
        <v>0</v>
      </c>
      <c r="D571" s="3">
        <v>0</v>
      </c>
      <c r="E571" s="3">
        <v>0</v>
      </c>
      <c r="F571" s="3">
        <v>0</v>
      </c>
      <c r="G571" s="3">
        <v>0</v>
      </c>
      <c r="H571" s="3">
        <v>0</v>
      </c>
      <c r="I571" s="3">
        <v>0</v>
      </c>
      <c r="J571" s="4">
        <v>811</v>
      </c>
      <c r="K571" s="3">
        <v>2</v>
      </c>
      <c r="L571" s="3" t="s">
        <v>722</v>
      </c>
      <c r="M571" s="3">
        <v>201</v>
      </c>
      <c r="N571" s="4" t="s">
        <v>723</v>
      </c>
      <c r="O571" s="3"/>
      <c r="P571" s="3"/>
      <c r="Q571" s="27" t="s">
        <v>3047</v>
      </c>
      <c r="R571" s="3" t="str">
        <f t="shared" si="44"/>
        <v>ic_dragon12</v>
      </c>
      <c r="S571" s="3" t="str">
        <f t="shared" si="45"/>
        <v>dragon12</v>
      </c>
      <c r="T571" s="3">
        <v>1</v>
      </c>
      <c r="U571" s="3">
        <v>0</v>
      </c>
      <c r="V571" s="3">
        <v>1</v>
      </c>
      <c r="W571" s="7"/>
      <c r="X571" s="27" t="s">
        <v>3178</v>
      </c>
      <c r="Y571" s="3"/>
    </row>
    <row r="572" spans="1:25" x14ac:dyDescent="0.15">
      <c r="A572" s="3">
        <v>201512</v>
      </c>
      <c r="B572" s="27" t="s">
        <v>3179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4">
        <v>812</v>
      </c>
      <c r="K572" s="3">
        <v>2</v>
      </c>
      <c r="L572" s="3" t="s">
        <v>722</v>
      </c>
      <c r="M572" s="3">
        <v>201</v>
      </c>
      <c r="N572" s="4" t="s">
        <v>723</v>
      </c>
      <c r="O572" s="3"/>
      <c r="P572" s="3"/>
      <c r="Q572" s="27" t="s">
        <v>3047</v>
      </c>
      <c r="R572" s="3" t="str">
        <f t="shared" si="44"/>
        <v>ic_dragon12</v>
      </c>
      <c r="S572" s="3" t="str">
        <f t="shared" si="45"/>
        <v>dragon12</v>
      </c>
      <c r="T572" s="3">
        <v>1</v>
      </c>
      <c r="U572" s="3">
        <v>0</v>
      </c>
      <c r="V572" s="3">
        <v>1</v>
      </c>
      <c r="W572" s="7"/>
      <c r="X572" s="27" t="s">
        <v>3179</v>
      </c>
      <c r="Y572" s="3"/>
    </row>
    <row r="573" spans="1:25" x14ac:dyDescent="0.15">
      <c r="A573" s="3">
        <v>201513</v>
      </c>
      <c r="B573" s="27" t="s">
        <v>3180</v>
      </c>
      <c r="C573" s="3">
        <v>0</v>
      </c>
      <c r="D573" s="3">
        <v>0</v>
      </c>
      <c r="E573" s="3">
        <v>0</v>
      </c>
      <c r="F573" s="3">
        <v>0</v>
      </c>
      <c r="G573" s="3">
        <v>0</v>
      </c>
      <c r="H573" s="3">
        <v>0</v>
      </c>
      <c r="I573" s="3">
        <v>0</v>
      </c>
      <c r="J573" s="4">
        <v>813</v>
      </c>
      <c r="K573" s="3">
        <v>2</v>
      </c>
      <c r="L573" s="3" t="s">
        <v>722</v>
      </c>
      <c r="M573" s="3">
        <v>201</v>
      </c>
      <c r="N573" s="4" t="s">
        <v>723</v>
      </c>
      <c r="O573" s="3"/>
      <c r="P573" s="3"/>
      <c r="Q573" s="27" t="s">
        <v>3047</v>
      </c>
      <c r="R573" s="3" t="str">
        <f t="shared" si="44"/>
        <v>ic_dragon12</v>
      </c>
      <c r="S573" s="3" t="str">
        <f t="shared" si="45"/>
        <v>dragon12</v>
      </c>
      <c r="T573" s="3">
        <v>1</v>
      </c>
      <c r="U573" s="3">
        <v>0</v>
      </c>
      <c r="V573" s="3">
        <v>1</v>
      </c>
      <c r="W573" s="7"/>
      <c r="X573" s="27" t="s">
        <v>3180</v>
      </c>
      <c r="Y573" s="3"/>
    </row>
    <row r="574" spans="1:25" x14ac:dyDescent="0.15">
      <c r="A574" s="3">
        <v>201514</v>
      </c>
      <c r="B574" s="27" t="s">
        <v>3181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4">
        <v>814</v>
      </c>
      <c r="K574" s="3">
        <v>2</v>
      </c>
      <c r="L574" s="3" t="s">
        <v>722</v>
      </c>
      <c r="M574" s="3">
        <v>201</v>
      </c>
      <c r="N574" s="4" t="s">
        <v>723</v>
      </c>
      <c r="O574" s="3"/>
      <c r="P574" s="3"/>
      <c r="Q574" s="27" t="s">
        <v>3047</v>
      </c>
      <c r="R574" s="3" t="str">
        <f t="shared" si="44"/>
        <v>ic_dragon12</v>
      </c>
      <c r="S574" s="3" t="str">
        <f t="shared" si="45"/>
        <v>dragon12</v>
      </c>
      <c r="T574" s="3">
        <v>1</v>
      </c>
      <c r="U574" s="3">
        <v>0</v>
      </c>
      <c r="V574" s="3">
        <v>1</v>
      </c>
      <c r="W574" s="7"/>
      <c r="X574" s="27" t="s">
        <v>3181</v>
      </c>
      <c r="Y574" s="3"/>
    </row>
    <row r="575" spans="1:25" x14ac:dyDescent="0.15">
      <c r="A575" s="3">
        <v>201515</v>
      </c>
      <c r="B575" s="27" t="s">
        <v>3182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0</v>
      </c>
      <c r="I575" s="3">
        <v>0</v>
      </c>
      <c r="J575" s="4">
        <v>815</v>
      </c>
      <c r="K575" s="3">
        <v>2</v>
      </c>
      <c r="L575" s="3" t="s">
        <v>722</v>
      </c>
      <c r="M575" s="3">
        <v>201</v>
      </c>
      <c r="N575" s="4" t="s">
        <v>723</v>
      </c>
      <c r="O575" s="3"/>
      <c r="P575" s="3"/>
      <c r="Q575" s="27" t="s">
        <v>3047</v>
      </c>
      <c r="R575" s="3" t="str">
        <f t="shared" si="44"/>
        <v>ic_dragon12</v>
      </c>
      <c r="S575" s="3" t="str">
        <f t="shared" si="45"/>
        <v>dragon12</v>
      </c>
      <c r="T575" s="3">
        <v>1</v>
      </c>
      <c r="U575" s="3">
        <v>0</v>
      </c>
      <c r="V575" s="3">
        <v>1</v>
      </c>
      <c r="W575" s="7"/>
      <c r="X575" s="27" t="s">
        <v>3182</v>
      </c>
      <c r="Y575" s="3"/>
    </row>
    <row r="576" spans="1:25" x14ac:dyDescent="0.15">
      <c r="A576" s="3">
        <v>201516</v>
      </c>
      <c r="B576" s="27" t="s">
        <v>3183</v>
      </c>
      <c r="C576" s="3">
        <v>0</v>
      </c>
      <c r="D576" s="3">
        <v>0</v>
      </c>
      <c r="E576" s="3">
        <v>0</v>
      </c>
      <c r="F576" s="3">
        <v>0</v>
      </c>
      <c r="G576" s="3">
        <v>0</v>
      </c>
      <c r="H576" s="3">
        <v>0</v>
      </c>
      <c r="I576" s="3">
        <v>0</v>
      </c>
      <c r="J576" s="4">
        <v>816</v>
      </c>
      <c r="K576" s="3">
        <v>2</v>
      </c>
      <c r="L576" s="3" t="s">
        <v>722</v>
      </c>
      <c r="M576" s="3">
        <v>201</v>
      </c>
      <c r="N576" s="4" t="s">
        <v>723</v>
      </c>
      <c r="O576" s="3"/>
      <c r="P576" s="3"/>
      <c r="Q576" s="27" t="s">
        <v>3047</v>
      </c>
      <c r="R576" s="3" t="str">
        <f t="shared" si="44"/>
        <v>ic_dragon12</v>
      </c>
      <c r="S576" s="3" t="str">
        <f t="shared" si="45"/>
        <v>dragon12</v>
      </c>
      <c r="T576" s="3">
        <v>1</v>
      </c>
      <c r="U576" s="3">
        <v>0</v>
      </c>
      <c r="V576" s="3">
        <v>1</v>
      </c>
      <c r="W576" s="7"/>
      <c r="X576" s="27" t="s">
        <v>3183</v>
      </c>
      <c r="Y576" s="3"/>
    </row>
    <row r="577" spans="1:25" x14ac:dyDescent="0.15">
      <c r="A577" s="3">
        <v>201517</v>
      </c>
      <c r="B577" s="27" t="s">
        <v>3184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4">
        <v>817</v>
      </c>
      <c r="K577" s="3">
        <v>2</v>
      </c>
      <c r="L577" s="3" t="s">
        <v>722</v>
      </c>
      <c r="M577" s="3">
        <v>201</v>
      </c>
      <c r="N577" s="4" t="s">
        <v>723</v>
      </c>
      <c r="O577" s="3"/>
      <c r="P577" s="3"/>
      <c r="Q577" s="27" t="s">
        <v>3047</v>
      </c>
      <c r="R577" s="3" t="str">
        <f t="shared" si="44"/>
        <v>ic_dragon12</v>
      </c>
      <c r="S577" s="3" t="str">
        <f t="shared" si="45"/>
        <v>dragon12</v>
      </c>
      <c r="T577" s="3">
        <v>1</v>
      </c>
      <c r="U577" s="3">
        <v>0</v>
      </c>
      <c r="V577" s="3">
        <v>1</v>
      </c>
      <c r="W577" s="7"/>
      <c r="X577" s="27" t="s">
        <v>3184</v>
      </c>
      <c r="Y577" s="3"/>
    </row>
    <row r="578" spans="1:25" x14ac:dyDescent="0.15">
      <c r="A578" s="3">
        <v>201518</v>
      </c>
      <c r="B578" s="27" t="s">
        <v>3185</v>
      </c>
      <c r="C578" s="3">
        <v>0</v>
      </c>
      <c r="D578" s="3">
        <v>0</v>
      </c>
      <c r="E578" s="3">
        <v>0</v>
      </c>
      <c r="F578" s="3">
        <v>0</v>
      </c>
      <c r="G578" s="3">
        <v>0</v>
      </c>
      <c r="H578" s="3">
        <v>0</v>
      </c>
      <c r="I578" s="3">
        <v>0</v>
      </c>
      <c r="J578" s="4">
        <v>818</v>
      </c>
      <c r="K578" s="3">
        <v>2</v>
      </c>
      <c r="L578" s="3" t="s">
        <v>722</v>
      </c>
      <c r="M578" s="3">
        <v>201</v>
      </c>
      <c r="N578" s="4" t="s">
        <v>723</v>
      </c>
      <c r="O578" s="3"/>
      <c r="P578" s="3"/>
      <c r="Q578" s="27" t="s">
        <v>3047</v>
      </c>
      <c r="R578" s="3" t="str">
        <f t="shared" si="44"/>
        <v>ic_dragon12</v>
      </c>
      <c r="S578" s="3" t="str">
        <f t="shared" si="45"/>
        <v>dragon12</v>
      </c>
      <c r="T578" s="3">
        <v>1</v>
      </c>
      <c r="U578" s="3">
        <v>0</v>
      </c>
      <c r="V578" s="3">
        <v>1</v>
      </c>
      <c r="W578" s="7"/>
      <c r="X578" s="27" t="s">
        <v>3185</v>
      </c>
      <c r="Y578" s="3"/>
    </row>
    <row r="579" spans="1:25" x14ac:dyDescent="0.15">
      <c r="A579" s="3">
        <v>201519</v>
      </c>
      <c r="B579" s="27" t="s">
        <v>3186</v>
      </c>
      <c r="C579" s="3">
        <v>0</v>
      </c>
      <c r="D579" s="3">
        <v>0</v>
      </c>
      <c r="E579" s="3">
        <v>0</v>
      </c>
      <c r="F579" s="3">
        <v>0</v>
      </c>
      <c r="G579" s="3">
        <v>0</v>
      </c>
      <c r="H579" s="3">
        <v>0</v>
      </c>
      <c r="I579" s="3">
        <v>0</v>
      </c>
      <c r="J579" s="4">
        <v>819</v>
      </c>
      <c r="K579" s="3">
        <v>2</v>
      </c>
      <c r="L579" s="3" t="s">
        <v>722</v>
      </c>
      <c r="M579" s="3">
        <v>201</v>
      </c>
      <c r="N579" s="4" t="s">
        <v>723</v>
      </c>
      <c r="O579" s="3"/>
      <c r="P579" s="3"/>
      <c r="Q579" s="27" t="s">
        <v>3047</v>
      </c>
      <c r="R579" s="3" t="str">
        <f t="shared" si="44"/>
        <v>ic_dragon12</v>
      </c>
      <c r="S579" s="3" t="str">
        <f t="shared" si="45"/>
        <v>dragon12</v>
      </c>
      <c r="T579" s="3">
        <v>1</v>
      </c>
      <c r="U579" s="3">
        <v>0</v>
      </c>
      <c r="V579" s="3">
        <v>1</v>
      </c>
      <c r="W579" s="7"/>
      <c r="X579" s="27" t="s">
        <v>3186</v>
      </c>
      <c r="Y579" s="3"/>
    </row>
    <row r="580" spans="1:25" x14ac:dyDescent="0.15">
      <c r="A580" s="3">
        <v>201520</v>
      </c>
      <c r="B580" s="27" t="s">
        <v>3187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4">
        <v>820</v>
      </c>
      <c r="K580" s="3">
        <v>2</v>
      </c>
      <c r="L580" s="3" t="s">
        <v>722</v>
      </c>
      <c r="M580" s="3">
        <v>201</v>
      </c>
      <c r="N580" s="4" t="s">
        <v>723</v>
      </c>
      <c r="O580" s="3"/>
      <c r="P580" s="3"/>
      <c r="Q580" s="27" t="s">
        <v>3047</v>
      </c>
      <c r="R580" s="3" t="str">
        <f t="shared" si="44"/>
        <v>ic_dragon12</v>
      </c>
      <c r="S580" s="3" t="str">
        <f t="shared" si="45"/>
        <v>dragon12</v>
      </c>
      <c r="T580" s="3">
        <v>1</v>
      </c>
      <c r="U580" s="3">
        <v>0</v>
      </c>
      <c r="V580" s="3">
        <v>1</v>
      </c>
      <c r="W580" s="7"/>
      <c r="X580" s="27" t="s">
        <v>3187</v>
      </c>
      <c r="Y580" s="3"/>
    </row>
    <row r="581" spans="1:25" x14ac:dyDescent="0.15">
      <c r="A581" s="3">
        <v>201521</v>
      </c>
      <c r="B581" s="27" t="s">
        <v>3188</v>
      </c>
      <c r="C581" s="3">
        <v>0</v>
      </c>
      <c r="D581" s="3">
        <v>0</v>
      </c>
      <c r="E581" s="3">
        <v>0</v>
      </c>
      <c r="F581" s="3">
        <v>0</v>
      </c>
      <c r="G581" s="3">
        <v>0</v>
      </c>
      <c r="H581" s="3">
        <v>0</v>
      </c>
      <c r="I581" s="3">
        <v>0</v>
      </c>
      <c r="J581" s="4">
        <v>811</v>
      </c>
      <c r="K581" s="3">
        <v>2</v>
      </c>
      <c r="L581" s="3" t="s">
        <v>722</v>
      </c>
      <c r="M581" s="3">
        <v>201</v>
      </c>
      <c r="N581" s="4" t="s">
        <v>723</v>
      </c>
      <c r="O581" s="3"/>
      <c r="P581" s="3"/>
      <c r="Q581" s="27" t="s">
        <v>3294</v>
      </c>
      <c r="R581" s="3" t="str">
        <f t="shared" si="44"/>
        <v>ic_dragon13</v>
      </c>
      <c r="S581" s="3" t="str">
        <f t="shared" si="45"/>
        <v>dragon13</v>
      </c>
      <c r="T581" s="3">
        <v>1</v>
      </c>
      <c r="U581" s="3">
        <v>0</v>
      </c>
      <c r="V581" s="3">
        <v>1</v>
      </c>
      <c r="W581" s="7"/>
      <c r="X581" s="27" t="s">
        <v>3188</v>
      </c>
      <c r="Y581" s="3"/>
    </row>
    <row r="582" spans="1:25" x14ac:dyDescent="0.15">
      <c r="A582" s="3">
        <v>201522</v>
      </c>
      <c r="B582" s="27" t="s">
        <v>3189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4">
        <v>812</v>
      </c>
      <c r="K582" s="3">
        <v>2</v>
      </c>
      <c r="L582" s="3" t="s">
        <v>722</v>
      </c>
      <c r="M582" s="3">
        <v>201</v>
      </c>
      <c r="N582" s="4" t="s">
        <v>723</v>
      </c>
      <c r="O582" s="3"/>
      <c r="P582" s="3"/>
      <c r="Q582" s="27" t="s">
        <v>3294</v>
      </c>
      <c r="R582" s="3" t="str">
        <f t="shared" si="44"/>
        <v>ic_dragon13</v>
      </c>
      <c r="S582" s="3" t="str">
        <f t="shared" si="45"/>
        <v>dragon13</v>
      </c>
      <c r="T582" s="3">
        <v>1</v>
      </c>
      <c r="U582" s="3">
        <v>0</v>
      </c>
      <c r="V582" s="3">
        <v>1</v>
      </c>
      <c r="W582" s="7"/>
      <c r="X582" s="27" t="s">
        <v>3189</v>
      </c>
      <c r="Y582" s="3"/>
    </row>
    <row r="583" spans="1:25" x14ac:dyDescent="0.15">
      <c r="A583" s="3">
        <v>201523</v>
      </c>
      <c r="B583" s="27" t="s">
        <v>3190</v>
      </c>
      <c r="C583" s="3">
        <v>0</v>
      </c>
      <c r="D583" s="3">
        <v>0</v>
      </c>
      <c r="E583" s="3">
        <v>0</v>
      </c>
      <c r="F583" s="3">
        <v>0</v>
      </c>
      <c r="G583" s="3">
        <v>0</v>
      </c>
      <c r="H583" s="3">
        <v>0</v>
      </c>
      <c r="I583" s="3">
        <v>0</v>
      </c>
      <c r="J583" s="4">
        <v>813</v>
      </c>
      <c r="K583" s="3">
        <v>2</v>
      </c>
      <c r="L583" s="3" t="s">
        <v>722</v>
      </c>
      <c r="M583" s="3">
        <v>201</v>
      </c>
      <c r="N583" s="4" t="s">
        <v>723</v>
      </c>
      <c r="O583" s="3"/>
      <c r="P583" s="3"/>
      <c r="Q583" s="27" t="s">
        <v>3294</v>
      </c>
      <c r="R583" s="3" t="str">
        <f t="shared" si="44"/>
        <v>ic_dragon13</v>
      </c>
      <c r="S583" s="3" t="str">
        <f t="shared" si="45"/>
        <v>dragon13</v>
      </c>
      <c r="T583" s="3">
        <v>1</v>
      </c>
      <c r="U583" s="3">
        <v>0</v>
      </c>
      <c r="V583" s="3">
        <v>1</v>
      </c>
      <c r="W583" s="7"/>
      <c r="X583" s="27" t="s">
        <v>3190</v>
      </c>
      <c r="Y583" s="3"/>
    </row>
    <row r="584" spans="1:25" x14ac:dyDescent="0.15">
      <c r="A584" s="3">
        <v>201524</v>
      </c>
      <c r="B584" s="27" t="s">
        <v>3191</v>
      </c>
      <c r="C584" s="3">
        <v>0</v>
      </c>
      <c r="D584" s="3">
        <v>0</v>
      </c>
      <c r="E584" s="3">
        <v>0</v>
      </c>
      <c r="F584" s="3">
        <v>0</v>
      </c>
      <c r="G584" s="3">
        <v>0</v>
      </c>
      <c r="H584" s="3">
        <v>0</v>
      </c>
      <c r="I584" s="3">
        <v>0</v>
      </c>
      <c r="J584" s="4">
        <v>814</v>
      </c>
      <c r="K584" s="3">
        <v>2</v>
      </c>
      <c r="L584" s="3" t="s">
        <v>722</v>
      </c>
      <c r="M584" s="3">
        <v>201</v>
      </c>
      <c r="N584" s="4" t="s">
        <v>723</v>
      </c>
      <c r="O584" s="3"/>
      <c r="P584" s="3"/>
      <c r="Q584" s="27" t="s">
        <v>3294</v>
      </c>
      <c r="R584" s="3" t="str">
        <f t="shared" si="44"/>
        <v>ic_dragon13</v>
      </c>
      <c r="S584" s="3" t="str">
        <f t="shared" si="45"/>
        <v>dragon13</v>
      </c>
      <c r="T584" s="3">
        <v>1</v>
      </c>
      <c r="U584" s="3">
        <v>0</v>
      </c>
      <c r="V584" s="3">
        <v>1</v>
      </c>
      <c r="W584" s="7"/>
      <c r="X584" s="27" t="s">
        <v>3191</v>
      </c>
      <c r="Y584" s="3"/>
    </row>
    <row r="585" spans="1:25" x14ac:dyDescent="0.15">
      <c r="A585" s="3">
        <v>201525</v>
      </c>
      <c r="B585" s="27" t="s">
        <v>3192</v>
      </c>
      <c r="C585" s="3">
        <v>0</v>
      </c>
      <c r="D585" s="3">
        <v>0</v>
      </c>
      <c r="E585" s="3">
        <v>0</v>
      </c>
      <c r="F585" s="3">
        <v>0</v>
      </c>
      <c r="G585" s="3">
        <v>0</v>
      </c>
      <c r="H585" s="3">
        <v>0</v>
      </c>
      <c r="I585" s="3">
        <v>0</v>
      </c>
      <c r="J585" s="4">
        <v>815</v>
      </c>
      <c r="K585" s="3">
        <v>2</v>
      </c>
      <c r="L585" s="3" t="s">
        <v>722</v>
      </c>
      <c r="M585" s="3">
        <v>201</v>
      </c>
      <c r="N585" s="4" t="s">
        <v>723</v>
      </c>
      <c r="O585" s="3"/>
      <c r="P585" s="3"/>
      <c r="Q585" s="27" t="s">
        <v>3294</v>
      </c>
      <c r="R585" s="3" t="str">
        <f t="shared" si="44"/>
        <v>ic_dragon13</v>
      </c>
      <c r="S585" s="3" t="str">
        <f t="shared" si="45"/>
        <v>dragon13</v>
      </c>
      <c r="T585" s="3">
        <v>1</v>
      </c>
      <c r="U585" s="3">
        <v>0</v>
      </c>
      <c r="V585" s="3">
        <v>1</v>
      </c>
      <c r="W585" s="7"/>
      <c r="X585" s="27" t="s">
        <v>3192</v>
      </c>
      <c r="Y585" s="3"/>
    </row>
    <row r="586" spans="1:25" x14ac:dyDescent="0.15">
      <c r="A586" s="3">
        <v>201526</v>
      </c>
      <c r="B586" s="27" t="s">
        <v>3193</v>
      </c>
      <c r="C586" s="3">
        <v>0</v>
      </c>
      <c r="D586" s="3">
        <v>0</v>
      </c>
      <c r="E586" s="3">
        <v>0</v>
      </c>
      <c r="F586" s="3">
        <v>0</v>
      </c>
      <c r="G586" s="3">
        <v>0</v>
      </c>
      <c r="H586" s="3">
        <v>0</v>
      </c>
      <c r="I586" s="3">
        <v>0</v>
      </c>
      <c r="J586" s="4">
        <v>816</v>
      </c>
      <c r="K586" s="3">
        <v>2</v>
      </c>
      <c r="L586" s="3" t="s">
        <v>722</v>
      </c>
      <c r="M586" s="3">
        <v>201</v>
      </c>
      <c r="N586" s="4" t="s">
        <v>723</v>
      </c>
      <c r="O586" s="3"/>
      <c r="P586" s="3"/>
      <c r="Q586" s="27" t="s">
        <v>3294</v>
      </c>
      <c r="R586" s="3" t="str">
        <f t="shared" si="44"/>
        <v>ic_dragon13</v>
      </c>
      <c r="S586" s="3" t="str">
        <f t="shared" si="45"/>
        <v>dragon13</v>
      </c>
      <c r="T586" s="3">
        <v>1</v>
      </c>
      <c r="U586" s="3">
        <v>0</v>
      </c>
      <c r="V586" s="3">
        <v>1</v>
      </c>
      <c r="W586" s="7"/>
      <c r="X586" s="27" t="s">
        <v>3193</v>
      </c>
      <c r="Y586" s="3"/>
    </row>
    <row r="587" spans="1:25" x14ac:dyDescent="0.15">
      <c r="A587" s="3">
        <v>201527</v>
      </c>
      <c r="B587" s="27" t="s">
        <v>3194</v>
      </c>
      <c r="C587" s="3">
        <v>0</v>
      </c>
      <c r="D587" s="3">
        <v>0</v>
      </c>
      <c r="E587" s="3">
        <v>0</v>
      </c>
      <c r="F587" s="3">
        <v>0</v>
      </c>
      <c r="G587" s="3">
        <v>0</v>
      </c>
      <c r="H587" s="3">
        <v>0</v>
      </c>
      <c r="I587" s="3">
        <v>0</v>
      </c>
      <c r="J587" s="4">
        <v>817</v>
      </c>
      <c r="K587" s="3">
        <v>2</v>
      </c>
      <c r="L587" s="3" t="s">
        <v>722</v>
      </c>
      <c r="M587" s="3">
        <v>201</v>
      </c>
      <c r="N587" s="4" t="s">
        <v>723</v>
      </c>
      <c r="O587" s="3"/>
      <c r="P587" s="3"/>
      <c r="Q587" s="27" t="s">
        <v>3294</v>
      </c>
      <c r="R587" s="3" t="str">
        <f t="shared" si="44"/>
        <v>ic_dragon13</v>
      </c>
      <c r="S587" s="3" t="str">
        <f t="shared" si="45"/>
        <v>dragon13</v>
      </c>
      <c r="T587" s="3">
        <v>1</v>
      </c>
      <c r="U587" s="3">
        <v>0</v>
      </c>
      <c r="V587" s="3">
        <v>1</v>
      </c>
      <c r="W587" s="7"/>
      <c r="X587" s="27" t="s">
        <v>3194</v>
      </c>
      <c r="Y587" s="3"/>
    </row>
    <row r="588" spans="1:25" x14ac:dyDescent="0.15">
      <c r="A588" s="3">
        <v>201528</v>
      </c>
      <c r="B588" s="27" t="s">
        <v>3195</v>
      </c>
      <c r="C588" s="3">
        <v>0</v>
      </c>
      <c r="D588" s="3">
        <v>0</v>
      </c>
      <c r="E588" s="3">
        <v>0</v>
      </c>
      <c r="F588" s="3">
        <v>0</v>
      </c>
      <c r="G588" s="3">
        <v>0</v>
      </c>
      <c r="H588" s="3">
        <v>0</v>
      </c>
      <c r="I588" s="3">
        <v>0</v>
      </c>
      <c r="J588" s="4">
        <v>818</v>
      </c>
      <c r="K588" s="3">
        <v>2</v>
      </c>
      <c r="L588" s="3" t="s">
        <v>722</v>
      </c>
      <c r="M588" s="3">
        <v>201</v>
      </c>
      <c r="N588" s="4" t="s">
        <v>723</v>
      </c>
      <c r="O588" s="3"/>
      <c r="P588" s="3"/>
      <c r="Q588" s="27" t="s">
        <v>3294</v>
      </c>
      <c r="R588" s="3" t="str">
        <f t="shared" si="44"/>
        <v>ic_dragon13</v>
      </c>
      <c r="S588" s="3" t="str">
        <f t="shared" si="45"/>
        <v>dragon13</v>
      </c>
      <c r="T588" s="3">
        <v>1</v>
      </c>
      <c r="U588" s="3">
        <v>0</v>
      </c>
      <c r="V588" s="3">
        <v>1</v>
      </c>
      <c r="W588" s="7"/>
      <c r="X588" s="27" t="s">
        <v>3195</v>
      </c>
      <c r="Y588" s="3"/>
    </row>
    <row r="589" spans="1:25" x14ac:dyDescent="0.15">
      <c r="A589" s="3">
        <v>201529</v>
      </c>
      <c r="B589" s="27" t="s">
        <v>3196</v>
      </c>
      <c r="C589" s="3">
        <v>0</v>
      </c>
      <c r="D589" s="3">
        <v>0</v>
      </c>
      <c r="E589" s="3">
        <v>0</v>
      </c>
      <c r="F589" s="3">
        <v>0</v>
      </c>
      <c r="G589" s="3">
        <v>0</v>
      </c>
      <c r="H589" s="3">
        <v>0</v>
      </c>
      <c r="I589" s="3">
        <v>0</v>
      </c>
      <c r="J589" s="4">
        <v>819</v>
      </c>
      <c r="K589" s="3">
        <v>2</v>
      </c>
      <c r="L589" s="3" t="s">
        <v>722</v>
      </c>
      <c r="M589" s="3">
        <v>201</v>
      </c>
      <c r="N589" s="4" t="s">
        <v>723</v>
      </c>
      <c r="O589" s="3"/>
      <c r="P589" s="3"/>
      <c r="Q589" s="27" t="s">
        <v>3294</v>
      </c>
      <c r="R589" s="3" t="str">
        <f t="shared" si="44"/>
        <v>ic_dragon13</v>
      </c>
      <c r="S589" s="3" t="str">
        <f t="shared" si="45"/>
        <v>dragon13</v>
      </c>
      <c r="T589" s="3">
        <v>1</v>
      </c>
      <c r="U589" s="3">
        <v>0</v>
      </c>
      <c r="V589" s="3">
        <v>1</v>
      </c>
      <c r="W589" s="7"/>
      <c r="X589" s="27" t="s">
        <v>3196</v>
      </c>
      <c r="Y589" s="3"/>
    </row>
    <row r="590" spans="1:25" x14ac:dyDescent="0.15">
      <c r="A590" s="3">
        <v>201530</v>
      </c>
      <c r="B590" s="27" t="s">
        <v>3197</v>
      </c>
      <c r="C590" s="3">
        <v>0</v>
      </c>
      <c r="D590" s="3">
        <v>0</v>
      </c>
      <c r="E590" s="3">
        <v>0</v>
      </c>
      <c r="F590" s="3">
        <v>0</v>
      </c>
      <c r="G590" s="3">
        <v>0</v>
      </c>
      <c r="H590" s="3">
        <v>0</v>
      </c>
      <c r="I590" s="3">
        <v>0</v>
      </c>
      <c r="J590" s="4">
        <v>820</v>
      </c>
      <c r="K590" s="3">
        <v>2</v>
      </c>
      <c r="L590" s="3" t="s">
        <v>722</v>
      </c>
      <c r="M590" s="3">
        <v>201</v>
      </c>
      <c r="N590" s="4" t="s">
        <v>723</v>
      </c>
      <c r="O590" s="3"/>
      <c r="P590" s="3"/>
      <c r="Q590" s="27" t="s">
        <v>3294</v>
      </c>
      <c r="R590" s="3" t="str">
        <f t="shared" ref="R590:R620" si="46">CONCATENATE("ic_",Q590)</f>
        <v>ic_dragon13</v>
      </c>
      <c r="S590" s="3" t="str">
        <f t="shared" ref="S590:S620" si="47">Q590</f>
        <v>dragon13</v>
      </c>
      <c r="T590" s="3">
        <v>1</v>
      </c>
      <c r="U590" s="3">
        <v>0</v>
      </c>
      <c r="V590" s="3">
        <v>1</v>
      </c>
      <c r="W590" s="7"/>
      <c r="X590" s="27" t="s">
        <v>3197</v>
      </c>
      <c r="Y590" s="3"/>
    </row>
    <row r="591" spans="1:25" x14ac:dyDescent="0.15">
      <c r="A591" s="3">
        <v>201531</v>
      </c>
      <c r="B591" s="27" t="s">
        <v>3198</v>
      </c>
      <c r="C591" s="3">
        <v>0</v>
      </c>
      <c r="D591" s="3">
        <v>0</v>
      </c>
      <c r="E591" s="3">
        <v>0</v>
      </c>
      <c r="F591" s="3">
        <v>0</v>
      </c>
      <c r="G591" s="3">
        <v>0</v>
      </c>
      <c r="H591" s="3">
        <v>0</v>
      </c>
      <c r="I591" s="3">
        <v>0</v>
      </c>
      <c r="J591" s="4">
        <v>811</v>
      </c>
      <c r="K591" s="3">
        <v>2</v>
      </c>
      <c r="L591" s="3" t="s">
        <v>722</v>
      </c>
      <c r="M591" s="3">
        <v>201</v>
      </c>
      <c r="N591" s="4" t="s">
        <v>723</v>
      </c>
      <c r="O591" s="3"/>
      <c r="P591" s="3"/>
      <c r="Q591" s="27" t="s">
        <v>3295</v>
      </c>
      <c r="R591" s="3" t="str">
        <f t="shared" si="46"/>
        <v>ic_dragon14</v>
      </c>
      <c r="S591" s="3" t="str">
        <f t="shared" si="47"/>
        <v>dragon14</v>
      </c>
      <c r="T591" s="3">
        <v>1</v>
      </c>
      <c r="U591" s="3">
        <v>0</v>
      </c>
      <c r="V591" s="3">
        <v>1</v>
      </c>
      <c r="W591" s="7"/>
      <c r="X591" s="27" t="s">
        <v>3198</v>
      </c>
      <c r="Y591" s="3"/>
    </row>
    <row r="592" spans="1:25" x14ac:dyDescent="0.15">
      <c r="A592" s="3">
        <v>201532</v>
      </c>
      <c r="B592" s="27" t="s">
        <v>3199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4">
        <v>812</v>
      </c>
      <c r="K592" s="3">
        <v>2</v>
      </c>
      <c r="L592" s="3" t="s">
        <v>722</v>
      </c>
      <c r="M592" s="3">
        <v>201</v>
      </c>
      <c r="N592" s="4" t="s">
        <v>723</v>
      </c>
      <c r="O592" s="3"/>
      <c r="P592" s="3"/>
      <c r="Q592" s="27" t="s">
        <v>3295</v>
      </c>
      <c r="R592" s="3" t="str">
        <f t="shared" si="46"/>
        <v>ic_dragon14</v>
      </c>
      <c r="S592" s="3" t="str">
        <f t="shared" si="47"/>
        <v>dragon14</v>
      </c>
      <c r="T592" s="3">
        <v>1</v>
      </c>
      <c r="U592" s="3">
        <v>0</v>
      </c>
      <c r="V592" s="3">
        <v>1</v>
      </c>
      <c r="W592" s="7"/>
      <c r="X592" s="27" t="s">
        <v>3199</v>
      </c>
      <c r="Y592" s="3"/>
    </row>
    <row r="593" spans="1:25" x14ac:dyDescent="0.15">
      <c r="A593" s="3">
        <v>201533</v>
      </c>
      <c r="B593" s="27" t="s">
        <v>3200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4">
        <v>813</v>
      </c>
      <c r="K593" s="3">
        <v>2</v>
      </c>
      <c r="L593" s="3" t="s">
        <v>722</v>
      </c>
      <c r="M593" s="3">
        <v>201</v>
      </c>
      <c r="N593" s="4" t="s">
        <v>723</v>
      </c>
      <c r="O593" s="3"/>
      <c r="P593" s="3"/>
      <c r="Q593" s="27" t="s">
        <v>3295</v>
      </c>
      <c r="R593" s="3" t="str">
        <f t="shared" si="46"/>
        <v>ic_dragon14</v>
      </c>
      <c r="S593" s="3" t="str">
        <f t="shared" si="47"/>
        <v>dragon14</v>
      </c>
      <c r="T593" s="3">
        <v>1</v>
      </c>
      <c r="U593" s="3">
        <v>0</v>
      </c>
      <c r="V593" s="3">
        <v>1</v>
      </c>
      <c r="W593" s="7"/>
      <c r="X593" s="27" t="s">
        <v>3200</v>
      </c>
      <c r="Y593" s="3"/>
    </row>
    <row r="594" spans="1:25" x14ac:dyDescent="0.15">
      <c r="A594" s="3">
        <v>201534</v>
      </c>
      <c r="B594" s="27" t="s">
        <v>3201</v>
      </c>
      <c r="C594" s="3">
        <v>0</v>
      </c>
      <c r="D594" s="3">
        <v>0</v>
      </c>
      <c r="E594" s="3">
        <v>0</v>
      </c>
      <c r="F594" s="3">
        <v>0</v>
      </c>
      <c r="G594" s="3">
        <v>0</v>
      </c>
      <c r="H594" s="3">
        <v>0</v>
      </c>
      <c r="I594" s="3">
        <v>0</v>
      </c>
      <c r="J594" s="4">
        <v>814</v>
      </c>
      <c r="K594" s="3">
        <v>2</v>
      </c>
      <c r="L594" s="3" t="s">
        <v>722</v>
      </c>
      <c r="M594" s="3">
        <v>201</v>
      </c>
      <c r="N594" s="4" t="s">
        <v>723</v>
      </c>
      <c r="O594" s="3"/>
      <c r="P594" s="3"/>
      <c r="Q594" s="27" t="s">
        <v>3295</v>
      </c>
      <c r="R594" s="3" t="str">
        <f t="shared" si="46"/>
        <v>ic_dragon14</v>
      </c>
      <c r="S594" s="3" t="str">
        <f t="shared" si="47"/>
        <v>dragon14</v>
      </c>
      <c r="T594" s="3">
        <v>1</v>
      </c>
      <c r="U594" s="3">
        <v>0</v>
      </c>
      <c r="V594" s="3">
        <v>1</v>
      </c>
      <c r="W594" s="7"/>
      <c r="X594" s="27" t="s">
        <v>3201</v>
      </c>
      <c r="Y594" s="3"/>
    </row>
    <row r="595" spans="1:25" x14ac:dyDescent="0.15">
      <c r="A595" s="3">
        <v>201535</v>
      </c>
      <c r="B595" s="27" t="s">
        <v>3202</v>
      </c>
      <c r="C595" s="3">
        <v>0</v>
      </c>
      <c r="D595" s="3">
        <v>0</v>
      </c>
      <c r="E595" s="3">
        <v>0</v>
      </c>
      <c r="F595" s="3">
        <v>0</v>
      </c>
      <c r="G595" s="3">
        <v>0</v>
      </c>
      <c r="H595" s="3">
        <v>0</v>
      </c>
      <c r="I595" s="3">
        <v>0</v>
      </c>
      <c r="J595" s="4">
        <v>815</v>
      </c>
      <c r="K595" s="3">
        <v>2</v>
      </c>
      <c r="L595" s="3" t="s">
        <v>722</v>
      </c>
      <c r="M595" s="3">
        <v>201</v>
      </c>
      <c r="N595" s="4" t="s">
        <v>723</v>
      </c>
      <c r="O595" s="3"/>
      <c r="P595" s="3"/>
      <c r="Q595" s="27" t="s">
        <v>3295</v>
      </c>
      <c r="R595" s="3" t="str">
        <f t="shared" si="46"/>
        <v>ic_dragon14</v>
      </c>
      <c r="S595" s="3" t="str">
        <f t="shared" si="47"/>
        <v>dragon14</v>
      </c>
      <c r="T595" s="3">
        <v>1</v>
      </c>
      <c r="U595" s="3">
        <v>0</v>
      </c>
      <c r="V595" s="3">
        <v>1</v>
      </c>
      <c r="W595" s="7"/>
      <c r="X595" s="27" t="s">
        <v>3202</v>
      </c>
      <c r="Y595" s="3"/>
    </row>
    <row r="596" spans="1:25" x14ac:dyDescent="0.15">
      <c r="A596" s="3">
        <v>201536</v>
      </c>
      <c r="B596" s="27" t="s">
        <v>3203</v>
      </c>
      <c r="C596" s="3">
        <v>0</v>
      </c>
      <c r="D596" s="3">
        <v>0</v>
      </c>
      <c r="E596" s="3">
        <v>0</v>
      </c>
      <c r="F596" s="3">
        <v>0</v>
      </c>
      <c r="G596" s="3">
        <v>0</v>
      </c>
      <c r="H596" s="3">
        <v>0</v>
      </c>
      <c r="I596" s="3">
        <v>0</v>
      </c>
      <c r="J596" s="4">
        <v>816</v>
      </c>
      <c r="K596" s="3">
        <v>2</v>
      </c>
      <c r="L596" s="3" t="s">
        <v>722</v>
      </c>
      <c r="M596" s="3">
        <v>201</v>
      </c>
      <c r="N596" s="4" t="s">
        <v>723</v>
      </c>
      <c r="O596" s="3"/>
      <c r="P596" s="3"/>
      <c r="Q596" s="27" t="s">
        <v>3295</v>
      </c>
      <c r="R596" s="3" t="str">
        <f t="shared" si="46"/>
        <v>ic_dragon14</v>
      </c>
      <c r="S596" s="3" t="str">
        <f t="shared" si="47"/>
        <v>dragon14</v>
      </c>
      <c r="T596" s="3">
        <v>1</v>
      </c>
      <c r="U596" s="3">
        <v>0</v>
      </c>
      <c r="V596" s="3">
        <v>1</v>
      </c>
      <c r="W596" s="7"/>
      <c r="X596" s="27" t="s">
        <v>3203</v>
      </c>
      <c r="Y596" s="3"/>
    </row>
    <row r="597" spans="1:25" x14ac:dyDescent="0.15">
      <c r="A597" s="3">
        <v>201537</v>
      </c>
      <c r="B597" s="27" t="s">
        <v>3204</v>
      </c>
      <c r="C597" s="3">
        <v>0</v>
      </c>
      <c r="D597" s="3">
        <v>0</v>
      </c>
      <c r="E597" s="3">
        <v>0</v>
      </c>
      <c r="F597" s="3">
        <v>0</v>
      </c>
      <c r="G597" s="3">
        <v>0</v>
      </c>
      <c r="H597" s="3">
        <v>0</v>
      </c>
      <c r="I597" s="3">
        <v>0</v>
      </c>
      <c r="J597" s="4">
        <v>817</v>
      </c>
      <c r="K597" s="3">
        <v>2</v>
      </c>
      <c r="L597" s="3" t="s">
        <v>722</v>
      </c>
      <c r="M597" s="3">
        <v>201</v>
      </c>
      <c r="N597" s="4" t="s">
        <v>723</v>
      </c>
      <c r="O597" s="3"/>
      <c r="P597" s="3"/>
      <c r="Q597" s="27" t="s">
        <v>3295</v>
      </c>
      <c r="R597" s="3" t="str">
        <f t="shared" si="46"/>
        <v>ic_dragon14</v>
      </c>
      <c r="S597" s="3" t="str">
        <f t="shared" si="47"/>
        <v>dragon14</v>
      </c>
      <c r="T597" s="3">
        <v>1</v>
      </c>
      <c r="U597" s="3">
        <v>0</v>
      </c>
      <c r="V597" s="3">
        <v>1</v>
      </c>
      <c r="W597" s="7"/>
      <c r="X597" s="27" t="s">
        <v>3204</v>
      </c>
      <c r="Y597" s="3"/>
    </row>
    <row r="598" spans="1:25" x14ac:dyDescent="0.15">
      <c r="A598" s="3">
        <v>201538</v>
      </c>
      <c r="B598" s="27" t="s">
        <v>3205</v>
      </c>
      <c r="C598" s="3">
        <v>0</v>
      </c>
      <c r="D598" s="3">
        <v>0</v>
      </c>
      <c r="E598" s="3">
        <v>0</v>
      </c>
      <c r="F598" s="3">
        <v>0</v>
      </c>
      <c r="G598" s="3">
        <v>0</v>
      </c>
      <c r="H598" s="3">
        <v>0</v>
      </c>
      <c r="I598" s="3">
        <v>0</v>
      </c>
      <c r="J598" s="4">
        <v>818</v>
      </c>
      <c r="K598" s="3">
        <v>2</v>
      </c>
      <c r="L598" s="3" t="s">
        <v>722</v>
      </c>
      <c r="M598" s="3">
        <v>201</v>
      </c>
      <c r="N598" s="4" t="s">
        <v>723</v>
      </c>
      <c r="O598" s="3"/>
      <c r="P598" s="3"/>
      <c r="Q598" s="27" t="s">
        <v>3295</v>
      </c>
      <c r="R598" s="3" t="str">
        <f t="shared" si="46"/>
        <v>ic_dragon14</v>
      </c>
      <c r="S598" s="3" t="str">
        <f t="shared" si="47"/>
        <v>dragon14</v>
      </c>
      <c r="T598" s="3">
        <v>1</v>
      </c>
      <c r="U598" s="3">
        <v>0</v>
      </c>
      <c r="V598" s="3">
        <v>1</v>
      </c>
      <c r="W598" s="7"/>
      <c r="X598" s="27" t="s">
        <v>3205</v>
      </c>
      <c r="Y598" s="3"/>
    </row>
    <row r="599" spans="1:25" x14ac:dyDescent="0.15">
      <c r="A599" s="3">
        <v>201539</v>
      </c>
      <c r="B599" s="27" t="s">
        <v>3206</v>
      </c>
      <c r="C599" s="3">
        <v>0</v>
      </c>
      <c r="D599" s="3">
        <v>0</v>
      </c>
      <c r="E599" s="3">
        <v>0</v>
      </c>
      <c r="F599" s="3">
        <v>0</v>
      </c>
      <c r="G599" s="3">
        <v>0</v>
      </c>
      <c r="H599" s="3">
        <v>0</v>
      </c>
      <c r="I599" s="3">
        <v>0</v>
      </c>
      <c r="J599" s="4">
        <v>819</v>
      </c>
      <c r="K599" s="3">
        <v>2</v>
      </c>
      <c r="L599" s="3" t="s">
        <v>722</v>
      </c>
      <c r="M599" s="3">
        <v>201</v>
      </c>
      <c r="N599" s="4" t="s">
        <v>723</v>
      </c>
      <c r="O599" s="3"/>
      <c r="P599" s="3"/>
      <c r="Q599" s="27" t="s">
        <v>3295</v>
      </c>
      <c r="R599" s="3" t="str">
        <f t="shared" si="46"/>
        <v>ic_dragon14</v>
      </c>
      <c r="S599" s="3" t="str">
        <f t="shared" si="47"/>
        <v>dragon14</v>
      </c>
      <c r="T599" s="3">
        <v>1</v>
      </c>
      <c r="U599" s="3">
        <v>0</v>
      </c>
      <c r="V599" s="3">
        <v>1</v>
      </c>
      <c r="W599" s="7"/>
      <c r="X599" s="27" t="s">
        <v>3206</v>
      </c>
      <c r="Y599" s="3"/>
    </row>
    <row r="600" spans="1:25" x14ac:dyDescent="0.15">
      <c r="A600" s="3">
        <v>201540</v>
      </c>
      <c r="B600" s="27" t="s">
        <v>3207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0</v>
      </c>
      <c r="J600" s="4">
        <v>820</v>
      </c>
      <c r="K600" s="3">
        <v>2</v>
      </c>
      <c r="L600" s="3" t="s">
        <v>722</v>
      </c>
      <c r="M600" s="3">
        <v>201</v>
      </c>
      <c r="N600" s="4" t="s">
        <v>723</v>
      </c>
      <c r="O600" s="3"/>
      <c r="P600" s="3"/>
      <c r="Q600" s="27" t="s">
        <v>3295</v>
      </c>
      <c r="R600" s="3" t="str">
        <f t="shared" si="46"/>
        <v>ic_dragon14</v>
      </c>
      <c r="S600" s="3" t="str">
        <f t="shared" si="47"/>
        <v>dragon14</v>
      </c>
      <c r="T600" s="3">
        <v>1</v>
      </c>
      <c r="U600" s="3">
        <v>0</v>
      </c>
      <c r="V600" s="3">
        <v>1</v>
      </c>
      <c r="W600" s="7"/>
      <c r="X600" s="27" t="s">
        <v>3207</v>
      </c>
      <c r="Y600" s="3"/>
    </row>
    <row r="601" spans="1:25" x14ac:dyDescent="0.15">
      <c r="A601" s="3">
        <v>201541</v>
      </c>
      <c r="B601" s="27" t="s">
        <v>3208</v>
      </c>
      <c r="C601" s="3">
        <v>0</v>
      </c>
      <c r="D601" s="3">
        <v>0</v>
      </c>
      <c r="E601" s="3">
        <v>0</v>
      </c>
      <c r="F601" s="3">
        <v>0</v>
      </c>
      <c r="G601" s="3">
        <v>0</v>
      </c>
      <c r="H601" s="3">
        <v>0</v>
      </c>
      <c r="I601" s="3">
        <v>0</v>
      </c>
      <c r="J601" s="4">
        <v>811</v>
      </c>
      <c r="K601" s="3">
        <v>2</v>
      </c>
      <c r="L601" s="3" t="s">
        <v>722</v>
      </c>
      <c r="M601" s="3">
        <v>201</v>
      </c>
      <c r="N601" s="4" t="s">
        <v>723</v>
      </c>
      <c r="O601" s="3"/>
      <c r="P601" s="3"/>
      <c r="Q601" s="27" t="s">
        <v>3296</v>
      </c>
      <c r="R601" s="3" t="str">
        <f t="shared" si="46"/>
        <v>ic_dragon15</v>
      </c>
      <c r="S601" s="3" t="str">
        <f t="shared" si="47"/>
        <v>dragon15</v>
      </c>
      <c r="T601" s="3">
        <v>1</v>
      </c>
      <c r="U601" s="3">
        <v>0</v>
      </c>
      <c r="V601" s="3">
        <v>1</v>
      </c>
      <c r="W601" s="7"/>
      <c r="X601" s="27" t="s">
        <v>3208</v>
      </c>
      <c r="Y601" s="3"/>
    </row>
    <row r="602" spans="1:25" x14ac:dyDescent="0.15">
      <c r="A602" s="3">
        <v>201542</v>
      </c>
      <c r="B602" s="27" t="s">
        <v>3209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4">
        <v>812</v>
      </c>
      <c r="K602" s="3">
        <v>2</v>
      </c>
      <c r="L602" s="3" t="s">
        <v>722</v>
      </c>
      <c r="M602" s="3">
        <v>201</v>
      </c>
      <c r="N602" s="4" t="s">
        <v>723</v>
      </c>
      <c r="O602" s="3"/>
      <c r="P602" s="3"/>
      <c r="Q602" s="27" t="s">
        <v>3296</v>
      </c>
      <c r="R602" s="3" t="str">
        <f t="shared" si="46"/>
        <v>ic_dragon15</v>
      </c>
      <c r="S602" s="3" t="str">
        <f t="shared" si="47"/>
        <v>dragon15</v>
      </c>
      <c r="T602" s="3">
        <v>1</v>
      </c>
      <c r="U602" s="3">
        <v>0</v>
      </c>
      <c r="V602" s="3">
        <v>1</v>
      </c>
      <c r="W602" s="7"/>
      <c r="X602" s="27" t="s">
        <v>3209</v>
      </c>
      <c r="Y602" s="3"/>
    </row>
    <row r="603" spans="1:25" x14ac:dyDescent="0.15">
      <c r="A603" s="3">
        <v>201543</v>
      </c>
      <c r="B603" s="27" t="s">
        <v>3210</v>
      </c>
      <c r="C603" s="3">
        <v>0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4">
        <v>813</v>
      </c>
      <c r="K603" s="3">
        <v>2</v>
      </c>
      <c r="L603" s="3" t="s">
        <v>722</v>
      </c>
      <c r="M603" s="3">
        <v>201</v>
      </c>
      <c r="N603" s="4" t="s">
        <v>723</v>
      </c>
      <c r="O603" s="3"/>
      <c r="P603" s="3"/>
      <c r="Q603" s="27" t="s">
        <v>3296</v>
      </c>
      <c r="R603" s="3" t="str">
        <f t="shared" si="46"/>
        <v>ic_dragon15</v>
      </c>
      <c r="S603" s="3" t="str">
        <f t="shared" si="47"/>
        <v>dragon15</v>
      </c>
      <c r="T603" s="3">
        <v>1</v>
      </c>
      <c r="U603" s="3">
        <v>0</v>
      </c>
      <c r="V603" s="3">
        <v>1</v>
      </c>
      <c r="W603" s="7"/>
      <c r="X603" s="27" t="s">
        <v>3210</v>
      </c>
      <c r="Y603" s="3"/>
    </row>
    <row r="604" spans="1:25" x14ac:dyDescent="0.15">
      <c r="A604" s="3">
        <v>201544</v>
      </c>
      <c r="B604" s="27" t="s">
        <v>3211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0</v>
      </c>
      <c r="I604" s="3">
        <v>0</v>
      </c>
      <c r="J604" s="4">
        <v>814</v>
      </c>
      <c r="K604" s="3">
        <v>2</v>
      </c>
      <c r="L604" s="3" t="s">
        <v>722</v>
      </c>
      <c r="M604" s="3">
        <v>201</v>
      </c>
      <c r="N604" s="4" t="s">
        <v>723</v>
      </c>
      <c r="O604" s="3"/>
      <c r="P604" s="3"/>
      <c r="Q604" s="27" t="s">
        <v>3296</v>
      </c>
      <c r="R604" s="3" t="str">
        <f t="shared" si="46"/>
        <v>ic_dragon15</v>
      </c>
      <c r="S604" s="3" t="str">
        <f t="shared" si="47"/>
        <v>dragon15</v>
      </c>
      <c r="T604" s="3">
        <v>1</v>
      </c>
      <c r="U604" s="3">
        <v>0</v>
      </c>
      <c r="V604" s="3">
        <v>1</v>
      </c>
      <c r="W604" s="7"/>
      <c r="X604" s="27" t="s">
        <v>3211</v>
      </c>
      <c r="Y604" s="3"/>
    </row>
    <row r="605" spans="1:25" x14ac:dyDescent="0.15">
      <c r="A605" s="3">
        <v>201545</v>
      </c>
      <c r="B605" s="27" t="s">
        <v>3212</v>
      </c>
      <c r="C605" s="3">
        <v>0</v>
      </c>
      <c r="D605" s="3">
        <v>0</v>
      </c>
      <c r="E605" s="3">
        <v>0</v>
      </c>
      <c r="F605" s="3">
        <v>0</v>
      </c>
      <c r="G605" s="3">
        <v>0</v>
      </c>
      <c r="H605" s="3">
        <v>0</v>
      </c>
      <c r="I605" s="3">
        <v>0</v>
      </c>
      <c r="J605" s="4">
        <v>815</v>
      </c>
      <c r="K605" s="3">
        <v>2</v>
      </c>
      <c r="L605" s="3" t="s">
        <v>722</v>
      </c>
      <c r="M605" s="3">
        <v>201</v>
      </c>
      <c r="N605" s="4" t="s">
        <v>723</v>
      </c>
      <c r="O605" s="3"/>
      <c r="P605" s="3"/>
      <c r="Q605" s="27" t="s">
        <v>3296</v>
      </c>
      <c r="R605" s="3" t="str">
        <f t="shared" si="46"/>
        <v>ic_dragon15</v>
      </c>
      <c r="S605" s="3" t="str">
        <f t="shared" si="47"/>
        <v>dragon15</v>
      </c>
      <c r="T605" s="3">
        <v>1</v>
      </c>
      <c r="U605" s="3">
        <v>0</v>
      </c>
      <c r="V605" s="3">
        <v>1</v>
      </c>
      <c r="W605" s="7"/>
      <c r="X605" s="27" t="s">
        <v>3212</v>
      </c>
      <c r="Y605" s="3"/>
    </row>
    <row r="606" spans="1:25" x14ac:dyDescent="0.15">
      <c r="A606" s="3">
        <v>201546</v>
      </c>
      <c r="B606" s="27" t="s">
        <v>3213</v>
      </c>
      <c r="C606" s="3">
        <v>0</v>
      </c>
      <c r="D606" s="3">
        <v>0</v>
      </c>
      <c r="E606" s="3">
        <v>0</v>
      </c>
      <c r="F606" s="3">
        <v>0</v>
      </c>
      <c r="G606" s="3">
        <v>0</v>
      </c>
      <c r="H606" s="3">
        <v>0</v>
      </c>
      <c r="I606" s="3">
        <v>0</v>
      </c>
      <c r="J606" s="4">
        <v>816</v>
      </c>
      <c r="K606" s="3">
        <v>2</v>
      </c>
      <c r="L606" s="3" t="s">
        <v>722</v>
      </c>
      <c r="M606" s="3">
        <v>201</v>
      </c>
      <c r="N606" s="4" t="s">
        <v>723</v>
      </c>
      <c r="O606" s="3"/>
      <c r="P606" s="3"/>
      <c r="Q606" s="27" t="s">
        <v>3296</v>
      </c>
      <c r="R606" s="3" t="str">
        <f t="shared" si="46"/>
        <v>ic_dragon15</v>
      </c>
      <c r="S606" s="3" t="str">
        <f t="shared" si="47"/>
        <v>dragon15</v>
      </c>
      <c r="T606" s="3">
        <v>1</v>
      </c>
      <c r="U606" s="3">
        <v>0</v>
      </c>
      <c r="V606" s="3">
        <v>1</v>
      </c>
      <c r="W606" s="7"/>
      <c r="X606" s="27" t="s">
        <v>3213</v>
      </c>
      <c r="Y606" s="3"/>
    </row>
    <row r="607" spans="1:25" x14ac:dyDescent="0.15">
      <c r="A607" s="3">
        <v>201547</v>
      </c>
      <c r="B607" s="27" t="s">
        <v>3214</v>
      </c>
      <c r="C607" s="3">
        <v>0</v>
      </c>
      <c r="D607" s="3">
        <v>0</v>
      </c>
      <c r="E607" s="3">
        <v>0</v>
      </c>
      <c r="F607" s="3">
        <v>0</v>
      </c>
      <c r="G607" s="3">
        <v>0</v>
      </c>
      <c r="H607" s="3">
        <v>0</v>
      </c>
      <c r="I607" s="3">
        <v>0</v>
      </c>
      <c r="J607" s="4">
        <v>817</v>
      </c>
      <c r="K607" s="3">
        <v>2</v>
      </c>
      <c r="L607" s="3" t="s">
        <v>722</v>
      </c>
      <c r="M607" s="3">
        <v>201</v>
      </c>
      <c r="N607" s="4" t="s">
        <v>723</v>
      </c>
      <c r="O607" s="3"/>
      <c r="P607" s="3"/>
      <c r="Q607" s="27" t="s">
        <v>3296</v>
      </c>
      <c r="R607" s="3" t="str">
        <f t="shared" si="46"/>
        <v>ic_dragon15</v>
      </c>
      <c r="S607" s="3" t="str">
        <f t="shared" si="47"/>
        <v>dragon15</v>
      </c>
      <c r="T607" s="3">
        <v>1</v>
      </c>
      <c r="U607" s="3">
        <v>0</v>
      </c>
      <c r="V607" s="3">
        <v>1</v>
      </c>
      <c r="W607" s="7"/>
      <c r="X607" s="27" t="s">
        <v>3214</v>
      </c>
      <c r="Y607" s="3"/>
    </row>
    <row r="608" spans="1:25" x14ac:dyDescent="0.15">
      <c r="A608" s="3">
        <v>201548</v>
      </c>
      <c r="B608" s="27" t="s">
        <v>3215</v>
      </c>
      <c r="C608" s="3">
        <v>0</v>
      </c>
      <c r="D608" s="3">
        <v>0</v>
      </c>
      <c r="E608" s="3">
        <v>0</v>
      </c>
      <c r="F608" s="3">
        <v>0</v>
      </c>
      <c r="G608" s="3">
        <v>0</v>
      </c>
      <c r="H608" s="3">
        <v>0</v>
      </c>
      <c r="I608" s="3">
        <v>0</v>
      </c>
      <c r="J608" s="4">
        <v>818</v>
      </c>
      <c r="K608" s="3">
        <v>2</v>
      </c>
      <c r="L608" s="3" t="s">
        <v>722</v>
      </c>
      <c r="M608" s="3">
        <v>201</v>
      </c>
      <c r="N608" s="4" t="s">
        <v>723</v>
      </c>
      <c r="O608" s="3"/>
      <c r="P608" s="3"/>
      <c r="Q608" s="27" t="s">
        <v>3296</v>
      </c>
      <c r="R608" s="3" t="str">
        <f t="shared" si="46"/>
        <v>ic_dragon15</v>
      </c>
      <c r="S608" s="3" t="str">
        <f t="shared" si="47"/>
        <v>dragon15</v>
      </c>
      <c r="T608" s="3">
        <v>1</v>
      </c>
      <c r="U608" s="3">
        <v>0</v>
      </c>
      <c r="V608" s="3">
        <v>1</v>
      </c>
      <c r="W608" s="7"/>
      <c r="X608" s="27" t="s">
        <v>3215</v>
      </c>
      <c r="Y608" s="3"/>
    </row>
    <row r="609" spans="1:25" x14ac:dyDescent="0.15">
      <c r="A609" s="3">
        <v>201549</v>
      </c>
      <c r="B609" s="27" t="s">
        <v>3216</v>
      </c>
      <c r="C609" s="3">
        <v>0</v>
      </c>
      <c r="D609" s="3">
        <v>0</v>
      </c>
      <c r="E609" s="3">
        <v>0</v>
      </c>
      <c r="F609" s="3">
        <v>0</v>
      </c>
      <c r="G609" s="3">
        <v>0</v>
      </c>
      <c r="H609" s="3">
        <v>0</v>
      </c>
      <c r="I609" s="3">
        <v>0</v>
      </c>
      <c r="J609" s="4">
        <v>819</v>
      </c>
      <c r="K609" s="3">
        <v>2</v>
      </c>
      <c r="L609" s="3" t="s">
        <v>722</v>
      </c>
      <c r="M609" s="3">
        <v>201</v>
      </c>
      <c r="N609" s="4" t="s">
        <v>723</v>
      </c>
      <c r="O609" s="3"/>
      <c r="P609" s="3"/>
      <c r="Q609" s="27" t="s">
        <v>3296</v>
      </c>
      <c r="R609" s="3" t="str">
        <f t="shared" si="46"/>
        <v>ic_dragon15</v>
      </c>
      <c r="S609" s="3" t="str">
        <f t="shared" si="47"/>
        <v>dragon15</v>
      </c>
      <c r="T609" s="3">
        <v>1</v>
      </c>
      <c r="U609" s="3">
        <v>0</v>
      </c>
      <c r="V609" s="3">
        <v>1</v>
      </c>
      <c r="W609" s="7"/>
      <c r="X609" s="27" t="s">
        <v>3216</v>
      </c>
      <c r="Y609" s="3"/>
    </row>
    <row r="610" spans="1:25" x14ac:dyDescent="0.15">
      <c r="A610" s="3">
        <v>201550</v>
      </c>
      <c r="B610" s="27" t="s">
        <v>3217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4">
        <v>820</v>
      </c>
      <c r="K610" s="3">
        <v>2</v>
      </c>
      <c r="L610" s="3" t="s">
        <v>722</v>
      </c>
      <c r="M610" s="3">
        <v>201</v>
      </c>
      <c r="N610" s="4" t="s">
        <v>723</v>
      </c>
      <c r="O610" s="3"/>
      <c r="P610" s="3"/>
      <c r="Q610" s="27" t="s">
        <v>3296</v>
      </c>
      <c r="R610" s="3" t="str">
        <f t="shared" si="46"/>
        <v>ic_dragon15</v>
      </c>
      <c r="S610" s="3" t="str">
        <f t="shared" si="47"/>
        <v>dragon15</v>
      </c>
      <c r="T610" s="3">
        <v>1</v>
      </c>
      <c r="U610" s="3">
        <v>0</v>
      </c>
      <c r="V610" s="3">
        <v>1</v>
      </c>
      <c r="W610" s="7"/>
      <c r="X610" s="27" t="s">
        <v>3217</v>
      </c>
      <c r="Y610" s="3"/>
    </row>
    <row r="611" spans="1:25" x14ac:dyDescent="0.15">
      <c r="A611" s="3">
        <v>201551</v>
      </c>
      <c r="B611" s="27" t="s">
        <v>3218</v>
      </c>
      <c r="C611" s="3">
        <v>0</v>
      </c>
      <c r="D611" s="3">
        <v>0</v>
      </c>
      <c r="E611" s="3">
        <v>0</v>
      </c>
      <c r="F611" s="3">
        <v>0</v>
      </c>
      <c r="G611" s="3">
        <v>0</v>
      </c>
      <c r="H611" s="3">
        <v>0</v>
      </c>
      <c r="I611" s="3">
        <v>0</v>
      </c>
      <c r="J611" s="4">
        <v>811</v>
      </c>
      <c r="K611" s="3">
        <v>2</v>
      </c>
      <c r="L611" s="3" t="s">
        <v>722</v>
      </c>
      <c r="M611" s="3">
        <v>201</v>
      </c>
      <c r="N611" s="4" t="s">
        <v>723</v>
      </c>
      <c r="O611" s="3"/>
      <c r="P611" s="3"/>
      <c r="Q611" s="27" t="s">
        <v>3297</v>
      </c>
      <c r="R611" s="3" t="str">
        <f t="shared" si="46"/>
        <v>ic_dragon16</v>
      </c>
      <c r="S611" s="3" t="str">
        <f t="shared" si="47"/>
        <v>dragon16</v>
      </c>
      <c r="T611" s="3">
        <v>1</v>
      </c>
      <c r="U611" s="3">
        <v>0</v>
      </c>
      <c r="V611" s="3">
        <v>1</v>
      </c>
      <c r="W611" s="7"/>
      <c r="X611" s="27" t="s">
        <v>3218</v>
      </c>
      <c r="Y611" s="3"/>
    </row>
    <row r="612" spans="1:25" x14ac:dyDescent="0.15">
      <c r="A612" s="3">
        <v>201552</v>
      </c>
      <c r="B612" s="27" t="s">
        <v>3219</v>
      </c>
      <c r="C612" s="3">
        <v>0</v>
      </c>
      <c r="D612" s="3">
        <v>0</v>
      </c>
      <c r="E612" s="3">
        <v>0</v>
      </c>
      <c r="F612" s="3">
        <v>0</v>
      </c>
      <c r="G612" s="3">
        <v>0</v>
      </c>
      <c r="H612" s="3">
        <v>0</v>
      </c>
      <c r="I612" s="3">
        <v>0</v>
      </c>
      <c r="J612" s="4">
        <v>812</v>
      </c>
      <c r="K612" s="3">
        <v>2</v>
      </c>
      <c r="L612" s="3" t="s">
        <v>722</v>
      </c>
      <c r="M612" s="3">
        <v>201</v>
      </c>
      <c r="N612" s="4" t="s">
        <v>723</v>
      </c>
      <c r="O612" s="3"/>
      <c r="P612" s="3"/>
      <c r="Q612" s="27" t="s">
        <v>3297</v>
      </c>
      <c r="R612" s="3" t="str">
        <f t="shared" si="46"/>
        <v>ic_dragon16</v>
      </c>
      <c r="S612" s="3" t="str">
        <f t="shared" si="47"/>
        <v>dragon16</v>
      </c>
      <c r="T612" s="3">
        <v>1</v>
      </c>
      <c r="U612" s="3">
        <v>0</v>
      </c>
      <c r="V612" s="3">
        <v>1</v>
      </c>
      <c r="W612" s="7"/>
      <c r="X612" s="27" t="s">
        <v>3219</v>
      </c>
      <c r="Y612" s="3"/>
    </row>
    <row r="613" spans="1:25" x14ac:dyDescent="0.15">
      <c r="A613" s="3">
        <v>201553</v>
      </c>
      <c r="B613" s="27" t="s">
        <v>3220</v>
      </c>
      <c r="C613" s="3">
        <v>0</v>
      </c>
      <c r="D613" s="3">
        <v>0</v>
      </c>
      <c r="E613" s="3">
        <v>0</v>
      </c>
      <c r="F613" s="3">
        <v>0</v>
      </c>
      <c r="G613" s="3">
        <v>0</v>
      </c>
      <c r="H613" s="3">
        <v>0</v>
      </c>
      <c r="I613" s="3">
        <v>0</v>
      </c>
      <c r="J613" s="4">
        <v>813</v>
      </c>
      <c r="K613" s="3">
        <v>2</v>
      </c>
      <c r="L613" s="3" t="s">
        <v>722</v>
      </c>
      <c r="M613" s="3">
        <v>201</v>
      </c>
      <c r="N613" s="4" t="s">
        <v>723</v>
      </c>
      <c r="O613" s="3"/>
      <c r="P613" s="3"/>
      <c r="Q613" s="27" t="s">
        <v>3297</v>
      </c>
      <c r="R613" s="3" t="str">
        <f t="shared" si="46"/>
        <v>ic_dragon16</v>
      </c>
      <c r="S613" s="3" t="str">
        <f t="shared" si="47"/>
        <v>dragon16</v>
      </c>
      <c r="T613" s="3">
        <v>1</v>
      </c>
      <c r="U613" s="3">
        <v>0</v>
      </c>
      <c r="V613" s="3">
        <v>1</v>
      </c>
      <c r="W613" s="7"/>
      <c r="X613" s="27" t="s">
        <v>3220</v>
      </c>
      <c r="Y613" s="3"/>
    </row>
    <row r="614" spans="1:25" x14ac:dyDescent="0.15">
      <c r="A614" s="3">
        <v>201554</v>
      </c>
      <c r="B614" s="27" t="s">
        <v>3221</v>
      </c>
      <c r="C614" s="3">
        <v>0</v>
      </c>
      <c r="D614" s="3">
        <v>0</v>
      </c>
      <c r="E614" s="3">
        <v>0</v>
      </c>
      <c r="F614" s="3">
        <v>0</v>
      </c>
      <c r="G614" s="3">
        <v>0</v>
      </c>
      <c r="H614" s="3">
        <v>0</v>
      </c>
      <c r="I614" s="3">
        <v>0</v>
      </c>
      <c r="J614" s="4">
        <v>814</v>
      </c>
      <c r="K614" s="3">
        <v>2</v>
      </c>
      <c r="L614" s="3" t="s">
        <v>722</v>
      </c>
      <c r="M614" s="3">
        <v>201</v>
      </c>
      <c r="N614" s="4" t="s">
        <v>723</v>
      </c>
      <c r="O614" s="3"/>
      <c r="P614" s="3"/>
      <c r="Q614" s="27" t="s">
        <v>3297</v>
      </c>
      <c r="R614" s="3" t="str">
        <f t="shared" si="46"/>
        <v>ic_dragon16</v>
      </c>
      <c r="S614" s="3" t="str">
        <f t="shared" si="47"/>
        <v>dragon16</v>
      </c>
      <c r="T614" s="3">
        <v>1</v>
      </c>
      <c r="U614" s="3">
        <v>0</v>
      </c>
      <c r="V614" s="3">
        <v>1</v>
      </c>
      <c r="W614" s="7"/>
      <c r="X614" s="27" t="s">
        <v>3221</v>
      </c>
      <c r="Y614" s="3"/>
    </row>
    <row r="615" spans="1:25" x14ac:dyDescent="0.15">
      <c r="A615" s="3">
        <v>201555</v>
      </c>
      <c r="B615" s="27" t="s">
        <v>3222</v>
      </c>
      <c r="C615" s="3">
        <v>0</v>
      </c>
      <c r="D615" s="3">
        <v>0</v>
      </c>
      <c r="E615" s="3">
        <v>0</v>
      </c>
      <c r="F615" s="3">
        <v>0</v>
      </c>
      <c r="G615" s="3">
        <v>0</v>
      </c>
      <c r="H615" s="3">
        <v>0</v>
      </c>
      <c r="I615" s="3">
        <v>0</v>
      </c>
      <c r="J615" s="4">
        <v>815</v>
      </c>
      <c r="K615" s="3">
        <v>2</v>
      </c>
      <c r="L615" s="3" t="s">
        <v>722</v>
      </c>
      <c r="M615" s="3">
        <v>201</v>
      </c>
      <c r="N615" s="4" t="s">
        <v>723</v>
      </c>
      <c r="O615" s="3"/>
      <c r="P615" s="3"/>
      <c r="Q615" s="27" t="s">
        <v>3297</v>
      </c>
      <c r="R615" s="3" t="str">
        <f t="shared" si="46"/>
        <v>ic_dragon16</v>
      </c>
      <c r="S615" s="3" t="str">
        <f t="shared" si="47"/>
        <v>dragon16</v>
      </c>
      <c r="T615" s="3">
        <v>1</v>
      </c>
      <c r="U615" s="3">
        <v>0</v>
      </c>
      <c r="V615" s="3">
        <v>1</v>
      </c>
      <c r="W615" s="7"/>
      <c r="X615" s="27" t="s">
        <v>3222</v>
      </c>
      <c r="Y615" s="3"/>
    </row>
    <row r="616" spans="1:25" x14ac:dyDescent="0.15">
      <c r="A616" s="3">
        <v>201556</v>
      </c>
      <c r="B616" s="27" t="s">
        <v>3223</v>
      </c>
      <c r="C616" s="3">
        <v>0</v>
      </c>
      <c r="D616" s="3">
        <v>0</v>
      </c>
      <c r="E616" s="3">
        <v>0</v>
      </c>
      <c r="F616" s="3">
        <v>0</v>
      </c>
      <c r="G616" s="3">
        <v>0</v>
      </c>
      <c r="H616" s="3">
        <v>0</v>
      </c>
      <c r="I616" s="3">
        <v>0</v>
      </c>
      <c r="J616" s="4">
        <v>816</v>
      </c>
      <c r="K616" s="3">
        <v>2</v>
      </c>
      <c r="L616" s="3" t="s">
        <v>722</v>
      </c>
      <c r="M616" s="3">
        <v>201</v>
      </c>
      <c r="N616" s="4" t="s">
        <v>723</v>
      </c>
      <c r="O616" s="3"/>
      <c r="P616" s="3"/>
      <c r="Q616" s="27" t="s">
        <v>3297</v>
      </c>
      <c r="R616" s="3" t="str">
        <f t="shared" si="46"/>
        <v>ic_dragon16</v>
      </c>
      <c r="S616" s="3" t="str">
        <f t="shared" si="47"/>
        <v>dragon16</v>
      </c>
      <c r="T616" s="3">
        <v>1</v>
      </c>
      <c r="U616" s="3">
        <v>0</v>
      </c>
      <c r="V616" s="3">
        <v>1</v>
      </c>
      <c r="W616" s="7"/>
      <c r="X616" s="27" t="s">
        <v>3223</v>
      </c>
      <c r="Y616" s="3"/>
    </row>
    <row r="617" spans="1:25" x14ac:dyDescent="0.15">
      <c r="A617" s="3">
        <v>201557</v>
      </c>
      <c r="B617" s="27" t="s">
        <v>3224</v>
      </c>
      <c r="C617" s="3">
        <v>0</v>
      </c>
      <c r="D617" s="3">
        <v>0</v>
      </c>
      <c r="E617" s="3">
        <v>0</v>
      </c>
      <c r="F617" s="3">
        <v>0</v>
      </c>
      <c r="G617" s="3">
        <v>0</v>
      </c>
      <c r="H617" s="3">
        <v>0</v>
      </c>
      <c r="I617" s="3">
        <v>0</v>
      </c>
      <c r="J617" s="4">
        <v>817</v>
      </c>
      <c r="K617" s="3">
        <v>2</v>
      </c>
      <c r="L617" s="3" t="s">
        <v>722</v>
      </c>
      <c r="M617" s="3">
        <v>201</v>
      </c>
      <c r="N617" s="4" t="s">
        <v>723</v>
      </c>
      <c r="O617" s="3"/>
      <c r="P617" s="3"/>
      <c r="Q617" s="27" t="s">
        <v>3297</v>
      </c>
      <c r="R617" s="3" t="str">
        <f t="shared" si="46"/>
        <v>ic_dragon16</v>
      </c>
      <c r="S617" s="3" t="str">
        <f t="shared" si="47"/>
        <v>dragon16</v>
      </c>
      <c r="T617" s="3">
        <v>1</v>
      </c>
      <c r="U617" s="3">
        <v>0</v>
      </c>
      <c r="V617" s="3">
        <v>1</v>
      </c>
      <c r="W617" s="7"/>
      <c r="X617" s="27" t="s">
        <v>3224</v>
      </c>
      <c r="Y617" s="3"/>
    </row>
    <row r="618" spans="1:25" x14ac:dyDescent="0.15">
      <c r="A618" s="3">
        <v>201558</v>
      </c>
      <c r="B618" s="27" t="s">
        <v>3225</v>
      </c>
      <c r="C618" s="3">
        <v>0</v>
      </c>
      <c r="D618" s="3">
        <v>0</v>
      </c>
      <c r="E618" s="3">
        <v>0</v>
      </c>
      <c r="F618" s="3">
        <v>0</v>
      </c>
      <c r="G618" s="3">
        <v>0</v>
      </c>
      <c r="H618" s="3">
        <v>0</v>
      </c>
      <c r="I618" s="3">
        <v>0</v>
      </c>
      <c r="J618" s="4">
        <v>818</v>
      </c>
      <c r="K618" s="3">
        <v>2</v>
      </c>
      <c r="L618" s="3" t="s">
        <v>722</v>
      </c>
      <c r="M618" s="3">
        <v>201</v>
      </c>
      <c r="N618" s="4" t="s">
        <v>723</v>
      </c>
      <c r="O618" s="3"/>
      <c r="P618" s="3"/>
      <c r="Q618" s="27" t="s">
        <v>3297</v>
      </c>
      <c r="R618" s="3" t="str">
        <f t="shared" si="46"/>
        <v>ic_dragon16</v>
      </c>
      <c r="S618" s="3" t="str">
        <f t="shared" si="47"/>
        <v>dragon16</v>
      </c>
      <c r="T618" s="3">
        <v>1</v>
      </c>
      <c r="U618" s="3">
        <v>0</v>
      </c>
      <c r="V618" s="3">
        <v>1</v>
      </c>
      <c r="W618" s="7"/>
      <c r="X618" s="27" t="s">
        <v>3225</v>
      </c>
      <c r="Y618" s="3"/>
    </row>
    <row r="619" spans="1:25" x14ac:dyDescent="0.15">
      <c r="A619" s="3">
        <v>201559</v>
      </c>
      <c r="B619" s="27" t="s">
        <v>3226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4">
        <v>819</v>
      </c>
      <c r="K619" s="3">
        <v>2</v>
      </c>
      <c r="L619" s="3" t="s">
        <v>722</v>
      </c>
      <c r="M619" s="3">
        <v>201</v>
      </c>
      <c r="N619" s="4" t="s">
        <v>723</v>
      </c>
      <c r="O619" s="3"/>
      <c r="P619" s="3"/>
      <c r="Q619" s="27" t="s">
        <v>3297</v>
      </c>
      <c r="R619" s="3" t="str">
        <f t="shared" si="46"/>
        <v>ic_dragon16</v>
      </c>
      <c r="S619" s="3" t="str">
        <f t="shared" si="47"/>
        <v>dragon16</v>
      </c>
      <c r="T619" s="3">
        <v>1</v>
      </c>
      <c r="U619" s="3">
        <v>0</v>
      </c>
      <c r="V619" s="3">
        <v>1</v>
      </c>
      <c r="W619" s="7"/>
      <c r="X619" s="27" t="s">
        <v>3226</v>
      </c>
      <c r="Y619" s="3"/>
    </row>
    <row r="620" spans="1:25" x14ac:dyDescent="0.15">
      <c r="A620" s="3">
        <v>201560</v>
      </c>
      <c r="B620" s="27" t="s">
        <v>3227</v>
      </c>
      <c r="C620" s="3">
        <v>0</v>
      </c>
      <c r="D620" s="3">
        <v>0</v>
      </c>
      <c r="E620" s="3">
        <v>0</v>
      </c>
      <c r="F620" s="3">
        <v>0</v>
      </c>
      <c r="G620" s="3">
        <v>0</v>
      </c>
      <c r="H620" s="3">
        <v>0</v>
      </c>
      <c r="I620" s="3">
        <v>0</v>
      </c>
      <c r="J620" s="4">
        <v>820</v>
      </c>
      <c r="K620" s="3">
        <v>2</v>
      </c>
      <c r="L620" s="3" t="s">
        <v>722</v>
      </c>
      <c r="M620" s="3">
        <v>201</v>
      </c>
      <c r="N620" s="4" t="s">
        <v>723</v>
      </c>
      <c r="O620" s="3"/>
      <c r="P620" s="3"/>
      <c r="Q620" s="27" t="s">
        <v>3297</v>
      </c>
      <c r="R620" s="3" t="str">
        <f t="shared" si="46"/>
        <v>ic_dragon16</v>
      </c>
      <c r="S620" s="3" t="str">
        <f t="shared" si="47"/>
        <v>dragon16</v>
      </c>
      <c r="T620" s="3">
        <v>1</v>
      </c>
      <c r="U620" s="3">
        <v>0</v>
      </c>
      <c r="V620" s="3">
        <v>1</v>
      </c>
      <c r="W620" s="7"/>
      <c r="X620" s="27" t="s">
        <v>3227</v>
      </c>
      <c r="Y620" s="3"/>
    </row>
    <row r="621" spans="1:25" x14ac:dyDescent="0.15">
      <c r="A621" s="3">
        <v>201561</v>
      </c>
      <c r="B621" s="27" t="s">
        <v>3244</v>
      </c>
      <c r="C621" s="3">
        <v>0</v>
      </c>
      <c r="D621" s="3">
        <v>0</v>
      </c>
      <c r="E621" s="3">
        <v>0</v>
      </c>
      <c r="F621" s="3">
        <v>0</v>
      </c>
      <c r="G621" s="3">
        <v>0</v>
      </c>
      <c r="H621" s="3">
        <v>0</v>
      </c>
      <c r="I621" s="3">
        <v>0</v>
      </c>
      <c r="J621" s="4">
        <v>791</v>
      </c>
      <c r="K621" s="3">
        <v>2</v>
      </c>
      <c r="L621" s="3" t="s">
        <v>722</v>
      </c>
      <c r="M621" s="3">
        <v>201</v>
      </c>
      <c r="N621" s="4" t="s">
        <v>723</v>
      </c>
      <c r="O621" s="3"/>
      <c r="P621" s="3"/>
      <c r="Q621" s="27" t="s">
        <v>2052</v>
      </c>
      <c r="R621" s="27" t="s">
        <v>3243</v>
      </c>
      <c r="S621" s="27" t="s">
        <v>3264</v>
      </c>
      <c r="T621" s="3">
        <v>1</v>
      </c>
      <c r="U621" s="3">
        <v>0</v>
      </c>
      <c r="V621" s="3">
        <v>1</v>
      </c>
      <c r="W621" s="7"/>
      <c r="X621" s="27" t="s">
        <v>3244</v>
      </c>
      <c r="Y621" s="3"/>
    </row>
    <row r="622" spans="1:25" x14ac:dyDescent="0.15">
      <c r="A622" s="3">
        <v>201562</v>
      </c>
      <c r="B622" s="27" t="s">
        <v>3245</v>
      </c>
      <c r="C622" s="3">
        <v>0</v>
      </c>
      <c r="D622" s="3">
        <v>0</v>
      </c>
      <c r="E622" s="3">
        <v>0</v>
      </c>
      <c r="F622" s="3">
        <v>0</v>
      </c>
      <c r="G622" s="3">
        <v>0</v>
      </c>
      <c r="H622" s="3">
        <v>0</v>
      </c>
      <c r="I622" s="3">
        <v>0</v>
      </c>
      <c r="J622" s="4">
        <v>792</v>
      </c>
      <c r="K622" s="3">
        <v>2</v>
      </c>
      <c r="L622" s="3" t="s">
        <v>722</v>
      </c>
      <c r="M622" s="3">
        <v>201</v>
      </c>
      <c r="N622" s="4" t="s">
        <v>723</v>
      </c>
      <c r="O622" s="3"/>
      <c r="P622" s="3"/>
      <c r="Q622" s="27" t="s">
        <v>2052</v>
      </c>
      <c r="R622" s="27" t="s">
        <v>3243</v>
      </c>
      <c r="S622" s="27" t="s">
        <v>3264</v>
      </c>
      <c r="T622" s="3">
        <v>1</v>
      </c>
      <c r="U622" s="3">
        <v>0</v>
      </c>
      <c r="V622" s="3">
        <v>1</v>
      </c>
      <c r="W622" s="7"/>
      <c r="X622" s="27" t="s">
        <v>3245</v>
      </c>
      <c r="Y622" s="3"/>
    </row>
    <row r="623" spans="1:25" x14ac:dyDescent="0.15">
      <c r="A623" s="3">
        <v>201563</v>
      </c>
      <c r="B623" s="27" t="s">
        <v>3246</v>
      </c>
      <c r="C623" s="3">
        <v>0</v>
      </c>
      <c r="D623" s="3">
        <v>0</v>
      </c>
      <c r="E623" s="3">
        <v>0</v>
      </c>
      <c r="F623" s="3">
        <v>0</v>
      </c>
      <c r="G623" s="3">
        <v>0</v>
      </c>
      <c r="H623" s="3">
        <v>0</v>
      </c>
      <c r="I623" s="3">
        <v>0</v>
      </c>
      <c r="J623" s="4">
        <v>793</v>
      </c>
      <c r="K623" s="3">
        <v>2</v>
      </c>
      <c r="L623" s="3" t="s">
        <v>722</v>
      </c>
      <c r="M623" s="3">
        <v>201</v>
      </c>
      <c r="N623" s="4" t="s">
        <v>723</v>
      </c>
      <c r="O623" s="3"/>
      <c r="P623" s="3"/>
      <c r="Q623" s="27" t="s">
        <v>2052</v>
      </c>
      <c r="R623" s="27" t="s">
        <v>3243</v>
      </c>
      <c r="S623" s="27" t="s">
        <v>3264</v>
      </c>
      <c r="T623" s="3">
        <v>1</v>
      </c>
      <c r="U623" s="3">
        <v>0</v>
      </c>
      <c r="V623" s="3">
        <v>1</v>
      </c>
      <c r="W623" s="7"/>
      <c r="X623" s="27" t="s">
        <v>3246</v>
      </c>
      <c r="Y623" s="3"/>
    </row>
    <row r="624" spans="1:25" x14ac:dyDescent="0.15">
      <c r="A624" s="3">
        <v>201564</v>
      </c>
      <c r="B624" s="27" t="s">
        <v>3247</v>
      </c>
      <c r="C624" s="3">
        <v>0</v>
      </c>
      <c r="D624" s="3">
        <v>0</v>
      </c>
      <c r="E624" s="3">
        <v>0</v>
      </c>
      <c r="F624" s="3">
        <v>0</v>
      </c>
      <c r="G624" s="3">
        <v>0</v>
      </c>
      <c r="H624" s="3">
        <v>0</v>
      </c>
      <c r="I624" s="3">
        <v>0</v>
      </c>
      <c r="J624" s="4">
        <v>794</v>
      </c>
      <c r="K624" s="3">
        <v>2</v>
      </c>
      <c r="L624" s="3" t="s">
        <v>722</v>
      </c>
      <c r="M624" s="3">
        <v>201</v>
      </c>
      <c r="N624" s="4" t="s">
        <v>723</v>
      </c>
      <c r="O624" s="3"/>
      <c r="P624" s="3"/>
      <c r="Q624" s="27" t="s">
        <v>2052</v>
      </c>
      <c r="R624" s="27" t="s">
        <v>3243</v>
      </c>
      <c r="S624" s="27" t="s">
        <v>3264</v>
      </c>
      <c r="T624" s="3">
        <v>1</v>
      </c>
      <c r="U624" s="3">
        <v>0</v>
      </c>
      <c r="V624" s="3">
        <v>1</v>
      </c>
      <c r="W624" s="7"/>
      <c r="X624" s="27" t="s">
        <v>3247</v>
      </c>
      <c r="Y624" s="3"/>
    </row>
    <row r="625" spans="1:25" x14ac:dyDescent="0.15">
      <c r="A625" s="3">
        <v>201565</v>
      </c>
      <c r="B625" s="27" t="s">
        <v>3248</v>
      </c>
      <c r="C625" s="3">
        <v>0</v>
      </c>
      <c r="D625" s="3">
        <v>0</v>
      </c>
      <c r="E625" s="3">
        <v>0</v>
      </c>
      <c r="F625" s="3">
        <v>0</v>
      </c>
      <c r="G625" s="3">
        <v>0</v>
      </c>
      <c r="H625" s="3">
        <v>0</v>
      </c>
      <c r="I625" s="3">
        <v>0</v>
      </c>
      <c r="J625" s="4">
        <v>795</v>
      </c>
      <c r="K625" s="3">
        <v>2</v>
      </c>
      <c r="L625" s="3" t="s">
        <v>722</v>
      </c>
      <c r="M625" s="3">
        <v>201</v>
      </c>
      <c r="N625" s="4" t="s">
        <v>723</v>
      </c>
      <c r="O625" s="3"/>
      <c r="P625" s="3"/>
      <c r="Q625" s="27" t="s">
        <v>2052</v>
      </c>
      <c r="R625" s="27" t="s">
        <v>3243</v>
      </c>
      <c r="S625" s="27" t="s">
        <v>3264</v>
      </c>
      <c r="T625" s="3">
        <v>1</v>
      </c>
      <c r="U625" s="3">
        <v>0</v>
      </c>
      <c r="V625" s="3">
        <v>1</v>
      </c>
      <c r="W625" s="7"/>
      <c r="X625" s="27" t="s">
        <v>3248</v>
      </c>
      <c r="Y625" s="3"/>
    </row>
    <row r="626" spans="1:25" x14ac:dyDescent="0.15">
      <c r="A626" s="3">
        <v>201566</v>
      </c>
      <c r="B626" s="27" t="s">
        <v>3249</v>
      </c>
      <c r="C626" s="3">
        <v>0</v>
      </c>
      <c r="D626" s="3">
        <v>0</v>
      </c>
      <c r="E626" s="3">
        <v>0</v>
      </c>
      <c r="F626" s="3">
        <v>0</v>
      </c>
      <c r="G626" s="3">
        <v>0</v>
      </c>
      <c r="H626" s="3">
        <v>0</v>
      </c>
      <c r="I626" s="3">
        <v>0</v>
      </c>
      <c r="J626" s="4">
        <v>796</v>
      </c>
      <c r="K626" s="3">
        <v>2</v>
      </c>
      <c r="L626" s="3" t="s">
        <v>722</v>
      </c>
      <c r="M626" s="3">
        <v>201</v>
      </c>
      <c r="N626" s="4" t="s">
        <v>723</v>
      </c>
      <c r="O626" s="3"/>
      <c r="P626" s="3"/>
      <c r="Q626" s="27" t="s">
        <v>2052</v>
      </c>
      <c r="R626" s="27" t="s">
        <v>3243</v>
      </c>
      <c r="S626" s="27" t="s">
        <v>3264</v>
      </c>
      <c r="T626" s="3">
        <v>1</v>
      </c>
      <c r="U626" s="3">
        <v>0</v>
      </c>
      <c r="V626" s="3">
        <v>1</v>
      </c>
      <c r="W626" s="7"/>
      <c r="X626" s="27" t="s">
        <v>3249</v>
      </c>
      <c r="Y626" s="3"/>
    </row>
    <row r="627" spans="1:25" x14ac:dyDescent="0.15">
      <c r="A627" s="3">
        <v>201567</v>
      </c>
      <c r="B627" s="27" t="s">
        <v>3250</v>
      </c>
      <c r="C627" s="3">
        <v>0</v>
      </c>
      <c r="D627" s="3">
        <v>0</v>
      </c>
      <c r="E627" s="3">
        <v>0</v>
      </c>
      <c r="F627" s="3">
        <v>0</v>
      </c>
      <c r="G627" s="3">
        <v>0</v>
      </c>
      <c r="H627" s="3">
        <v>0</v>
      </c>
      <c r="I627" s="3">
        <v>0</v>
      </c>
      <c r="J627" s="4">
        <v>797</v>
      </c>
      <c r="K627" s="3">
        <v>2</v>
      </c>
      <c r="L627" s="3" t="s">
        <v>722</v>
      </c>
      <c r="M627" s="3">
        <v>201</v>
      </c>
      <c r="N627" s="4" t="s">
        <v>723</v>
      </c>
      <c r="O627" s="3"/>
      <c r="P627" s="3"/>
      <c r="Q627" s="27" t="s">
        <v>2052</v>
      </c>
      <c r="R627" s="27" t="s">
        <v>3243</v>
      </c>
      <c r="S627" s="27" t="s">
        <v>3264</v>
      </c>
      <c r="T627" s="3">
        <v>1</v>
      </c>
      <c r="U627" s="3">
        <v>0</v>
      </c>
      <c r="V627" s="3">
        <v>1</v>
      </c>
      <c r="W627" s="7"/>
      <c r="X627" s="27" t="s">
        <v>3250</v>
      </c>
      <c r="Y627" s="3"/>
    </row>
    <row r="628" spans="1:25" x14ac:dyDescent="0.15">
      <c r="A628" s="3">
        <v>201568</v>
      </c>
      <c r="B628" s="27" t="s">
        <v>3251</v>
      </c>
      <c r="C628" s="3">
        <v>0</v>
      </c>
      <c r="D628" s="3">
        <v>0</v>
      </c>
      <c r="E628" s="3">
        <v>0</v>
      </c>
      <c r="F628" s="3">
        <v>0</v>
      </c>
      <c r="G628" s="3">
        <v>0</v>
      </c>
      <c r="H628" s="3">
        <v>0</v>
      </c>
      <c r="I628" s="3">
        <v>0</v>
      </c>
      <c r="J628" s="4">
        <v>798</v>
      </c>
      <c r="K628" s="3">
        <v>2</v>
      </c>
      <c r="L628" s="3" t="s">
        <v>722</v>
      </c>
      <c r="M628" s="3">
        <v>201</v>
      </c>
      <c r="N628" s="4" t="s">
        <v>723</v>
      </c>
      <c r="O628" s="3"/>
      <c r="P628" s="3"/>
      <c r="Q628" s="27" t="s">
        <v>2052</v>
      </c>
      <c r="R628" s="27" t="s">
        <v>3243</v>
      </c>
      <c r="S628" s="27" t="s">
        <v>3264</v>
      </c>
      <c r="T628" s="3">
        <v>1</v>
      </c>
      <c r="U628" s="3">
        <v>0</v>
      </c>
      <c r="V628" s="3">
        <v>1</v>
      </c>
      <c r="W628" s="7"/>
      <c r="X628" s="27" t="s">
        <v>3251</v>
      </c>
      <c r="Y628" s="3"/>
    </row>
    <row r="629" spans="1:25" x14ac:dyDescent="0.15">
      <c r="A629" s="3">
        <v>201569</v>
      </c>
      <c r="B629" s="27" t="s">
        <v>3252</v>
      </c>
      <c r="C629" s="3">
        <v>0</v>
      </c>
      <c r="D629" s="3">
        <v>0</v>
      </c>
      <c r="E629" s="3">
        <v>0</v>
      </c>
      <c r="F629" s="3">
        <v>0</v>
      </c>
      <c r="G629" s="3">
        <v>0</v>
      </c>
      <c r="H629" s="3">
        <v>0</v>
      </c>
      <c r="I629" s="3">
        <v>0</v>
      </c>
      <c r="J629" s="4">
        <v>799</v>
      </c>
      <c r="K629" s="3">
        <v>2</v>
      </c>
      <c r="L629" s="3" t="s">
        <v>722</v>
      </c>
      <c r="M629" s="3">
        <v>201</v>
      </c>
      <c r="N629" s="4" t="s">
        <v>723</v>
      </c>
      <c r="O629" s="3"/>
      <c r="P629" s="3"/>
      <c r="Q629" s="27" t="s">
        <v>2052</v>
      </c>
      <c r="R629" s="27" t="s">
        <v>3243</v>
      </c>
      <c r="S629" s="27" t="s">
        <v>3264</v>
      </c>
      <c r="T629" s="3">
        <v>1</v>
      </c>
      <c r="U629" s="3">
        <v>0</v>
      </c>
      <c r="V629" s="3">
        <v>1</v>
      </c>
      <c r="W629" s="7"/>
      <c r="X629" s="27" t="s">
        <v>3252</v>
      </c>
      <c r="Y629" s="3"/>
    </row>
    <row r="630" spans="1:25" x14ac:dyDescent="0.15">
      <c r="A630" s="3">
        <v>201570</v>
      </c>
      <c r="B630" s="27" t="s">
        <v>3253</v>
      </c>
      <c r="C630" s="3">
        <v>0</v>
      </c>
      <c r="D630" s="3">
        <v>0</v>
      </c>
      <c r="E630" s="3">
        <v>0</v>
      </c>
      <c r="F630" s="3">
        <v>0</v>
      </c>
      <c r="G630" s="3">
        <v>0</v>
      </c>
      <c r="H630" s="3">
        <v>0</v>
      </c>
      <c r="I630" s="3">
        <v>0</v>
      </c>
      <c r="J630" s="4">
        <v>800</v>
      </c>
      <c r="K630" s="3">
        <v>2</v>
      </c>
      <c r="L630" s="3" t="s">
        <v>722</v>
      </c>
      <c r="M630" s="3">
        <v>201</v>
      </c>
      <c r="N630" s="4" t="s">
        <v>723</v>
      </c>
      <c r="O630" s="3"/>
      <c r="P630" s="3"/>
      <c r="Q630" s="27" t="s">
        <v>2052</v>
      </c>
      <c r="R630" s="27" t="s">
        <v>3243</v>
      </c>
      <c r="S630" s="27" t="s">
        <v>3264</v>
      </c>
      <c r="T630" s="3">
        <v>1</v>
      </c>
      <c r="U630" s="3">
        <v>0</v>
      </c>
      <c r="V630" s="3">
        <v>1</v>
      </c>
      <c r="W630" s="7"/>
      <c r="X630" s="27" t="s">
        <v>3253</v>
      </c>
      <c r="Y630" s="3"/>
    </row>
    <row r="631" spans="1:25" x14ac:dyDescent="0.15">
      <c r="A631" s="3">
        <v>201571</v>
      </c>
      <c r="B631" s="27" t="s">
        <v>3254</v>
      </c>
      <c r="C631" s="3">
        <v>0</v>
      </c>
      <c r="D631" s="3">
        <v>0</v>
      </c>
      <c r="E631" s="3">
        <v>0</v>
      </c>
      <c r="F631" s="3">
        <v>0</v>
      </c>
      <c r="G631" s="3">
        <v>0</v>
      </c>
      <c r="H631" s="3">
        <v>0</v>
      </c>
      <c r="I631" s="3">
        <v>0</v>
      </c>
      <c r="J631" s="4">
        <v>801</v>
      </c>
      <c r="K631" s="3">
        <v>2</v>
      </c>
      <c r="L631" s="3" t="s">
        <v>722</v>
      </c>
      <c r="M631" s="3">
        <v>201</v>
      </c>
      <c r="N631" s="4" t="s">
        <v>723</v>
      </c>
      <c r="O631" s="3"/>
      <c r="P631" s="3"/>
      <c r="Q631" s="27" t="s">
        <v>2054</v>
      </c>
      <c r="R631" s="27" t="s">
        <v>3265</v>
      </c>
      <c r="S631" s="27" t="s">
        <v>3266</v>
      </c>
      <c r="T631" s="3">
        <v>1</v>
      </c>
      <c r="U631" s="3">
        <v>0</v>
      </c>
      <c r="V631" s="3">
        <v>1</v>
      </c>
      <c r="W631" s="7"/>
      <c r="X631" s="27" t="s">
        <v>3254</v>
      </c>
      <c r="Y631" s="3"/>
    </row>
    <row r="632" spans="1:25" x14ac:dyDescent="0.15">
      <c r="A632" s="3">
        <v>201572</v>
      </c>
      <c r="B632" s="27" t="s">
        <v>3255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0</v>
      </c>
      <c r="J632" s="4">
        <v>802</v>
      </c>
      <c r="K632" s="3">
        <v>2</v>
      </c>
      <c r="L632" s="3" t="s">
        <v>722</v>
      </c>
      <c r="M632" s="3">
        <v>201</v>
      </c>
      <c r="N632" s="4" t="s">
        <v>723</v>
      </c>
      <c r="O632" s="3"/>
      <c r="P632" s="3"/>
      <c r="Q632" s="27" t="s">
        <v>2054</v>
      </c>
      <c r="R632" s="27" t="s">
        <v>3265</v>
      </c>
      <c r="S632" s="27" t="s">
        <v>3266</v>
      </c>
      <c r="T632" s="3">
        <v>1</v>
      </c>
      <c r="U632" s="3">
        <v>0</v>
      </c>
      <c r="V632" s="3">
        <v>1</v>
      </c>
      <c r="W632" s="7"/>
      <c r="X632" s="27" t="s">
        <v>3255</v>
      </c>
      <c r="Y632" s="3"/>
    </row>
    <row r="633" spans="1:25" x14ac:dyDescent="0.15">
      <c r="A633" s="3">
        <v>201573</v>
      </c>
      <c r="B633" s="27" t="s">
        <v>3256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4">
        <v>803</v>
      </c>
      <c r="K633" s="3">
        <v>2</v>
      </c>
      <c r="L633" s="3" t="s">
        <v>722</v>
      </c>
      <c r="M633" s="3">
        <v>201</v>
      </c>
      <c r="N633" s="4" t="s">
        <v>723</v>
      </c>
      <c r="O633" s="3"/>
      <c r="P633" s="3"/>
      <c r="Q633" s="27" t="s">
        <v>2054</v>
      </c>
      <c r="R633" s="27" t="s">
        <v>3265</v>
      </c>
      <c r="S633" s="27" t="s">
        <v>3266</v>
      </c>
      <c r="T633" s="3">
        <v>1</v>
      </c>
      <c r="U633" s="3">
        <v>0</v>
      </c>
      <c r="V633" s="3">
        <v>1</v>
      </c>
      <c r="W633" s="7"/>
      <c r="X633" s="27" t="s">
        <v>3256</v>
      </c>
      <c r="Y633" s="3"/>
    </row>
    <row r="634" spans="1:25" x14ac:dyDescent="0.15">
      <c r="A634" s="3">
        <v>201574</v>
      </c>
      <c r="B634" s="27" t="s">
        <v>3257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0</v>
      </c>
      <c r="J634" s="4">
        <v>804</v>
      </c>
      <c r="K634" s="3">
        <v>2</v>
      </c>
      <c r="L634" s="3" t="s">
        <v>722</v>
      </c>
      <c r="M634" s="3">
        <v>201</v>
      </c>
      <c r="N634" s="4" t="s">
        <v>723</v>
      </c>
      <c r="O634" s="3"/>
      <c r="P634" s="3"/>
      <c r="Q634" s="27" t="s">
        <v>2054</v>
      </c>
      <c r="R634" s="27" t="s">
        <v>3265</v>
      </c>
      <c r="S634" s="27" t="s">
        <v>3266</v>
      </c>
      <c r="T634" s="3">
        <v>1</v>
      </c>
      <c r="U634" s="3">
        <v>0</v>
      </c>
      <c r="V634" s="3">
        <v>1</v>
      </c>
      <c r="W634" s="7"/>
      <c r="X634" s="27" t="s">
        <v>3257</v>
      </c>
      <c r="Y634" s="3"/>
    </row>
    <row r="635" spans="1:25" x14ac:dyDescent="0.15">
      <c r="A635" s="3">
        <v>201575</v>
      </c>
      <c r="B635" s="27" t="s">
        <v>3258</v>
      </c>
      <c r="C635" s="3">
        <v>0</v>
      </c>
      <c r="D635" s="3">
        <v>0</v>
      </c>
      <c r="E635" s="3">
        <v>0</v>
      </c>
      <c r="F635" s="3">
        <v>0</v>
      </c>
      <c r="G635" s="3">
        <v>0</v>
      </c>
      <c r="H635" s="3">
        <v>0</v>
      </c>
      <c r="I635" s="3">
        <v>0</v>
      </c>
      <c r="J635" s="4">
        <v>805</v>
      </c>
      <c r="K635" s="3">
        <v>2</v>
      </c>
      <c r="L635" s="3" t="s">
        <v>722</v>
      </c>
      <c r="M635" s="3">
        <v>201</v>
      </c>
      <c r="N635" s="4" t="s">
        <v>723</v>
      </c>
      <c r="O635" s="3"/>
      <c r="P635" s="3"/>
      <c r="Q635" s="27" t="s">
        <v>2054</v>
      </c>
      <c r="R635" s="27" t="s">
        <v>3265</v>
      </c>
      <c r="S635" s="27" t="s">
        <v>3266</v>
      </c>
      <c r="T635" s="3">
        <v>1</v>
      </c>
      <c r="U635" s="3">
        <v>0</v>
      </c>
      <c r="V635" s="3">
        <v>1</v>
      </c>
      <c r="W635" s="7"/>
      <c r="X635" s="27" t="s">
        <v>3258</v>
      </c>
      <c r="Y635" s="3"/>
    </row>
    <row r="636" spans="1:25" x14ac:dyDescent="0.15">
      <c r="A636" s="3">
        <v>201576</v>
      </c>
      <c r="B636" s="27" t="s">
        <v>3259</v>
      </c>
      <c r="C636" s="3">
        <v>0</v>
      </c>
      <c r="D636" s="3">
        <v>0</v>
      </c>
      <c r="E636" s="3">
        <v>0</v>
      </c>
      <c r="F636" s="3">
        <v>0</v>
      </c>
      <c r="G636" s="3">
        <v>0</v>
      </c>
      <c r="H636" s="3">
        <v>0</v>
      </c>
      <c r="I636" s="3">
        <v>0</v>
      </c>
      <c r="J636" s="4">
        <v>806</v>
      </c>
      <c r="K636" s="3">
        <v>2</v>
      </c>
      <c r="L636" s="3" t="s">
        <v>722</v>
      </c>
      <c r="M636" s="3">
        <v>201</v>
      </c>
      <c r="N636" s="4" t="s">
        <v>723</v>
      </c>
      <c r="O636" s="3"/>
      <c r="P636" s="3"/>
      <c r="Q636" s="27" t="s">
        <v>2054</v>
      </c>
      <c r="R636" s="27" t="s">
        <v>3265</v>
      </c>
      <c r="S636" s="27" t="s">
        <v>3266</v>
      </c>
      <c r="T636" s="3">
        <v>1</v>
      </c>
      <c r="U636" s="3">
        <v>0</v>
      </c>
      <c r="V636" s="3">
        <v>1</v>
      </c>
      <c r="W636" s="7"/>
      <c r="X636" s="27" t="s">
        <v>3259</v>
      </c>
      <c r="Y636" s="3"/>
    </row>
    <row r="637" spans="1:25" x14ac:dyDescent="0.15">
      <c r="A637" s="3">
        <v>201577</v>
      </c>
      <c r="B637" s="27" t="s">
        <v>3260</v>
      </c>
      <c r="C637" s="3">
        <v>0</v>
      </c>
      <c r="D637" s="3">
        <v>0</v>
      </c>
      <c r="E637" s="3">
        <v>0</v>
      </c>
      <c r="F637" s="3">
        <v>0</v>
      </c>
      <c r="G637" s="3">
        <v>0</v>
      </c>
      <c r="H637" s="3">
        <v>0</v>
      </c>
      <c r="I637" s="3">
        <v>0</v>
      </c>
      <c r="J637" s="4">
        <v>807</v>
      </c>
      <c r="K637" s="3">
        <v>2</v>
      </c>
      <c r="L637" s="3" t="s">
        <v>722</v>
      </c>
      <c r="M637" s="3">
        <v>201</v>
      </c>
      <c r="N637" s="4" t="s">
        <v>723</v>
      </c>
      <c r="O637" s="3"/>
      <c r="P637" s="3"/>
      <c r="Q637" s="27" t="s">
        <v>2054</v>
      </c>
      <c r="R637" s="27" t="s">
        <v>3265</v>
      </c>
      <c r="S637" s="27" t="s">
        <v>3266</v>
      </c>
      <c r="T637" s="3">
        <v>1</v>
      </c>
      <c r="U637" s="3">
        <v>0</v>
      </c>
      <c r="V637" s="3">
        <v>1</v>
      </c>
      <c r="W637" s="7"/>
      <c r="X637" s="27" t="s">
        <v>3260</v>
      </c>
      <c r="Y637" s="3"/>
    </row>
    <row r="638" spans="1:25" x14ac:dyDescent="0.15">
      <c r="A638" s="3">
        <v>201578</v>
      </c>
      <c r="B638" s="27" t="s">
        <v>3261</v>
      </c>
      <c r="C638" s="3">
        <v>0</v>
      </c>
      <c r="D638" s="3">
        <v>0</v>
      </c>
      <c r="E638" s="3">
        <v>0</v>
      </c>
      <c r="F638" s="3">
        <v>0</v>
      </c>
      <c r="G638" s="3">
        <v>0</v>
      </c>
      <c r="H638" s="3">
        <v>0</v>
      </c>
      <c r="I638" s="3">
        <v>0</v>
      </c>
      <c r="J638" s="4">
        <v>808</v>
      </c>
      <c r="K638" s="3">
        <v>2</v>
      </c>
      <c r="L638" s="3" t="s">
        <v>722</v>
      </c>
      <c r="M638" s="3">
        <v>201</v>
      </c>
      <c r="N638" s="4" t="s">
        <v>723</v>
      </c>
      <c r="O638" s="3"/>
      <c r="P638" s="3"/>
      <c r="Q638" s="27" t="s">
        <v>2054</v>
      </c>
      <c r="R638" s="27" t="s">
        <v>3265</v>
      </c>
      <c r="S638" s="27" t="s">
        <v>3266</v>
      </c>
      <c r="T638" s="3">
        <v>1</v>
      </c>
      <c r="U638" s="3">
        <v>0</v>
      </c>
      <c r="V638" s="3">
        <v>1</v>
      </c>
      <c r="W638" s="7"/>
      <c r="X638" s="27" t="s">
        <v>3261</v>
      </c>
      <c r="Y638" s="3"/>
    </row>
    <row r="639" spans="1:25" x14ac:dyDescent="0.15">
      <c r="A639" s="3">
        <v>201579</v>
      </c>
      <c r="B639" s="27" t="s">
        <v>3262</v>
      </c>
      <c r="C639" s="3">
        <v>0</v>
      </c>
      <c r="D639" s="3">
        <v>0</v>
      </c>
      <c r="E639" s="3">
        <v>0</v>
      </c>
      <c r="F639" s="3">
        <v>0</v>
      </c>
      <c r="G639" s="3">
        <v>0</v>
      </c>
      <c r="H639" s="3">
        <v>0</v>
      </c>
      <c r="I639" s="3">
        <v>0</v>
      </c>
      <c r="J639" s="4">
        <v>809</v>
      </c>
      <c r="K639" s="3">
        <v>2</v>
      </c>
      <c r="L639" s="3" t="s">
        <v>722</v>
      </c>
      <c r="M639" s="3">
        <v>201</v>
      </c>
      <c r="N639" s="4" t="s">
        <v>723</v>
      </c>
      <c r="O639" s="3"/>
      <c r="P639" s="3"/>
      <c r="Q639" s="27" t="s">
        <v>2054</v>
      </c>
      <c r="R639" s="27" t="s">
        <v>3265</v>
      </c>
      <c r="S639" s="27" t="s">
        <v>3266</v>
      </c>
      <c r="T639" s="3">
        <v>1</v>
      </c>
      <c r="U639" s="3">
        <v>0</v>
      </c>
      <c r="V639" s="3">
        <v>1</v>
      </c>
      <c r="W639" s="7"/>
      <c r="X639" s="27" t="s">
        <v>3262</v>
      </c>
      <c r="Y639" s="3"/>
    </row>
    <row r="640" spans="1:25" x14ac:dyDescent="0.15">
      <c r="A640" s="3">
        <v>201580</v>
      </c>
      <c r="B640" s="27" t="s">
        <v>3263</v>
      </c>
      <c r="C640" s="3">
        <v>0</v>
      </c>
      <c r="D640" s="3">
        <v>0</v>
      </c>
      <c r="E640" s="3">
        <v>0</v>
      </c>
      <c r="F640" s="3">
        <v>0</v>
      </c>
      <c r="G640" s="3">
        <v>0</v>
      </c>
      <c r="H640" s="3">
        <v>0</v>
      </c>
      <c r="I640" s="3">
        <v>0</v>
      </c>
      <c r="J640" s="4">
        <v>810</v>
      </c>
      <c r="K640" s="3">
        <v>2</v>
      </c>
      <c r="L640" s="3" t="s">
        <v>722</v>
      </c>
      <c r="M640" s="3">
        <v>201</v>
      </c>
      <c r="N640" s="4" t="s">
        <v>723</v>
      </c>
      <c r="O640" s="3"/>
      <c r="P640" s="3"/>
      <c r="Q640" s="27" t="s">
        <v>2054</v>
      </c>
      <c r="R640" s="27" t="s">
        <v>3265</v>
      </c>
      <c r="S640" s="27" t="s">
        <v>3266</v>
      </c>
      <c r="T640" s="3">
        <v>1</v>
      </c>
      <c r="U640" s="3">
        <v>0</v>
      </c>
      <c r="V640" s="3">
        <v>1</v>
      </c>
      <c r="W640" s="7"/>
      <c r="X640" s="27" t="s">
        <v>3263</v>
      </c>
      <c r="Y640" s="3"/>
    </row>
    <row r="641" spans="1:25" x14ac:dyDescent="0.15">
      <c r="A641" s="3">
        <v>202101</v>
      </c>
      <c r="B641" s="41" t="s">
        <v>2124</v>
      </c>
      <c r="C641" s="3">
        <v>0</v>
      </c>
      <c r="D641" s="3">
        <v>0</v>
      </c>
      <c r="E641" s="3">
        <v>0</v>
      </c>
      <c r="F641" s="3">
        <v>0</v>
      </c>
      <c r="G641" s="3">
        <v>0</v>
      </c>
      <c r="H641" s="3">
        <v>0</v>
      </c>
      <c r="I641" s="3">
        <v>0</v>
      </c>
      <c r="J641" s="4">
        <v>771</v>
      </c>
      <c r="K641" s="3">
        <v>2</v>
      </c>
      <c r="L641" s="3" t="s">
        <v>722</v>
      </c>
      <c r="M641" s="3">
        <v>202</v>
      </c>
      <c r="N641" s="4" t="s">
        <v>1174</v>
      </c>
      <c r="O641" s="3">
        <v>1</v>
      </c>
      <c r="P641" s="27" t="s">
        <v>1762</v>
      </c>
      <c r="Q641" s="3" t="s">
        <v>601</v>
      </c>
      <c r="R641" s="3" t="str">
        <f t="shared" ref="R641:R684" si="48">CONCATENATE("ui_",A641,"")</f>
        <v>ui_202101</v>
      </c>
      <c r="S641" s="3" t="str">
        <f t="shared" ref="S641:S684" si="49">CONCATENATE(A641,"")</f>
        <v>202101</v>
      </c>
      <c r="T641" s="3">
        <v>1</v>
      </c>
      <c r="U641" s="3">
        <v>0</v>
      </c>
      <c r="V641" s="3">
        <v>1</v>
      </c>
      <c r="W641" s="54"/>
      <c r="X641" s="36" t="s">
        <v>2124</v>
      </c>
      <c r="Y641" s="27" t="s">
        <v>2125</v>
      </c>
    </row>
    <row r="642" spans="1:25" x14ac:dyDescent="0.15">
      <c r="A642" s="3">
        <v>202102</v>
      </c>
      <c r="B642" s="6" t="s">
        <v>1175</v>
      </c>
      <c r="C642" s="3">
        <v>0</v>
      </c>
      <c r="D642" s="3">
        <v>0</v>
      </c>
      <c r="E642" s="3">
        <v>0</v>
      </c>
      <c r="F642" s="3">
        <v>0</v>
      </c>
      <c r="G642" s="3">
        <v>0</v>
      </c>
      <c r="H642" s="3">
        <v>0</v>
      </c>
      <c r="I642" s="3">
        <v>0</v>
      </c>
      <c r="J642" s="4">
        <v>772</v>
      </c>
      <c r="K642" s="3">
        <v>2</v>
      </c>
      <c r="L642" s="3" t="s">
        <v>722</v>
      </c>
      <c r="M642" s="3">
        <v>202</v>
      </c>
      <c r="N642" s="4" t="s">
        <v>1174</v>
      </c>
      <c r="O642" s="3">
        <v>1</v>
      </c>
      <c r="P642" s="27" t="s">
        <v>1762</v>
      </c>
      <c r="Q642" s="3" t="s">
        <v>601</v>
      </c>
      <c r="R642" s="3" t="str">
        <f t="shared" si="48"/>
        <v>ui_202102</v>
      </c>
      <c r="S642" s="3" t="str">
        <f t="shared" si="49"/>
        <v>202102</v>
      </c>
      <c r="T642" s="3">
        <v>1</v>
      </c>
      <c r="U642" s="3">
        <v>0</v>
      </c>
      <c r="V642" s="3">
        <v>1</v>
      </c>
      <c r="W642" s="7"/>
      <c r="X642" s="3" t="s">
        <v>1175</v>
      </c>
      <c r="Y642" s="27" t="s">
        <v>1734</v>
      </c>
    </row>
    <row r="643" spans="1:25" x14ac:dyDescent="0.15">
      <c r="A643" s="3">
        <v>202103</v>
      </c>
      <c r="B643" s="3" t="s">
        <v>1176</v>
      </c>
      <c r="C643" s="3">
        <v>0</v>
      </c>
      <c r="D643" s="3">
        <v>0</v>
      </c>
      <c r="E643" s="3">
        <v>0</v>
      </c>
      <c r="F643" s="3">
        <v>0</v>
      </c>
      <c r="G643" s="3">
        <v>0</v>
      </c>
      <c r="H643" s="3">
        <v>0</v>
      </c>
      <c r="I643" s="3">
        <v>0</v>
      </c>
      <c r="J643" s="4">
        <v>773</v>
      </c>
      <c r="K643" s="3">
        <v>2</v>
      </c>
      <c r="L643" s="3" t="s">
        <v>722</v>
      </c>
      <c r="M643" s="3">
        <v>202</v>
      </c>
      <c r="N643" s="4" t="s">
        <v>1174</v>
      </c>
      <c r="O643" s="3">
        <v>0</v>
      </c>
      <c r="P643" s="27" t="s">
        <v>1762</v>
      </c>
      <c r="Q643" s="3" t="s">
        <v>601</v>
      </c>
      <c r="R643" s="3" t="str">
        <f t="shared" si="48"/>
        <v>ui_202103</v>
      </c>
      <c r="S643" s="3" t="str">
        <f t="shared" si="49"/>
        <v>202103</v>
      </c>
      <c r="T643" s="3">
        <v>1</v>
      </c>
      <c r="U643" s="3">
        <v>0</v>
      </c>
      <c r="V643" s="3">
        <v>1</v>
      </c>
      <c r="W643" s="7"/>
      <c r="X643" s="3" t="s">
        <v>1176</v>
      </c>
      <c r="Y643" s="27"/>
    </row>
    <row r="644" spans="1:25" x14ac:dyDescent="0.15">
      <c r="A644" s="3">
        <v>202104</v>
      </c>
      <c r="B644" s="27" t="s">
        <v>2128</v>
      </c>
      <c r="C644" s="3">
        <v>0</v>
      </c>
      <c r="D644" s="3">
        <v>0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4">
        <v>771</v>
      </c>
      <c r="K644" s="3">
        <v>2</v>
      </c>
      <c r="L644" s="3" t="s">
        <v>722</v>
      </c>
      <c r="M644" s="3">
        <v>202</v>
      </c>
      <c r="N644" s="4" t="s">
        <v>1174</v>
      </c>
      <c r="O644" s="3">
        <v>1</v>
      </c>
      <c r="P644" s="27" t="s">
        <v>1762</v>
      </c>
      <c r="Q644" s="3" t="s">
        <v>601</v>
      </c>
      <c r="R644" s="3" t="str">
        <f t="shared" si="48"/>
        <v>ui_202104</v>
      </c>
      <c r="S644" s="3" t="str">
        <f t="shared" si="49"/>
        <v>202104</v>
      </c>
      <c r="T644" s="3">
        <v>1</v>
      </c>
      <c r="U644" s="3">
        <v>0</v>
      </c>
      <c r="V644" s="3">
        <v>1</v>
      </c>
      <c r="W644" s="7"/>
      <c r="X644" s="27" t="s">
        <v>2128</v>
      </c>
      <c r="Y644" s="27" t="s">
        <v>2125</v>
      </c>
    </row>
    <row r="645" spans="1:25" x14ac:dyDescent="0.15">
      <c r="A645" s="3">
        <v>202105</v>
      </c>
      <c r="B645" s="41" t="s">
        <v>2718</v>
      </c>
      <c r="C645" s="3">
        <v>0</v>
      </c>
      <c r="D645" s="3">
        <v>0</v>
      </c>
      <c r="E645" s="3">
        <v>0</v>
      </c>
      <c r="F645" s="3">
        <v>0</v>
      </c>
      <c r="G645" s="3">
        <v>0</v>
      </c>
      <c r="H645" s="3">
        <v>0</v>
      </c>
      <c r="I645" s="3">
        <v>0</v>
      </c>
      <c r="J645" s="4">
        <v>771</v>
      </c>
      <c r="K645" s="3">
        <v>2</v>
      </c>
      <c r="L645" s="3" t="s">
        <v>722</v>
      </c>
      <c r="M645" s="3">
        <v>202</v>
      </c>
      <c r="N645" s="4" t="s">
        <v>1174</v>
      </c>
      <c r="O645" s="3">
        <v>1</v>
      </c>
      <c r="P645" s="27" t="s">
        <v>1762</v>
      </c>
      <c r="Q645" s="3" t="s">
        <v>601</v>
      </c>
      <c r="R645" s="3" t="str">
        <f t="shared" si="48"/>
        <v>ui_202105</v>
      </c>
      <c r="S645" s="3" t="str">
        <f t="shared" si="49"/>
        <v>202105</v>
      </c>
      <c r="T645" s="3">
        <v>1</v>
      </c>
      <c r="U645" s="3">
        <v>0</v>
      </c>
      <c r="V645" s="3">
        <v>1</v>
      </c>
      <c r="W645" s="7"/>
      <c r="X645" s="27" t="s">
        <v>2718</v>
      </c>
      <c r="Y645" s="27" t="s">
        <v>2125</v>
      </c>
    </row>
    <row r="646" spans="1:25" x14ac:dyDescent="0.15">
      <c r="A646" s="3">
        <v>202201</v>
      </c>
      <c r="B646" s="3" t="s">
        <v>610</v>
      </c>
      <c r="C646" s="3">
        <v>0</v>
      </c>
      <c r="D646" s="3">
        <v>0</v>
      </c>
      <c r="E646" s="3">
        <v>0</v>
      </c>
      <c r="F646" s="3">
        <v>0</v>
      </c>
      <c r="G646" s="3">
        <v>0</v>
      </c>
      <c r="H646" s="3">
        <v>0</v>
      </c>
      <c r="I646" s="3">
        <v>0</v>
      </c>
      <c r="J646" s="4">
        <v>774</v>
      </c>
      <c r="K646" s="3">
        <v>2</v>
      </c>
      <c r="L646" s="3" t="s">
        <v>722</v>
      </c>
      <c r="M646" s="3">
        <v>202</v>
      </c>
      <c r="N646" s="4" t="s">
        <v>1174</v>
      </c>
      <c r="O646" s="3">
        <v>0</v>
      </c>
      <c r="P646" s="27" t="s">
        <v>1762</v>
      </c>
      <c r="Q646" s="3" t="s">
        <v>601</v>
      </c>
      <c r="R646" s="3" t="str">
        <f t="shared" si="48"/>
        <v>ui_202201</v>
      </c>
      <c r="S646" s="3" t="str">
        <f t="shared" si="49"/>
        <v>202201</v>
      </c>
      <c r="T646" s="3">
        <v>1</v>
      </c>
      <c r="U646" s="3">
        <v>0</v>
      </c>
      <c r="V646" s="3">
        <v>1</v>
      </c>
      <c r="W646" s="7"/>
      <c r="X646" s="3" t="s">
        <v>610</v>
      </c>
      <c r="Y646" s="27"/>
    </row>
    <row r="647" spans="1:25" x14ac:dyDescent="0.15">
      <c r="A647" s="3">
        <v>202202</v>
      </c>
      <c r="B647" s="3" t="s">
        <v>611</v>
      </c>
      <c r="C647" s="3">
        <v>0</v>
      </c>
      <c r="D647" s="3">
        <v>0</v>
      </c>
      <c r="E647" s="3">
        <v>0</v>
      </c>
      <c r="F647" s="3">
        <v>0</v>
      </c>
      <c r="G647" s="3">
        <v>0</v>
      </c>
      <c r="H647" s="3">
        <v>0</v>
      </c>
      <c r="I647" s="3">
        <v>0</v>
      </c>
      <c r="J647" s="4">
        <v>775</v>
      </c>
      <c r="K647" s="3">
        <v>2</v>
      </c>
      <c r="L647" s="3" t="s">
        <v>722</v>
      </c>
      <c r="M647" s="3">
        <v>202</v>
      </c>
      <c r="N647" s="4" t="s">
        <v>1174</v>
      </c>
      <c r="O647" s="3">
        <v>0</v>
      </c>
      <c r="P647" s="27" t="s">
        <v>1762</v>
      </c>
      <c r="Q647" s="3" t="s">
        <v>601</v>
      </c>
      <c r="R647" s="3" t="str">
        <f t="shared" si="48"/>
        <v>ui_202202</v>
      </c>
      <c r="S647" s="3" t="str">
        <f t="shared" si="49"/>
        <v>202202</v>
      </c>
      <c r="T647" s="3">
        <v>1</v>
      </c>
      <c r="U647" s="3">
        <v>0</v>
      </c>
      <c r="V647" s="3">
        <v>1</v>
      </c>
      <c r="W647" s="7"/>
      <c r="X647" s="3" t="s">
        <v>611</v>
      </c>
      <c r="Y647" s="27"/>
    </row>
    <row r="648" spans="1:25" x14ac:dyDescent="0.15">
      <c r="A648" s="3">
        <v>202203</v>
      </c>
      <c r="B648" s="3" t="s">
        <v>612</v>
      </c>
      <c r="C648" s="3">
        <v>0</v>
      </c>
      <c r="D648" s="3">
        <v>0</v>
      </c>
      <c r="E648" s="3">
        <v>0</v>
      </c>
      <c r="F648" s="3">
        <v>0</v>
      </c>
      <c r="G648" s="3">
        <v>0</v>
      </c>
      <c r="H648" s="3">
        <v>0</v>
      </c>
      <c r="I648" s="3">
        <v>0</v>
      </c>
      <c r="J648" s="4">
        <v>776</v>
      </c>
      <c r="K648" s="3">
        <v>2</v>
      </c>
      <c r="L648" s="3" t="s">
        <v>722</v>
      </c>
      <c r="M648" s="3">
        <v>202</v>
      </c>
      <c r="N648" s="4" t="s">
        <v>1174</v>
      </c>
      <c r="O648" s="3">
        <v>0</v>
      </c>
      <c r="P648" s="27" t="s">
        <v>1762</v>
      </c>
      <c r="Q648" s="3" t="s">
        <v>601</v>
      </c>
      <c r="R648" s="3" t="str">
        <f t="shared" si="48"/>
        <v>ui_202203</v>
      </c>
      <c r="S648" s="3" t="str">
        <f t="shared" si="49"/>
        <v>202203</v>
      </c>
      <c r="T648" s="3">
        <v>1</v>
      </c>
      <c r="U648" s="3">
        <v>0</v>
      </c>
      <c r="V648" s="3">
        <v>1</v>
      </c>
      <c r="W648" s="7"/>
      <c r="X648" s="3" t="s">
        <v>612</v>
      </c>
      <c r="Y648" s="3" t="s">
        <v>252</v>
      </c>
    </row>
    <row r="649" spans="1:25" x14ac:dyDescent="0.15">
      <c r="A649" s="3">
        <v>202301</v>
      </c>
      <c r="B649" s="6" t="s">
        <v>1178</v>
      </c>
      <c r="C649" s="3">
        <v>0</v>
      </c>
      <c r="D649" s="3">
        <v>0</v>
      </c>
      <c r="E649" s="3">
        <v>0</v>
      </c>
      <c r="F649" s="3">
        <v>0</v>
      </c>
      <c r="G649" s="3">
        <v>0</v>
      </c>
      <c r="H649" s="3">
        <v>0</v>
      </c>
      <c r="I649" s="3">
        <v>0</v>
      </c>
      <c r="J649" s="4">
        <v>777</v>
      </c>
      <c r="K649" s="3">
        <v>2</v>
      </c>
      <c r="L649" s="3" t="s">
        <v>722</v>
      </c>
      <c r="M649" s="3">
        <v>202</v>
      </c>
      <c r="N649" s="4" t="s">
        <v>1174</v>
      </c>
      <c r="O649" s="3">
        <v>1</v>
      </c>
      <c r="P649" s="27" t="s">
        <v>1762</v>
      </c>
      <c r="Q649" s="3" t="s">
        <v>601</v>
      </c>
      <c r="R649" s="3" t="str">
        <f t="shared" si="48"/>
        <v>ui_202301</v>
      </c>
      <c r="S649" s="3" t="str">
        <f t="shared" si="49"/>
        <v>202301</v>
      </c>
      <c r="T649" s="3">
        <v>1</v>
      </c>
      <c r="U649" s="3">
        <v>0</v>
      </c>
      <c r="V649" s="3">
        <v>1</v>
      </c>
      <c r="W649" s="7"/>
      <c r="X649" s="3" t="s">
        <v>1178</v>
      </c>
      <c r="Y649" s="27" t="s">
        <v>1728</v>
      </c>
    </row>
    <row r="650" spans="1:25" x14ac:dyDescent="0.15">
      <c r="A650" s="3">
        <v>202302</v>
      </c>
      <c r="B650" s="6" t="s">
        <v>1179</v>
      </c>
      <c r="C650" s="3">
        <v>0</v>
      </c>
      <c r="D650" s="3">
        <v>0</v>
      </c>
      <c r="E650" s="3">
        <v>0</v>
      </c>
      <c r="F650" s="3">
        <v>0</v>
      </c>
      <c r="G650" s="3">
        <v>0</v>
      </c>
      <c r="H650" s="3">
        <v>0</v>
      </c>
      <c r="I650" s="3">
        <v>0</v>
      </c>
      <c r="J650" s="4">
        <v>778</v>
      </c>
      <c r="K650" s="3">
        <v>2</v>
      </c>
      <c r="L650" s="3" t="s">
        <v>722</v>
      </c>
      <c r="M650" s="3">
        <v>202</v>
      </c>
      <c r="N650" s="4" t="s">
        <v>1174</v>
      </c>
      <c r="O650" s="3">
        <v>1</v>
      </c>
      <c r="P650" s="27" t="s">
        <v>1762</v>
      </c>
      <c r="Q650" s="3" t="s">
        <v>601</v>
      </c>
      <c r="R650" s="3" t="str">
        <f>CONCATENATE("ui_",A650,"")</f>
        <v>ui_202302</v>
      </c>
      <c r="S650" s="3" t="str">
        <f t="shared" si="49"/>
        <v>202302</v>
      </c>
      <c r="T650" s="3">
        <v>1</v>
      </c>
      <c r="U650" s="3">
        <v>0</v>
      </c>
      <c r="V650" s="3">
        <v>1</v>
      </c>
      <c r="W650" s="7"/>
      <c r="X650" s="3" t="s">
        <v>1179</v>
      </c>
      <c r="Y650" s="27" t="s">
        <v>1729</v>
      </c>
    </row>
    <row r="651" spans="1:25" x14ac:dyDescent="0.15">
      <c r="A651" s="3">
        <v>202303</v>
      </c>
      <c r="B651" s="6" t="s">
        <v>1180</v>
      </c>
      <c r="C651" s="3">
        <v>0</v>
      </c>
      <c r="D651" s="3">
        <v>0</v>
      </c>
      <c r="E651" s="3">
        <v>0</v>
      </c>
      <c r="F651" s="3">
        <v>0</v>
      </c>
      <c r="G651" s="3">
        <v>0</v>
      </c>
      <c r="H651" s="3">
        <v>0</v>
      </c>
      <c r="I651" s="3">
        <v>0</v>
      </c>
      <c r="J651" s="4">
        <v>779</v>
      </c>
      <c r="K651" s="3">
        <v>2</v>
      </c>
      <c r="L651" s="3" t="s">
        <v>722</v>
      </c>
      <c r="M651" s="3">
        <v>202</v>
      </c>
      <c r="N651" s="4" t="s">
        <v>1174</v>
      </c>
      <c r="O651" s="3">
        <v>1</v>
      </c>
      <c r="P651" s="27" t="s">
        <v>1762</v>
      </c>
      <c r="Q651" s="3" t="s">
        <v>601</v>
      </c>
      <c r="R651" s="3" t="str">
        <f t="shared" si="48"/>
        <v>ui_202303</v>
      </c>
      <c r="S651" s="3" t="str">
        <f t="shared" si="49"/>
        <v>202303</v>
      </c>
      <c r="T651" s="3">
        <v>1</v>
      </c>
      <c r="U651" s="3">
        <v>0</v>
      </c>
      <c r="V651" s="3">
        <v>1</v>
      </c>
      <c r="W651" s="7"/>
      <c r="X651" s="3" t="s">
        <v>1180</v>
      </c>
      <c r="Y651" s="27" t="s">
        <v>1764</v>
      </c>
    </row>
    <row r="652" spans="1:25" x14ac:dyDescent="0.15">
      <c r="A652" s="3">
        <v>202304</v>
      </c>
      <c r="B652" s="41" t="s">
        <v>2681</v>
      </c>
      <c r="C652" s="3">
        <v>0</v>
      </c>
      <c r="D652" s="3">
        <v>0</v>
      </c>
      <c r="E652" s="3">
        <v>0</v>
      </c>
      <c r="F652" s="3">
        <v>0</v>
      </c>
      <c r="G652" s="3">
        <v>0</v>
      </c>
      <c r="H652" s="3">
        <v>0</v>
      </c>
      <c r="I652" s="3">
        <v>0</v>
      </c>
      <c r="J652" s="4">
        <v>779</v>
      </c>
      <c r="K652" s="3">
        <v>2</v>
      </c>
      <c r="L652" s="3" t="s">
        <v>722</v>
      </c>
      <c r="M652" s="3">
        <v>202</v>
      </c>
      <c r="N652" s="4" t="s">
        <v>1174</v>
      </c>
      <c r="O652" s="3">
        <v>1</v>
      </c>
      <c r="P652" s="27" t="s">
        <v>1762</v>
      </c>
      <c r="Q652" s="3" t="s">
        <v>601</v>
      </c>
      <c r="R652" s="3" t="str">
        <f t="shared" si="48"/>
        <v>ui_202304</v>
      </c>
      <c r="S652" s="3" t="str">
        <f t="shared" si="49"/>
        <v>202304</v>
      </c>
      <c r="T652" s="3">
        <v>1</v>
      </c>
      <c r="U652" s="3">
        <v>0</v>
      </c>
      <c r="V652" s="3">
        <v>1</v>
      </c>
      <c r="W652" s="7"/>
      <c r="X652" s="27" t="s">
        <v>2681</v>
      </c>
      <c r="Y652" s="27" t="s">
        <v>2682</v>
      </c>
    </row>
    <row r="653" spans="1:25" x14ac:dyDescent="0.15">
      <c r="A653" s="3">
        <v>202401</v>
      </c>
      <c r="B653" s="6" t="s">
        <v>1181</v>
      </c>
      <c r="C653" s="3">
        <v>0</v>
      </c>
      <c r="D653" s="3">
        <v>0</v>
      </c>
      <c r="E653" s="3">
        <v>0</v>
      </c>
      <c r="F653" s="3">
        <v>0</v>
      </c>
      <c r="G653" s="3">
        <v>0</v>
      </c>
      <c r="H653" s="3">
        <v>0</v>
      </c>
      <c r="I653" s="3">
        <v>0</v>
      </c>
      <c r="J653" s="4">
        <v>780</v>
      </c>
      <c r="K653" s="3">
        <v>2</v>
      </c>
      <c r="L653" s="3" t="s">
        <v>722</v>
      </c>
      <c r="M653" s="3">
        <v>202</v>
      </c>
      <c r="N653" s="4" t="s">
        <v>1174</v>
      </c>
      <c r="O653" s="3">
        <v>1</v>
      </c>
      <c r="P653" s="27" t="s">
        <v>1762</v>
      </c>
      <c r="Q653" s="3" t="s">
        <v>601</v>
      </c>
      <c r="R653" s="3" t="str">
        <f t="shared" si="48"/>
        <v>ui_202401</v>
      </c>
      <c r="S653" s="3" t="str">
        <f t="shared" si="49"/>
        <v>202401</v>
      </c>
      <c r="T653" s="3">
        <v>1</v>
      </c>
      <c r="U653" s="3">
        <v>0</v>
      </c>
      <c r="V653" s="3">
        <v>1</v>
      </c>
      <c r="W653" s="7"/>
      <c r="X653" s="3" t="s">
        <v>1181</v>
      </c>
      <c r="Y653" s="3" t="s">
        <v>1726</v>
      </c>
    </row>
    <row r="654" spans="1:25" x14ac:dyDescent="0.15">
      <c r="A654" s="3">
        <v>202402</v>
      </c>
      <c r="B654" s="6" t="s">
        <v>1182</v>
      </c>
      <c r="C654" s="3">
        <v>0</v>
      </c>
      <c r="D654" s="3">
        <v>0</v>
      </c>
      <c r="E654" s="3">
        <v>0</v>
      </c>
      <c r="F654" s="3">
        <v>0</v>
      </c>
      <c r="G654" s="3">
        <v>0</v>
      </c>
      <c r="H654" s="3">
        <v>0</v>
      </c>
      <c r="I654" s="3">
        <v>0</v>
      </c>
      <c r="J654" s="4">
        <v>781</v>
      </c>
      <c r="K654" s="3">
        <v>2</v>
      </c>
      <c r="L654" s="3" t="s">
        <v>722</v>
      </c>
      <c r="M654" s="3">
        <v>202</v>
      </c>
      <c r="N654" s="4" t="s">
        <v>1174</v>
      </c>
      <c r="O654" s="3">
        <v>1</v>
      </c>
      <c r="P654" s="27" t="s">
        <v>1762</v>
      </c>
      <c r="Q654" s="3" t="s">
        <v>601</v>
      </c>
      <c r="R654" s="3" t="str">
        <f t="shared" si="48"/>
        <v>ui_202402</v>
      </c>
      <c r="S654" s="3" t="str">
        <f t="shared" si="49"/>
        <v>202402</v>
      </c>
      <c r="T654" s="3">
        <v>1</v>
      </c>
      <c r="U654" s="3">
        <v>0</v>
      </c>
      <c r="V654" s="3">
        <v>1</v>
      </c>
      <c r="W654" s="7"/>
      <c r="X654" s="3" t="s">
        <v>1182</v>
      </c>
      <c r="Y654" s="3" t="s">
        <v>1735</v>
      </c>
    </row>
    <row r="655" spans="1:25" x14ac:dyDescent="0.15">
      <c r="A655" s="3">
        <v>202403</v>
      </c>
      <c r="B655" s="41" t="s">
        <v>2883</v>
      </c>
      <c r="C655" s="3">
        <v>0</v>
      </c>
      <c r="D655" s="3">
        <v>0</v>
      </c>
      <c r="E655" s="3">
        <v>0</v>
      </c>
      <c r="F655" s="3">
        <v>0</v>
      </c>
      <c r="G655" s="3">
        <v>0</v>
      </c>
      <c r="H655" s="3">
        <v>0</v>
      </c>
      <c r="I655" s="3">
        <v>0</v>
      </c>
      <c r="J655" s="4">
        <v>782</v>
      </c>
      <c r="K655" s="3">
        <v>2</v>
      </c>
      <c r="L655" s="3" t="s">
        <v>722</v>
      </c>
      <c r="M655" s="3">
        <v>202</v>
      </c>
      <c r="N655" s="4" t="s">
        <v>1174</v>
      </c>
      <c r="O655" s="3">
        <v>1</v>
      </c>
      <c r="P655" s="27" t="s">
        <v>1762</v>
      </c>
      <c r="Q655" s="3" t="s">
        <v>601</v>
      </c>
      <c r="R655" s="3" t="str">
        <f t="shared" si="48"/>
        <v>ui_202403</v>
      </c>
      <c r="S655" s="3" t="str">
        <f t="shared" si="49"/>
        <v>202403</v>
      </c>
      <c r="T655" s="3">
        <v>1</v>
      </c>
      <c r="U655" s="3">
        <v>0</v>
      </c>
      <c r="V655" s="3">
        <v>1</v>
      </c>
      <c r="W655" s="7"/>
      <c r="X655" s="3" t="s">
        <v>1183</v>
      </c>
      <c r="Y655" s="3" t="s">
        <v>1736</v>
      </c>
    </row>
    <row r="656" spans="1:25" x14ac:dyDescent="0.15">
      <c r="A656" s="3">
        <v>202404</v>
      </c>
      <c r="B656" s="6" t="s">
        <v>1821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4">
        <v>788</v>
      </c>
      <c r="K656" s="3">
        <v>2</v>
      </c>
      <c r="L656" s="3" t="s">
        <v>722</v>
      </c>
      <c r="M656" s="3">
        <v>202</v>
      </c>
      <c r="N656" s="4" t="s">
        <v>1174</v>
      </c>
      <c r="O656" s="3">
        <v>1</v>
      </c>
      <c r="P656" s="27" t="s">
        <v>1762</v>
      </c>
      <c r="Q656" s="3" t="s">
        <v>601</v>
      </c>
      <c r="R656" s="3" t="str">
        <f t="shared" si="48"/>
        <v>ui_202404</v>
      </c>
      <c r="S656" s="3" t="str">
        <f t="shared" si="49"/>
        <v>202404</v>
      </c>
      <c r="T656" s="3">
        <v>1</v>
      </c>
      <c r="U656" s="3">
        <v>0</v>
      </c>
      <c r="V656" s="3">
        <v>1</v>
      </c>
      <c r="W656" s="7"/>
      <c r="X656" s="3" t="s">
        <v>1822</v>
      </c>
      <c r="Y656" s="27" t="s">
        <v>3461</v>
      </c>
    </row>
    <row r="657" spans="1:25" x14ac:dyDescent="0.15">
      <c r="A657" s="3">
        <v>202405</v>
      </c>
      <c r="B657" s="6" t="s">
        <v>1184</v>
      </c>
      <c r="C657" s="3">
        <v>0</v>
      </c>
      <c r="D657" s="3">
        <v>0</v>
      </c>
      <c r="E657" s="3">
        <v>0</v>
      </c>
      <c r="F657" s="3">
        <v>0</v>
      </c>
      <c r="G657" s="3">
        <v>0</v>
      </c>
      <c r="H657" s="3">
        <v>0</v>
      </c>
      <c r="I657" s="3">
        <v>0</v>
      </c>
      <c r="J657" s="4">
        <v>783</v>
      </c>
      <c r="K657" s="3">
        <v>2</v>
      </c>
      <c r="L657" s="3" t="s">
        <v>722</v>
      </c>
      <c r="M657" s="3">
        <v>202</v>
      </c>
      <c r="N657" s="4" t="s">
        <v>1174</v>
      </c>
      <c r="O657" s="3">
        <v>1</v>
      </c>
      <c r="P657" s="27" t="s">
        <v>1762</v>
      </c>
      <c r="Q657" s="3" t="s">
        <v>601</v>
      </c>
      <c r="R657" s="3" t="str">
        <f t="shared" si="48"/>
        <v>ui_202405</v>
      </c>
      <c r="S657" s="3" t="str">
        <f t="shared" si="49"/>
        <v>202405</v>
      </c>
      <c r="T657" s="3">
        <v>1</v>
      </c>
      <c r="U657" s="3">
        <v>0</v>
      </c>
      <c r="V657" s="3">
        <v>1</v>
      </c>
      <c r="W657" s="7"/>
      <c r="X657" s="3" t="s">
        <v>1184</v>
      </c>
      <c r="Y657" s="27" t="s">
        <v>1727</v>
      </c>
    </row>
    <row r="658" spans="1:25" x14ac:dyDescent="0.15">
      <c r="A658" s="3">
        <v>202407</v>
      </c>
      <c r="B658" s="27" t="s">
        <v>1763</v>
      </c>
      <c r="C658" s="3">
        <v>0</v>
      </c>
      <c r="D658" s="3">
        <v>0</v>
      </c>
      <c r="E658" s="3">
        <v>0</v>
      </c>
      <c r="F658" s="3">
        <v>0</v>
      </c>
      <c r="G658" s="3">
        <v>0</v>
      </c>
      <c r="H658" s="3">
        <v>0</v>
      </c>
      <c r="I658" s="3">
        <v>0</v>
      </c>
      <c r="J658" s="4">
        <v>784</v>
      </c>
      <c r="K658" s="3">
        <v>2</v>
      </c>
      <c r="L658" s="3" t="s">
        <v>722</v>
      </c>
      <c r="M658" s="3">
        <v>202</v>
      </c>
      <c r="N658" s="4" t="s">
        <v>1174</v>
      </c>
      <c r="O658" s="3">
        <v>1</v>
      </c>
      <c r="P658" s="27" t="s">
        <v>1762</v>
      </c>
      <c r="Q658" s="3" t="s">
        <v>601</v>
      </c>
      <c r="R658" s="3" t="str">
        <f t="shared" si="48"/>
        <v>ui_202407</v>
      </c>
      <c r="S658" s="3" t="str">
        <f t="shared" si="49"/>
        <v>202407</v>
      </c>
      <c r="T658" s="3">
        <v>1</v>
      </c>
      <c r="U658" s="3">
        <v>0</v>
      </c>
      <c r="V658" s="3">
        <v>1</v>
      </c>
      <c r="W658" s="7"/>
      <c r="X658" s="27" t="s">
        <v>1763</v>
      </c>
      <c r="Y658" s="27" t="s">
        <v>1765</v>
      </c>
    </row>
    <row r="659" spans="1:25" x14ac:dyDescent="0.15">
      <c r="A659" s="3">
        <v>202501</v>
      </c>
      <c r="B659" s="6" t="s">
        <v>1719</v>
      </c>
      <c r="C659" s="3">
        <v>0</v>
      </c>
      <c r="D659" s="3">
        <v>0</v>
      </c>
      <c r="E659" s="3">
        <v>0</v>
      </c>
      <c r="F659" s="3">
        <v>0</v>
      </c>
      <c r="G659" s="3">
        <v>0</v>
      </c>
      <c r="H659" s="3">
        <v>0</v>
      </c>
      <c r="I659" s="3">
        <v>0</v>
      </c>
      <c r="J659" s="4">
        <v>785</v>
      </c>
      <c r="K659" s="3">
        <v>2</v>
      </c>
      <c r="L659" s="3" t="s">
        <v>722</v>
      </c>
      <c r="M659" s="3">
        <v>202</v>
      </c>
      <c r="N659" s="4" t="s">
        <v>1174</v>
      </c>
      <c r="O659" s="3">
        <v>1</v>
      </c>
      <c r="P659" s="27" t="s">
        <v>1762</v>
      </c>
      <c r="Q659" s="3" t="s">
        <v>601</v>
      </c>
      <c r="R659" s="3" t="str">
        <f t="shared" si="48"/>
        <v>ui_202501</v>
      </c>
      <c r="S659" s="3" t="str">
        <f t="shared" si="49"/>
        <v>202501</v>
      </c>
      <c r="T659" s="3">
        <v>1</v>
      </c>
      <c r="U659" s="3">
        <v>0</v>
      </c>
      <c r="V659" s="3">
        <v>1</v>
      </c>
      <c r="W659" s="7"/>
      <c r="X659" s="3" t="s">
        <v>1719</v>
      </c>
      <c r="Y659" s="27" t="s">
        <v>1730</v>
      </c>
    </row>
    <row r="660" spans="1:25" x14ac:dyDescent="0.15">
      <c r="A660" s="3">
        <v>202502</v>
      </c>
      <c r="B660" s="6" t="s">
        <v>1185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4">
        <v>786</v>
      </c>
      <c r="K660" s="3">
        <v>2</v>
      </c>
      <c r="L660" s="3" t="s">
        <v>722</v>
      </c>
      <c r="M660" s="3">
        <v>202</v>
      </c>
      <c r="N660" s="4" t="s">
        <v>1174</v>
      </c>
      <c r="O660" s="3">
        <v>1</v>
      </c>
      <c r="P660" s="27" t="s">
        <v>1762</v>
      </c>
      <c r="Q660" s="3" t="s">
        <v>601</v>
      </c>
      <c r="R660" s="3" t="str">
        <f t="shared" si="48"/>
        <v>ui_202502</v>
      </c>
      <c r="S660" s="3" t="str">
        <f t="shared" si="49"/>
        <v>202502</v>
      </c>
      <c r="T660" s="3">
        <v>1</v>
      </c>
      <c r="U660" s="3">
        <v>0</v>
      </c>
      <c r="V660" s="3">
        <v>1</v>
      </c>
      <c r="W660" s="7"/>
      <c r="X660" s="3" t="s">
        <v>1185</v>
      </c>
      <c r="Y660" s="27" t="s">
        <v>1731</v>
      </c>
    </row>
    <row r="661" spans="1:25" x14ac:dyDescent="0.15">
      <c r="A661" s="3">
        <v>202503</v>
      </c>
      <c r="B661" s="3" t="s">
        <v>1186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4">
        <v>787</v>
      </c>
      <c r="K661" s="3">
        <v>2</v>
      </c>
      <c r="L661" s="3" t="s">
        <v>722</v>
      </c>
      <c r="M661" s="3">
        <v>202</v>
      </c>
      <c r="N661" s="4" t="s">
        <v>1174</v>
      </c>
      <c r="O661" s="3">
        <v>1</v>
      </c>
      <c r="P661" s="27" t="s">
        <v>1762</v>
      </c>
      <c r="Q661" s="3" t="s">
        <v>601</v>
      </c>
      <c r="R661" s="3" t="str">
        <f t="shared" si="48"/>
        <v>ui_202503</v>
      </c>
      <c r="S661" s="3" t="str">
        <f t="shared" si="49"/>
        <v>202503</v>
      </c>
      <c r="T661" s="3">
        <v>1</v>
      </c>
      <c r="U661" s="3">
        <v>0</v>
      </c>
      <c r="V661" s="3">
        <v>1</v>
      </c>
      <c r="W661" s="7"/>
      <c r="X661" s="27" t="s">
        <v>3419</v>
      </c>
      <c r="Y661" s="31" t="s">
        <v>1732</v>
      </c>
    </row>
    <row r="662" spans="1:25" x14ac:dyDescent="0.15">
      <c r="A662" s="3">
        <v>202601</v>
      </c>
      <c r="B662" s="6" t="s">
        <v>1177</v>
      </c>
      <c r="C662" s="3">
        <v>0</v>
      </c>
      <c r="D662" s="3">
        <v>0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4">
        <v>771</v>
      </c>
      <c r="K662" s="3">
        <v>2</v>
      </c>
      <c r="L662" s="3" t="s">
        <v>722</v>
      </c>
      <c r="M662" s="3">
        <v>202</v>
      </c>
      <c r="N662" s="4" t="s">
        <v>1174</v>
      </c>
      <c r="O662" s="3">
        <v>1</v>
      </c>
      <c r="P662" s="27" t="s">
        <v>1762</v>
      </c>
      <c r="Q662" s="3" t="s">
        <v>601</v>
      </c>
      <c r="R662" s="3" t="str">
        <f t="shared" si="48"/>
        <v>ui_202601</v>
      </c>
      <c r="S662" s="3" t="str">
        <f t="shared" si="49"/>
        <v>202601</v>
      </c>
      <c r="T662" s="3">
        <v>1</v>
      </c>
      <c r="U662" s="3">
        <v>0</v>
      </c>
      <c r="V662" s="3">
        <v>1</v>
      </c>
      <c r="W662" s="7"/>
      <c r="X662" s="3" t="s">
        <v>1177</v>
      </c>
      <c r="Y662" s="27" t="s">
        <v>1733</v>
      </c>
    </row>
    <row r="663" spans="1:25" x14ac:dyDescent="0.15">
      <c r="A663" s="3">
        <v>202701</v>
      </c>
      <c r="B663" s="6" t="s">
        <v>1720</v>
      </c>
      <c r="C663" s="3">
        <v>0</v>
      </c>
      <c r="D663" s="3">
        <v>0</v>
      </c>
      <c r="E663" s="3">
        <v>0</v>
      </c>
      <c r="F663" s="3">
        <v>0</v>
      </c>
      <c r="G663" s="3">
        <v>0</v>
      </c>
      <c r="H663" s="3">
        <v>0</v>
      </c>
      <c r="I663" s="3">
        <v>0</v>
      </c>
      <c r="J663" s="4">
        <v>789</v>
      </c>
      <c r="K663" s="3">
        <v>2</v>
      </c>
      <c r="L663" s="3" t="s">
        <v>722</v>
      </c>
      <c r="M663" s="3">
        <v>202</v>
      </c>
      <c r="N663" s="4" t="s">
        <v>1174</v>
      </c>
      <c r="O663" s="3">
        <v>1</v>
      </c>
      <c r="P663" s="27" t="s">
        <v>1762</v>
      </c>
      <c r="Q663" s="3" t="s">
        <v>601</v>
      </c>
      <c r="R663" s="3" t="str">
        <f t="shared" si="48"/>
        <v>ui_202701</v>
      </c>
      <c r="S663" s="3" t="str">
        <f t="shared" si="49"/>
        <v>202701</v>
      </c>
      <c r="T663" s="3">
        <v>1</v>
      </c>
      <c r="U663" s="3">
        <v>0</v>
      </c>
      <c r="V663" s="3">
        <v>1</v>
      </c>
      <c r="W663" s="7"/>
      <c r="X663" s="3" t="s">
        <v>1720</v>
      </c>
      <c r="Y663" s="27" t="s">
        <v>1975</v>
      </c>
    </row>
    <row r="664" spans="1:25" x14ac:dyDescent="0.15">
      <c r="A664" s="3">
        <v>202702</v>
      </c>
      <c r="B664" s="6" t="s">
        <v>1721</v>
      </c>
      <c r="C664" s="3">
        <v>0</v>
      </c>
      <c r="D664" s="3">
        <v>0</v>
      </c>
      <c r="E664" s="3">
        <v>0</v>
      </c>
      <c r="F664" s="3">
        <v>0</v>
      </c>
      <c r="G664" s="3">
        <v>0</v>
      </c>
      <c r="H664" s="3">
        <v>0</v>
      </c>
      <c r="I664" s="3">
        <v>0</v>
      </c>
      <c r="J664" s="4">
        <v>790</v>
      </c>
      <c r="K664" s="3">
        <v>2</v>
      </c>
      <c r="L664" s="3" t="s">
        <v>722</v>
      </c>
      <c r="M664" s="3">
        <v>202</v>
      </c>
      <c r="N664" s="4" t="s">
        <v>1174</v>
      </c>
      <c r="O664" s="3">
        <v>1</v>
      </c>
      <c r="P664" s="27" t="s">
        <v>1762</v>
      </c>
      <c r="Q664" s="3" t="s">
        <v>601</v>
      </c>
      <c r="R664" s="3" t="str">
        <f t="shared" si="48"/>
        <v>ui_202702</v>
      </c>
      <c r="S664" s="3" t="str">
        <f t="shared" si="49"/>
        <v>202702</v>
      </c>
      <c r="T664" s="3">
        <v>1</v>
      </c>
      <c r="U664" s="3">
        <v>0</v>
      </c>
      <c r="V664" s="3">
        <v>1</v>
      </c>
      <c r="W664" s="7"/>
      <c r="X664" s="3" t="s">
        <v>1721</v>
      </c>
      <c r="Y664" s="27" t="s">
        <v>1976</v>
      </c>
    </row>
    <row r="665" spans="1:25" x14ac:dyDescent="0.15">
      <c r="A665" s="3">
        <v>202703</v>
      </c>
      <c r="B665" s="6" t="s">
        <v>1722</v>
      </c>
      <c r="C665" s="3">
        <v>0</v>
      </c>
      <c r="D665" s="3">
        <v>0</v>
      </c>
      <c r="E665" s="3">
        <v>0</v>
      </c>
      <c r="F665" s="3">
        <v>0</v>
      </c>
      <c r="G665" s="3">
        <v>0</v>
      </c>
      <c r="H665" s="3">
        <v>0</v>
      </c>
      <c r="I665" s="3">
        <v>0</v>
      </c>
      <c r="J665" s="4">
        <v>791</v>
      </c>
      <c r="K665" s="3">
        <v>2</v>
      </c>
      <c r="L665" s="3" t="s">
        <v>722</v>
      </c>
      <c r="M665" s="3">
        <v>202</v>
      </c>
      <c r="N665" s="4" t="s">
        <v>1174</v>
      </c>
      <c r="O665" s="3">
        <v>1</v>
      </c>
      <c r="P665" s="27" t="s">
        <v>1762</v>
      </c>
      <c r="Q665" s="3" t="s">
        <v>601</v>
      </c>
      <c r="R665" s="3" t="str">
        <f t="shared" si="48"/>
        <v>ui_202703</v>
      </c>
      <c r="S665" s="3" t="str">
        <f t="shared" si="49"/>
        <v>202703</v>
      </c>
      <c r="T665" s="3">
        <v>1</v>
      </c>
      <c r="U665" s="3">
        <v>0</v>
      </c>
      <c r="V665" s="3">
        <v>1</v>
      </c>
      <c r="W665" s="7"/>
      <c r="X665" s="3" t="s">
        <v>1722</v>
      </c>
      <c r="Y665" s="27" t="s">
        <v>1977</v>
      </c>
    </row>
    <row r="666" spans="1:25" x14ac:dyDescent="0.15">
      <c r="A666" s="3">
        <v>202704</v>
      </c>
      <c r="B666" s="6" t="s">
        <v>1723</v>
      </c>
      <c r="C666" s="3">
        <v>0</v>
      </c>
      <c r="D666" s="3">
        <v>0</v>
      </c>
      <c r="E666" s="3">
        <v>0</v>
      </c>
      <c r="F666" s="3">
        <v>0</v>
      </c>
      <c r="G666" s="3">
        <v>0</v>
      </c>
      <c r="H666" s="3">
        <v>0</v>
      </c>
      <c r="I666" s="3">
        <v>0</v>
      </c>
      <c r="J666" s="4">
        <v>792</v>
      </c>
      <c r="K666" s="3">
        <v>2</v>
      </c>
      <c r="L666" s="3" t="s">
        <v>722</v>
      </c>
      <c r="M666" s="3">
        <v>202</v>
      </c>
      <c r="N666" s="4" t="s">
        <v>1174</v>
      </c>
      <c r="O666" s="3">
        <v>1</v>
      </c>
      <c r="P666" s="27" t="s">
        <v>1762</v>
      </c>
      <c r="Q666" s="3" t="s">
        <v>601</v>
      </c>
      <c r="R666" s="3" t="str">
        <f t="shared" si="48"/>
        <v>ui_202704</v>
      </c>
      <c r="S666" s="3" t="str">
        <f t="shared" si="49"/>
        <v>202704</v>
      </c>
      <c r="T666" s="3">
        <v>1</v>
      </c>
      <c r="U666" s="3">
        <v>0</v>
      </c>
      <c r="V666" s="3">
        <v>1</v>
      </c>
      <c r="W666" s="7"/>
      <c r="X666" s="3" t="s">
        <v>1723</v>
      </c>
      <c r="Y666" s="27" t="s">
        <v>1978</v>
      </c>
    </row>
    <row r="667" spans="1:25" x14ac:dyDescent="0.15">
      <c r="A667" s="3">
        <v>202883</v>
      </c>
      <c r="B667" s="41" t="s">
        <v>2688</v>
      </c>
      <c r="C667" s="3">
        <v>0</v>
      </c>
      <c r="D667" s="3">
        <v>0</v>
      </c>
      <c r="E667" s="3">
        <v>0</v>
      </c>
      <c r="F667" s="3">
        <v>0</v>
      </c>
      <c r="G667" s="3">
        <v>0</v>
      </c>
      <c r="H667" s="3">
        <v>0</v>
      </c>
      <c r="I667" s="3">
        <v>0</v>
      </c>
      <c r="J667" s="4">
        <v>792</v>
      </c>
      <c r="K667" s="3">
        <v>2</v>
      </c>
      <c r="L667" s="3" t="s">
        <v>722</v>
      </c>
      <c r="M667" s="3">
        <v>202</v>
      </c>
      <c r="N667" s="4" t="s">
        <v>1174</v>
      </c>
      <c r="O667" s="3">
        <v>1</v>
      </c>
      <c r="P667" s="27" t="s">
        <v>1762</v>
      </c>
      <c r="Q667" s="3" t="s">
        <v>601</v>
      </c>
      <c r="R667" s="3" t="str">
        <f t="shared" si="48"/>
        <v>ui_202883</v>
      </c>
      <c r="S667" s="3" t="str">
        <f t="shared" si="49"/>
        <v>202883</v>
      </c>
      <c r="T667" s="3">
        <v>1</v>
      </c>
      <c r="U667" s="3">
        <v>0</v>
      </c>
      <c r="V667" s="3">
        <v>1</v>
      </c>
      <c r="W667" s="7"/>
      <c r="X667" s="27" t="s">
        <v>2688</v>
      </c>
      <c r="Y667" s="27" t="s">
        <v>2690</v>
      </c>
    </row>
    <row r="668" spans="1:25" x14ac:dyDescent="0.15">
      <c r="A668" s="3">
        <v>202884</v>
      </c>
      <c r="B668" s="41" t="s">
        <v>2689</v>
      </c>
      <c r="C668" s="3">
        <v>0</v>
      </c>
      <c r="D668" s="3">
        <v>0</v>
      </c>
      <c r="E668" s="3">
        <v>0</v>
      </c>
      <c r="F668" s="3">
        <v>0</v>
      </c>
      <c r="G668" s="3">
        <v>0</v>
      </c>
      <c r="H668" s="3">
        <v>0</v>
      </c>
      <c r="I668" s="3">
        <v>0</v>
      </c>
      <c r="J668" s="4">
        <v>792</v>
      </c>
      <c r="K668" s="3">
        <v>2</v>
      </c>
      <c r="L668" s="3" t="s">
        <v>722</v>
      </c>
      <c r="M668" s="3">
        <v>202</v>
      </c>
      <c r="N668" s="4" t="s">
        <v>1174</v>
      </c>
      <c r="O668" s="3">
        <v>1</v>
      </c>
      <c r="P668" s="27" t="s">
        <v>1762</v>
      </c>
      <c r="Q668" s="3" t="s">
        <v>601</v>
      </c>
      <c r="R668" s="3" t="str">
        <f t="shared" si="48"/>
        <v>ui_202884</v>
      </c>
      <c r="S668" s="3" t="str">
        <f t="shared" si="49"/>
        <v>202884</v>
      </c>
      <c r="T668" s="3">
        <v>1</v>
      </c>
      <c r="U668" s="3">
        <v>0</v>
      </c>
      <c r="V668" s="3">
        <v>1</v>
      </c>
      <c r="W668" s="7"/>
      <c r="X668" s="27" t="s">
        <v>2689</v>
      </c>
      <c r="Y668" s="27" t="s">
        <v>2690</v>
      </c>
    </row>
    <row r="669" spans="1:25" x14ac:dyDescent="0.15">
      <c r="A669" s="3">
        <v>202885</v>
      </c>
      <c r="B669" s="3" t="s">
        <v>1201</v>
      </c>
      <c r="C669" s="3">
        <v>0</v>
      </c>
      <c r="D669" s="3">
        <v>0</v>
      </c>
      <c r="E669" s="3">
        <v>0</v>
      </c>
      <c r="F669" s="3">
        <v>0</v>
      </c>
      <c r="G669" s="3">
        <v>0</v>
      </c>
      <c r="H669" s="3">
        <v>0</v>
      </c>
      <c r="I669" s="3">
        <v>0</v>
      </c>
      <c r="J669" s="4">
        <v>793</v>
      </c>
      <c r="K669" s="3">
        <v>2</v>
      </c>
      <c r="L669" s="3" t="s">
        <v>722</v>
      </c>
      <c r="M669" s="3">
        <v>202</v>
      </c>
      <c r="N669" s="4" t="s">
        <v>1174</v>
      </c>
      <c r="O669" s="3">
        <v>0</v>
      </c>
      <c r="P669" s="27" t="s">
        <v>1762</v>
      </c>
      <c r="Q669" s="3" t="s">
        <v>601</v>
      </c>
      <c r="R669" s="3"/>
      <c r="S669" s="3" t="str">
        <f t="shared" si="49"/>
        <v>202885</v>
      </c>
      <c r="T669" s="3">
        <v>1</v>
      </c>
      <c r="U669" s="3">
        <v>0</v>
      </c>
      <c r="V669" s="3">
        <v>1</v>
      </c>
      <c r="W669" s="7"/>
      <c r="X669" s="3" t="s">
        <v>1201</v>
      </c>
      <c r="Y669" s="3"/>
    </row>
    <row r="670" spans="1:25" x14ac:dyDescent="0.15">
      <c r="A670" s="3">
        <v>202886</v>
      </c>
      <c r="B670" s="3" t="s">
        <v>1200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4">
        <v>794</v>
      </c>
      <c r="K670" s="3">
        <v>2</v>
      </c>
      <c r="L670" s="3" t="s">
        <v>722</v>
      </c>
      <c r="M670" s="3">
        <v>202</v>
      </c>
      <c r="N670" s="4" t="s">
        <v>1174</v>
      </c>
      <c r="O670" s="3">
        <v>0</v>
      </c>
      <c r="P670" s="27" t="s">
        <v>1762</v>
      </c>
      <c r="Q670" s="3" t="s">
        <v>601</v>
      </c>
      <c r="R670" s="3"/>
      <c r="S670" s="3" t="str">
        <f t="shared" si="49"/>
        <v>202886</v>
      </c>
      <c r="T670" s="3">
        <v>1</v>
      </c>
      <c r="U670" s="3">
        <v>0</v>
      </c>
      <c r="V670" s="3">
        <v>1</v>
      </c>
      <c r="W670" s="7"/>
      <c r="X670" s="3" t="s">
        <v>1200</v>
      </c>
      <c r="Y670" s="3"/>
    </row>
    <row r="671" spans="1:25" x14ac:dyDescent="0.15">
      <c r="A671" s="3">
        <v>202887</v>
      </c>
      <c r="B671" s="3" t="s">
        <v>1199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4">
        <v>795</v>
      </c>
      <c r="K671" s="3">
        <v>2</v>
      </c>
      <c r="L671" s="3" t="s">
        <v>722</v>
      </c>
      <c r="M671" s="3">
        <v>202</v>
      </c>
      <c r="N671" s="4" t="s">
        <v>1174</v>
      </c>
      <c r="O671" s="3">
        <v>0</v>
      </c>
      <c r="P671" s="27" t="s">
        <v>1762</v>
      </c>
      <c r="Q671" s="3" t="s">
        <v>601</v>
      </c>
      <c r="R671" s="3"/>
      <c r="S671" s="3" t="str">
        <f t="shared" si="49"/>
        <v>202887</v>
      </c>
      <c r="T671" s="3">
        <v>1</v>
      </c>
      <c r="U671" s="3">
        <v>0</v>
      </c>
      <c r="V671" s="3">
        <v>1</v>
      </c>
      <c r="W671" s="7"/>
      <c r="X671" s="3" t="s">
        <v>1199</v>
      </c>
      <c r="Y671" s="3"/>
    </row>
    <row r="672" spans="1:25" x14ac:dyDescent="0.15">
      <c r="A672" s="3">
        <v>202888</v>
      </c>
      <c r="B672" s="6" t="s">
        <v>1198</v>
      </c>
      <c r="C672" s="3">
        <v>0</v>
      </c>
      <c r="D672" s="3">
        <v>0</v>
      </c>
      <c r="E672" s="3">
        <v>0</v>
      </c>
      <c r="F672" s="3">
        <v>0</v>
      </c>
      <c r="G672" s="3">
        <v>0</v>
      </c>
      <c r="H672" s="3">
        <v>0</v>
      </c>
      <c r="I672" s="3">
        <v>0</v>
      </c>
      <c r="J672" s="4">
        <v>796</v>
      </c>
      <c r="K672" s="3">
        <v>2</v>
      </c>
      <c r="L672" s="3" t="s">
        <v>722</v>
      </c>
      <c r="M672" s="3">
        <v>202</v>
      </c>
      <c r="N672" s="4" t="s">
        <v>1174</v>
      </c>
      <c r="O672" s="3">
        <v>0</v>
      </c>
      <c r="P672" s="27" t="s">
        <v>1762</v>
      </c>
      <c r="Q672" s="3" t="s">
        <v>601</v>
      </c>
      <c r="R672" s="3" t="s">
        <v>3482</v>
      </c>
      <c r="S672" s="3" t="str">
        <f t="shared" si="49"/>
        <v>202888</v>
      </c>
      <c r="T672" s="3">
        <v>1</v>
      </c>
      <c r="U672" s="3">
        <v>0</v>
      </c>
      <c r="V672" s="3">
        <v>1</v>
      </c>
      <c r="W672" s="7"/>
      <c r="X672" s="3" t="s">
        <v>1198</v>
      </c>
      <c r="Y672" s="3"/>
    </row>
    <row r="673" spans="1:25" x14ac:dyDescent="0.15">
      <c r="A673" s="3">
        <v>202889</v>
      </c>
      <c r="B673" s="3" t="s">
        <v>1197</v>
      </c>
      <c r="C673" s="3">
        <v>0</v>
      </c>
      <c r="D673" s="3">
        <v>0</v>
      </c>
      <c r="E673" s="3">
        <v>0</v>
      </c>
      <c r="F673" s="3">
        <v>0</v>
      </c>
      <c r="G673" s="3">
        <v>0</v>
      </c>
      <c r="H673" s="3">
        <v>0</v>
      </c>
      <c r="I673" s="3">
        <v>0</v>
      </c>
      <c r="J673" s="4">
        <v>797</v>
      </c>
      <c r="K673" s="3">
        <v>2</v>
      </c>
      <c r="L673" s="3" t="s">
        <v>722</v>
      </c>
      <c r="M673" s="3">
        <v>202</v>
      </c>
      <c r="N673" s="4" t="s">
        <v>1174</v>
      </c>
      <c r="O673" s="3">
        <v>0</v>
      </c>
      <c r="P673" s="27" t="s">
        <v>1762</v>
      </c>
      <c r="Q673" s="3" t="s">
        <v>601</v>
      </c>
      <c r="R673" s="3"/>
      <c r="S673" s="3" t="str">
        <f t="shared" si="49"/>
        <v>202889</v>
      </c>
      <c r="T673" s="3">
        <v>1</v>
      </c>
      <c r="U673" s="3">
        <v>0</v>
      </c>
      <c r="V673" s="3">
        <v>1</v>
      </c>
      <c r="W673" s="7"/>
      <c r="X673" s="3" t="s">
        <v>1197</v>
      </c>
      <c r="Y673" s="3"/>
    </row>
    <row r="674" spans="1:25" x14ac:dyDescent="0.15">
      <c r="A674" s="3">
        <v>202890</v>
      </c>
      <c r="B674" s="3" t="s">
        <v>1196</v>
      </c>
      <c r="C674" s="3">
        <v>0</v>
      </c>
      <c r="D674" s="3">
        <v>0</v>
      </c>
      <c r="E674" s="3">
        <v>0</v>
      </c>
      <c r="F674" s="3">
        <v>0</v>
      </c>
      <c r="G674" s="3">
        <v>0</v>
      </c>
      <c r="H674" s="3">
        <v>0</v>
      </c>
      <c r="I674" s="3">
        <v>0</v>
      </c>
      <c r="J674" s="4">
        <v>798</v>
      </c>
      <c r="K674" s="3">
        <v>2</v>
      </c>
      <c r="L674" s="3" t="s">
        <v>722</v>
      </c>
      <c r="M674" s="3">
        <v>202</v>
      </c>
      <c r="N674" s="4" t="s">
        <v>1174</v>
      </c>
      <c r="O674" s="3">
        <v>0</v>
      </c>
      <c r="P674" s="27" t="s">
        <v>1762</v>
      </c>
      <c r="Q674" s="3" t="s">
        <v>601</v>
      </c>
      <c r="S674" s="3" t="str">
        <f t="shared" si="49"/>
        <v>202890</v>
      </c>
      <c r="T674" s="3">
        <v>1</v>
      </c>
      <c r="U674" s="3">
        <v>0</v>
      </c>
      <c r="V674" s="3">
        <v>1</v>
      </c>
      <c r="W674" s="7"/>
      <c r="X674" s="3" t="s">
        <v>1196</v>
      </c>
      <c r="Y674" s="3"/>
    </row>
    <row r="675" spans="1:25" x14ac:dyDescent="0.15">
      <c r="A675" s="3">
        <v>202891</v>
      </c>
      <c r="B675" s="6" t="s">
        <v>1195</v>
      </c>
      <c r="C675" s="3">
        <v>0</v>
      </c>
      <c r="D675" s="3">
        <v>0</v>
      </c>
      <c r="E675" s="3">
        <v>0</v>
      </c>
      <c r="F675" s="3">
        <v>0</v>
      </c>
      <c r="G675" s="3">
        <v>0</v>
      </c>
      <c r="H675" s="3">
        <v>0</v>
      </c>
      <c r="I675" s="3">
        <v>0</v>
      </c>
      <c r="J675" s="4">
        <v>799</v>
      </c>
      <c r="K675" s="3">
        <v>2</v>
      </c>
      <c r="L675" s="3" t="s">
        <v>722</v>
      </c>
      <c r="M675" s="3">
        <v>202</v>
      </c>
      <c r="N675" s="4" t="s">
        <v>1174</v>
      </c>
      <c r="O675" s="3">
        <v>0</v>
      </c>
      <c r="P675" s="27" t="s">
        <v>1762</v>
      </c>
      <c r="Q675" s="3" t="s">
        <v>601</v>
      </c>
      <c r="R675" s="3" t="s">
        <v>3483</v>
      </c>
      <c r="S675" s="3" t="str">
        <f t="shared" si="49"/>
        <v>202891</v>
      </c>
      <c r="T675" s="3">
        <v>1</v>
      </c>
      <c r="U675" s="3">
        <v>0</v>
      </c>
      <c r="V675" s="3">
        <v>1</v>
      </c>
      <c r="W675" s="7"/>
      <c r="X675" s="3" t="s">
        <v>1195</v>
      </c>
      <c r="Y675" s="3"/>
    </row>
    <row r="676" spans="1:25" x14ac:dyDescent="0.15">
      <c r="A676" s="3">
        <v>202892</v>
      </c>
      <c r="B676" s="6" t="s">
        <v>1194</v>
      </c>
      <c r="C676" s="3">
        <v>0</v>
      </c>
      <c r="D676" s="3">
        <v>0</v>
      </c>
      <c r="E676" s="3">
        <v>0</v>
      </c>
      <c r="F676" s="3">
        <v>0</v>
      </c>
      <c r="G676" s="3">
        <v>0</v>
      </c>
      <c r="H676" s="3">
        <v>0</v>
      </c>
      <c r="I676" s="3">
        <v>0</v>
      </c>
      <c r="J676" s="4">
        <v>800</v>
      </c>
      <c r="K676" s="3">
        <v>2</v>
      </c>
      <c r="L676" s="3" t="s">
        <v>722</v>
      </c>
      <c r="M676" s="3">
        <v>202</v>
      </c>
      <c r="N676" s="4" t="s">
        <v>1174</v>
      </c>
      <c r="O676" s="3">
        <v>0</v>
      </c>
      <c r="P676" s="27" t="s">
        <v>1762</v>
      </c>
      <c r="Q676" s="3" t="s">
        <v>601</v>
      </c>
      <c r="R676" s="3" t="s">
        <v>3484</v>
      </c>
      <c r="S676" s="3" t="str">
        <f t="shared" si="49"/>
        <v>202892</v>
      </c>
      <c r="T676" s="3">
        <v>1</v>
      </c>
      <c r="U676" s="3">
        <v>0</v>
      </c>
      <c r="V676" s="3">
        <v>1</v>
      </c>
      <c r="W676" s="7"/>
      <c r="X676" s="3" t="s">
        <v>1194</v>
      </c>
      <c r="Y676" s="3"/>
    </row>
    <row r="677" spans="1:25" x14ac:dyDescent="0.15">
      <c r="A677" s="3">
        <v>202893</v>
      </c>
      <c r="B677" s="6" t="s">
        <v>1193</v>
      </c>
      <c r="C677" s="3">
        <v>0</v>
      </c>
      <c r="D677" s="3">
        <v>0</v>
      </c>
      <c r="E677" s="3">
        <v>0</v>
      </c>
      <c r="F677" s="3">
        <v>0</v>
      </c>
      <c r="G677" s="3">
        <v>0</v>
      </c>
      <c r="H677" s="3">
        <v>0</v>
      </c>
      <c r="I677" s="3">
        <v>0</v>
      </c>
      <c r="J677" s="4">
        <v>801</v>
      </c>
      <c r="K677" s="3">
        <v>2</v>
      </c>
      <c r="L677" s="3" t="s">
        <v>722</v>
      </c>
      <c r="M677" s="3">
        <v>202</v>
      </c>
      <c r="N677" s="4" t="s">
        <v>1174</v>
      </c>
      <c r="O677" s="3">
        <v>0</v>
      </c>
      <c r="P677" s="27" t="s">
        <v>1762</v>
      </c>
      <c r="Q677" s="3" t="s">
        <v>601</v>
      </c>
      <c r="R677" s="3" t="s">
        <v>3485</v>
      </c>
      <c r="S677" s="3" t="str">
        <f t="shared" si="49"/>
        <v>202893</v>
      </c>
      <c r="T677" s="3">
        <v>1</v>
      </c>
      <c r="U677" s="3">
        <v>0</v>
      </c>
      <c r="V677" s="3">
        <v>1</v>
      </c>
      <c r="W677" s="7"/>
      <c r="X677" s="3" t="s">
        <v>1193</v>
      </c>
      <c r="Y677" s="3"/>
    </row>
    <row r="678" spans="1:25" x14ac:dyDescent="0.15">
      <c r="A678" s="3">
        <v>202894</v>
      </c>
      <c r="B678" s="6" t="s">
        <v>1192</v>
      </c>
      <c r="C678" s="3">
        <v>0</v>
      </c>
      <c r="D678" s="3">
        <v>0</v>
      </c>
      <c r="E678" s="3">
        <v>0</v>
      </c>
      <c r="F678" s="3">
        <v>0</v>
      </c>
      <c r="G678" s="3">
        <v>0</v>
      </c>
      <c r="H678" s="3">
        <v>0</v>
      </c>
      <c r="I678" s="3">
        <v>0</v>
      </c>
      <c r="J678" s="4">
        <v>802</v>
      </c>
      <c r="K678" s="3">
        <v>2</v>
      </c>
      <c r="L678" s="3" t="s">
        <v>722</v>
      </c>
      <c r="M678" s="3">
        <v>202</v>
      </c>
      <c r="N678" s="4" t="s">
        <v>1174</v>
      </c>
      <c r="O678" s="3">
        <v>0</v>
      </c>
      <c r="P678" s="27" t="s">
        <v>1762</v>
      </c>
      <c r="Q678" s="3" t="s">
        <v>601</v>
      </c>
      <c r="R678" s="3" t="s">
        <v>3486</v>
      </c>
      <c r="S678" s="3" t="str">
        <f t="shared" si="49"/>
        <v>202894</v>
      </c>
      <c r="T678" s="3">
        <v>1</v>
      </c>
      <c r="U678" s="3">
        <v>0</v>
      </c>
      <c r="V678" s="3">
        <v>1</v>
      </c>
      <c r="W678" s="7"/>
      <c r="X678" s="3" t="s">
        <v>1192</v>
      </c>
      <c r="Y678" s="3"/>
    </row>
    <row r="679" spans="1:25" x14ac:dyDescent="0.15">
      <c r="A679" s="3">
        <v>202895</v>
      </c>
      <c r="B679" s="6" t="s">
        <v>1191</v>
      </c>
      <c r="C679" s="3">
        <v>0</v>
      </c>
      <c r="D679" s="3">
        <v>0</v>
      </c>
      <c r="E679" s="3">
        <v>0</v>
      </c>
      <c r="F679" s="3">
        <v>0</v>
      </c>
      <c r="G679" s="3">
        <v>0</v>
      </c>
      <c r="H679" s="3">
        <v>0</v>
      </c>
      <c r="I679" s="3">
        <v>0</v>
      </c>
      <c r="J679" s="4">
        <v>803</v>
      </c>
      <c r="K679" s="3">
        <v>2</v>
      </c>
      <c r="L679" s="3" t="s">
        <v>722</v>
      </c>
      <c r="M679" s="3">
        <v>202</v>
      </c>
      <c r="N679" s="4" t="s">
        <v>1174</v>
      </c>
      <c r="O679" s="3">
        <v>0</v>
      </c>
      <c r="P679" s="27" t="s">
        <v>1762</v>
      </c>
      <c r="Q679" s="3" t="s">
        <v>601</v>
      </c>
      <c r="R679" s="3" t="s">
        <v>3487</v>
      </c>
      <c r="S679" s="3" t="str">
        <f t="shared" si="49"/>
        <v>202895</v>
      </c>
      <c r="T679" s="3">
        <v>1</v>
      </c>
      <c r="U679" s="3">
        <v>0</v>
      </c>
      <c r="V679" s="3">
        <v>1</v>
      </c>
      <c r="W679" s="7"/>
      <c r="X679" s="3" t="s">
        <v>1191</v>
      </c>
      <c r="Y679" s="3"/>
    </row>
    <row r="680" spans="1:25" x14ac:dyDescent="0.15">
      <c r="A680" s="3">
        <v>202896</v>
      </c>
      <c r="B680" s="6" t="s">
        <v>1190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4">
        <v>804</v>
      </c>
      <c r="K680" s="3">
        <v>2</v>
      </c>
      <c r="L680" s="3" t="s">
        <v>722</v>
      </c>
      <c r="M680" s="3">
        <v>202</v>
      </c>
      <c r="N680" s="4" t="s">
        <v>1174</v>
      </c>
      <c r="O680" s="3">
        <v>0</v>
      </c>
      <c r="P680" s="27" t="s">
        <v>1762</v>
      </c>
      <c r="Q680" s="3" t="s">
        <v>601</v>
      </c>
      <c r="R680" s="3" t="s">
        <v>3488</v>
      </c>
      <c r="S680" s="3" t="str">
        <f t="shared" si="49"/>
        <v>202896</v>
      </c>
      <c r="T680" s="3">
        <v>1</v>
      </c>
      <c r="U680" s="3">
        <v>0</v>
      </c>
      <c r="V680" s="3">
        <v>1</v>
      </c>
      <c r="W680" s="7"/>
      <c r="X680" s="3" t="s">
        <v>1190</v>
      </c>
      <c r="Y680" s="3"/>
    </row>
    <row r="681" spans="1:25" x14ac:dyDescent="0.15">
      <c r="A681" s="3">
        <v>202897</v>
      </c>
      <c r="B681" s="6" t="s">
        <v>1189</v>
      </c>
      <c r="C681" s="3">
        <v>0</v>
      </c>
      <c r="D681" s="3">
        <v>0</v>
      </c>
      <c r="E681" s="3">
        <v>0</v>
      </c>
      <c r="F681" s="3">
        <v>0</v>
      </c>
      <c r="G681" s="3">
        <v>0</v>
      </c>
      <c r="H681" s="3">
        <v>0</v>
      </c>
      <c r="I681" s="3">
        <v>0</v>
      </c>
      <c r="J681" s="4">
        <v>804</v>
      </c>
      <c r="K681" s="3">
        <v>2</v>
      </c>
      <c r="L681" s="3" t="s">
        <v>722</v>
      </c>
      <c r="M681" s="3">
        <v>202</v>
      </c>
      <c r="N681" s="4" t="s">
        <v>1174</v>
      </c>
      <c r="O681" s="3">
        <v>0</v>
      </c>
      <c r="P681" s="27" t="s">
        <v>1762</v>
      </c>
      <c r="Q681" s="3" t="s">
        <v>601</v>
      </c>
      <c r="R681" s="3" t="s">
        <v>3489</v>
      </c>
      <c r="S681" s="3" t="str">
        <f t="shared" si="49"/>
        <v>202897</v>
      </c>
      <c r="T681" s="3">
        <v>1</v>
      </c>
      <c r="U681" s="3">
        <v>0</v>
      </c>
      <c r="V681" s="3">
        <v>1</v>
      </c>
      <c r="W681" s="7"/>
      <c r="X681" s="3" t="s">
        <v>1189</v>
      </c>
      <c r="Y681" s="3"/>
    </row>
    <row r="682" spans="1:25" x14ac:dyDescent="0.15">
      <c r="A682" s="3">
        <v>202898</v>
      </c>
      <c r="B682" s="6" t="s">
        <v>1188</v>
      </c>
      <c r="C682" s="3">
        <v>0</v>
      </c>
      <c r="D682" s="3">
        <v>0</v>
      </c>
      <c r="E682" s="3">
        <v>0</v>
      </c>
      <c r="F682" s="3">
        <v>0</v>
      </c>
      <c r="G682" s="3">
        <v>0</v>
      </c>
      <c r="H682" s="3">
        <v>0</v>
      </c>
      <c r="I682" s="3">
        <v>0</v>
      </c>
      <c r="J682" s="4">
        <v>804</v>
      </c>
      <c r="K682" s="3">
        <v>2</v>
      </c>
      <c r="L682" s="3" t="s">
        <v>722</v>
      </c>
      <c r="M682" s="3">
        <v>202</v>
      </c>
      <c r="N682" s="4" t="s">
        <v>1174</v>
      </c>
      <c r="O682" s="3">
        <v>0</v>
      </c>
      <c r="P682" s="27" t="s">
        <v>1762</v>
      </c>
      <c r="Q682" s="3" t="s">
        <v>601</v>
      </c>
      <c r="R682" s="3" t="s">
        <v>3490</v>
      </c>
      <c r="S682" s="3" t="str">
        <f t="shared" si="49"/>
        <v>202898</v>
      </c>
      <c r="T682" s="3">
        <v>1</v>
      </c>
      <c r="U682" s="3">
        <v>0</v>
      </c>
      <c r="V682" s="3">
        <v>1</v>
      </c>
      <c r="W682" s="7"/>
      <c r="X682" s="3" t="s">
        <v>1188</v>
      </c>
      <c r="Y682" s="3"/>
    </row>
    <row r="683" spans="1:25" x14ac:dyDescent="0.15">
      <c r="A683" s="3">
        <v>202899</v>
      </c>
      <c r="B683" s="6" t="s">
        <v>1187</v>
      </c>
      <c r="C683" s="3">
        <v>0</v>
      </c>
      <c r="D683" s="3">
        <v>0</v>
      </c>
      <c r="E683" s="3">
        <v>0</v>
      </c>
      <c r="F683" s="3">
        <v>0</v>
      </c>
      <c r="G683" s="3">
        <v>0</v>
      </c>
      <c r="H683" s="3">
        <v>0</v>
      </c>
      <c r="I683" s="3">
        <v>0</v>
      </c>
      <c r="J683" s="4">
        <v>804</v>
      </c>
      <c r="K683" s="3">
        <v>2</v>
      </c>
      <c r="L683" s="3" t="s">
        <v>722</v>
      </c>
      <c r="M683" s="3">
        <v>202</v>
      </c>
      <c r="N683" s="4" t="s">
        <v>1174</v>
      </c>
      <c r="O683" s="3">
        <v>0</v>
      </c>
      <c r="P683" s="27" t="s">
        <v>1762</v>
      </c>
      <c r="Q683" s="3" t="s">
        <v>601</v>
      </c>
      <c r="R683" s="3" t="s">
        <v>3491</v>
      </c>
      <c r="S683" s="3" t="str">
        <f t="shared" si="49"/>
        <v>202899</v>
      </c>
      <c r="T683" s="3">
        <v>1</v>
      </c>
      <c r="U683" s="3">
        <v>0</v>
      </c>
      <c r="V683" s="3">
        <v>1</v>
      </c>
      <c r="W683" s="7"/>
      <c r="X683" s="3" t="s">
        <v>1187</v>
      </c>
      <c r="Y683" s="3"/>
    </row>
    <row r="684" spans="1:25" x14ac:dyDescent="0.15">
      <c r="A684" s="3">
        <v>202999</v>
      </c>
      <c r="B684" s="3" t="s">
        <v>1724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4">
        <v>804</v>
      </c>
      <c r="K684" s="3">
        <v>2</v>
      </c>
      <c r="L684" s="3" t="s">
        <v>722</v>
      </c>
      <c r="M684" s="3">
        <v>202</v>
      </c>
      <c r="N684" s="4" t="s">
        <v>1174</v>
      </c>
      <c r="O684" s="3">
        <v>0</v>
      </c>
      <c r="P684" s="27" t="s">
        <v>1762</v>
      </c>
      <c r="Q684" s="3" t="s">
        <v>601</v>
      </c>
      <c r="R684" s="3" t="str">
        <f t="shared" si="48"/>
        <v>ui_202999</v>
      </c>
      <c r="S684" s="3" t="str">
        <f t="shared" si="49"/>
        <v>202999</v>
      </c>
      <c r="T684" s="3">
        <v>1</v>
      </c>
      <c r="U684" s="3">
        <v>0</v>
      </c>
      <c r="V684" s="3">
        <v>1</v>
      </c>
      <c r="W684" s="7"/>
      <c r="X684" s="3" t="s">
        <v>1724</v>
      </c>
      <c r="Y684" s="3"/>
    </row>
    <row r="685" spans="1:25" x14ac:dyDescent="0.15">
      <c r="A685" s="3">
        <v>405111</v>
      </c>
      <c r="B685" s="23" t="s">
        <v>1202</v>
      </c>
      <c r="C685" s="6">
        <v>0</v>
      </c>
      <c r="D685" s="3">
        <v>0</v>
      </c>
      <c r="E685" s="3">
        <v>0</v>
      </c>
      <c r="F685" s="3">
        <v>0</v>
      </c>
      <c r="G685" s="3">
        <v>0</v>
      </c>
      <c r="H685" s="3">
        <v>0</v>
      </c>
      <c r="I685" s="3">
        <v>0</v>
      </c>
      <c r="J685" s="4">
        <v>805</v>
      </c>
      <c r="K685" s="3">
        <v>4</v>
      </c>
      <c r="L685" s="3" t="s">
        <v>323</v>
      </c>
      <c r="M685" s="3">
        <v>405</v>
      </c>
      <c r="N685" s="23" t="s">
        <v>1203</v>
      </c>
      <c r="O685" s="3">
        <v>0</v>
      </c>
      <c r="P685" s="3"/>
      <c r="Q685" s="3" t="s">
        <v>272</v>
      </c>
      <c r="R685" s="3" t="s">
        <v>1204</v>
      </c>
      <c r="S685" s="3" t="s">
        <v>1204</v>
      </c>
      <c r="T685" s="3">
        <v>0</v>
      </c>
      <c r="U685" s="3">
        <v>0</v>
      </c>
      <c r="V685" s="6">
        <v>100</v>
      </c>
      <c r="W685" s="7"/>
      <c r="X685" s="3" t="s">
        <v>1202</v>
      </c>
      <c r="Y685" s="3" t="s">
        <v>252</v>
      </c>
    </row>
    <row r="686" spans="1:25" x14ac:dyDescent="0.15">
      <c r="A686" s="3">
        <v>405112</v>
      </c>
      <c r="B686" s="23" t="s">
        <v>1205</v>
      </c>
      <c r="C686" s="6">
        <v>0</v>
      </c>
      <c r="D686" s="3">
        <v>0</v>
      </c>
      <c r="E686" s="3">
        <v>0</v>
      </c>
      <c r="F686" s="3">
        <v>0</v>
      </c>
      <c r="G686" s="3">
        <v>0</v>
      </c>
      <c r="H686" s="3">
        <v>0</v>
      </c>
      <c r="I686" s="3">
        <v>0</v>
      </c>
      <c r="J686" s="4">
        <v>806</v>
      </c>
      <c r="K686" s="3">
        <v>4</v>
      </c>
      <c r="L686" s="3" t="s">
        <v>323</v>
      </c>
      <c r="M686" s="3">
        <v>405</v>
      </c>
      <c r="N686" s="23" t="s">
        <v>1203</v>
      </c>
      <c r="O686" s="3">
        <v>0</v>
      </c>
      <c r="P686" s="3"/>
      <c r="Q686" s="3" t="s">
        <v>272</v>
      </c>
      <c r="R686" s="3" t="s">
        <v>1206</v>
      </c>
      <c r="S686" s="3" t="s">
        <v>1206</v>
      </c>
      <c r="T686" s="3">
        <v>0</v>
      </c>
      <c r="U686" s="3">
        <v>0</v>
      </c>
      <c r="V686" s="6">
        <v>100</v>
      </c>
      <c r="W686" s="7"/>
      <c r="X686" s="3" t="s">
        <v>1205</v>
      </c>
      <c r="Y686" s="3" t="s">
        <v>252</v>
      </c>
    </row>
    <row r="687" spans="1:25" x14ac:dyDescent="0.15">
      <c r="A687" s="3">
        <v>405113</v>
      </c>
      <c r="B687" s="23" t="s">
        <v>1207</v>
      </c>
      <c r="C687" s="6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4">
        <v>807</v>
      </c>
      <c r="K687" s="3">
        <v>4</v>
      </c>
      <c r="L687" s="3" t="s">
        <v>323</v>
      </c>
      <c r="M687" s="3">
        <v>405</v>
      </c>
      <c r="N687" s="23" t="s">
        <v>1203</v>
      </c>
      <c r="O687" s="3">
        <v>0</v>
      </c>
      <c r="P687" s="3"/>
      <c r="Q687" s="3" t="s">
        <v>272</v>
      </c>
      <c r="R687" s="3" t="s">
        <v>1208</v>
      </c>
      <c r="S687" s="3" t="s">
        <v>1208</v>
      </c>
      <c r="T687" s="3">
        <v>0</v>
      </c>
      <c r="U687" s="3">
        <v>0</v>
      </c>
      <c r="V687" s="6">
        <v>100</v>
      </c>
      <c r="W687" s="7"/>
      <c r="X687" s="3" t="s">
        <v>1207</v>
      </c>
      <c r="Y687" s="3" t="s">
        <v>252</v>
      </c>
    </row>
    <row r="688" spans="1:25" x14ac:dyDescent="0.15">
      <c r="A688" s="3">
        <v>405114</v>
      </c>
      <c r="B688" s="23" t="s">
        <v>1209</v>
      </c>
      <c r="C688" s="6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4">
        <v>808</v>
      </c>
      <c r="K688" s="3">
        <v>4</v>
      </c>
      <c r="L688" s="3" t="s">
        <v>323</v>
      </c>
      <c r="M688" s="3">
        <v>405</v>
      </c>
      <c r="N688" s="23" t="s">
        <v>1203</v>
      </c>
      <c r="O688" s="3">
        <v>0</v>
      </c>
      <c r="P688" s="3"/>
      <c r="Q688" s="3" t="s">
        <v>272</v>
      </c>
      <c r="R688" s="3" t="s">
        <v>1210</v>
      </c>
      <c r="S688" s="3" t="s">
        <v>1210</v>
      </c>
      <c r="T688" s="3">
        <v>0</v>
      </c>
      <c r="U688" s="3">
        <v>0</v>
      </c>
      <c r="V688" s="6">
        <v>100</v>
      </c>
      <c r="W688" s="7"/>
      <c r="X688" s="3" t="s">
        <v>1209</v>
      </c>
      <c r="Y688" s="3" t="s">
        <v>252</v>
      </c>
    </row>
    <row r="689" spans="1:25" x14ac:dyDescent="0.15">
      <c r="A689" s="3">
        <v>405115</v>
      </c>
      <c r="B689" s="23" t="s">
        <v>1211</v>
      </c>
      <c r="C689" s="6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4">
        <v>809</v>
      </c>
      <c r="K689" s="3">
        <v>4</v>
      </c>
      <c r="L689" s="3" t="s">
        <v>323</v>
      </c>
      <c r="M689" s="3">
        <v>405</v>
      </c>
      <c r="N689" s="23" t="s">
        <v>1203</v>
      </c>
      <c r="O689" s="3">
        <v>0</v>
      </c>
      <c r="P689" s="3"/>
      <c r="Q689" s="3" t="s">
        <v>272</v>
      </c>
      <c r="R689" s="3" t="s">
        <v>1212</v>
      </c>
      <c r="S689" s="3" t="s">
        <v>1212</v>
      </c>
      <c r="T689" s="3">
        <v>0</v>
      </c>
      <c r="U689" s="3">
        <v>0</v>
      </c>
      <c r="V689" s="6">
        <v>100</v>
      </c>
      <c r="W689" s="7"/>
      <c r="X689" s="3" t="s">
        <v>1211</v>
      </c>
      <c r="Y689" s="3" t="s">
        <v>252</v>
      </c>
    </row>
    <row r="690" spans="1:25" x14ac:dyDescent="0.15">
      <c r="A690" s="3">
        <v>405116</v>
      </c>
      <c r="B690" s="23" t="s">
        <v>1213</v>
      </c>
      <c r="C690" s="6">
        <v>0</v>
      </c>
      <c r="D690" s="3">
        <v>0</v>
      </c>
      <c r="E690" s="3">
        <v>0</v>
      </c>
      <c r="F690" s="3">
        <v>0</v>
      </c>
      <c r="G690" s="3">
        <v>0</v>
      </c>
      <c r="H690" s="3">
        <v>0</v>
      </c>
      <c r="I690" s="3">
        <v>0</v>
      </c>
      <c r="J690" s="4">
        <v>810</v>
      </c>
      <c r="K690" s="3">
        <v>4</v>
      </c>
      <c r="L690" s="3" t="s">
        <v>323</v>
      </c>
      <c r="M690" s="3">
        <v>405</v>
      </c>
      <c r="N690" s="23" t="s">
        <v>1203</v>
      </c>
      <c r="O690" s="3">
        <v>0</v>
      </c>
      <c r="P690" s="3"/>
      <c r="Q690" s="3" t="s">
        <v>272</v>
      </c>
      <c r="R690" s="3" t="s">
        <v>1214</v>
      </c>
      <c r="S690" s="3" t="s">
        <v>1214</v>
      </c>
      <c r="T690" s="3">
        <v>0</v>
      </c>
      <c r="U690" s="3">
        <v>0</v>
      </c>
      <c r="V690" s="6">
        <v>100</v>
      </c>
      <c r="W690" s="7"/>
      <c r="X690" s="3" t="s">
        <v>1213</v>
      </c>
      <c r="Y690" s="3" t="s">
        <v>252</v>
      </c>
    </row>
    <row r="691" spans="1:25" x14ac:dyDescent="0.15">
      <c r="A691" s="3">
        <v>405117</v>
      </c>
      <c r="B691" s="23" t="s">
        <v>1215</v>
      </c>
      <c r="C691" s="6">
        <v>0</v>
      </c>
      <c r="D691" s="3">
        <v>0</v>
      </c>
      <c r="E691" s="3">
        <v>0</v>
      </c>
      <c r="F691" s="3">
        <v>0</v>
      </c>
      <c r="G691" s="3">
        <v>0</v>
      </c>
      <c r="H691" s="3">
        <v>0</v>
      </c>
      <c r="I691" s="3">
        <v>0</v>
      </c>
      <c r="J691" s="4">
        <v>811</v>
      </c>
      <c r="K691" s="3">
        <v>4</v>
      </c>
      <c r="L691" s="3" t="s">
        <v>323</v>
      </c>
      <c r="M691" s="3">
        <v>405</v>
      </c>
      <c r="N691" s="23" t="s">
        <v>1203</v>
      </c>
      <c r="O691" s="3">
        <v>0</v>
      </c>
      <c r="P691" s="3"/>
      <c r="Q691" s="3" t="s">
        <v>272</v>
      </c>
      <c r="R691" s="3" t="s">
        <v>1216</v>
      </c>
      <c r="S691" s="3" t="s">
        <v>1216</v>
      </c>
      <c r="T691" s="3">
        <v>0</v>
      </c>
      <c r="U691" s="3">
        <v>0</v>
      </c>
      <c r="V691" s="6">
        <v>100</v>
      </c>
      <c r="W691" s="7"/>
      <c r="X691" s="3" t="s">
        <v>1215</v>
      </c>
      <c r="Y691" s="3" t="s">
        <v>252</v>
      </c>
    </row>
    <row r="692" spans="1:25" x14ac:dyDescent="0.15">
      <c r="A692" s="3">
        <v>405118</v>
      </c>
      <c r="B692" s="23" t="s">
        <v>1217</v>
      </c>
      <c r="C692" s="6">
        <v>0</v>
      </c>
      <c r="D692" s="3">
        <v>0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4">
        <v>812</v>
      </c>
      <c r="K692" s="3">
        <v>4</v>
      </c>
      <c r="L692" s="3" t="s">
        <v>323</v>
      </c>
      <c r="M692" s="3">
        <v>405</v>
      </c>
      <c r="N692" s="23" t="s">
        <v>1203</v>
      </c>
      <c r="O692" s="3">
        <v>0</v>
      </c>
      <c r="P692" s="3"/>
      <c r="Q692" s="3" t="s">
        <v>272</v>
      </c>
      <c r="R692" s="3" t="s">
        <v>1218</v>
      </c>
      <c r="S692" s="3" t="s">
        <v>1218</v>
      </c>
      <c r="T692" s="3">
        <v>0</v>
      </c>
      <c r="U692" s="3">
        <v>0</v>
      </c>
      <c r="V692" s="6">
        <v>100</v>
      </c>
      <c r="W692" s="7"/>
      <c r="X692" s="3" t="s">
        <v>1217</v>
      </c>
      <c r="Y692" s="3" t="s">
        <v>252</v>
      </c>
    </row>
    <row r="693" spans="1:25" x14ac:dyDescent="0.15">
      <c r="A693" s="3">
        <v>405119</v>
      </c>
      <c r="B693" s="23" t="s">
        <v>1219</v>
      </c>
      <c r="C693" s="6">
        <v>0</v>
      </c>
      <c r="D693" s="3">
        <v>0</v>
      </c>
      <c r="E693" s="3">
        <v>0</v>
      </c>
      <c r="F693" s="3">
        <v>0</v>
      </c>
      <c r="G693" s="3">
        <v>0</v>
      </c>
      <c r="H693" s="3">
        <v>0</v>
      </c>
      <c r="I693" s="3">
        <v>0</v>
      </c>
      <c r="J693" s="4">
        <v>813</v>
      </c>
      <c r="K693" s="3">
        <v>4</v>
      </c>
      <c r="L693" s="3" t="s">
        <v>323</v>
      </c>
      <c r="M693" s="3">
        <v>405</v>
      </c>
      <c r="N693" s="23" t="s">
        <v>1203</v>
      </c>
      <c r="O693" s="3">
        <v>0</v>
      </c>
      <c r="P693" s="3"/>
      <c r="Q693" s="3" t="s">
        <v>272</v>
      </c>
      <c r="R693" s="3" t="s">
        <v>1220</v>
      </c>
      <c r="S693" s="3" t="s">
        <v>1220</v>
      </c>
      <c r="T693" s="3">
        <v>0</v>
      </c>
      <c r="U693" s="3">
        <v>0</v>
      </c>
      <c r="V693" s="6">
        <v>100</v>
      </c>
      <c r="W693" s="7"/>
      <c r="X693" s="3" t="s">
        <v>1219</v>
      </c>
      <c r="Y693" s="3" t="s">
        <v>252</v>
      </c>
    </row>
    <row r="694" spans="1:25" x14ac:dyDescent="0.15">
      <c r="A694" s="3">
        <v>405121</v>
      </c>
      <c r="B694" s="23" t="s">
        <v>1221</v>
      </c>
      <c r="C694" s="6">
        <v>0</v>
      </c>
      <c r="D694" s="3">
        <v>0</v>
      </c>
      <c r="E694" s="3">
        <v>0</v>
      </c>
      <c r="F694" s="3">
        <v>0</v>
      </c>
      <c r="G694" s="3">
        <v>0</v>
      </c>
      <c r="H694" s="3">
        <v>0</v>
      </c>
      <c r="I694" s="3">
        <v>0</v>
      </c>
      <c r="J694" s="4">
        <v>814</v>
      </c>
      <c r="K694" s="3">
        <v>4</v>
      </c>
      <c r="L694" s="3" t="s">
        <v>323</v>
      </c>
      <c r="M694" s="3">
        <v>405</v>
      </c>
      <c r="N694" s="23" t="s">
        <v>1203</v>
      </c>
      <c r="O694" s="3">
        <v>0</v>
      </c>
      <c r="P694" s="3"/>
      <c r="Q694" s="3" t="s">
        <v>272</v>
      </c>
      <c r="R694" s="3" t="s">
        <v>1222</v>
      </c>
      <c r="S694" s="3" t="s">
        <v>1222</v>
      </c>
      <c r="T694" s="3">
        <v>0</v>
      </c>
      <c r="U694" s="3">
        <v>0</v>
      </c>
      <c r="V694" s="6">
        <v>100</v>
      </c>
      <c r="W694" s="7"/>
      <c r="X694" s="3" t="s">
        <v>1221</v>
      </c>
      <c r="Y694" s="3" t="s">
        <v>252</v>
      </c>
    </row>
    <row r="695" spans="1:25" x14ac:dyDescent="0.15">
      <c r="A695" s="3">
        <v>405122</v>
      </c>
      <c r="B695" s="23" t="s">
        <v>1223</v>
      </c>
      <c r="C695" s="6">
        <v>0</v>
      </c>
      <c r="D695" s="3">
        <v>0</v>
      </c>
      <c r="E695" s="3">
        <v>0</v>
      </c>
      <c r="F695" s="3">
        <v>0</v>
      </c>
      <c r="G695" s="3">
        <v>0</v>
      </c>
      <c r="H695" s="3">
        <v>0</v>
      </c>
      <c r="I695" s="3">
        <v>0</v>
      </c>
      <c r="J695" s="4">
        <v>815</v>
      </c>
      <c r="K695" s="3">
        <v>4</v>
      </c>
      <c r="L695" s="3" t="s">
        <v>323</v>
      </c>
      <c r="M695" s="3">
        <v>405</v>
      </c>
      <c r="N695" s="23" t="s">
        <v>1203</v>
      </c>
      <c r="O695" s="3">
        <v>0</v>
      </c>
      <c r="P695" s="3"/>
      <c r="Q695" s="3" t="s">
        <v>272</v>
      </c>
      <c r="R695" s="3" t="s">
        <v>1224</v>
      </c>
      <c r="S695" s="3" t="s">
        <v>1224</v>
      </c>
      <c r="T695" s="3">
        <v>0</v>
      </c>
      <c r="U695" s="3">
        <v>0</v>
      </c>
      <c r="V695" s="6">
        <v>100</v>
      </c>
      <c r="W695" s="7"/>
      <c r="X695" s="3" t="s">
        <v>1223</v>
      </c>
      <c r="Y695" s="3" t="s">
        <v>252</v>
      </c>
    </row>
    <row r="696" spans="1:25" x14ac:dyDescent="0.15">
      <c r="A696" s="3">
        <v>405123</v>
      </c>
      <c r="B696" s="23" t="s">
        <v>1225</v>
      </c>
      <c r="C696" s="6">
        <v>0</v>
      </c>
      <c r="D696" s="3">
        <v>0</v>
      </c>
      <c r="E696" s="3">
        <v>0</v>
      </c>
      <c r="F696" s="3">
        <v>0</v>
      </c>
      <c r="G696" s="3">
        <v>0</v>
      </c>
      <c r="H696" s="3">
        <v>0</v>
      </c>
      <c r="I696" s="3">
        <v>0</v>
      </c>
      <c r="J696" s="4">
        <v>816</v>
      </c>
      <c r="K696" s="3">
        <v>4</v>
      </c>
      <c r="L696" s="3" t="s">
        <v>323</v>
      </c>
      <c r="M696" s="3">
        <v>405</v>
      </c>
      <c r="N696" s="23" t="s">
        <v>1203</v>
      </c>
      <c r="O696" s="3">
        <v>0</v>
      </c>
      <c r="P696" s="3"/>
      <c r="Q696" s="3" t="s">
        <v>272</v>
      </c>
      <c r="R696" s="3" t="s">
        <v>1226</v>
      </c>
      <c r="S696" s="3" t="s">
        <v>1226</v>
      </c>
      <c r="T696" s="3">
        <v>0</v>
      </c>
      <c r="U696" s="3">
        <v>0</v>
      </c>
      <c r="V696" s="6">
        <v>100</v>
      </c>
      <c r="W696" s="7"/>
      <c r="X696" s="3" t="s">
        <v>1225</v>
      </c>
      <c r="Y696" s="3" t="s">
        <v>252</v>
      </c>
    </row>
    <row r="697" spans="1:25" x14ac:dyDescent="0.15">
      <c r="A697" s="3">
        <v>405124</v>
      </c>
      <c r="B697" s="23" t="s">
        <v>1227</v>
      </c>
      <c r="C697" s="6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4">
        <v>817</v>
      </c>
      <c r="K697" s="3">
        <v>4</v>
      </c>
      <c r="L697" s="3" t="s">
        <v>323</v>
      </c>
      <c r="M697" s="3">
        <v>405</v>
      </c>
      <c r="N697" s="23" t="s">
        <v>1203</v>
      </c>
      <c r="O697" s="3">
        <v>0</v>
      </c>
      <c r="P697" s="3"/>
      <c r="Q697" s="3" t="s">
        <v>272</v>
      </c>
      <c r="R697" s="3" t="s">
        <v>1228</v>
      </c>
      <c r="S697" s="3" t="s">
        <v>1228</v>
      </c>
      <c r="T697" s="3">
        <v>0</v>
      </c>
      <c r="U697" s="3">
        <v>0</v>
      </c>
      <c r="V697" s="6">
        <v>100</v>
      </c>
      <c r="W697" s="7"/>
      <c r="X697" s="3" t="s">
        <v>1227</v>
      </c>
      <c r="Y697" s="3" t="s">
        <v>252</v>
      </c>
    </row>
    <row r="698" spans="1:25" x14ac:dyDescent="0.15">
      <c r="A698" s="3">
        <v>405125</v>
      </c>
      <c r="B698" s="23" t="s">
        <v>1229</v>
      </c>
      <c r="C698" s="6">
        <v>0</v>
      </c>
      <c r="D698" s="3">
        <v>0</v>
      </c>
      <c r="E698" s="3">
        <v>0</v>
      </c>
      <c r="F698" s="3">
        <v>0</v>
      </c>
      <c r="G698" s="3">
        <v>0</v>
      </c>
      <c r="H698" s="3">
        <v>0</v>
      </c>
      <c r="I698" s="3">
        <v>0</v>
      </c>
      <c r="J698" s="4">
        <v>818</v>
      </c>
      <c r="K698" s="3">
        <v>4</v>
      </c>
      <c r="L698" s="3" t="s">
        <v>323</v>
      </c>
      <c r="M698" s="3">
        <v>405</v>
      </c>
      <c r="N698" s="23" t="s">
        <v>1203</v>
      </c>
      <c r="O698" s="3">
        <v>0</v>
      </c>
      <c r="P698" s="3"/>
      <c r="Q698" s="3" t="s">
        <v>272</v>
      </c>
      <c r="R698" s="3" t="s">
        <v>1230</v>
      </c>
      <c r="S698" s="3" t="s">
        <v>1230</v>
      </c>
      <c r="T698" s="3">
        <v>0</v>
      </c>
      <c r="U698" s="3">
        <v>0</v>
      </c>
      <c r="V698" s="6">
        <v>100</v>
      </c>
      <c r="W698" s="7"/>
      <c r="X698" s="3" t="s">
        <v>1229</v>
      </c>
      <c r="Y698" s="3" t="s">
        <v>252</v>
      </c>
    </row>
    <row r="699" spans="1:25" x14ac:dyDescent="0.15">
      <c r="A699" s="3">
        <v>405126</v>
      </c>
      <c r="B699" s="23" t="s">
        <v>1231</v>
      </c>
      <c r="C699" s="6">
        <v>0</v>
      </c>
      <c r="D699" s="3">
        <v>0</v>
      </c>
      <c r="E699" s="3">
        <v>0</v>
      </c>
      <c r="F699" s="3">
        <v>0</v>
      </c>
      <c r="G699" s="3">
        <v>0</v>
      </c>
      <c r="H699" s="3">
        <v>0</v>
      </c>
      <c r="I699" s="3">
        <v>0</v>
      </c>
      <c r="J699" s="4">
        <v>819</v>
      </c>
      <c r="K699" s="3">
        <v>4</v>
      </c>
      <c r="L699" s="3" t="s">
        <v>323</v>
      </c>
      <c r="M699" s="3">
        <v>405</v>
      </c>
      <c r="N699" s="23" t="s">
        <v>1203</v>
      </c>
      <c r="O699" s="3">
        <v>0</v>
      </c>
      <c r="P699" s="3"/>
      <c r="Q699" s="3" t="s">
        <v>272</v>
      </c>
      <c r="R699" s="3" t="s">
        <v>1232</v>
      </c>
      <c r="S699" s="3" t="s">
        <v>1232</v>
      </c>
      <c r="T699" s="3">
        <v>0</v>
      </c>
      <c r="U699" s="3">
        <v>0</v>
      </c>
      <c r="V699" s="6">
        <v>100</v>
      </c>
      <c r="W699" s="7"/>
      <c r="X699" s="3" t="s">
        <v>1231</v>
      </c>
      <c r="Y699" s="3" t="s">
        <v>252</v>
      </c>
    </row>
    <row r="700" spans="1:25" x14ac:dyDescent="0.15">
      <c r="A700" s="3">
        <v>405127</v>
      </c>
      <c r="B700" s="23" t="s">
        <v>1233</v>
      </c>
      <c r="C700" s="6">
        <v>0</v>
      </c>
      <c r="D700" s="3">
        <v>0</v>
      </c>
      <c r="E700" s="3">
        <v>0</v>
      </c>
      <c r="F700" s="3">
        <v>0</v>
      </c>
      <c r="G700" s="3">
        <v>0</v>
      </c>
      <c r="H700" s="3">
        <v>0</v>
      </c>
      <c r="I700" s="3">
        <v>0</v>
      </c>
      <c r="J700" s="4">
        <v>820</v>
      </c>
      <c r="K700" s="3">
        <v>4</v>
      </c>
      <c r="L700" s="3" t="s">
        <v>323</v>
      </c>
      <c r="M700" s="3">
        <v>405</v>
      </c>
      <c r="N700" s="23" t="s">
        <v>1203</v>
      </c>
      <c r="O700" s="3">
        <v>0</v>
      </c>
      <c r="P700" s="3"/>
      <c r="Q700" s="3" t="s">
        <v>272</v>
      </c>
      <c r="R700" s="3" t="s">
        <v>1234</v>
      </c>
      <c r="S700" s="3" t="s">
        <v>1234</v>
      </c>
      <c r="T700" s="3">
        <v>0</v>
      </c>
      <c r="U700" s="3">
        <v>0</v>
      </c>
      <c r="V700" s="6">
        <v>100</v>
      </c>
      <c r="W700" s="7"/>
      <c r="X700" s="3" t="s">
        <v>1233</v>
      </c>
      <c r="Y700" s="3" t="s">
        <v>252</v>
      </c>
    </row>
    <row r="701" spans="1:25" x14ac:dyDescent="0.15">
      <c r="A701" s="3">
        <v>405128</v>
      </c>
      <c r="B701" s="23" t="s">
        <v>1235</v>
      </c>
      <c r="C701" s="6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4">
        <v>821</v>
      </c>
      <c r="K701" s="3">
        <v>4</v>
      </c>
      <c r="L701" s="3" t="s">
        <v>323</v>
      </c>
      <c r="M701" s="3">
        <v>405</v>
      </c>
      <c r="N701" s="23" t="s">
        <v>1203</v>
      </c>
      <c r="O701" s="3">
        <v>0</v>
      </c>
      <c r="P701" s="3"/>
      <c r="Q701" s="3" t="s">
        <v>272</v>
      </c>
      <c r="R701" s="3" t="s">
        <v>1236</v>
      </c>
      <c r="S701" s="3" t="s">
        <v>1236</v>
      </c>
      <c r="T701" s="3">
        <v>0</v>
      </c>
      <c r="U701" s="3">
        <v>0</v>
      </c>
      <c r="V701" s="6">
        <v>100</v>
      </c>
      <c r="W701" s="7"/>
      <c r="X701" s="3" t="s">
        <v>1235</v>
      </c>
      <c r="Y701" s="3" t="s">
        <v>252</v>
      </c>
    </row>
    <row r="702" spans="1:25" x14ac:dyDescent="0.15">
      <c r="A702" s="3">
        <v>405129</v>
      </c>
      <c r="B702" s="23" t="s">
        <v>1237</v>
      </c>
      <c r="C702" s="6">
        <v>0</v>
      </c>
      <c r="D702" s="3">
        <v>0</v>
      </c>
      <c r="E702" s="3">
        <v>0</v>
      </c>
      <c r="F702" s="3">
        <v>0</v>
      </c>
      <c r="G702" s="3">
        <v>0</v>
      </c>
      <c r="H702" s="3">
        <v>0</v>
      </c>
      <c r="I702" s="3">
        <v>0</v>
      </c>
      <c r="J702" s="4">
        <v>822</v>
      </c>
      <c r="K702" s="3">
        <v>4</v>
      </c>
      <c r="L702" s="3" t="s">
        <v>323</v>
      </c>
      <c r="M702" s="3">
        <v>405</v>
      </c>
      <c r="N702" s="23" t="s">
        <v>1203</v>
      </c>
      <c r="O702" s="3">
        <v>0</v>
      </c>
      <c r="P702" s="3"/>
      <c r="Q702" s="3" t="s">
        <v>272</v>
      </c>
      <c r="R702" s="3" t="s">
        <v>1238</v>
      </c>
      <c r="S702" s="3" t="s">
        <v>1238</v>
      </c>
      <c r="T702" s="3">
        <v>0</v>
      </c>
      <c r="U702" s="3">
        <v>0</v>
      </c>
      <c r="V702" s="6">
        <v>100</v>
      </c>
      <c r="W702" s="7"/>
      <c r="X702" s="3" t="s">
        <v>1237</v>
      </c>
      <c r="Y702" s="3" t="s">
        <v>252</v>
      </c>
    </row>
    <row r="703" spans="1:25" x14ac:dyDescent="0.15">
      <c r="A703" s="3">
        <v>405131</v>
      </c>
      <c r="B703" s="23" t="s">
        <v>1239</v>
      </c>
      <c r="C703" s="6">
        <v>0</v>
      </c>
      <c r="D703" s="3">
        <v>0</v>
      </c>
      <c r="E703" s="3">
        <v>0</v>
      </c>
      <c r="F703" s="3">
        <v>0</v>
      </c>
      <c r="G703" s="3">
        <v>0</v>
      </c>
      <c r="H703" s="3">
        <v>0</v>
      </c>
      <c r="I703" s="3">
        <v>0</v>
      </c>
      <c r="J703" s="4">
        <v>823</v>
      </c>
      <c r="K703" s="3">
        <v>4</v>
      </c>
      <c r="L703" s="3" t="s">
        <v>323</v>
      </c>
      <c r="M703" s="3">
        <v>405</v>
      </c>
      <c r="N703" s="23" t="s">
        <v>1203</v>
      </c>
      <c r="O703" s="3">
        <v>0</v>
      </c>
      <c r="P703" s="3"/>
      <c r="Q703" s="3" t="s">
        <v>272</v>
      </c>
      <c r="R703" s="3" t="s">
        <v>1240</v>
      </c>
      <c r="S703" s="3" t="s">
        <v>1240</v>
      </c>
      <c r="T703" s="3">
        <v>0</v>
      </c>
      <c r="U703" s="3">
        <v>0</v>
      </c>
      <c r="V703" s="6">
        <v>100</v>
      </c>
      <c r="W703" s="7"/>
      <c r="X703" s="3" t="s">
        <v>1239</v>
      </c>
      <c r="Y703" s="3" t="s">
        <v>252</v>
      </c>
    </row>
    <row r="704" spans="1:25" x14ac:dyDescent="0.15">
      <c r="A704" s="3">
        <v>405132</v>
      </c>
      <c r="B704" s="23" t="s">
        <v>1241</v>
      </c>
      <c r="C704" s="6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4">
        <v>824</v>
      </c>
      <c r="K704" s="3">
        <v>4</v>
      </c>
      <c r="L704" s="3" t="s">
        <v>323</v>
      </c>
      <c r="M704" s="3">
        <v>405</v>
      </c>
      <c r="N704" s="23" t="s">
        <v>1203</v>
      </c>
      <c r="O704" s="3">
        <v>0</v>
      </c>
      <c r="P704" s="3"/>
      <c r="Q704" s="3" t="s">
        <v>272</v>
      </c>
      <c r="R704" s="3" t="s">
        <v>1242</v>
      </c>
      <c r="S704" s="3" t="s">
        <v>1242</v>
      </c>
      <c r="T704" s="3">
        <v>0</v>
      </c>
      <c r="U704" s="3">
        <v>0</v>
      </c>
      <c r="V704" s="6">
        <v>100</v>
      </c>
      <c r="W704" s="7"/>
      <c r="X704" s="3" t="s">
        <v>1241</v>
      </c>
      <c r="Y704" s="3" t="s">
        <v>252</v>
      </c>
    </row>
    <row r="705" spans="1:25" x14ac:dyDescent="0.15">
      <c r="A705" s="3">
        <v>405133</v>
      </c>
      <c r="B705" s="23" t="s">
        <v>1243</v>
      </c>
      <c r="C705" s="6">
        <v>0</v>
      </c>
      <c r="D705" s="3">
        <v>0</v>
      </c>
      <c r="E705" s="3">
        <v>0</v>
      </c>
      <c r="F705" s="3">
        <v>0</v>
      </c>
      <c r="G705" s="3">
        <v>0</v>
      </c>
      <c r="H705" s="3">
        <v>0</v>
      </c>
      <c r="I705" s="3">
        <v>0</v>
      </c>
      <c r="J705" s="4">
        <v>825</v>
      </c>
      <c r="K705" s="3">
        <v>4</v>
      </c>
      <c r="L705" s="3" t="s">
        <v>323</v>
      </c>
      <c r="M705" s="3">
        <v>405</v>
      </c>
      <c r="N705" s="23" t="s">
        <v>1203</v>
      </c>
      <c r="O705" s="3">
        <v>0</v>
      </c>
      <c r="P705" s="3"/>
      <c r="Q705" s="3" t="s">
        <v>272</v>
      </c>
      <c r="R705" s="3" t="s">
        <v>1244</v>
      </c>
      <c r="S705" s="3" t="s">
        <v>1244</v>
      </c>
      <c r="T705" s="3">
        <v>0</v>
      </c>
      <c r="U705" s="3">
        <v>0</v>
      </c>
      <c r="V705" s="6">
        <v>100</v>
      </c>
      <c r="W705" s="7"/>
      <c r="X705" s="3" t="s">
        <v>1243</v>
      </c>
      <c r="Y705" s="3" t="s">
        <v>252</v>
      </c>
    </row>
    <row r="706" spans="1:25" x14ac:dyDescent="0.15">
      <c r="A706" s="3">
        <v>405134</v>
      </c>
      <c r="B706" s="23" t="s">
        <v>1245</v>
      </c>
      <c r="C706" s="6">
        <v>0</v>
      </c>
      <c r="D706" s="3">
        <v>0</v>
      </c>
      <c r="E706" s="3">
        <v>0</v>
      </c>
      <c r="F706" s="3">
        <v>0</v>
      </c>
      <c r="G706" s="3">
        <v>0</v>
      </c>
      <c r="H706" s="3">
        <v>0</v>
      </c>
      <c r="I706" s="3">
        <v>0</v>
      </c>
      <c r="J706" s="4">
        <v>826</v>
      </c>
      <c r="K706" s="3">
        <v>4</v>
      </c>
      <c r="L706" s="3" t="s">
        <v>323</v>
      </c>
      <c r="M706" s="3">
        <v>405</v>
      </c>
      <c r="N706" s="23" t="s">
        <v>1203</v>
      </c>
      <c r="O706" s="3">
        <v>0</v>
      </c>
      <c r="P706" s="3"/>
      <c r="Q706" s="3" t="s">
        <v>272</v>
      </c>
      <c r="R706" s="3" t="s">
        <v>1246</v>
      </c>
      <c r="S706" s="3" t="s">
        <v>1246</v>
      </c>
      <c r="T706" s="3">
        <v>0</v>
      </c>
      <c r="U706" s="3">
        <v>0</v>
      </c>
      <c r="V706" s="6">
        <v>100</v>
      </c>
      <c r="W706" s="7"/>
      <c r="X706" s="3" t="s">
        <v>1245</v>
      </c>
      <c r="Y706" s="3" t="s">
        <v>252</v>
      </c>
    </row>
    <row r="707" spans="1:25" x14ac:dyDescent="0.15">
      <c r="A707" s="3">
        <v>405135</v>
      </c>
      <c r="B707" s="23" t="s">
        <v>1247</v>
      </c>
      <c r="C707" s="6">
        <v>0</v>
      </c>
      <c r="D707" s="3">
        <v>0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4">
        <v>827</v>
      </c>
      <c r="K707" s="3">
        <v>4</v>
      </c>
      <c r="L707" s="3" t="s">
        <v>323</v>
      </c>
      <c r="M707" s="3">
        <v>405</v>
      </c>
      <c r="N707" s="23" t="s">
        <v>1203</v>
      </c>
      <c r="O707" s="3">
        <v>0</v>
      </c>
      <c r="P707" s="3"/>
      <c r="Q707" s="3" t="s">
        <v>272</v>
      </c>
      <c r="R707" s="3" t="s">
        <v>1248</v>
      </c>
      <c r="S707" s="3" t="s">
        <v>1248</v>
      </c>
      <c r="T707" s="3">
        <v>0</v>
      </c>
      <c r="U707" s="3">
        <v>0</v>
      </c>
      <c r="V707" s="6">
        <v>100</v>
      </c>
      <c r="W707" s="7"/>
      <c r="X707" s="3" t="s">
        <v>1247</v>
      </c>
      <c r="Y707" s="3" t="s">
        <v>252</v>
      </c>
    </row>
    <row r="708" spans="1:25" x14ac:dyDescent="0.15">
      <c r="A708" s="3">
        <v>405136</v>
      </c>
      <c r="B708" s="23" t="s">
        <v>1249</v>
      </c>
      <c r="C708" s="6">
        <v>0</v>
      </c>
      <c r="D708" s="3">
        <v>0</v>
      </c>
      <c r="E708" s="3">
        <v>0</v>
      </c>
      <c r="F708" s="3">
        <v>0</v>
      </c>
      <c r="G708" s="3">
        <v>0</v>
      </c>
      <c r="H708" s="3">
        <v>0</v>
      </c>
      <c r="I708" s="3">
        <v>0</v>
      </c>
      <c r="J708" s="4">
        <v>828</v>
      </c>
      <c r="K708" s="3">
        <v>4</v>
      </c>
      <c r="L708" s="3" t="s">
        <v>323</v>
      </c>
      <c r="M708" s="3">
        <v>405</v>
      </c>
      <c r="N708" s="23" t="s">
        <v>1203</v>
      </c>
      <c r="O708" s="3">
        <v>0</v>
      </c>
      <c r="P708" s="3"/>
      <c r="Q708" s="3" t="s">
        <v>272</v>
      </c>
      <c r="R708" s="3" t="s">
        <v>1250</v>
      </c>
      <c r="S708" s="3" t="s">
        <v>1250</v>
      </c>
      <c r="T708" s="3">
        <v>0</v>
      </c>
      <c r="U708" s="3">
        <v>0</v>
      </c>
      <c r="V708" s="6">
        <v>100</v>
      </c>
      <c r="W708" s="7"/>
      <c r="X708" s="3" t="s">
        <v>1249</v>
      </c>
      <c r="Y708" s="3" t="s">
        <v>252</v>
      </c>
    </row>
    <row r="709" spans="1:25" x14ac:dyDescent="0.15">
      <c r="A709" s="3">
        <v>405137</v>
      </c>
      <c r="B709" s="23" t="s">
        <v>1251</v>
      </c>
      <c r="C709" s="6">
        <v>0</v>
      </c>
      <c r="D709" s="3">
        <v>0</v>
      </c>
      <c r="E709" s="3">
        <v>0</v>
      </c>
      <c r="F709" s="3">
        <v>0</v>
      </c>
      <c r="G709" s="3">
        <v>0</v>
      </c>
      <c r="H709" s="3">
        <v>0</v>
      </c>
      <c r="I709" s="3">
        <v>0</v>
      </c>
      <c r="J709" s="4">
        <v>829</v>
      </c>
      <c r="K709" s="3">
        <v>4</v>
      </c>
      <c r="L709" s="3" t="s">
        <v>323</v>
      </c>
      <c r="M709" s="3">
        <v>405</v>
      </c>
      <c r="N709" s="23" t="s">
        <v>1203</v>
      </c>
      <c r="O709" s="3">
        <v>0</v>
      </c>
      <c r="P709" s="3"/>
      <c r="Q709" s="3" t="s">
        <v>272</v>
      </c>
      <c r="R709" s="3" t="s">
        <v>1252</v>
      </c>
      <c r="S709" s="3" t="s">
        <v>1252</v>
      </c>
      <c r="T709" s="3">
        <v>0</v>
      </c>
      <c r="U709" s="3">
        <v>0</v>
      </c>
      <c r="V709" s="6">
        <v>100</v>
      </c>
      <c r="W709" s="7"/>
      <c r="X709" s="3" t="s">
        <v>1251</v>
      </c>
      <c r="Y709" s="3" t="s">
        <v>252</v>
      </c>
    </row>
    <row r="710" spans="1:25" x14ac:dyDescent="0.15">
      <c r="A710" s="3">
        <v>405138</v>
      </c>
      <c r="B710" s="23" t="s">
        <v>1253</v>
      </c>
      <c r="C710" s="6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4">
        <v>830</v>
      </c>
      <c r="K710" s="3">
        <v>4</v>
      </c>
      <c r="L710" s="3" t="s">
        <v>323</v>
      </c>
      <c r="M710" s="3">
        <v>405</v>
      </c>
      <c r="N710" s="23" t="s">
        <v>1203</v>
      </c>
      <c r="O710" s="3">
        <v>0</v>
      </c>
      <c r="P710" s="3"/>
      <c r="Q710" s="3" t="s">
        <v>272</v>
      </c>
      <c r="R710" s="3" t="s">
        <v>1254</v>
      </c>
      <c r="S710" s="3" t="s">
        <v>1254</v>
      </c>
      <c r="T710" s="3">
        <v>0</v>
      </c>
      <c r="U710" s="3">
        <v>0</v>
      </c>
      <c r="V710" s="6">
        <v>100</v>
      </c>
      <c r="W710" s="7"/>
      <c r="X710" s="3" t="s">
        <v>1253</v>
      </c>
      <c r="Y710" s="3" t="s">
        <v>252</v>
      </c>
    </row>
    <row r="711" spans="1:25" x14ac:dyDescent="0.15">
      <c r="A711" s="3">
        <v>405139</v>
      </c>
      <c r="B711" s="23" t="s">
        <v>1255</v>
      </c>
      <c r="C711" s="6">
        <v>0</v>
      </c>
      <c r="D711" s="3">
        <v>0</v>
      </c>
      <c r="E711" s="3">
        <v>0</v>
      </c>
      <c r="F711" s="3">
        <v>0</v>
      </c>
      <c r="G711" s="3">
        <v>0</v>
      </c>
      <c r="H711" s="3">
        <v>0</v>
      </c>
      <c r="I711" s="3">
        <v>0</v>
      </c>
      <c r="J711" s="4">
        <v>831</v>
      </c>
      <c r="K711" s="3">
        <v>4</v>
      </c>
      <c r="L711" s="3" t="s">
        <v>323</v>
      </c>
      <c r="M711" s="3">
        <v>405</v>
      </c>
      <c r="N711" s="23" t="s">
        <v>1203</v>
      </c>
      <c r="O711" s="3">
        <v>0</v>
      </c>
      <c r="P711" s="3"/>
      <c r="Q711" s="3" t="s">
        <v>272</v>
      </c>
      <c r="R711" s="3" t="s">
        <v>1256</v>
      </c>
      <c r="S711" s="3" t="s">
        <v>1256</v>
      </c>
      <c r="T711" s="3">
        <v>0</v>
      </c>
      <c r="U711" s="3">
        <v>0</v>
      </c>
      <c r="V711" s="6">
        <v>100</v>
      </c>
      <c r="W711" s="7"/>
      <c r="X711" s="3" t="s">
        <v>1255</v>
      </c>
      <c r="Y711" s="3" t="s">
        <v>252</v>
      </c>
    </row>
    <row r="712" spans="1:25" x14ac:dyDescent="0.15">
      <c r="A712" s="3">
        <v>405141</v>
      </c>
      <c r="B712" s="23" t="s">
        <v>1257</v>
      </c>
      <c r="C712" s="6">
        <v>0</v>
      </c>
      <c r="D712" s="3">
        <v>0</v>
      </c>
      <c r="E712" s="3">
        <v>0</v>
      </c>
      <c r="F712" s="3">
        <v>0</v>
      </c>
      <c r="G712" s="3">
        <v>0</v>
      </c>
      <c r="H712" s="3">
        <v>0</v>
      </c>
      <c r="I712" s="3">
        <v>0</v>
      </c>
      <c r="J712" s="4">
        <v>832</v>
      </c>
      <c r="K712" s="3">
        <v>4</v>
      </c>
      <c r="L712" s="3" t="s">
        <v>323</v>
      </c>
      <c r="M712" s="3">
        <v>405</v>
      </c>
      <c r="N712" s="23" t="s">
        <v>1203</v>
      </c>
      <c r="O712" s="3">
        <v>0</v>
      </c>
      <c r="P712" s="3"/>
      <c r="Q712" s="3" t="s">
        <v>272</v>
      </c>
      <c r="R712" s="3" t="s">
        <v>1258</v>
      </c>
      <c r="S712" s="3" t="s">
        <v>1258</v>
      </c>
      <c r="T712" s="3">
        <v>0</v>
      </c>
      <c r="U712" s="3">
        <v>0</v>
      </c>
      <c r="V712" s="6">
        <v>100</v>
      </c>
      <c r="W712" s="7"/>
      <c r="X712" s="3" t="s">
        <v>1257</v>
      </c>
      <c r="Y712" s="3" t="s">
        <v>252</v>
      </c>
    </row>
    <row r="713" spans="1:25" x14ac:dyDescent="0.15">
      <c r="A713" s="3">
        <v>405142</v>
      </c>
      <c r="B713" s="23" t="s">
        <v>1259</v>
      </c>
      <c r="C713" s="6">
        <v>0</v>
      </c>
      <c r="D713" s="3">
        <v>0</v>
      </c>
      <c r="E713" s="3">
        <v>0</v>
      </c>
      <c r="F713" s="3">
        <v>0</v>
      </c>
      <c r="G713" s="3">
        <v>0</v>
      </c>
      <c r="H713" s="3">
        <v>0</v>
      </c>
      <c r="I713" s="3">
        <v>0</v>
      </c>
      <c r="J713" s="4">
        <v>833</v>
      </c>
      <c r="K713" s="3">
        <v>4</v>
      </c>
      <c r="L713" s="3" t="s">
        <v>323</v>
      </c>
      <c r="M713" s="3">
        <v>405</v>
      </c>
      <c r="N713" s="23" t="s">
        <v>1203</v>
      </c>
      <c r="O713" s="3">
        <v>0</v>
      </c>
      <c r="P713" s="3"/>
      <c r="Q713" s="3" t="s">
        <v>272</v>
      </c>
      <c r="R713" s="3" t="s">
        <v>1260</v>
      </c>
      <c r="S713" s="3" t="s">
        <v>1260</v>
      </c>
      <c r="T713" s="3">
        <v>0</v>
      </c>
      <c r="U713" s="3">
        <v>0</v>
      </c>
      <c r="V713" s="6">
        <v>100</v>
      </c>
      <c r="W713" s="7"/>
      <c r="X713" s="3" t="s">
        <v>1259</v>
      </c>
      <c r="Y713" s="3" t="s">
        <v>252</v>
      </c>
    </row>
    <row r="714" spans="1:25" x14ac:dyDescent="0.15">
      <c r="A714" s="3">
        <v>405143</v>
      </c>
      <c r="B714" s="23" t="s">
        <v>1261</v>
      </c>
      <c r="C714" s="6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4">
        <v>834</v>
      </c>
      <c r="K714" s="3">
        <v>4</v>
      </c>
      <c r="L714" s="3" t="s">
        <v>323</v>
      </c>
      <c r="M714" s="3">
        <v>405</v>
      </c>
      <c r="N714" s="23" t="s">
        <v>1203</v>
      </c>
      <c r="O714" s="3">
        <v>0</v>
      </c>
      <c r="P714" s="3"/>
      <c r="Q714" s="3" t="s">
        <v>272</v>
      </c>
      <c r="R714" s="3" t="s">
        <v>1262</v>
      </c>
      <c r="S714" s="3" t="s">
        <v>1262</v>
      </c>
      <c r="T714" s="3">
        <v>0</v>
      </c>
      <c r="U714" s="3">
        <v>0</v>
      </c>
      <c r="V714" s="6">
        <v>100</v>
      </c>
      <c r="W714" s="7"/>
      <c r="X714" s="3" t="s">
        <v>1261</v>
      </c>
      <c r="Y714" s="3" t="s">
        <v>252</v>
      </c>
    </row>
    <row r="715" spans="1:25" x14ac:dyDescent="0.15">
      <c r="A715" s="3">
        <v>405144</v>
      </c>
      <c r="B715" s="23" t="s">
        <v>1263</v>
      </c>
      <c r="C715" s="6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4">
        <v>835</v>
      </c>
      <c r="K715" s="3">
        <v>4</v>
      </c>
      <c r="L715" s="3" t="s">
        <v>323</v>
      </c>
      <c r="M715" s="3">
        <v>405</v>
      </c>
      <c r="N715" s="23" t="s">
        <v>1203</v>
      </c>
      <c r="O715" s="3">
        <v>0</v>
      </c>
      <c r="P715" s="3"/>
      <c r="Q715" s="3" t="s">
        <v>272</v>
      </c>
      <c r="R715" s="3" t="s">
        <v>1264</v>
      </c>
      <c r="S715" s="3" t="s">
        <v>1264</v>
      </c>
      <c r="T715" s="3">
        <v>0</v>
      </c>
      <c r="U715" s="3">
        <v>0</v>
      </c>
      <c r="V715" s="6">
        <v>100</v>
      </c>
      <c r="W715" s="7"/>
      <c r="X715" s="3" t="s">
        <v>1263</v>
      </c>
      <c r="Y715" s="3" t="s">
        <v>252</v>
      </c>
    </row>
    <row r="716" spans="1:25" x14ac:dyDescent="0.15">
      <c r="A716" s="3">
        <v>405145</v>
      </c>
      <c r="B716" s="23" t="s">
        <v>1265</v>
      </c>
      <c r="C716" s="6">
        <v>0</v>
      </c>
      <c r="D716" s="3">
        <v>0</v>
      </c>
      <c r="E716" s="3">
        <v>0</v>
      </c>
      <c r="F716" s="3">
        <v>0</v>
      </c>
      <c r="G716" s="3">
        <v>0</v>
      </c>
      <c r="H716" s="3">
        <v>0</v>
      </c>
      <c r="I716" s="3">
        <v>0</v>
      </c>
      <c r="J716" s="4">
        <v>836</v>
      </c>
      <c r="K716" s="3">
        <v>4</v>
      </c>
      <c r="L716" s="3" t="s">
        <v>323</v>
      </c>
      <c r="M716" s="3">
        <v>405</v>
      </c>
      <c r="N716" s="23" t="s">
        <v>1203</v>
      </c>
      <c r="O716" s="3">
        <v>0</v>
      </c>
      <c r="P716" s="3"/>
      <c r="Q716" s="3" t="s">
        <v>272</v>
      </c>
      <c r="R716" s="3" t="s">
        <v>1266</v>
      </c>
      <c r="S716" s="3" t="s">
        <v>1266</v>
      </c>
      <c r="T716" s="3">
        <v>0</v>
      </c>
      <c r="U716" s="3">
        <v>0</v>
      </c>
      <c r="V716" s="6">
        <v>100</v>
      </c>
      <c r="W716" s="7"/>
      <c r="X716" s="3" t="s">
        <v>1265</v>
      </c>
      <c r="Y716" s="3" t="s">
        <v>252</v>
      </c>
    </row>
    <row r="717" spans="1:25" x14ac:dyDescent="0.15">
      <c r="A717" s="3">
        <v>405146</v>
      </c>
      <c r="B717" s="23" t="s">
        <v>1267</v>
      </c>
      <c r="C717" s="6">
        <v>0</v>
      </c>
      <c r="D717" s="3">
        <v>0</v>
      </c>
      <c r="E717" s="3">
        <v>0</v>
      </c>
      <c r="F717" s="3">
        <v>0</v>
      </c>
      <c r="G717" s="3">
        <v>0</v>
      </c>
      <c r="H717" s="3">
        <v>0</v>
      </c>
      <c r="I717" s="3">
        <v>0</v>
      </c>
      <c r="J717" s="4">
        <v>837</v>
      </c>
      <c r="K717" s="3">
        <v>4</v>
      </c>
      <c r="L717" s="3" t="s">
        <v>323</v>
      </c>
      <c r="M717" s="3">
        <v>405</v>
      </c>
      <c r="N717" s="23" t="s">
        <v>1203</v>
      </c>
      <c r="O717" s="3">
        <v>0</v>
      </c>
      <c r="P717" s="3"/>
      <c r="Q717" s="3" t="s">
        <v>272</v>
      </c>
      <c r="R717" s="3" t="s">
        <v>1268</v>
      </c>
      <c r="S717" s="3" t="s">
        <v>1268</v>
      </c>
      <c r="T717" s="3">
        <v>0</v>
      </c>
      <c r="U717" s="3">
        <v>0</v>
      </c>
      <c r="V717" s="6">
        <v>100</v>
      </c>
      <c r="W717" s="7"/>
      <c r="X717" s="3" t="s">
        <v>1267</v>
      </c>
      <c r="Y717" s="3" t="s">
        <v>252</v>
      </c>
    </row>
    <row r="718" spans="1:25" x14ac:dyDescent="0.15">
      <c r="A718" s="3">
        <v>405147</v>
      </c>
      <c r="B718" s="23" t="s">
        <v>1269</v>
      </c>
      <c r="C718" s="6">
        <v>0</v>
      </c>
      <c r="D718" s="3">
        <v>0</v>
      </c>
      <c r="E718" s="3">
        <v>0</v>
      </c>
      <c r="F718" s="3">
        <v>0</v>
      </c>
      <c r="G718" s="3">
        <v>0</v>
      </c>
      <c r="H718" s="3">
        <v>0</v>
      </c>
      <c r="I718" s="3">
        <v>0</v>
      </c>
      <c r="J718" s="4">
        <v>838</v>
      </c>
      <c r="K718" s="3">
        <v>4</v>
      </c>
      <c r="L718" s="3" t="s">
        <v>323</v>
      </c>
      <c r="M718" s="3">
        <v>405</v>
      </c>
      <c r="N718" s="23" t="s">
        <v>1203</v>
      </c>
      <c r="O718" s="3">
        <v>0</v>
      </c>
      <c r="P718" s="3"/>
      <c r="Q718" s="3" t="s">
        <v>272</v>
      </c>
      <c r="R718" s="3" t="s">
        <v>1270</v>
      </c>
      <c r="S718" s="3" t="s">
        <v>1270</v>
      </c>
      <c r="T718" s="3">
        <v>0</v>
      </c>
      <c r="U718" s="3">
        <v>0</v>
      </c>
      <c r="V718" s="6">
        <v>100</v>
      </c>
      <c r="W718" s="7"/>
      <c r="X718" s="3" t="s">
        <v>1269</v>
      </c>
      <c r="Y718" s="3" t="s">
        <v>252</v>
      </c>
    </row>
    <row r="719" spans="1:25" x14ac:dyDescent="0.15">
      <c r="A719" s="3">
        <v>405148</v>
      </c>
      <c r="B719" s="23" t="s">
        <v>1271</v>
      </c>
      <c r="C719" s="6">
        <v>0</v>
      </c>
      <c r="D719" s="3">
        <v>0</v>
      </c>
      <c r="E719" s="3">
        <v>0</v>
      </c>
      <c r="F719" s="3">
        <v>0</v>
      </c>
      <c r="G719" s="3">
        <v>0</v>
      </c>
      <c r="H719" s="3">
        <v>0</v>
      </c>
      <c r="I719" s="3">
        <v>0</v>
      </c>
      <c r="J719" s="4">
        <v>839</v>
      </c>
      <c r="K719" s="3">
        <v>4</v>
      </c>
      <c r="L719" s="3" t="s">
        <v>323</v>
      </c>
      <c r="M719" s="3">
        <v>405</v>
      </c>
      <c r="N719" s="23" t="s">
        <v>1203</v>
      </c>
      <c r="O719" s="3">
        <v>0</v>
      </c>
      <c r="P719" s="3"/>
      <c r="Q719" s="3" t="s">
        <v>272</v>
      </c>
      <c r="R719" s="3" t="s">
        <v>1272</v>
      </c>
      <c r="S719" s="3" t="s">
        <v>1272</v>
      </c>
      <c r="T719" s="3">
        <v>0</v>
      </c>
      <c r="U719" s="3">
        <v>0</v>
      </c>
      <c r="V719" s="6">
        <v>100</v>
      </c>
      <c r="W719" s="7"/>
      <c r="X719" s="3" t="s">
        <v>1271</v>
      </c>
      <c r="Y719" s="3" t="s">
        <v>252</v>
      </c>
    </row>
    <row r="720" spans="1:25" x14ac:dyDescent="0.15">
      <c r="A720" s="3">
        <v>405149</v>
      </c>
      <c r="B720" s="23" t="s">
        <v>1273</v>
      </c>
      <c r="C720" s="6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4">
        <v>840</v>
      </c>
      <c r="K720" s="3">
        <v>4</v>
      </c>
      <c r="L720" s="3" t="s">
        <v>323</v>
      </c>
      <c r="M720" s="3">
        <v>405</v>
      </c>
      <c r="N720" s="23" t="s">
        <v>1203</v>
      </c>
      <c r="O720" s="3">
        <v>0</v>
      </c>
      <c r="P720" s="3"/>
      <c r="Q720" s="3" t="s">
        <v>272</v>
      </c>
      <c r="R720" s="3" t="s">
        <v>1274</v>
      </c>
      <c r="S720" s="3" t="s">
        <v>1274</v>
      </c>
      <c r="T720" s="3">
        <v>0</v>
      </c>
      <c r="U720" s="3">
        <v>0</v>
      </c>
      <c r="V720" s="6">
        <v>100</v>
      </c>
      <c r="W720" s="7"/>
      <c r="X720" s="3" t="s">
        <v>1273</v>
      </c>
      <c r="Y720" s="3" t="s">
        <v>252</v>
      </c>
    </row>
    <row r="721" spans="1:25" x14ac:dyDescent="0.15">
      <c r="A721" s="3">
        <v>405151</v>
      </c>
      <c r="B721" s="23" t="s">
        <v>1275</v>
      </c>
      <c r="C721" s="6">
        <v>0</v>
      </c>
      <c r="D721" s="3">
        <v>0</v>
      </c>
      <c r="E721" s="3">
        <v>0</v>
      </c>
      <c r="F721" s="3">
        <v>0</v>
      </c>
      <c r="G721" s="3">
        <v>0</v>
      </c>
      <c r="H721" s="3">
        <v>0</v>
      </c>
      <c r="I721" s="3">
        <v>0</v>
      </c>
      <c r="J721" s="4">
        <v>841</v>
      </c>
      <c r="K721" s="3">
        <v>4</v>
      </c>
      <c r="L721" s="3" t="s">
        <v>323</v>
      </c>
      <c r="M721" s="3">
        <v>405</v>
      </c>
      <c r="N721" s="23" t="s">
        <v>1203</v>
      </c>
      <c r="O721" s="3">
        <v>0</v>
      </c>
      <c r="P721" s="3"/>
      <c r="Q721" s="3" t="s">
        <v>272</v>
      </c>
      <c r="R721" s="3" t="s">
        <v>1276</v>
      </c>
      <c r="S721" s="3" t="s">
        <v>1276</v>
      </c>
      <c r="T721" s="3">
        <v>0</v>
      </c>
      <c r="U721" s="3">
        <v>0</v>
      </c>
      <c r="V721" s="6">
        <v>100</v>
      </c>
      <c r="W721" s="7"/>
      <c r="X721" s="3" t="s">
        <v>1275</v>
      </c>
      <c r="Y721" s="3" t="s">
        <v>252</v>
      </c>
    </row>
    <row r="722" spans="1:25" x14ac:dyDescent="0.15">
      <c r="A722" s="3">
        <v>405152</v>
      </c>
      <c r="B722" s="23" t="s">
        <v>1277</v>
      </c>
      <c r="C722" s="6">
        <v>0</v>
      </c>
      <c r="D722" s="3">
        <v>0</v>
      </c>
      <c r="E722" s="3">
        <v>0</v>
      </c>
      <c r="F722" s="3">
        <v>0</v>
      </c>
      <c r="G722" s="3">
        <v>0</v>
      </c>
      <c r="H722" s="3">
        <v>0</v>
      </c>
      <c r="I722" s="3">
        <v>0</v>
      </c>
      <c r="J722" s="4">
        <v>842</v>
      </c>
      <c r="K722" s="3">
        <v>4</v>
      </c>
      <c r="L722" s="3" t="s">
        <v>323</v>
      </c>
      <c r="M722" s="3">
        <v>405</v>
      </c>
      <c r="N722" s="23" t="s">
        <v>1203</v>
      </c>
      <c r="O722" s="3">
        <v>0</v>
      </c>
      <c r="P722" s="3"/>
      <c r="Q722" s="3" t="s">
        <v>272</v>
      </c>
      <c r="R722" s="3" t="s">
        <v>1278</v>
      </c>
      <c r="S722" s="3" t="s">
        <v>1278</v>
      </c>
      <c r="T722" s="3">
        <v>0</v>
      </c>
      <c r="U722" s="3">
        <v>0</v>
      </c>
      <c r="V722" s="6">
        <v>100</v>
      </c>
      <c r="W722" s="7"/>
      <c r="X722" s="3" t="s">
        <v>1277</v>
      </c>
      <c r="Y722" s="3" t="s">
        <v>252</v>
      </c>
    </row>
    <row r="723" spans="1:25" x14ac:dyDescent="0.15">
      <c r="A723" s="3">
        <v>405153</v>
      </c>
      <c r="B723" s="23" t="s">
        <v>1279</v>
      </c>
      <c r="C723" s="6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4">
        <v>843</v>
      </c>
      <c r="K723" s="3">
        <v>4</v>
      </c>
      <c r="L723" s="3" t="s">
        <v>323</v>
      </c>
      <c r="M723" s="3">
        <v>405</v>
      </c>
      <c r="N723" s="23" t="s">
        <v>1203</v>
      </c>
      <c r="O723" s="3">
        <v>0</v>
      </c>
      <c r="P723" s="3"/>
      <c r="Q723" s="3" t="s">
        <v>272</v>
      </c>
      <c r="R723" s="3" t="s">
        <v>1280</v>
      </c>
      <c r="S723" s="3" t="s">
        <v>1280</v>
      </c>
      <c r="T723" s="3">
        <v>0</v>
      </c>
      <c r="U723" s="3">
        <v>0</v>
      </c>
      <c r="V723" s="6">
        <v>100</v>
      </c>
      <c r="W723" s="7"/>
      <c r="X723" s="3" t="s">
        <v>1279</v>
      </c>
      <c r="Y723" s="3" t="s">
        <v>252</v>
      </c>
    </row>
    <row r="724" spans="1:25" x14ac:dyDescent="0.15">
      <c r="A724" s="3">
        <v>405154</v>
      </c>
      <c r="B724" s="23" t="s">
        <v>1281</v>
      </c>
      <c r="C724" s="6">
        <v>0</v>
      </c>
      <c r="D724" s="3">
        <v>0</v>
      </c>
      <c r="E724" s="3">
        <v>0</v>
      </c>
      <c r="F724" s="3">
        <v>0</v>
      </c>
      <c r="G724" s="3">
        <v>0</v>
      </c>
      <c r="H724" s="3">
        <v>0</v>
      </c>
      <c r="I724" s="3">
        <v>0</v>
      </c>
      <c r="J724" s="4">
        <v>844</v>
      </c>
      <c r="K724" s="3">
        <v>4</v>
      </c>
      <c r="L724" s="3" t="s">
        <v>323</v>
      </c>
      <c r="M724" s="3">
        <v>405</v>
      </c>
      <c r="N724" s="23" t="s">
        <v>1203</v>
      </c>
      <c r="O724" s="3">
        <v>0</v>
      </c>
      <c r="P724" s="3"/>
      <c r="Q724" s="3" t="s">
        <v>272</v>
      </c>
      <c r="R724" s="3" t="s">
        <v>1282</v>
      </c>
      <c r="S724" s="3" t="s">
        <v>1282</v>
      </c>
      <c r="T724" s="3">
        <v>0</v>
      </c>
      <c r="U724" s="3">
        <v>0</v>
      </c>
      <c r="V724" s="6">
        <v>100</v>
      </c>
      <c r="W724" s="7"/>
      <c r="X724" s="3" t="s">
        <v>1281</v>
      </c>
      <c r="Y724" s="3" t="s">
        <v>252</v>
      </c>
    </row>
    <row r="725" spans="1:25" x14ac:dyDescent="0.15">
      <c r="A725" s="3">
        <v>405155</v>
      </c>
      <c r="B725" s="23" t="s">
        <v>1283</v>
      </c>
      <c r="C725" s="6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0</v>
      </c>
      <c r="J725" s="4">
        <v>845</v>
      </c>
      <c r="K725" s="3">
        <v>4</v>
      </c>
      <c r="L725" s="3" t="s">
        <v>323</v>
      </c>
      <c r="M725" s="3">
        <v>405</v>
      </c>
      <c r="N725" s="23" t="s">
        <v>1203</v>
      </c>
      <c r="O725" s="3">
        <v>0</v>
      </c>
      <c r="P725" s="3"/>
      <c r="Q725" s="3" t="s">
        <v>272</v>
      </c>
      <c r="R725" s="3" t="s">
        <v>1284</v>
      </c>
      <c r="S725" s="3" t="s">
        <v>1284</v>
      </c>
      <c r="T725" s="3">
        <v>0</v>
      </c>
      <c r="U725" s="3">
        <v>0</v>
      </c>
      <c r="V725" s="6">
        <v>100</v>
      </c>
      <c r="W725" s="7"/>
      <c r="X725" s="3" t="s">
        <v>1283</v>
      </c>
      <c r="Y725" s="3" t="s">
        <v>252</v>
      </c>
    </row>
    <row r="726" spans="1:25" x14ac:dyDescent="0.15">
      <c r="A726" s="3">
        <v>405156</v>
      </c>
      <c r="B726" s="23" t="s">
        <v>1285</v>
      </c>
      <c r="C726" s="6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4">
        <v>846</v>
      </c>
      <c r="K726" s="3">
        <v>4</v>
      </c>
      <c r="L726" s="3" t="s">
        <v>323</v>
      </c>
      <c r="M726" s="3">
        <v>405</v>
      </c>
      <c r="N726" s="23" t="s">
        <v>1203</v>
      </c>
      <c r="O726" s="3">
        <v>0</v>
      </c>
      <c r="P726" s="3"/>
      <c r="Q726" s="3" t="s">
        <v>272</v>
      </c>
      <c r="R726" s="3" t="s">
        <v>1286</v>
      </c>
      <c r="S726" s="3" t="s">
        <v>1286</v>
      </c>
      <c r="T726" s="3">
        <v>0</v>
      </c>
      <c r="U726" s="3">
        <v>0</v>
      </c>
      <c r="V726" s="6">
        <v>100</v>
      </c>
      <c r="W726" s="7"/>
      <c r="X726" s="3" t="s">
        <v>1285</v>
      </c>
      <c r="Y726" s="3" t="s">
        <v>252</v>
      </c>
    </row>
    <row r="727" spans="1:25" x14ac:dyDescent="0.15">
      <c r="A727" s="3">
        <v>405157</v>
      </c>
      <c r="B727" s="23" t="s">
        <v>1287</v>
      </c>
      <c r="C727" s="6">
        <v>0</v>
      </c>
      <c r="D727" s="3">
        <v>0</v>
      </c>
      <c r="E727" s="3">
        <v>0</v>
      </c>
      <c r="F727" s="3">
        <v>0</v>
      </c>
      <c r="G727" s="3">
        <v>0</v>
      </c>
      <c r="H727" s="3">
        <v>0</v>
      </c>
      <c r="I727" s="3">
        <v>0</v>
      </c>
      <c r="J727" s="4">
        <v>847</v>
      </c>
      <c r="K727" s="3">
        <v>4</v>
      </c>
      <c r="L727" s="3" t="s">
        <v>323</v>
      </c>
      <c r="M727" s="3">
        <v>405</v>
      </c>
      <c r="N727" s="23" t="s">
        <v>1203</v>
      </c>
      <c r="O727" s="3">
        <v>0</v>
      </c>
      <c r="P727" s="3"/>
      <c r="Q727" s="3" t="s">
        <v>272</v>
      </c>
      <c r="R727" s="3" t="s">
        <v>1288</v>
      </c>
      <c r="S727" s="3" t="s">
        <v>1288</v>
      </c>
      <c r="T727" s="3">
        <v>0</v>
      </c>
      <c r="U727" s="3">
        <v>0</v>
      </c>
      <c r="V727" s="6">
        <v>100</v>
      </c>
      <c r="W727" s="7"/>
      <c r="X727" s="3" t="s">
        <v>1287</v>
      </c>
      <c r="Y727" s="3" t="s">
        <v>252</v>
      </c>
    </row>
    <row r="728" spans="1:25" x14ac:dyDescent="0.15">
      <c r="A728" s="3">
        <v>405158</v>
      </c>
      <c r="B728" s="23" t="s">
        <v>1289</v>
      </c>
      <c r="C728" s="6">
        <v>0</v>
      </c>
      <c r="D728" s="3">
        <v>0</v>
      </c>
      <c r="E728" s="3">
        <v>0</v>
      </c>
      <c r="F728" s="3">
        <v>0</v>
      </c>
      <c r="G728" s="3">
        <v>0</v>
      </c>
      <c r="H728" s="3">
        <v>0</v>
      </c>
      <c r="I728" s="3">
        <v>0</v>
      </c>
      <c r="J728" s="4">
        <v>848</v>
      </c>
      <c r="K728" s="3">
        <v>4</v>
      </c>
      <c r="L728" s="3" t="s">
        <v>323</v>
      </c>
      <c r="M728" s="3">
        <v>405</v>
      </c>
      <c r="N728" s="23" t="s">
        <v>1203</v>
      </c>
      <c r="O728" s="3">
        <v>0</v>
      </c>
      <c r="P728" s="3"/>
      <c r="Q728" s="3" t="s">
        <v>272</v>
      </c>
      <c r="R728" s="3" t="s">
        <v>1290</v>
      </c>
      <c r="S728" s="3" t="s">
        <v>1290</v>
      </c>
      <c r="T728" s="3">
        <v>0</v>
      </c>
      <c r="U728" s="3">
        <v>0</v>
      </c>
      <c r="V728" s="6">
        <v>100</v>
      </c>
      <c r="W728" s="7"/>
      <c r="X728" s="3" t="s">
        <v>1289</v>
      </c>
      <c r="Y728" s="3" t="s">
        <v>252</v>
      </c>
    </row>
    <row r="729" spans="1:25" x14ac:dyDescent="0.15">
      <c r="A729" s="3">
        <v>405159</v>
      </c>
      <c r="B729" s="23" t="s">
        <v>1291</v>
      </c>
      <c r="C729" s="6">
        <v>0</v>
      </c>
      <c r="D729" s="3">
        <v>0</v>
      </c>
      <c r="E729" s="3">
        <v>0</v>
      </c>
      <c r="F729" s="3">
        <v>0</v>
      </c>
      <c r="G729" s="3">
        <v>0</v>
      </c>
      <c r="H729" s="3">
        <v>0</v>
      </c>
      <c r="I729" s="3">
        <v>0</v>
      </c>
      <c r="J729" s="4">
        <v>849</v>
      </c>
      <c r="K729" s="3">
        <v>4</v>
      </c>
      <c r="L729" s="3" t="s">
        <v>323</v>
      </c>
      <c r="M729" s="3">
        <v>405</v>
      </c>
      <c r="N729" s="23" t="s">
        <v>1203</v>
      </c>
      <c r="O729" s="3">
        <v>0</v>
      </c>
      <c r="P729" s="3"/>
      <c r="Q729" s="3" t="s">
        <v>272</v>
      </c>
      <c r="R729" s="3" t="s">
        <v>1292</v>
      </c>
      <c r="S729" s="3" t="s">
        <v>1292</v>
      </c>
      <c r="T729" s="3">
        <v>0</v>
      </c>
      <c r="U729" s="3">
        <v>0</v>
      </c>
      <c r="V729" s="6">
        <v>100</v>
      </c>
      <c r="W729" s="7"/>
      <c r="X729" s="3" t="s">
        <v>1291</v>
      </c>
      <c r="Y729" s="3" t="s">
        <v>252</v>
      </c>
    </row>
    <row r="730" spans="1:25" x14ac:dyDescent="0.15">
      <c r="A730" s="3">
        <v>405161</v>
      </c>
      <c r="B730" s="23" t="s">
        <v>1293</v>
      </c>
      <c r="C730" s="6">
        <v>0</v>
      </c>
      <c r="D730" s="3">
        <v>0</v>
      </c>
      <c r="E730" s="3">
        <v>0</v>
      </c>
      <c r="F730" s="3">
        <v>0</v>
      </c>
      <c r="G730" s="3">
        <v>0</v>
      </c>
      <c r="H730" s="3">
        <v>0</v>
      </c>
      <c r="I730" s="3">
        <v>0</v>
      </c>
      <c r="J730" s="4">
        <v>850</v>
      </c>
      <c r="K730" s="3">
        <v>4</v>
      </c>
      <c r="L730" s="3" t="s">
        <v>323</v>
      </c>
      <c r="M730" s="3">
        <v>405</v>
      </c>
      <c r="N730" s="23" t="s">
        <v>1203</v>
      </c>
      <c r="O730" s="3">
        <v>0</v>
      </c>
      <c r="P730" s="3"/>
      <c r="Q730" s="3" t="s">
        <v>272</v>
      </c>
      <c r="R730" s="3" t="s">
        <v>1294</v>
      </c>
      <c r="S730" s="3" t="s">
        <v>1294</v>
      </c>
      <c r="T730" s="3">
        <v>0</v>
      </c>
      <c r="U730" s="3">
        <v>0</v>
      </c>
      <c r="V730" s="6">
        <v>100</v>
      </c>
      <c r="W730" s="7"/>
      <c r="X730" s="3" t="s">
        <v>1293</v>
      </c>
      <c r="Y730" s="3" t="s">
        <v>252</v>
      </c>
    </row>
    <row r="731" spans="1:25" x14ac:dyDescent="0.15">
      <c r="A731" s="3">
        <v>405162</v>
      </c>
      <c r="B731" s="23" t="s">
        <v>1295</v>
      </c>
      <c r="C731" s="6">
        <v>0</v>
      </c>
      <c r="D731" s="3">
        <v>0</v>
      </c>
      <c r="E731" s="3">
        <v>0</v>
      </c>
      <c r="F731" s="3">
        <v>0</v>
      </c>
      <c r="G731" s="3">
        <v>0</v>
      </c>
      <c r="H731" s="3">
        <v>0</v>
      </c>
      <c r="I731" s="3">
        <v>0</v>
      </c>
      <c r="J731" s="4">
        <v>851</v>
      </c>
      <c r="K731" s="3">
        <v>4</v>
      </c>
      <c r="L731" s="3" t="s">
        <v>323</v>
      </c>
      <c r="M731" s="3">
        <v>405</v>
      </c>
      <c r="N731" s="23" t="s">
        <v>1203</v>
      </c>
      <c r="O731" s="3">
        <v>0</v>
      </c>
      <c r="P731" s="3"/>
      <c r="Q731" s="3" t="s">
        <v>272</v>
      </c>
      <c r="R731" s="3" t="s">
        <v>1296</v>
      </c>
      <c r="S731" s="3" t="s">
        <v>1296</v>
      </c>
      <c r="T731" s="3">
        <v>0</v>
      </c>
      <c r="U731" s="3">
        <v>0</v>
      </c>
      <c r="V731" s="6">
        <v>100</v>
      </c>
      <c r="W731" s="7"/>
      <c r="X731" s="3" t="s">
        <v>1295</v>
      </c>
      <c r="Y731" s="3" t="s">
        <v>252</v>
      </c>
    </row>
    <row r="732" spans="1:25" x14ac:dyDescent="0.15">
      <c r="A732" s="3">
        <v>405163</v>
      </c>
      <c r="B732" s="23" t="s">
        <v>1297</v>
      </c>
      <c r="C732" s="6">
        <v>0</v>
      </c>
      <c r="D732" s="3">
        <v>0</v>
      </c>
      <c r="E732" s="3">
        <v>0</v>
      </c>
      <c r="F732" s="3">
        <v>0</v>
      </c>
      <c r="G732" s="3">
        <v>0</v>
      </c>
      <c r="H732" s="3">
        <v>0</v>
      </c>
      <c r="I732" s="3">
        <v>0</v>
      </c>
      <c r="J732" s="4">
        <v>852</v>
      </c>
      <c r="K732" s="3">
        <v>4</v>
      </c>
      <c r="L732" s="3" t="s">
        <v>323</v>
      </c>
      <c r="M732" s="3">
        <v>405</v>
      </c>
      <c r="N732" s="23" t="s">
        <v>1203</v>
      </c>
      <c r="O732" s="3">
        <v>0</v>
      </c>
      <c r="P732" s="3"/>
      <c r="Q732" s="3" t="s">
        <v>272</v>
      </c>
      <c r="R732" s="3" t="s">
        <v>1298</v>
      </c>
      <c r="S732" s="3" t="s">
        <v>1298</v>
      </c>
      <c r="T732" s="3">
        <v>0</v>
      </c>
      <c r="U732" s="3">
        <v>0</v>
      </c>
      <c r="V732" s="6">
        <v>100</v>
      </c>
      <c r="W732" s="7"/>
      <c r="X732" s="3" t="s">
        <v>1297</v>
      </c>
      <c r="Y732" s="3" t="s">
        <v>252</v>
      </c>
    </row>
    <row r="733" spans="1:25" x14ac:dyDescent="0.15">
      <c r="A733" s="3">
        <v>405164</v>
      </c>
      <c r="B733" s="23" t="s">
        <v>1299</v>
      </c>
      <c r="C733" s="6">
        <v>0</v>
      </c>
      <c r="D733" s="3">
        <v>0</v>
      </c>
      <c r="E733" s="3">
        <v>0</v>
      </c>
      <c r="F733" s="3">
        <v>0</v>
      </c>
      <c r="G733" s="3">
        <v>0</v>
      </c>
      <c r="H733" s="3">
        <v>0</v>
      </c>
      <c r="I733" s="3">
        <v>0</v>
      </c>
      <c r="J733" s="4">
        <v>853</v>
      </c>
      <c r="K733" s="3">
        <v>4</v>
      </c>
      <c r="L733" s="3" t="s">
        <v>323</v>
      </c>
      <c r="M733" s="3">
        <v>405</v>
      </c>
      <c r="N733" s="23" t="s">
        <v>1203</v>
      </c>
      <c r="O733" s="3">
        <v>0</v>
      </c>
      <c r="P733" s="3"/>
      <c r="Q733" s="3" t="s">
        <v>272</v>
      </c>
      <c r="R733" s="3" t="s">
        <v>1300</v>
      </c>
      <c r="S733" s="3" t="s">
        <v>1300</v>
      </c>
      <c r="T733" s="3">
        <v>0</v>
      </c>
      <c r="U733" s="3">
        <v>0</v>
      </c>
      <c r="V733" s="6">
        <v>100</v>
      </c>
      <c r="W733" s="7"/>
      <c r="X733" s="3" t="s">
        <v>1299</v>
      </c>
      <c r="Y733" s="3" t="s">
        <v>252</v>
      </c>
    </row>
    <row r="734" spans="1:25" x14ac:dyDescent="0.15">
      <c r="A734" s="3">
        <v>405165</v>
      </c>
      <c r="B734" s="23" t="s">
        <v>1301</v>
      </c>
      <c r="C734" s="6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4">
        <v>854</v>
      </c>
      <c r="K734" s="3">
        <v>4</v>
      </c>
      <c r="L734" s="3" t="s">
        <v>323</v>
      </c>
      <c r="M734" s="3">
        <v>405</v>
      </c>
      <c r="N734" s="23" t="s">
        <v>1203</v>
      </c>
      <c r="O734" s="3">
        <v>0</v>
      </c>
      <c r="P734" s="3"/>
      <c r="Q734" s="3" t="s">
        <v>272</v>
      </c>
      <c r="R734" s="3" t="s">
        <v>1302</v>
      </c>
      <c r="S734" s="3" t="s">
        <v>1302</v>
      </c>
      <c r="T734" s="3">
        <v>0</v>
      </c>
      <c r="U734" s="3">
        <v>0</v>
      </c>
      <c r="V734" s="6">
        <v>100</v>
      </c>
      <c r="W734" s="7"/>
      <c r="X734" s="3" t="s">
        <v>1301</v>
      </c>
      <c r="Y734" s="3" t="s">
        <v>252</v>
      </c>
    </row>
    <row r="735" spans="1:25" x14ac:dyDescent="0.15">
      <c r="A735" s="3">
        <v>405166</v>
      </c>
      <c r="B735" s="23" t="s">
        <v>1303</v>
      </c>
      <c r="C735" s="6">
        <v>0</v>
      </c>
      <c r="D735" s="3">
        <v>0</v>
      </c>
      <c r="E735" s="3">
        <v>0</v>
      </c>
      <c r="F735" s="3">
        <v>0</v>
      </c>
      <c r="G735" s="3">
        <v>0</v>
      </c>
      <c r="H735" s="3">
        <v>0</v>
      </c>
      <c r="I735" s="3">
        <v>0</v>
      </c>
      <c r="J735" s="4">
        <v>855</v>
      </c>
      <c r="K735" s="3">
        <v>4</v>
      </c>
      <c r="L735" s="3" t="s">
        <v>323</v>
      </c>
      <c r="M735" s="3">
        <v>405</v>
      </c>
      <c r="N735" s="23" t="s">
        <v>1203</v>
      </c>
      <c r="O735" s="3">
        <v>0</v>
      </c>
      <c r="P735" s="3"/>
      <c r="Q735" s="3" t="s">
        <v>272</v>
      </c>
      <c r="R735" s="3" t="s">
        <v>1304</v>
      </c>
      <c r="S735" s="3" t="s">
        <v>1304</v>
      </c>
      <c r="T735" s="3">
        <v>0</v>
      </c>
      <c r="U735" s="3">
        <v>0</v>
      </c>
      <c r="V735" s="6">
        <v>100</v>
      </c>
      <c r="W735" s="7"/>
      <c r="X735" s="3" t="s">
        <v>1303</v>
      </c>
      <c r="Y735" s="3" t="s">
        <v>252</v>
      </c>
    </row>
    <row r="736" spans="1:25" x14ac:dyDescent="0.15">
      <c r="A736" s="3">
        <v>405167</v>
      </c>
      <c r="B736" s="23" t="s">
        <v>1305</v>
      </c>
      <c r="C736" s="6">
        <v>0</v>
      </c>
      <c r="D736" s="3">
        <v>0</v>
      </c>
      <c r="E736" s="3">
        <v>0</v>
      </c>
      <c r="F736" s="3">
        <v>0</v>
      </c>
      <c r="G736" s="3">
        <v>0</v>
      </c>
      <c r="H736" s="3">
        <v>0</v>
      </c>
      <c r="I736" s="3">
        <v>0</v>
      </c>
      <c r="J736" s="4">
        <v>856</v>
      </c>
      <c r="K736" s="3">
        <v>4</v>
      </c>
      <c r="L736" s="3" t="s">
        <v>323</v>
      </c>
      <c r="M736" s="3">
        <v>405</v>
      </c>
      <c r="N736" s="23" t="s">
        <v>1203</v>
      </c>
      <c r="O736" s="3">
        <v>0</v>
      </c>
      <c r="P736" s="3"/>
      <c r="Q736" s="3" t="s">
        <v>272</v>
      </c>
      <c r="R736" s="3" t="s">
        <v>1306</v>
      </c>
      <c r="S736" s="3" t="s">
        <v>1306</v>
      </c>
      <c r="T736" s="3">
        <v>0</v>
      </c>
      <c r="U736" s="3">
        <v>0</v>
      </c>
      <c r="V736" s="6">
        <v>100</v>
      </c>
      <c r="W736" s="7"/>
      <c r="X736" s="3" t="s">
        <v>1305</v>
      </c>
      <c r="Y736" s="3" t="s">
        <v>252</v>
      </c>
    </row>
    <row r="737" spans="1:25" x14ac:dyDescent="0.15">
      <c r="A737" s="3">
        <v>405168</v>
      </c>
      <c r="B737" s="23" t="s">
        <v>1307</v>
      </c>
      <c r="C737" s="6">
        <v>0</v>
      </c>
      <c r="D737" s="3">
        <v>0</v>
      </c>
      <c r="E737" s="3">
        <v>0</v>
      </c>
      <c r="F737" s="3">
        <v>0</v>
      </c>
      <c r="G737" s="3">
        <v>0</v>
      </c>
      <c r="H737" s="3">
        <v>0</v>
      </c>
      <c r="I737" s="3">
        <v>0</v>
      </c>
      <c r="J737" s="4">
        <v>857</v>
      </c>
      <c r="K737" s="3">
        <v>4</v>
      </c>
      <c r="L737" s="3" t="s">
        <v>323</v>
      </c>
      <c r="M737" s="3">
        <v>405</v>
      </c>
      <c r="N737" s="23" t="s">
        <v>1203</v>
      </c>
      <c r="O737" s="3">
        <v>0</v>
      </c>
      <c r="P737" s="3"/>
      <c r="Q737" s="3" t="s">
        <v>272</v>
      </c>
      <c r="R737" s="3" t="s">
        <v>1308</v>
      </c>
      <c r="S737" s="3" t="s">
        <v>1308</v>
      </c>
      <c r="T737" s="3">
        <v>0</v>
      </c>
      <c r="U737" s="3">
        <v>0</v>
      </c>
      <c r="V737" s="6">
        <v>100</v>
      </c>
      <c r="W737" s="7"/>
      <c r="X737" s="3" t="s">
        <v>1307</v>
      </c>
      <c r="Y737" s="3" t="s">
        <v>252</v>
      </c>
    </row>
    <row r="738" spans="1:25" x14ac:dyDescent="0.15">
      <c r="A738" s="3">
        <v>405169</v>
      </c>
      <c r="B738" s="23" t="s">
        <v>1309</v>
      </c>
      <c r="C738" s="6">
        <v>0</v>
      </c>
      <c r="D738" s="3">
        <v>0</v>
      </c>
      <c r="E738" s="3">
        <v>0</v>
      </c>
      <c r="F738" s="3">
        <v>0</v>
      </c>
      <c r="G738" s="3">
        <v>0</v>
      </c>
      <c r="H738" s="3">
        <v>0</v>
      </c>
      <c r="I738" s="3">
        <v>0</v>
      </c>
      <c r="J738" s="4">
        <v>858</v>
      </c>
      <c r="K738" s="3">
        <v>4</v>
      </c>
      <c r="L738" s="3" t="s">
        <v>323</v>
      </c>
      <c r="M738" s="3">
        <v>405</v>
      </c>
      <c r="N738" s="23" t="s">
        <v>1203</v>
      </c>
      <c r="O738" s="3">
        <v>0</v>
      </c>
      <c r="P738" s="3"/>
      <c r="Q738" s="3" t="s">
        <v>272</v>
      </c>
      <c r="R738" s="3" t="s">
        <v>1310</v>
      </c>
      <c r="S738" s="3" t="s">
        <v>1310</v>
      </c>
      <c r="T738" s="3">
        <v>0</v>
      </c>
      <c r="U738" s="3">
        <v>0</v>
      </c>
      <c r="V738" s="6">
        <v>100</v>
      </c>
      <c r="W738" s="7"/>
      <c r="X738" s="3" t="s">
        <v>1309</v>
      </c>
      <c r="Y738" s="3" t="s">
        <v>252</v>
      </c>
    </row>
    <row r="739" spans="1:25" x14ac:dyDescent="0.15">
      <c r="A739" s="3">
        <v>405171</v>
      </c>
      <c r="B739" s="23" t="s">
        <v>1311</v>
      </c>
      <c r="C739" s="6">
        <v>0</v>
      </c>
      <c r="D739" s="3">
        <v>0</v>
      </c>
      <c r="E739" s="3">
        <v>0</v>
      </c>
      <c r="F739" s="3">
        <v>0</v>
      </c>
      <c r="G739" s="3">
        <v>0</v>
      </c>
      <c r="H739" s="3">
        <v>0</v>
      </c>
      <c r="I739" s="3">
        <v>0</v>
      </c>
      <c r="J739" s="4">
        <v>859</v>
      </c>
      <c r="K739" s="3">
        <v>4</v>
      </c>
      <c r="L739" s="3" t="s">
        <v>323</v>
      </c>
      <c r="M739" s="3">
        <v>405</v>
      </c>
      <c r="N739" s="23" t="s">
        <v>1203</v>
      </c>
      <c r="O739" s="3">
        <v>0</v>
      </c>
      <c r="P739" s="3"/>
      <c r="Q739" s="3" t="s">
        <v>272</v>
      </c>
      <c r="R739" s="3" t="s">
        <v>1312</v>
      </c>
      <c r="S739" s="3" t="s">
        <v>1312</v>
      </c>
      <c r="T739" s="3">
        <v>0</v>
      </c>
      <c r="U739" s="3">
        <v>0</v>
      </c>
      <c r="V739" s="6">
        <v>100</v>
      </c>
      <c r="W739" s="7"/>
      <c r="X739" s="3" t="s">
        <v>1311</v>
      </c>
      <c r="Y739" s="3" t="s">
        <v>252</v>
      </c>
    </row>
    <row r="740" spans="1:25" x14ac:dyDescent="0.15">
      <c r="A740" s="3">
        <v>405172</v>
      </c>
      <c r="B740" s="23" t="s">
        <v>1313</v>
      </c>
      <c r="C740" s="6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4">
        <v>860</v>
      </c>
      <c r="K740" s="3">
        <v>4</v>
      </c>
      <c r="L740" s="3" t="s">
        <v>323</v>
      </c>
      <c r="M740" s="3">
        <v>405</v>
      </c>
      <c r="N740" s="23" t="s">
        <v>1203</v>
      </c>
      <c r="O740" s="3">
        <v>0</v>
      </c>
      <c r="P740" s="3"/>
      <c r="Q740" s="3" t="s">
        <v>272</v>
      </c>
      <c r="R740" s="3" t="s">
        <v>1314</v>
      </c>
      <c r="S740" s="3" t="s">
        <v>1314</v>
      </c>
      <c r="T740" s="3">
        <v>0</v>
      </c>
      <c r="U740" s="3">
        <v>0</v>
      </c>
      <c r="V740" s="6">
        <v>100</v>
      </c>
      <c r="W740" s="7"/>
      <c r="X740" s="3" t="s">
        <v>1313</v>
      </c>
      <c r="Y740" s="3" t="s">
        <v>252</v>
      </c>
    </row>
    <row r="741" spans="1:25" x14ac:dyDescent="0.15">
      <c r="A741" s="3">
        <v>405173</v>
      </c>
      <c r="B741" s="23" t="s">
        <v>1315</v>
      </c>
      <c r="C741" s="6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4">
        <v>861</v>
      </c>
      <c r="K741" s="3">
        <v>4</v>
      </c>
      <c r="L741" s="3" t="s">
        <v>323</v>
      </c>
      <c r="M741" s="3">
        <v>405</v>
      </c>
      <c r="N741" s="23" t="s">
        <v>1203</v>
      </c>
      <c r="O741" s="3">
        <v>0</v>
      </c>
      <c r="P741" s="3"/>
      <c r="Q741" s="3" t="s">
        <v>272</v>
      </c>
      <c r="R741" s="3" t="s">
        <v>1314</v>
      </c>
      <c r="S741" s="3" t="s">
        <v>1314</v>
      </c>
      <c r="T741" s="3">
        <v>0</v>
      </c>
      <c r="U741" s="3">
        <v>0</v>
      </c>
      <c r="V741" s="6">
        <v>100</v>
      </c>
      <c r="W741" s="7"/>
      <c r="X741" s="3" t="s">
        <v>1315</v>
      </c>
      <c r="Y741" s="3" t="s">
        <v>252</v>
      </c>
    </row>
    <row r="742" spans="1:25" x14ac:dyDescent="0.15">
      <c r="A742" s="3">
        <v>405174</v>
      </c>
      <c r="B742" s="23" t="s">
        <v>1316</v>
      </c>
      <c r="C742" s="6">
        <v>0</v>
      </c>
      <c r="D742" s="3">
        <v>0</v>
      </c>
      <c r="E742" s="3">
        <v>0</v>
      </c>
      <c r="F742" s="3">
        <v>0</v>
      </c>
      <c r="G742" s="3">
        <v>0</v>
      </c>
      <c r="H742" s="3">
        <v>0</v>
      </c>
      <c r="I742" s="3">
        <v>0</v>
      </c>
      <c r="J742" s="4">
        <v>862</v>
      </c>
      <c r="K742" s="3">
        <v>4</v>
      </c>
      <c r="L742" s="3" t="s">
        <v>323</v>
      </c>
      <c r="M742" s="3">
        <v>405</v>
      </c>
      <c r="N742" s="23" t="s">
        <v>1203</v>
      </c>
      <c r="O742" s="3">
        <v>0</v>
      </c>
      <c r="P742" s="3"/>
      <c r="Q742" s="3" t="s">
        <v>272</v>
      </c>
      <c r="R742" s="3" t="s">
        <v>1314</v>
      </c>
      <c r="S742" s="3" t="s">
        <v>1314</v>
      </c>
      <c r="T742" s="3">
        <v>0</v>
      </c>
      <c r="U742" s="3">
        <v>0</v>
      </c>
      <c r="V742" s="6">
        <v>100</v>
      </c>
      <c r="W742" s="7"/>
      <c r="X742" s="3" t="s">
        <v>1316</v>
      </c>
      <c r="Y742" s="3" t="s">
        <v>252</v>
      </c>
    </row>
    <row r="743" spans="1:25" x14ac:dyDescent="0.15">
      <c r="A743" s="3">
        <v>405175</v>
      </c>
      <c r="B743" s="23" t="s">
        <v>1317</v>
      </c>
      <c r="C743" s="6">
        <v>0</v>
      </c>
      <c r="D743" s="3">
        <v>0</v>
      </c>
      <c r="E743" s="3">
        <v>0</v>
      </c>
      <c r="F743" s="3">
        <v>0</v>
      </c>
      <c r="G743" s="3">
        <v>0</v>
      </c>
      <c r="H743" s="3">
        <v>0</v>
      </c>
      <c r="I743" s="3">
        <v>0</v>
      </c>
      <c r="J743" s="4">
        <v>863</v>
      </c>
      <c r="K743" s="3">
        <v>4</v>
      </c>
      <c r="L743" s="3" t="s">
        <v>323</v>
      </c>
      <c r="M743" s="3">
        <v>405</v>
      </c>
      <c r="N743" s="23" t="s">
        <v>1203</v>
      </c>
      <c r="O743" s="3">
        <v>0</v>
      </c>
      <c r="P743" s="3"/>
      <c r="Q743" s="3" t="s">
        <v>272</v>
      </c>
      <c r="R743" s="3" t="s">
        <v>1314</v>
      </c>
      <c r="S743" s="3" t="s">
        <v>1314</v>
      </c>
      <c r="T743" s="3">
        <v>0</v>
      </c>
      <c r="U743" s="3">
        <v>0</v>
      </c>
      <c r="V743" s="6">
        <v>100</v>
      </c>
      <c r="W743" s="7"/>
      <c r="X743" s="3" t="s">
        <v>1317</v>
      </c>
      <c r="Y743" s="3" t="s">
        <v>252</v>
      </c>
    </row>
    <row r="744" spans="1:25" x14ac:dyDescent="0.15">
      <c r="A744" s="3">
        <v>405176</v>
      </c>
      <c r="B744" s="23" t="s">
        <v>1318</v>
      </c>
      <c r="C744" s="6">
        <v>0</v>
      </c>
      <c r="D744" s="3">
        <v>0</v>
      </c>
      <c r="E744" s="3">
        <v>0</v>
      </c>
      <c r="F744" s="3">
        <v>0</v>
      </c>
      <c r="G744" s="3">
        <v>0</v>
      </c>
      <c r="H744" s="3">
        <v>0</v>
      </c>
      <c r="I744" s="3">
        <v>0</v>
      </c>
      <c r="J744" s="4">
        <v>864</v>
      </c>
      <c r="K744" s="3">
        <v>4</v>
      </c>
      <c r="L744" s="3" t="s">
        <v>323</v>
      </c>
      <c r="M744" s="3">
        <v>405</v>
      </c>
      <c r="N744" s="23" t="s">
        <v>1203</v>
      </c>
      <c r="O744" s="3">
        <v>0</v>
      </c>
      <c r="P744" s="3"/>
      <c r="Q744" s="3" t="s">
        <v>272</v>
      </c>
      <c r="R744" s="3" t="s">
        <v>1314</v>
      </c>
      <c r="S744" s="3" t="s">
        <v>1314</v>
      </c>
      <c r="T744" s="3">
        <v>0</v>
      </c>
      <c r="U744" s="3">
        <v>0</v>
      </c>
      <c r="V744" s="6">
        <v>100</v>
      </c>
      <c r="W744" s="7"/>
      <c r="X744" s="3" t="s">
        <v>1318</v>
      </c>
      <c r="Y744" s="3" t="s">
        <v>252</v>
      </c>
    </row>
    <row r="745" spans="1:25" x14ac:dyDescent="0.15">
      <c r="A745" s="3">
        <v>405177</v>
      </c>
      <c r="B745" s="23" t="s">
        <v>1319</v>
      </c>
      <c r="C745" s="6">
        <v>0</v>
      </c>
      <c r="D745" s="3">
        <v>0</v>
      </c>
      <c r="E745" s="3">
        <v>0</v>
      </c>
      <c r="F745" s="3">
        <v>0</v>
      </c>
      <c r="G745" s="3">
        <v>0</v>
      </c>
      <c r="H745" s="3">
        <v>0</v>
      </c>
      <c r="I745" s="3">
        <v>0</v>
      </c>
      <c r="J745" s="4">
        <v>865</v>
      </c>
      <c r="K745" s="3">
        <v>4</v>
      </c>
      <c r="L745" s="3" t="s">
        <v>323</v>
      </c>
      <c r="M745" s="3">
        <v>405</v>
      </c>
      <c r="N745" s="23" t="s">
        <v>1203</v>
      </c>
      <c r="O745" s="3">
        <v>0</v>
      </c>
      <c r="P745" s="3"/>
      <c r="Q745" s="3" t="s">
        <v>272</v>
      </c>
      <c r="R745" s="3" t="s">
        <v>1314</v>
      </c>
      <c r="S745" s="3" t="s">
        <v>1314</v>
      </c>
      <c r="T745" s="3">
        <v>0</v>
      </c>
      <c r="U745" s="3">
        <v>0</v>
      </c>
      <c r="V745" s="6">
        <v>100</v>
      </c>
      <c r="W745" s="7"/>
      <c r="X745" s="3" t="s">
        <v>1319</v>
      </c>
      <c r="Y745" s="3" t="s">
        <v>252</v>
      </c>
    </row>
    <row r="746" spans="1:25" x14ac:dyDescent="0.15">
      <c r="A746" s="3">
        <v>405178</v>
      </c>
      <c r="B746" s="23" t="s">
        <v>1320</v>
      </c>
      <c r="C746" s="6">
        <v>0</v>
      </c>
      <c r="D746" s="3">
        <v>0</v>
      </c>
      <c r="E746" s="3">
        <v>0</v>
      </c>
      <c r="F746" s="3">
        <v>0</v>
      </c>
      <c r="G746" s="3">
        <v>0</v>
      </c>
      <c r="H746" s="3">
        <v>0</v>
      </c>
      <c r="I746" s="3">
        <v>0</v>
      </c>
      <c r="J746" s="4">
        <v>866</v>
      </c>
      <c r="K746" s="3">
        <v>4</v>
      </c>
      <c r="L746" s="3" t="s">
        <v>323</v>
      </c>
      <c r="M746" s="3">
        <v>405</v>
      </c>
      <c r="N746" s="23" t="s">
        <v>1203</v>
      </c>
      <c r="O746" s="3">
        <v>0</v>
      </c>
      <c r="P746" s="3"/>
      <c r="Q746" s="3" t="s">
        <v>272</v>
      </c>
      <c r="R746" s="3" t="s">
        <v>1314</v>
      </c>
      <c r="S746" s="3" t="s">
        <v>1314</v>
      </c>
      <c r="T746" s="3">
        <v>0</v>
      </c>
      <c r="U746" s="3">
        <v>0</v>
      </c>
      <c r="V746" s="6">
        <v>100</v>
      </c>
      <c r="W746" s="7"/>
      <c r="X746" s="3" t="s">
        <v>1320</v>
      </c>
      <c r="Y746" s="3" t="s">
        <v>252</v>
      </c>
    </row>
    <row r="747" spans="1:25" x14ac:dyDescent="0.15">
      <c r="A747" s="3">
        <v>405179</v>
      </c>
      <c r="B747" s="23" t="s">
        <v>1321</v>
      </c>
      <c r="C747" s="6">
        <v>0</v>
      </c>
      <c r="D747" s="3">
        <v>0</v>
      </c>
      <c r="E747" s="3">
        <v>0</v>
      </c>
      <c r="F747" s="3">
        <v>0</v>
      </c>
      <c r="G747" s="3">
        <v>0</v>
      </c>
      <c r="H747" s="3">
        <v>0</v>
      </c>
      <c r="I747" s="3">
        <v>0</v>
      </c>
      <c r="J747" s="4">
        <v>867</v>
      </c>
      <c r="K747" s="3">
        <v>4</v>
      </c>
      <c r="L747" s="3" t="s">
        <v>323</v>
      </c>
      <c r="M747" s="3">
        <v>405</v>
      </c>
      <c r="N747" s="23" t="s">
        <v>1203</v>
      </c>
      <c r="O747" s="3">
        <v>0</v>
      </c>
      <c r="P747" s="3"/>
      <c r="Q747" s="3" t="s">
        <v>272</v>
      </c>
      <c r="R747" s="3" t="s">
        <v>1314</v>
      </c>
      <c r="S747" s="3" t="s">
        <v>1314</v>
      </c>
      <c r="T747" s="3">
        <v>0</v>
      </c>
      <c r="U747" s="3">
        <v>0</v>
      </c>
      <c r="V747" s="6">
        <v>100</v>
      </c>
      <c r="W747" s="7"/>
      <c r="X747" s="3" t="s">
        <v>1321</v>
      </c>
      <c r="Y747" s="3" t="s">
        <v>252</v>
      </c>
    </row>
    <row r="748" spans="1:25" x14ac:dyDescent="0.15">
      <c r="A748" s="3">
        <v>405181</v>
      </c>
      <c r="B748" s="23" t="s">
        <v>1322</v>
      </c>
      <c r="C748" s="6">
        <v>0</v>
      </c>
      <c r="D748" s="3">
        <v>0</v>
      </c>
      <c r="E748" s="3">
        <v>0</v>
      </c>
      <c r="F748" s="3">
        <v>0</v>
      </c>
      <c r="G748" s="3">
        <v>0</v>
      </c>
      <c r="H748" s="3">
        <v>0</v>
      </c>
      <c r="I748" s="3">
        <v>0</v>
      </c>
      <c r="J748" s="4">
        <v>868</v>
      </c>
      <c r="K748" s="3">
        <v>4</v>
      </c>
      <c r="L748" s="3" t="s">
        <v>323</v>
      </c>
      <c r="M748" s="3">
        <v>405</v>
      </c>
      <c r="N748" s="23" t="s">
        <v>1203</v>
      </c>
      <c r="O748" s="3">
        <v>0</v>
      </c>
      <c r="P748" s="3"/>
      <c r="Q748" s="3" t="s">
        <v>272</v>
      </c>
      <c r="R748" s="3" t="s">
        <v>1323</v>
      </c>
      <c r="S748" s="3" t="s">
        <v>1323</v>
      </c>
      <c r="T748" s="3">
        <v>0</v>
      </c>
      <c r="U748" s="3">
        <v>0</v>
      </c>
      <c r="V748" s="6">
        <v>100</v>
      </c>
      <c r="W748" s="7"/>
      <c r="X748" s="3" t="s">
        <v>1322</v>
      </c>
      <c r="Y748" s="3" t="s">
        <v>252</v>
      </c>
    </row>
    <row r="749" spans="1:25" x14ac:dyDescent="0.15">
      <c r="A749" s="3">
        <v>405182</v>
      </c>
      <c r="B749" s="23" t="s">
        <v>1324</v>
      </c>
      <c r="C749" s="6">
        <v>0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4">
        <v>869</v>
      </c>
      <c r="K749" s="3">
        <v>4</v>
      </c>
      <c r="L749" s="3" t="s">
        <v>323</v>
      </c>
      <c r="M749" s="3">
        <v>405</v>
      </c>
      <c r="N749" s="23" t="s">
        <v>1203</v>
      </c>
      <c r="O749" s="3">
        <v>0</v>
      </c>
      <c r="P749" s="3"/>
      <c r="Q749" s="3" t="s">
        <v>272</v>
      </c>
      <c r="R749" s="3" t="s">
        <v>1325</v>
      </c>
      <c r="S749" s="3" t="s">
        <v>1325</v>
      </c>
      <c r="T749" s="3">
        <v>0</v>
      </c>
      <c r="U749" s="3">
        <v>0</v>
      </c>
      <c r="V749" s="6">
        <v>100</v>
      </c>
      <c r="W749" s="7"/>
      <c r="X749" s="3" t="s">
        <v>1324</v>
      </c>
      <c r="Y749" s="3" t="s">
        <v>252</v>
      </c>
    </row>
    <row r="750" spans="1:25" x14ac:dyDescent="0.15">
      <c r="A750" s="3">
        <v>405183</v>
      </c>
      <c r="B750" s="23" t="s">
        <v>1326</v>
      </c>
      <c r="C750" s="6">
        <v>0</v>
      </c>
      <c r="D750" s="3">
        <v>0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4">
        <v>870</v>
      </c>
      <c r="K750" s="3">
        <v>4</v>
      </c>
      <c r="L750" s="3" t="s">
        <v>323</v>
      </c>
      <c r="M750" s="3">
        <v>405</v>
      </c>
      <c r="N750" s="23" t="s">
        <v>1203</v>
      </c>
      <c r="O750" s="3">
        <v>0</v>
      </c>
      <c r="P750" s="3"/>
      <c r="Q750" s="3" t="s">
        <v>272</v>
      </c>
      <c r="R750" s="3" t="s">
        <v>1325</v>
      </c>
      <c r="S750" s="3" t="s">
        <v>1325</v>
      </c>
      <c r="T750" s="3">
        <v>0</v>
      </c>
      <c r="U750" s="3">
        <v>0</v>
      </c>
      <c r="V750" s="6">
        <v>100</v>
      </c>
      <c r="W750" s="7"/>
      <c r="X750" s="3" t="s">
        <v>1326</v>
      </c>
      <c r="Y750" s="3" t="s">
        <v>252</v>
      </c>
    </row>
    <row r="751" spans="1:25" x14ac:dyDescent="0.15">
      <c r="A751" s="3">
        <v>405184</v>
      </c>
      <c r="B751" s="23" t="s">
        <v>1327</v>
      </c>
      <c r="C751" s="6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4">
        <v>871</v>
      </c>
      <c r="K751" s="3">
        <v>4</v>
      </c>
      <c r="L751" s="3" t="s">
        <v>323</v>
      </c>
      <c r="M751" s="3">
        <v>405</v>
      </c>
      <c r="N751" s="23" t="s">
        <v>1203</v>
      </c>
      <c r="O751" s="3">
        <v>0</v>
      </c>
      <c r="P751" s="3"/>
      <c r="Q751" s="3" t="s">
        <v>272</v>
      </c>
      <c r="R751" s="3" t="s">
        <v>1325</v>
      </c>
      <c r="S751" s="3" t="s">
        <v>1325</v>
      </c>
      <c r="T751" s="3">
        <v>0</v>
      </c>
      <c r="U751" s="3">
        <v>0</v>
      </c>
      <c r="V751" s="6">
        <v>100</v>
      </c>
      <c r="W751" s="7"/>
      <c r="X751" s="3" t="s">
        <v>1327</v>
      </c>
      <c r="Y751" s="3" t="s">
        <v>252</v>
      </c>
    </row>
    <row r="752" spans="1:25" x14ac:dyDescent="0.15">
      <c r="A752" s="3">
        <v>405185</v>
      </c>
      <c r="B752" s="23" t="s">
        <v>1328</v>
      </c>
      <c r="C752" s="6">
        <v>0</v>
      </c>
      <c r="D752" s="3">
        <v>0</v>
      </c>
      <c r="E752" s="3">
        <v>0</v>
      </c>
      <c r="F752" s="3">
        <v>0</v>
      </c>
      <c r="G752" s="3">
        <v>0</v>
      </c>
      <c r="H752" s="3">
        <v>0</v>
      </c>
      <c r="I752" s="3">
        <v>0</v>
      </c>
      <c r="J752" s="4">
        <v>872</v>
      </c>
      <c r="K752" s="3">
        <v>4</v>
      </c>
      <c r="L752" s="3" t="s">
        <v>323</v>
      </c>
      <c r="M752" s="3">
        <v>405</v>
      </c>
      <c r="N752" s="23" t="s">
        <v>1203</v>
      </c>
      <c r="O752" s="3">
        <v>0</v>
      </c>
      <c r="P752" s="3"/>
      <c r="Q752" s="3" t="s">
        <v>272</v>
      </c>
      <c r="R752" s="3" t="s">
        <v>1325</v>
      </c>
      <c r="S752" s="3" t="s">
        <v>1325</v>
      </c>
      <c r="T752" s="3">
        <v>0</v>
      </c>
      <c r="U752" s="3">
        <v>0</v>
      </c>
      <c r="V752" s="6">
        <v>100</v>
      </c>
      <c r="W752" s="7"/>
      <c r="X752" s="3" t="s">
        <v>1328</v>
      </c>
      <c r="Y752" s="3" t="s">
        <v>252</v>
      </c>
    </row>
    <row r="753" spans="1:25" x14ac:dyDescent="0.15">
      <c r="A753" s="3">
        <v>405186</v>
      </c>
      <c r="B753" s="23" t="s">
        <v>1329</v>
      </c>
      <c r="C753" s="6">
        <v>0</v>
      </c>
      <c r="D753" s="3">
        <v>0</v>
      </c>
      <c r="E753" s="3">
        <v>0</v>
      </c>
      <c r="F753" s="3">
        <v>0</v>
      </c>
      <c r="G753" s="3">
        <v>0</v>
      </c>
      <c r="H753" s="3">
        <v>0</v>
      </c>
      <c r="I753" s="3">
        <v>0</v>
      </c>
      <c r="J753" s="4">
        <v>873</v>
      </c>
      <c r="K753" s="3">
        <v>4</v>
      </c>
      <c r="L753" s="3" t="s">
        <v>323</v>
      </c>
      <c r="M753" s="3">
        <v>405</v>
      </c>
      <c r="N753" s="23" t="s">
        <v>1203</v>
      </c>
      <c r="O753" s="3">
        <v>0</v>
      </c>
      <c r="P753" s="3"/>
      <c r="Q753" s="3" t="s">
        <v>272</v>
      </c>
      <c r="R753" s="3" t="s">
        <v>1325</v>
      </c>
      <c r="S753" s="3" t="s">
        <v>1325</v>
      </c>
      <c r="T753" s="3">
        <v>0</v>
      </c>
      <c r="U753" s="3">
        <v>0</v>
      </c>
      <c r="V753" s="6">
        <v>100</v>
      </c>
      <c r="W753" s="7"/>
      <c r="X753" s="3" t="s">
        <v>1329</v>
      </c>
      <c r="Y753" s="3" t="s">
        <v>252</v>
      </c>
    </row>
    <row r="754" spans="1:25" x14ac:dyDescent="0.15">
      <c r="A754" s="3">
        <v>405187</v>
      </c>
      <c r="B754" s="23" t="s">
        <v>1330</v>
      </c>
      <c r="C754" s="6">
        <v>0</v>
      </c>
      <c r="D754" s="3">
        <v>0</v>
      </c>
      <c r="E754" s="3">
        <v>0</v>
      </c>
      <c r="F754" s="3">
        <v>0</v>
      </c>
      <c r="G754" s="3">
        <v>0</v>
      </c>
      <c r="H754" s="3">
        <v>0</v>
      </c>
      <c r="I754" s="3">
        <v>0</v>
      </c>
      <c r="J754" s="4">
        <v>874</v>
      </c>
      <c r="K754" s="3">
        <v>4</v>
      </c>
      <c r="L754" s="3" t="s">
        <v>323</v>
      </c>
      <c r="M754" s="3">
        <v>405</v>
      </c>
      <c r="N754" s="23" t="s">
        <v>1203</v>
      </c>
      <c r="O754" s="3">
        <v>0</v>
      </c>
      <c r="P754" s="3"/>
      <c r="Q754" s="3" t="s">
        <v>272</v>
      </c>
      <c r="R754" s="3" t="s">
        <v>1325</v>
      </c>
      <c r="S754" s="3" t="s">
        <v>1325</v>
      </c>
      <c r="T754" s="3">
        <v>0</v>
      </c>
      <c r="U754" s="3">
        <v>0</v>
      </c>
      <c r="V754" s="6">
        <v>100</v>
      </c>
      <c r="W754" s="7"/>
      <c r="X754" s="3" t="s">
        <v>1330</v>
      </c>
      <c r="Y754" s="3" t="s">
        <v>252</v>
      </c>
    </row>
    <row r="755" spans="1:25" x14ac:dyDescent="0.15">
      <c r="A755" s="3">
        <v>405188</v>
      </c>
      <c r="B755" s="23" t="s">
        <v>1331</v>
      </c>
      <c r="C755" s="6">
        <v>0</v>
      </c>
      <c r="D755" s="3">
        <v>0</v>
      </c>
      <c r="E755" s="3">
        <v>0</v>
      </c>
      <c r="F755" s="3">
        <v>0</v>
      </c>
      <c r="G755" s="3">
        <v>0</v>
      </c>
      <c r="H755" s="3">
        <v>0</v>
      </c>
      <c r="I755" s="3">
        <v>0</v>
      </c>
      <c r="J755" s="4">
        <v>875</v>
      </c>
      <c r="K755" s="3">
        <v>4</v>
      </c>
      <c r="L755" s="3" t="s">
        <v>323</v>
      </c>
      <c r="M755" s="3">
        <v>405</v>
      </c>
      <c r="N755" s="23" t="s">
        <v>1203</v>
      </c>
      <c r="O755" s="3">
        <v>0</v>
      </c>
      <c r="P755" s="3"/>
      <c r="Q755" s="3" t="s">
        <v>272</v>
      </c>
      <c r="R755" s="3" t="s">
        <v>1325</v>
      </c>
      <c r="S755" s="3" t="s">
        <v>1325</v>
      </c>
      <c r="T755" s="3">
        <v>0</v>
      </c>
      <c r="U755" s="3">
        <v>0</v>
      </c>
      <c r="V755" s="6">
        <v>100</v>
      </c>
      <c r="W755" s="7"/>
      <c r="X755" s="3" t="s">
        <v>1331</v>
      </c>
      <c r="Y755" s="3" t="s">
        <v>252</v>
      </c>
    </row>
    <row r="756" spans="1:25" x14ac:dyDescent="0.15">
      <c r="A756" s="3">
        <v>405189</v>
      </c>
      <c r="B756" s="23" t="s">
        <v>1332</v>
      </c>
      <c r="C756" s="6">
        <v>0</v>
      </c>
      <c r="D756" s="3">
        <v>0</v>
      </c>
      <c r="E756" s="3">
        <v>0</v>
      </c>
      <c r="F756" s="3">
        <v>0</v>
      </c>
      <c r="G756" s="3">
        <v>0</v>
      </c>
      <c r="H756" s="3">
        <v>0</v>
      </c>
      <c r="I756" s="3">
        <v>0</v>
      </c>
      <c r="J756" s="4">
        <v>876</v>
      </c>
      <c r="K756" s="3">
        <v>4</v>
      </c>
      <c r="L756" s="3" t="s">
        <v>323</v>
      </c>
      <c r="M756" s="3">
        <v>405</v>
      </c>
      <c r="N756" s="23" t="s">
        <v>1203</v>
      </c>
      <c r="O756" s="3">
        <v>0</v>
      </c>
      <c r="P756" s="3"/>
      <c r="Q756" s="3" t="s">
        <v>272</v>
      </c>
      <c r="R756" s="3" t="s">
        <v>1325</v>
      </c>
      <c r="S756" s="3" t="s">
        <v>1325</v>
      </c>
      <c r="T756" s="3">
        <v>0</v>
      </c>
      <c r="U756" s="3">
        <v>0</v>
      </c>
      <c r="V756" s="6">
        <v>100</v>
      </c>
      <c r="W756" s="7"/>
      <c r="X756" s="3" t="s">
        <v>1332</v>
      </c>
      <c r="Y756" s="3" t="s">
        <v>252</v>
      </c>
    </row>
    <row r="757" spans="1:25" x14ac:dyDescent="0.15">
      <c r="A757" s="3">
        <v>405191</v>
      </c>
      <c r="B757" s="23" t="s">
        <v>1333</v>
      </c>
      <c r="C757" s="6">
        <v>0</v>
      </c>
      <c r="D757" s="3">
        <v>0</v>
      </c>
      <c r="E757" s="3">
        <v>0</v>
      </c>
      <c r="F757" s="3">
        <v>0</v>
      </c>
      <c r="G757" s="3">
        <v>0</v>
      </c>
      <c r="H757" s="3">
        <v>0</v>
      </c>
      <c r="I757" s="3">
        <v>0</v>
      </c>
      <c r="J757" s="4">
        <v>877</v>
      </c>
      <c r="K757" s="3">
        <v>4</v>
      </c>
      <c r="L757" s="3" t="s">
        <v>323</v>
      </c>
      <c r="M757" s="3">
        <v>405</v>
      </c>
      <c r="N757" s="23" t="s">
        <v>1203</v>
      </c>
      <c r="O757" s="3">
        <v>0</v>
      </c>
      <c r="P757" s="3"/>
      <c r="Q757" s="3" t="s">
        <v>272</v>
      </c>
      <c r="R757" s="3" t="s">
        <v>1334</v>
      </c>
      <c r="S757" s="3" t="s">
        <v>1334</v>
      </c>
      <c r="T757" s="3">
        <v>0</v>
      </c>
      <c r="U757" s="3">
        <v>0</v>
      </c>
      <c r="V757" s="6">
        <v>100</v>
      </c>
      <c r="W757" s="7"/>
      <c r="X757" s="3" t="s">
        <v>1333</v>
      </c>
      <c r="Y757" s="3" t="s">
        <v>252</v>
      </c>
    </row>
    <row r="758" spans="1:25" x14ac:dyDescent="0.15">
      <c r="A758" s="3">
        <v>405192</v>
      </c>
      <c r="B758" s="23" t="s">
        <v>1335</v>
      </c>
      <c r="C758" s="6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4">
        <v>878</v>
      </c>
      <c r="K758" s="3">
        <v>4</v>
      </c>
      <c r="L758" s="3" t="s">
        <v>323</v>
      </c>
      <c r="M758" s="3">
        <v>405</v>
      </c>
      <c r="N758" s="23" t="s">
        <v>1203</v>
      </c>
      <c r="O758" s="3">
        <v>0</v>
      </c>
      <c r="P758" s="3"/>
      <c r="Q758" s="3" t="s">
        <v>272</v>
      </c>
      <c r="R758" s="3" t="s">
        <v>1336</v>
      </c>
      <c r="S758" s="3" t="s">
        <v>1336</v>
      </c>
      <c r="T758" s="3">
        <v>0</v>
      </c>
      <c r="U758" s="3">
        <v>0</v>
      </c>
      <c r="V758" s="6">
        <v>100</v>
      </c>
      <c r="W758" s="7"/>
      <c r="X758" s="3" t="s">
        <v>1335</v>
      </c>
      <c r="Y758" s="3" t="s">
        <v>252</v>
      </c>
    </row>
    <row r="759" spans="1:25" x14ac:dyDescent="0.15">
      <c r="A759" s="3">
        <v>405193</v>
      </c>
      <c r="B759" s="23" t="s">
        <v>1337</v>
      </c>
      <c r="C759" s="6">
        <v>0</v>
      </c>
      <c r="D759" s="3">
        <v>0</v>
      </c>
      <c r="E759" s="3">
        <v>0</v>
      </c>
      <c r="F759" s="3">
        <v>0</v>
      </c>
      <c r="G759" s="3">
        <v>0</v>
      </c>
      <c r="H759" s="3">
        <v>0</v>
      </c>
      <c r="I759" s="3">
        <v>0</v>
      </c>
      <c r="J759" s="4">
        <v>879</v>
      </c>
      <c r="K759" s="3">
        <v>4</v>
      </c>
      <c r="L759" s="3" t="s">
        <v>323</v>
      </c>
      <c r="M759" s="3">
        <v>405</v>
      </c>
      <c r="N759" s="23" t="s">
        <v>1203</v>
      </c>
      <c r="O759" s="3">
        <v>0</v>
      </c>
      <c r="P759" s="3"/>
      <c r="Q759" s="3" t="s">
        <v>272</v>
      </c>
      <c r="R759" s="3" t="s">
        <v>1338</v>
      </c>
      <c r="S759" s="3" t="s">
        <v>1338</v>
      </c>
      <c r="T759" s="3">
        <v>0</v>
      </c>
      <c r="U759" s="3">
        <v>0</v>
      </c>
      <c r="V759" s="6">
        <v>100</v>
      </c>
      <c r="W759" s="7"/>
      <c r="X759" s="3" t="s">
        <v>1337</v>
      </c>
      <c r="Y759" s="3" t="s">
        <v>252</v>
      </c>
    </row>
    <row r="760" spans="1:25" x14ac:dyDescent="0.15">
      <c r="A760" s="3">
        <v>405194</v>
      </c>
      <c r="B760" s="23" t="s">
        <v>1339</v>
      </c>
      <c r="C760" s="6">
        <v>0</v>
      </c>
      <c r="D760" s="3">
        <v>0</v>
      </c>
      <c r="E760" s="3">
        <v>0</v>
      </c>
      <c r="F760" s="3">
        <v>0</v>
      </c>
      <c r="G760" s="3">
        <v>0</v>
      </c>
      <c r="H760" s="3">
        <v>0</v>
      </c>
      <c r="I760" s="3">
        <v>0</v>
      </c>
      <c r="J760" s="4">
        <v>880</v>
      </c>
      <c r="K760" s="3">
        <v>4</v>
      </c>
      <c r="L760" s="3" t="s">
        <v>323</v>
      </c>
      <c r="M760" s="3">
        <v>405</v>
      </c>
      <c r="N760" s="23" t="s">
        <v>1203</v>
      </c>
      <c r="O760" s="3">
        <v>0</v>
      </c>
      <c r="P760" s="3"/>
      <c r="Q760" s="3" t="s">
        <v>272</v>
      </c>
      <c r="R760" s="3" t="s">
        <v>1340</v>
      </c>
      <c r="S760" s="3" t="s">
        <v>1340</v>
      </c>
      <c r="T760" s="3">
        <v>0</v>
      </c>
      <c r="U760" s="3">
        <v>0</v>
      </c>
      <c r="V760" s="6">
        <v>100</v>
      </c>
      <c r="W760" s="7"/>
      <c r="X760" s="3" t="s">
        <v>1339</v>
      </c>
      <c r="Y760" s="3" t="s">
        <v>252</v>
      </c>
    </row>
    <row r="761" spans="1:25" x14ac:dyDescent="0.15">
      <c r="A761" s="3">
        <v>405195</v>
      </c>
      <c r="B761" s="23" t="s">
        <v>1341</v>
      </c>
      <c r="C761" s="6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4">
        <v>881</v>
      </c>
      <c r="K761" s="3">
        <v>4</v>
      </c>
      <c r="L761" s="3" t="s">
        <v>323</v>
      </c>
      <c r="M761" s="3">
        <v>405</v>
      </c>
      <c r="N761" s="23" t="s">
        <v>1203</v>
      </c>
      <c r="O761" s="3">
        <v>0</v>
      </c>
      <c r="P761" s="3"/>
      <c r="Q761" s="3" t="s">
        <v>272</v>
      </c>
      <c r="R761" s="3" t="s">
        <v>1342</v>
      </c>
      <c r="S761" s="3" t="s">
        <v>1342</v>
      </c>
      <c r="T761" s="3">
        <v>0</v>
      </c>
      <c r="U761" s="3">
        <v>0</v>
      </c>
      <c r="V761" s="6">
        <v>100</v>
      </c>
      <c r="W761" s="7"/>
      <c r="X761" s="3" t="s">
        <v>1341</v>
      </c>
      <c r="Y761" s="3" t="s">
        <v>252</v>
      </c>
    </row>
    <row r="762" spans="1:25" x14ac:dyDescent="0.15">
      <c r="A762" s="3">
        <v>405196</v>
      </c>
      <c r="B762" s="23" t="s">
        <v>1343</v>
      </c>
      <c r="C762" s="6">
        <v>0</v>
      </c>
      <c r="D762" s="3">
        <v>0</v>
      </c>
      <c r="E762" s="3">
        <v>0</v>
      </c>
      <c r="F762" s="3">
        <v>0</v>
      </c>
      <c r="G762" s="3">
        <v>0</v>
      </c>
      <c r="H762" s="3">
        <v>0</v>
      </c>
      <c r="I762" s="3">
        <v>0</v>
      </c>
      <c r="J762" s="4">
        <v>882</v>
      </c>
      <c r="K762" s="3">
        <v>4</v>
      </c>
      <c r="L762" s="3" t="s">
        <v>323</v>
      </c>
      <c r="M762" s="3">
        <v>405</v>
      </c>
      <c r="N762" s="23" t="s">
        <v>1203</v>
      </c>
      <c r="O762" s="3">
        <v>0</v>
      </c>
      <c r="P762" s="3"/>
      <c r="Q762" s="3" t="s">
        <v>272</v>
      </c>
      <c r="R762" s="3" t="s">
        <v>1344</v>
      </c>
      <c r="S762" s="3" t="s">
        <v>1344</v>
      </c>
      <c r="T762" s="3">
        <v>0</v>
      </c>
      <c r="U762" s="3">
        <v>0</v>
      </c>
      <c r="V762" s="6">
        <v>100</v>
      </c>
      <c r="W762" s="7"/>
      <c r="X762" s="3" t="s">
        <v>1343</v>
      </c>
      <c r="Y762" s="3" t="s">
        <v>252</v>
      </c>
    </row>
    <row r="763" spans="1:25" x14ac:dyDescent="0.15">
      <c r="A763" s="3">
        <v>405197</v>
      </c>
      <c r="B763" s="23" t="s">
        <v>1345</v>
      </c>
      <c r="C763" s="6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4">
        <v>883</v>
      </c>
      <c r="K763" s="3">
        <v>4</v>
      </c>
      <c r="L763" s="3" t="s">
        <v>323</v>
      </c>
      <c r="M763" s="3">
        <v>405</v>
      </c>
      <c r="N763" s="23" t="s">
        <v>1203</v>
      </c>
      <c r="O763" s="3">
        <v>0</v>
      </c>
      <c r="P763" s="3"/>
      <c r="Q763" s="3" t="s">
        <v>272</v>
      </c>
      <c r="R763" s="3" t="s">
        <v>1346</v>
      </c>
      <c r="S763" s="3" t="s">
        <v>1346</v>
      </c>
      <c r="T763" s="3">
        <v>0</v>
      </c>
      <c r="U763" s="3">
        <v>0</v>
      </c>
      <c r="V763" s="6">
        <v>100</v>
      </c>
      <c r="W763" s="7"/>
      <c r="X763" s="3" t="s">
        <v>1345</v>
      </c>
      <c r="Y763" s="3" t="s">
        <v>252</v>
      </c>
    </row>
    <row r="764" spans="1:25" x14ac:dyDescent="0.15">
      <c r="A764" s="3">
        <v>405198</v>
      </c>
      <c r="B764" s="23" t="s">
        <v>1347</v>
      </c>
      <c r="C764" s="6">
        <v>0</v>
      </c>
      <c r="D764" s="3">
        <v>0</v>
      </c>
      <c r="E764" s="3">
        <v>0</v>
      </c>
      <c r="F764" s="3">
        <v>0</v>
      </c>
      <c r="G764" s="3">
        <v>0</v>
      </c>
      <c r="H764" s="3">
        <v>0</v>
      </c>
      <c r="I764" s="3">
        <v>0</v>
      </c>
      <c r="J764" s="4">
        <v>884</v>
      </c>
      <c r="K764" s="3">
        <v>4</v>
      </c>
      <c r="L764" s="3" t="s">
        <v>323</v>
      </c>
      <c r="M764" s="3">
        <v>405</v>
      </c>
      <c r="N764" s="23" t="s">
        <v>1203</v>
      </c>
      <c r="O764" s="3">
        <v>0</v>
      </c>
      <c r="P764" s="3"/>
      <c r="Q764" s="3" t="s">
        <v>272</v>
      </c>
      <c r="R764" s="3" t="s">
        <v>1348</v>
      </c>
      <c r="S764" s="3" t="s">
        <v>1348</v>
      </c>
      <c r="T764" s="3">
        <v>0</v>
      </c>
      <c r="U764" s="3">
        <v>0</v>
      </c>
      <c r="V764" s="6">
        <v>100</v>
      </c>
      <c r="W764" s="7"/>
      <c r="X764" s="3" t="s">
        <v>1347</v>
      </c>
      <c r="Y764" s="3" t="s">
        <v>252</v>
      </c>
    </row>
    <row r="765" spans="1:25" x14ac:dyDescent="0.15">
      <c r="A765" s="3">
        <v>405199</v>
      </c>
      <c r="B765" s="23" t="s">
        <v>1349</v>
      </c>
      <c r="C765" s="6">
        <v>0</v>
      </c>
      <c r="D765" s="3">
        <v>0</v>
      </c>
      <c r="E765" s="3">
        <v>0</v>
      </c>
      <c r="F765" s="3">
        <v>0</v>
      </c>
      <c r="G765" s="3">
        <v>0</v>
      </c>
      <c r="H765" s="3">
        <v>0</v>
      </c>
      <c r="I765" s="3">
        <v>0</v>
      </c>
      <c r="J765" s="4">
        <v>885</v>
      </c>
      <c r="K765" s="3">
        <v>4</v>
      </c>
      <c r="L765" s="3" t="s">
        <v>323</v>
      </c>
      <c r="M765" s="3">
        <v>405</v>
      </c>
      <c r="N765" s="23" t="s">
        <v>1203</v>
      </c>
      <c r="O765" s="3">
        <v>0</v>
      </c>
      <c r="P765" s="3"/>
      <c r="Q765" s="3" t="s">
        <v>272</v>
      </c>
      <c r="R765" s="3" t="s">
        <v>1350</v>
      </c>
      <c r="S765" s="3" t="s">
        <v>1350</v>
      </c>
      <c r="T765" s="3">
        <v>0</v>
      </c>
      <c r="U765" s="3">
        <v>0</v>
      </c>
      <c r="V765" s="6">
        <v>100</v>
      </c>
      <c r="W765" s="7"/>
      <c r="X765" s="3" t="s">
        <v>1349</v>
      </c>
      <c r="Y765" s="3" t="s">
        <v>252</v>
      </c>
    </row>
    <row r="766" spans="1:25" x14ac:dyDescent="0.15">
      <c r="A766" s="3">
        <v>405201</v>
      </c>
      <c r="B766" s="23" t="s">
        <v>1351</v>
      </c>
      <c r="C766" s="6">
        <v>0</v>
      </c>
      <c r="D766" s="3">
        <v>0</v>
      </c>
      <c r="E766" s="3">
        <v>0</v>
      </c>
      <c r="F766" s="3">
        <v>0</v>
      </c>
      <c r="G766" s="3">
        <v>0</v>
      </c>
      <c r="H766" s="3">
        <v>0</v>
      </c>
      <c r="I766" s="3">
        <v>0</v>
      </c>
      <c r="J766" s="4">
        <v>886</v>
      </c>
      <c r="K766" s="3">
        <v>4</v>
      </c>
      <c r="L766" s="3" t="s">
        <v>323</v>
      </c>
      <c r="M766" s="3">
        <v>405</v>
      </c>
      <c r="N766" s="23" t="s">
        <v>1203</v>
      </c>
      <c r="O766" s="3">
        <v>0</v>
      </c>
      <c r="P766" s="3"/>
      <c r="Q766" s="3" t="s">
        <v>272</v>
      </c>
      <c r="R766" s="3" t="s">
        <v>1352</v>
      </c>
      <c r="S766" s="3" t="s">
        <v>1352</v>
      </c>
      <c r="T766" s="3">
        <v>0</v>
      </c>
      <c r="U766" s="3">
        <v>0</v>
      </c>
      <c r="V766" s="6">
        <v>100</v>
      </c>
      <c r="W766" s="7"/>
      <c r="X766" s="3" t="s">
        <v>1351</v>
      </c>
      <c r="Y766" s="3" t="s">
        <v>252</v>
      </c>
    </row>
    <row r="767" spans="1:25" x14ac:dyDescent="0.15">
      <c r="A767" s="3">
        <v>405202</v>
      </c>
      <c r="B767" s="23" t="s">
        <v>1353</v>
      </c>
      <c r="C767" s="6">
        <v>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4">
        <v>887</v>
      </c>
      <c r="K767" s="3">
        <v>4</v>
      </c>
      <c r="L767" s="3" t="s">
        <v>323</v>
      </c>
      <c r="M767" s="3">
        <v>405</v>
      </c>
      <c r="N767" s="23" t="s">
        <v>1203</v>
      </c>
      <c r="O767" s="3">
        <v>0</v>
      </c>
      <c r="P767" s="3"/>
      <c r="Q767" s="3" t="s">
        <v>272</v>
      </c>
      <c r="R767" s="3" t="s">
        <v>1354</v>
      </c>
      <c r="S767" s="3" t="s">
        <v>1354</v>
      </c>
      <c r="T767" s="3">
        <v>0</v>
      </c>
      <c r="U767" s="3">
        <v>0</v>
      </c>
      <c r="V767" s="6">
        <v>100</v>
      </c>
      <c r="W767" s="7"/>
      <c r="X767" s="3" t="s">
        <v>1353</v>
      </c>
      <c r="Y767" s="3" t="s">
        <v>252</v>
      </c>
    </row>
    <row r="768" spans="1:25" x14ac:dyDescent="0.15">
      <c r="A768" s="3">
        <v>405203</v>
      </c>
      <c r="B768" s="23" t="s">
        <v>1355</v>
      </c>
      <c r="C768" s="6">
        <v>0</v>
      </c>
      <c r="D768" s="3">
        <v>0</v>
      </c>
      <c r="E768" s="3">
        <v>0</v>
      </c>
      <c r="F768" s="3">
        <v>0</v>
      </c>
      <c r="G768" s="3">
        <v>0</v>
      </c>
      <c r="H768" s="3">
        <v>0</v>
      </c>
      <c r="I768" s="3">
        <v>0</v>
      </c>
      <c r="J768" s="4">
        <v>888</v>
      </c>
      <c r="K768" s="3">
        <v>4</v>
      </c>
      <c r="L768" s="3" t="s">
        <v>323</v>
      </c>
      <c r="M768" s="3">
        <v>405</v>
      </c>
      <c r="N768" s="23" t="s">
        <v>1203</v>
      </c>
      <c r="O768" s="3">
        <v>0</v>
      </c>
      <c r="P768" s="3"/>
      <c r="Q768" s="3" t="s">
        <v>272</v>
      </c>
      <c r="R768" s="3" t="s">
        <v>1356</v>
      </c>
      <c r="S768" s="3" t="s">
        <v>1356</v>
      </c>
      <c r="T768" s="3">
        <v>0</v>
      </c>
      <c r="U768" s="3">
        <v>0</v>
      </c>
      <c r="V768" s="6">
        <v>100</v>
      </c>
      <c r="W768" s="7"/>
      <c r="X768" s="3" t="s">
        <v>1355</v>
      </c>
      <c r="Y768" s="3" t="s">
        <v>252</v>
      </c>
    </row>
    <row r="769" spans="1:25" x14ac:dyDescent="0.15">
      <c r="A769" s="3">
        <v>405204</v>
      </c>
      <c r="B769" s="23" t="s">
        <v>1357</v>
      </c>
      <c r="C769" s="6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4">
        <v>889</v>
      </c>
      <c r="K769" s="3">
        <v>4</v>
      </c>
      <c r="L769" s="3" t="s">
        <v>323</v>
      </c>
      <c r="M769" s="3">
        <v>405</v>
      </c>
      <c r="N769" s="23" t="s">
        <v>1203</v>
      </c>
      <c r="O769" s="3">
        <v>0</v>
      </c>
      <c r="P769" s="3"/>
      <c r="Q769" s="3" t="s">
        <v>272</v>
      </c>
      <c r="R769" s="3" t="s">
        <v>1358</v>
      </c>
      <c r="S769" s="3" t="s">
        <v>1358</v>
      </c>
      <c r="T769" s="3">
        <v>0</v>
      </c>
      <c r="U769" s="3">
        <v>0</v>
      </c>
      <c r="V769" s="6">
        <v>100</v>
      </c>
      <c r="W769" s="7"/>
      <c r="X769" s="3" t="s">
        <v>1357</v>
      </c>
      <c r="Y769" s="3" t="s">
        <v>252</v>
      </c>
    </row>
    <row r="770" spans="1:25" x14ac:dyDescent="0.15">
      <c r="A770" s="3">
        <v>405205</v>
      </c>
      <c r="B770" s="23" t="s">
        <v>1359</v>
      </c>
      <c r="C770" s="6">
        <v>0</v>
      </c>
      <c r="D770" s="3">
        <v>0</v>
      </c>
      <c r="E770" s="3">
        <v>0</v>
      </c>
      <c r="F770" s="3">
        <v>0</v>
      </c>
      <c r="G770" s="3">
        <v>0</v>
      </c>
      <c r="H770" s="3">
        <v>0</v>
      </c>
      <c r="I770" s="3">
        <v>0</v>
      </c>
      <c r="J770" s="4">
        <v>890</v>
      </c>
      <c r="K770" s="3">
        <v>4</v>
      </c>
      <c r="L770" s="3" t="s">
        <v>323</v>
      </c>
      <c r="M770" s="3">
        <v>405</v>
      </c>
      <c r="N770" s="23" t="s">
        <v>1203</v>
      </c>
      <c r="O770" s="3">
        <v>0</v>
      </c>
      <c r="P770" s="3"/>
      <c r="Q770" s="3" t="s">
        <v>272</v>
      </c>
      <c r="R770" s="3" t="s">
        <v>1360</v>
      </c>
      <c r="S770" s="3" t="s">
        <v>1360</v>
      </c>
      <c r="T770" s="3">
        <v>0</v>
      </c>
      <c r="U770" s="3">
        <v>0</v>
      </c>
      <c r="V770" s="6">
        <v>100</v>
      </c>
      <c r="W770" s="7"/>
      <c r="X770" s="3" t="s">
        <v>1359</v>
      </c>
      <c r="Y770" s="3" t="s">
        <v>252</v>
      </c>
    </row>
    <row r="771" spans="1:25" x14ac:dyDescent="0.15">
      <c r="A771" s="3">
        <v>405206</v>
      </c>
      <c r="B771" s="23" t="s">
        <v>1361</v>
      </c>
      <c r="C771" s="6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4">
        <v>891</v>
      </c>
      <c r="K771" s="3">
        <v>4</v>
      </c>
      <c r="L771" s="3" t="s">
        <v>323</v>
      </c>
      <c r="M771" s="3">
        <v>405</v>
      </c>
      <c r="N771" s="23" t="s">
        <v>1203</v>
      </c>
      <c r="O771" s="3">
        <v>0</v>
      </c>
      <c r="P771" s="3"/>
      <c r="Q771" s="3" t="s">
        <v>272</v>
      </c>
      <c r="R771" s="3" t="s">
        <v>1362</v>
      </c>
      <c r="S771" s="3" t="s">
        <v>1362</v>
      </c>
      <c r="T771" s="3">
        <v>0</v>
      </c>
      <c r="U771" s="3">
        <v>0</v>
      </c>
      <c r="V771" s="6">
        <v>100</v>
      </c>
      <c r="W771" s="7"/>
      <c r="X771" s="3" t="s">
        <v>1361</v>
      </c>
      <c r="Y771" s="3" t="s">
        <v>252</v>
      </c>
    </row>
    <row r="772" spans="1:25" x14ac:dyDescent="0.15">
      <c r="A772" s="3">
        <v>405207</v>
      </c>
      <c r="B772" s="23" t="s">
        <v>1363</v>
      </c>
      <c r="C772" s="6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4">
        <v>892</v>
      </c>
      <c r="K772" s="3">
        <v>4</v>
      </c>
      <c r="L772" s="3" t="s">
        <v>323</v>
      </c>
      <c r="M772" s="3">
        <v>405</v>
      </c>
      <c r="N772" s="23" t="s">
        <v>1203</v>
      </c>
      <c r="O772" s="3">
        <v>0</v>
      </c>
      <c r="P772" s="3"/>
      <c r="Q772" s="3" t="s">
        <v>272</v>
      </c>
      <c r="R772" s="3" t="s">
        <v>1364</v>
      </c>
      <c r="S772" s="3" t="s">
        <v>1364</v>
      </c>
      <c r="T772" s="3">
        <v>0</v>
      </c>
      <c r="U772" s="3">
        <v>0</v>
      </c>
      <c r="V772" s="6">
        <v>100</v>
      </c>
      <c r="W772" s="7"/>
      <c r="X772" s="3" t="s">
        <v>1363</v>
      </c>
      <c r="Y772" s="3" t="s">
        <v>252</v>
      </c>
    </row>
    <row r="773" spans="1:25" x14ac:dyDescent="0.15">
      <c r="A773" s="3">
        <v>405208</v>
      </c>
      <c r="B773" s="23" t="s">
        <v>1365</v>
      </c>
      <c r="C773" s="6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4">
        <v>893</v>
      </c>
      <c r="K773" s="3">
        <v>4</v>
      </c>
      <c r="L773" s="3" t="s">
        <v>323</v>
      </c>
      <c r="M773" s="3">
        <v>405</v>
      </c>
      <c r="N773" s="23" t="s">
        <v>1203</v>
      </c>
      <c r="O773" s="3">
        <v>0</v>
      </c>
      <c r="P773" s="3"/>
      <c r="Q773" s="3" t="s">
        <v>272</v>
      </c>
      <c r="R773" s="3" t="s">
        <v>1366</v>
      </c>
      <c r="S773" s="3" t="s">
        <v>1366</v>
      </c>
      <c r="T773" s="3">
        <v>0</v>
      </c>
      <c r="U773" s="3">
        <v>0</v>
      </c>
      <c r="V773" s="6">
        <v>100</v>
      </c>
      <c r="W773" s="7"/>
      <c r="X773" s="3" t="s">
        <v>1365</v>
      </c>
      <c r="Y773" s="3" t="s">
        <v>252</v>
      </c>
    </row>
    <row r="774" spans="1:25" x14ac:dyDescent="0.15">
      <c r="A774" s="3">
        <v>405209</v>
      </c>
      <c r="B774" s="23" t="s">
        <v>1367</v>
      </c>
      <c r="C774" s="6">
        <v>0</v>
      </c>
      <c r="D774" s="3">
        <v>0</v>
      </c>
      <c r="E774" s="3">
        <v>0</v>
      </c>
      <c r="F774" s="3">
        <v>0</v>
      </c>
      <c r="G774" s="3">
        <v>0</v>
      </c>
      <c r="H774" s="3">
        <v>0</v>
      </c>
      <c r="I774" s="3">
        <v>0</v>
      </c>
      <c r="J774" s="4">
        <v>894</v>
      </c>
      <c r="K774" s="3">
        <v>4</v>
      </c>
      <c r="L774" s="3" t="s">
        <v>323</v>
      </c>
      <c r="M774" s="3">
        <v>405</v>
      </c>
      <c r="N774" s="23" t="s">
        <v>1203</v>
      </c>
      <c r="O774" s="3">
        <v>0</v>
      </c>
      <c r="P774" s="3"/>
      <c r="Q774" s="3" t="s">
        <v>272</v>
      </c>
      <c r="R774" s="3" t="s">
        <v>1368</v>
      </c>
      <c r="S774" s="3" t="s">
        <v>1368</v>
      </c>
      <c r="T774" s="3">
        <v>0</v>
      </c>
      <c r="U774" s="3">
        <v>0</v>
      </c>
      <c r="V774" s="6">
        <v>100</v>
      </c>
      <c r="W774" s="7"/>
      <c r="X774" s="3" t="s">
        <v>1367</v>
      </c>
      <c r="Y774" s="3" t="s">
        <v>252</v>
      </c>
    </row>
    <row r="775" spans="1:25" x14ac:dyDescent="0.15">
      <c r="A775" s="3">
        <v>405210</v>
      </c>
      <c r="B775" s="23" t="s">
        <v>2577</v>
      </c>
      <c r="C775" s="6">
        <v>0</v>
      </c>
      <c r="D775" s="3">
        <v>0</v>
      </c>
      <c r="E775" s="3">
        <v>0</v>
      </c>
      <c r="F775" s="3">
        <v>0</v>
      </c>
      <c r="G775" s="3">
        <v>0</v>
      </c>
      <c r="H775" s="3">
        <v>0</v>
      </c>
      <c r="I775" s="3">
        <v>0</v>
      </c>
      <c r="J775" s="4">
        <v>895</v>
      </c>
      <c r="K775" s="3">
        <v>4</v>
      </c>
      <c r="L775" s="3" t="s">
        <v>323</v>
      </c>
      <c r="M775" s="3">
        <v>405</v>
      </c>
      <c r="N775" s="23" t="s">
        <v>1203</v>
      </c>
      <c r="O775" s="3">
        <v>0</v>
      </c>
      <c r="P775" s="3"/>
      <c r="Q775" s="3" t="s">
        <v>272</v>
      </c>
      <c r="R775" s="3" t="s">
        <v>1678</v>
      </c>
      <c r="S775" s="3" t="s">
        <v>1678</v>
      </c>
      <c r="T775" s="3">
        <v>0</v>
      </c>
      <c r="U775" s="3">
        <v>0</v>
      </c>
      <c r="V775" s="6">
        <v>100</v>
      </c>
      <c r="W775" s="7"/>
      <c r="X775" s="3" t="s">
        <v>2577</v>
      </c>
      <c r="Y775" s="3" t="s">
        <v>252</v>
      </c>
    </row>
    <row r="776" spans="1:25" x14ac:dyDescent="0.15">
      <c r="A776" s="3">
        <v>405211</v>
      </c>
      <c r="B776" s="23" t="s">
        <v>2578</v>
      </c>
      <c r="C776" s="6">
        <v>0</v>
      </c>
      <c r="D776" s="3">
        <v>0</v>
      </c>
      <c r="E776" s="3">
        <v>0</v>
      </c>
      <c r="F776" s="3">
        <v>0</v>
      </c>
      <c r="G776" s="3">
        <v>0</v>
      </c>
      <c r="H776" s="3">
        <v>0</v>
      </c>
      <c r="I776" s="3">
        <v>0</v>
      </c>
      <c r="J776" s="4">
        <v>896</v>
      </c>
      <c r="K776" s="3">
        <v>4</v>
      </c>
      <c r="L776" s="3" t="s">
        <v>323</v>
      </c>
      <c r="M776" s="3">
        <v>405</v>
      </c>
      <c r="N776" s="23" t="s">
        <v>1203</v>
      </c>
      <c r="O776" s="3">
        <v>0</v>
      </c>
      <c r="P776" s="3"/>
      <c r="Q776" s="3" t="s">
        <v>272</v>
      </c>
      <c r="R776" s="3" t="s">
        <v>1627</v>
      </c>
      <c r="S776" s="3" t="s">
        <v>1627</v>
      </c>
      <c r="T776" s="3">
        <v>0</v>
      </c>
      <c r="U776" s="3">
        <v>0</v>
      </c>
      <c r="V776" s="6">
        <v>100</v>
      </c>
      <c r="W776" s="7"/>
      <c r="X776" s="3" t="s">
        <v>2578</v>
      </c>
      <c r="Y776" s="3" t="s">
        <v>252</v>
      </c>
    </row>
    <row r="777" spans="1:25" x14ac:dyDescent="0.15">
      <c r="A777" s="3">
        <v>405212</v>
      </c>
      <c r="B777" s="23" t="s">
        <v>2579</v>
      </c>
      <c r="C777" s="6">
        <v>0</v>
      </c>
      <c r="D777" s="3">
        <v>0</v>
      </c>
      <c r="E777" s="3">
        <v>0</v>
      </c>
      <c r="F777" s="3">
        <v>0</v>
      </c>
      <c r="G777" s="3">
        <v>0</v>
      </c>
      <c r="H777" s="3">
        <v>0</v>
      </c>
      <c r="I777" s="3">
        <v>0</v>
      </c>
      <c r="J777" s="4">
        <v>897</v>
      </c>
      <c r="K777" s="3">
        <v>4</v>
      </c>
      <c r="L777" s="3" t="s">
        <v>323</v>
      </c>
      <c r="M777" s="3">
        <v>405</v>
      </c>
      <c r="N777" s="23" t="s">
        <v>1203</v>
      </c>
      <c r="O777" s="3">
        <v>0</v>
      </c>
      <c r="P777" s="3"/>
      <c r="Q777" s="3" t="s">
        <v>272</v>
      </c>
      <c r="R777" s="3" t="s">
        <v>1628</v>
      </c>
      <c r="S777" s="3" t="s">
        <v>1628</v>
      </c>
      <c r="T777" s="3">
        <v>0</v>
      </c>
      <c r="U777" s="3">
        <v>0</v>
      </c>
      <c r="V777" s="6">
        <v>100</v>
      </c>
      <c r="W777" s="7"/>
      <c r="X777" s="3" t="s">
        <v>2579</v>
      </c>
      <c r="Y777" s="3" t="s">
        <v>252</v>
      </c>
    </row>
    <row r="778" spans="1:25" x14ac:dyDescent="0.15">
      <c r="A778" s="3">
        <v>405213</v>
      </c>
      <c r="B778" s="23" t="s">
        <v>2580</v>
      </c>
      <c r="C778" s="6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4">
        <v>898</v>
      </c>
      <c r="K778" s="3">
        <v>4</v>
      </c>
      <c r="L778" s="3" t="s">
        <v>323</v>
      </c>
      <c r="M778" s="3">
        <v>405</v>
      </c>
      <c r="N778" s="23" t="s">
        <v>1203</v>
      </c>
      <c r="O778" s="3">
        <v>0</v>
      </c>
      <c r="P778" s="3"/>
      <c r="Q778" s="3" t="s">
        <v>272</v>
      </c>
      <c r="R778" s="3" t="s">
        <v>1629</v>
      </c>
      <c r="S778" s="3" t="s">
        <v>1629</v>
      </c>
      <c r="T778" s="3">
        <v>0</v>
      </c>
      <c r="U778" s="3">
        <v>0</v>
      </c>
      <c r="V778" s="6">
        <v>100</v>
      </c>
      <c r="W778" s="7"/>
      <c r="X778" s="3" t="s">
        <v>2580</v>
      </c>
      <c r="Y778" s="3" t="s">
        <v>252</v>
      </c>
    </row>
    <row r="779" spans="1:25" x14ac:dyDescent="0.15">
      <c r="A779" s="3">
        <v>405214</v>
      </c>
      <c r="B779" s="23" t="s">
        <v>2581</v>
      </c>
      <c r="C779" s="6">
        <v>0</v>
      </c>
      <c r="D779" s="3">
        <v>0</v>
      </c>
      <c r="E779" s="3">
        <v>0</v>
      </c>
      <c r="F779" s="3">
        <v>0</v>
      </c>
      <c r="G779" s="3">
        <v>0</v>
      </c>
      <c r="H779" s="3">
        <v>0</v>
      </c>
      <c r="I779" s="3">
        <v>0</v>
      </c>
      <c r="J779" s="4">
        <v>899</v>
      </c>
      <c r="K779" s="3">
        <v>4</v>
      </c>
      <c r="L779" s="3" t="s">
        <v>323</v>
      </c>
      <c r="M779" s="3">
        <v>405</v>
      </c>
      <c r="N779" s="23" t="s">
        <v>1203</v>
      </c>
      <c r="O779" s="3">
        <v>0</v>
      </c>
      <c r="P779" s="3"/>
      <c r="Q779" s="3" t="s">
        <v>272</v>
      </c>
      <c r="R779" s="3" t="s">
        <v>1680</v>
      </c>
      <c r="S779" s="3" t="s">
        <v>1680</v>
      </c>
      <c r="T779" s="3">
        <v>0</v>
      </c>
      <c r="U779" s="3">
        <v>0</v>
      </c>
      <c r="V779" s="6">
        <v>100</v>
      </c>
      <c r="W779" s="7"/>
      <c r="X779" s="3" t="s">
        <v>2581</v>
      </c>
      <c r="Y779" s="3" t="s">
        <v>252</v>
      </c>
    </row>
    <row r="780" spans="1:25" x14ac:dyDescent="0.15">
      <c r="A780" s="3">
        <v>405215</v>
      </c>
      <c r="B780" s="23" t="s">
        <v>2582</v>
      </c>
      <c r="C780" s="6">
        <v>0</v>
      </c>
      <c r="D780" s="3">
        <v>0</v>
      </c>
      <c r="E780" s="3">
        <v>0</v>
      </c>
      <c r="F780" s="3">
        <v>0</v>
      </c>
      <c r="G780" s="3">
        <v>0</v>
      </c>
      <c r="H780" s="3">
        <v>0</v>
      </c>
      <c r="I780" s="3">
        <v>0</v>
      </c>
      <c r="J780" s="4">
        <v>900</v>
      </c>
      <c r="K780" s="3">
        <v>4</v>
      </c>
      <c r="L780" s="3" t="s">
        <v>323</v>
      </c>
      <c r="M780" s="3">
        <v>405</v>
      </c>
      <c r="N780" s="23" t="s">
        <v>1203</v>
      </c>
      <c r="O780" s="3">
        <v>0</v>
      </c>
      <c r="P780" s="3"/>
      <c r="Q780" s="3" t="s">
        <v>272</v>
      </c>
      <c r="R780" s="3" t="s">
        <v>1681</v>
      </c>
      <c r="S780" s="3" t="s">
        <v>1681</v>
      </c>
      <c r="T780" s="3">
        <v>0</v>
      </c>
      <c r="U780" s="3">
        <v>0</v>
      </c>
      <c r="V780" s="6">
        <v>100</v>
      </c>
      <c r="W780" s="7"/>
      <c r="X780" s="3" t="s">
        <v>2582</v>
      </c>
      <c r="Y780" s="3" t="s">
        <v>252</v>
      </c>
    </row>
    <row r="781" spans="1:25" x14ac:dyDescent="0.15">
      <c r="A781" s="3">
        <v>405216</v>
      </c>
      <c r="B781" s="23" t="s">
        <v>2583</v>
      </c>
      <c r="C781" s="6">
        <v>0</v>
      </c>
      <c r="D781" s="3">
        <v>0</v>
      </c>
      <c r="E781" s="3">
        <v>0</v>
      </c>
      <c r="F781" s="3">
        <v>0</v>
      </c>
      <c r="G781" s="3">
        <v>0</v>
      </c>
      <c r="H781" s="3">
        <v>0</v>
      </c>
      <c r="I781" s="3">
        <v>0</v>
      </c>
      <c r="J781" s="4">
        <v>901</v>
      </c>
      <c r="K781" s="3">
        <v>4</v>
      </c>
      <c r="L781" s="3" t="s">
        <v>323</v>
      </c>
      <c r="M781" s="3">
        <v>405</v>
      </c>
      <c r="N781" s="23" t="s">
        <v>1203</v>
      </c>
      <c r="O781" s="3">
        <v>0</v>
      </c>
      <c r="P781" s="3"/>
      <c r="Q781" s="3" t="s">
        <v>272</v>
      </c>
      <c r="R781" s="3" t="s">
        <v>1682</v>
      </c>
      <c r="S781" s="3" t="s">
        <v>1682</v>
      </c>
      <c r="T781" s="3">
        <v>0</v>
      </c>
      <c r="U781" s="3">
        <v>0</v>
      </c>
      <c r="V781" s="6">
        <v>100</v>
      </c>
      <c r="W781" s="7"/>
      <c r="X781" s="3" t="s">
        <v>2583</v>
      </c>
      <c r="Y781" s="3" t="s">
        <v>252</v>
      </c>
    </row>
    <row r="782" spans="1:25" x14ac:dyDescent="0.15">
      <c r="A782" s="3">
        <v>405217</v>
      </c>
      <c r="B782" s="23" t="s">
        <v>2584</v>
      </c>
      <c r="C782" s="6">
        <v>0</v>
      </c>
      <c r="D782" s="3">
        <v>0</v>
      </c>
      <c r="E782" s="3">
        <v>0</v>
      </c>
      <c r="F782" s="3">
        <v>0</v>
      </c>
      <c r="G782" s="3">
        <v>0</v>
      </c>
      <c r="H782" s="3">
        <v>0</v>
      </c>
      <c r="I782" s="3">
        <v>0</v>
      </c>
      <c r="J782" s="4">
        <v>902</v>
      </c>
      <c r="K782" s="3">
        <v>4</v>
      </c>
      <c r="L782" s="3" t="s">
        <v>323</v>
      </c>
      <c r="M782" s="3">
        <v>405</v>
      </c>
      <c r="N782" s="23" t="s">
        <v>1203</v>
      </c>
      <c r="O782" s="3">
        <v>0</v>
      </c>
      <c r="P782" s="3"/>
      <c r="Q782" s="3" t="s">
        <v>272</v>
      </c>
      <c r="R782" s="3" t="s">
        <v>1683</v>
      </c>
      <c r="S782" s="3" t="s">
        <v>1683</v>
      </c>
      <c r="T782" s="3">
        <v>0</v>
      </c>
      <c r="U782" s="3">
        <v>0</v>
      </c>
      <c r="V782" s="6">
        <v>100</v>
      </c>
      <c r="W782" s="7"/>
      <c r="X782" s="3" t="s">
        <v>2584</v>
      </c>
      <c r="Y782" s="3" t="s">
        <v>252</v>
      </c>
    </row>
    <row r="783" spans="1:25" x14ac:dyDescent="0.15">
      <c r="A783" s="3">
        <v>405218</v>
      </c>
      <c r="B783" s="23" t="s">
        <v>2585</v>
      </c>
      <c r="C783" s="6">
        <v>0</v>
      </c>
      <c r="D783" s="3">
        <v>0</v>
      </c>
      <c r="E783" s="3">
        <v>0</v>
      </c>
      <c r="F783" s="3">
        <v>0</v>
      </c>
      <c r="G783" s="3">
        <v>0</v>
      </c>
      <c r="H783" s="3">
        <v>0</v>
      </c>
      <c r="I783" s="3">
        <v>0</v>
      </c>
      <c r="J783" s="4">
        <v>903</v>
      </c>
      <c r="K783" s="3">
        <v>4</v>
      </c>
      <c r="L783" s="3" t="s">
        <v>323</v>
      </c>
      <c r="M783" s="3">
        <v>405</v>
      </c>
      <c r="N783" s="23" t="s">
        <v>1203</v>
      </c>
      <c r="O783" s="3">
        <v>0</v>
      </c>
      <c r="P783" s="3"/>
      <c r="Q783" s="3" t="s">
        <v>272</v>
      </c>
      <c r="R783" s="3" t="s">
        <v>1684</v>
      </c>
      <c r="S783" s="3" t="s">
        <v>1684</v>
      </c>
      <c r="T783" s="3">
        <v>0</v>
      </c>
      <c r="U783" s="3">
        <v>0</v>
      </c>
      <c r="V783" s="6">
        <v>100</v>
      </c>
      <c r="W783" s="7"/>
      <c r="X783" s="3" t="s">
        <v>2585</v>
      </c>
      <c r="Y783" s="3" t="s">
        <v>252</v>
      </c>
    </row>
    <row r="784" spans="1:25" x14ac:dyDescent="0.15">
      <c r="A784" s="3">
        <v>405219</v>
      </c>
      <c r="B784" s="23" t="s">
        <v>2586</v>
      </c>
      <c r="C784" s="6">
        <v>0</v>
      </c>
      <c r="D784" s="3">
        <v>0</v>
      </c>
      <c r="E784" s="3">
        <v>0</v>
      </c>
      <c r="F784" s="3">
        <v>0</v>
      </c>
      <c r="G784" s="3">
        <v>0</v>
      </c>
      <c r="H784" s="3">
        <v>0</v>
      </c>
      <c r="I784" s="3">
        <v>0</v>
      </c>
      <c r="J784" s="4">
        <v>904</v>
      </c>
      <c r="K784" s="3">
        <v>4</v>
      </c>
      <c r="L784" s="3" t="s">
        <v>323</v>
      </c>
      <c r="M784" s="3">
        <v>405</v>
      </c>
      <c r="N784" s="23" t="s">
        <v>1203</v>
      </c>
      <c r="O784" s="3">
        <v>0</v>
      </c>
      <c r="P784" s="3"/>
      <c r="Q784" s="3" t="s">
        <v>272</v>
      </c>
      <c r="R784" s="3" t="s">
        <v>1685</v>
      </c>
      <c r="S784" s="3" t="s">
        <v>1685</v>
      </c>
      <c r="T784" s="3">
        <v>0</v>
      </c>
      <c r="U784" s="3">
        <v>0</v>
      </c>
      <c r="V784" s="6">
        <v>100</v>
      </c>
      <c r="W784" s="7"/>
      <c r="X784" s="3" t="s">
        <v>2586</v>
      </c>
      <c r="Y784" s="3" t="s">
        <v>252</v>
      </c>
    </row>
    <row r="785" spans="1:25" x14ac:dyDescent="0.15">
      <c r="A785" s="3">
        <v>405220</v>
      </c>
      <c r="B785" s="23" t="s">
        <v>2587</v>
      </c>
      <c r="C785" s="6">
        <v>0</v>
      </c>
      <c r="D785" s="3">
        <v>0</v>
      </c>
      <c r="E785" s="3">
        <v>0</v>
      </c>
      <c r="F785" s="3">
        <v>0</v>
      </c>
      <c r="G785" s="3">
        <v>0</v>
      </c>
      <c r="H785" s="3">
        <v>0</v>
      </c>
      <c r="I785" s="3">
        <v>0</v>
      </c>
      <c r="J785" s="4">
        <v>905</v>
      </c>
      <c r="K785" s="3">
        <v>4</v>
      </c>
      <c r="L785" s="3" t="s">
        <v>323</v>
      </c>
      <c r="M785" s="3">
        <v>405</v>
      </c>
      <c r="N785" s="23" t="s">
        <v>1203</v>
      </c>
      <c r="O785" s="3">
        <v>0</v>
      </c>
      <c r="P785" s="3"/>
      <c r="Q785" s="3" t="s">
        <v>272</v>
      </c>
      <c r="R785" s="3" t="s">
        <v>1686</v>
      </c>
      <c r="S785" s="3" t="s">
        <v>1686</v>
      </c>
      <c r="T785" s="3">
        <v>0</v>
      </c>
      <c r="U785" s="3">
        <v>0</v>
      </c>
      <c r="V785" s="6">
        <v>100</v>
      </c>
      <c r="W785" s="7"/>
      <c r="X785" s="3" t="s">
        <v>2587</v>
      </c>
      <c r="Y785" s="3" t="s">
        <v>252</v>
      </c>
    </row>
    <row r="786" spans="1:25" x14ac:dyDescent="0.15">
      <c r="A786" s="3">
        <v>405221</v>
      </c>
      <c r="B786" s="23" t="s">
        <v>2588</v>
      </c>
      <c r="C786" s="6">
        <v>0</v>
      </c>
      <c r="D786" s="3">
        <v>0</v>
      </c>
      <c r="E786" s="3">
        <v>0</v>
      </c>
      <c r="F786" s="3">
        <v>0</v>
      </c>
      <c r="G786" s="3">
        <v>0</v>
      </c>
      <c r="H786" s="3">
        <v>0</v>
      </c>
      <c r="I786" s="3">
        <v>0</v>
      </c>
      <c r="J786" s="4">
        <v>906</v>
      </c>
      <c r="K786" s="3">
        <v>4</v>
      </c>
      <c r="L786" s="3" t="s">
        <v>323</v>
      </c>
      <c r="M786" s="3">
        <v>405</v>
      </c>
      <c r="N786" s="23" t="s">
        <v>1203</v>
      </c>
      <c r="O786" s="3">
        <v>0</v>
      </c>
      <c r="P786" s="3"/>
      <c r="Q786" s="3" t="s">
        <v>272</v>
      </c>
      <c r="R786" s="3" t="s">
        <v>1687</v>
      </c>
      <c r="S786" s="3" t="s">
        <v>1687</v>
      </c>
      <c r="T786" s="3">
        <v>0</v>
      </c>
      <c r="U786" s="3">
        <v>0</v>
      </c>
      <c r="V786" s="6">
        <v>100</v>
      </c>
      <c r="W786" s="7"/>
      <c r="X786" s="3" t="s">
        <v>2588</v>
      </c>
      <c r="Y786" s="3" t="s">
        <v>252</v>
      </c>
    </row>
    <row r="787" spans="1:25" x14ac:dyDescent="0.15">
      <c r="A787" s="3">
        <v>405222</v>
      </c>
      <c r="B787" s="23" t="s">
        <v>2589</v>
      </c>
      <c r="C787" s="6">
        <v>0</v>
      </c>
      <c r="D787" s="3">
        <v>0</v>
      </c>
      <c r="E787" s="3">
        <v>0</v>
      </c>
      <c r="F787" s="3">
        <v>0</v>
      </c>
      <c r="G787" s="3">
        <v>0</v>
      </c>
      <c r="H787" s="3">
        <v>0</v>
      </c>
      <c r="I787" s="3">
        <v>0</v>
      </c>
      <c r="J787" s="4">
        <v>907</v>
      </c>
      <c r="K787" s="3">
        <v>4</v>
      </c>
      <c r="L787" s="3" t="s">
        <v>323</v>
      </c>
      <c r="M787" s="3">
        <v>405</v>
      </c>
      <c r="N787" s="23" t="s">
        <v>1203</v>
      </c>
      <c r="O787" s="3">
        <v>0</v>
      </c>
      <c r="P787" s="3"/>
      <c r="Q787" s="3" t="s">
        <v>272</v>
      </c>
      <c r="R787" s="3" t="s">
        <v>1688</v>
      </c>
      <c r="S787" s="3" t="s">
        <v>1688</v>
      </c>
      <c r="T787" s="3">
        <v>0</v>
      </c>
      <c r="U787" s="3">
        <v>0</v>
      </c>
      <c r="V787" s="6">
        <v>100</v>
      </c>
      <c r="W787" s="7"/>
      <c r="X787" s="3" t="s">
        <v>2589</v>
      </c>
      <c r="Y787" s="3" t="s">
        <v>252</v>
      </c>
    </row>
    <row r="788" spans="1:25" x14ac:dyDescent="0.15">
      <c r="A788" s="3">
        <v>405223</v>
      </c>
      <c r="B788" s="23" t="s">
        <v>2590</v>
      </c>
      <c r="C788" s="6">
        <v>0</v>
      </c>
      <c r="D788" s="3">
        <v>0</v>
      </c>
      <c r="E788" s="3">
        <v>0</v>
      </c>
      <c r="F788" s="3">
        <v>0</v>
      </c>
      <c r="G788" s="3">
        <v>0</v>
      </c>
      <c r="H788" s="3">
        <v>0</v>
      </c>
      <c r="I788" s="3">
        <v>0</v>
      </c>
      <c r="J788" s="4">
        <v>908</v>
      </c>
      <c r="K788" s="3">
        <v>4</v>
      </c>
      <c r="L788" s="3" t="s">
        <v>323</v>
      </c>
      <c r="M788" s="3">
        <v>405</v>
      </c>
      <c r="N788" s="23" t="s">
        <v>1203</v>
      </c>
      <c r="O788" s="3">
        <v>0</v>
      </c>
      <c r="P788" s="3"/>
      <c r="Q788" s="3" t="s">
        <v>272</v>
      </c>
      <c r="R788" s="3" t="s">
        <v>1689</v>
      </c>
      <c r="S788" s="3" t="s">
        <v>1689</v>
      </c>
      <c r="T788" s="3">
        <v>0</v>
      </c>
      <c r="U788" s="3">
        <v>0</v>
      </c>
      <c r="V788" s="6">
        <v>100</v>
      </c>
      <c r="W788" s="7"/>
      <c r="X788" s="3" t="s">
        <v>2590</v>
      </c>
      <c r="Y788" s="3" t="s">
        <v>252</v>
      </c>
    </row>
    <row r="789" spans="1:25" x14ac:dyDescent="0.15">
      <c r="A789" s="3">
        <v>405224</v>
      </c>
      <c r="B789" s="23" t="s">
        <v>2591</v>
      </c>
      <c r="C789" s="6">
        <v>0</v>
      </c>
      <c r="D789" s="3">
        <v>0</v>
      </c>
      <c r="E789" s="3">
        <v>0</v>
      </c>
      <c r="F789" s="3">
        <v>0</v>
      </c>
      <c r="G789" s="3">
        <v>0</v>
      </c>
      <c r="H789" s="3">
        <v>0</v>
      </c>
      <c r="I789" s="3">
        <v>0</v>
      </c>
      <c r="J789" s="4">
        <v>909</v>
      </c>
      <c r="K789" s="3">
        <v>4</v>
      </c>
      <c r="L789" s="3" t="s">
        <v>323</v>
      </c>
      <c r="M789" s="3">
        <v>405</v>
      </c>
      <c r="N789" s="23" t="s">
        <v>1203</v>
      </c>
      <c r="O789" s="3">
        <v>0</v>
      </c>
      <c r="P789" s="3"/>
      <c r="Q789" s="3" t="s">
        <v>272</v>
      </c>
      <c r="R789" s="3" t="s">
        <v>1690</v>
      </c>
      <c r="S789" s="3" t="s">
        <v>1690</v>
      </c>
      <c r="T789" s="3">
        <v>0</v>
      </c>
      <c r="U789" s="3">
        <v>0</v>
      </c>
      <c r="V789" s="6">
        <v>100</v>
      </c>
      <c r="W789" s="7"/>
      <c r="X789" s="3" t="s">
        <v>2591</v>
      </c>
      <c r="Y789" s="3" t="s">
        <v>252</v>
      </c>
    </row>
    <row r="790" spans="1:25" x14ac:dyDescent="0.15">
      <c r="A790" s="3">
        <v>405225</v>
      </c>
      <c r="B790" s="23" t="s">
        <v>2592</v>
      </c>
      <c r="C790" s="6">
        <v>0</v>
      </c>
      <c r="D790" s="3">
        <v>0</v>
      </c>
      <c r="E790" s="3">
        <v>0</v>
      </c>
      <c r="F790" s="3">
        <v>0</v>
      </c>
      <c r="G790" s="3">
        <v>0</v>
      </c>
      <c r="H790" s="3">
        <v>0</v>
      </c>
      <c r="I790" s="3">
        <v>0</v>
      </c>
      <c r="J790" s="4">
        <v>910</v>
      </c>
      <c r="K790" s="3">
        <v>4</v>
      </c>
      <c r="L790" s="3" t="s">
        <v>323</v>
      </c>
      <c r="M790" s="3">
        <v>405</v>
      </c>
      <c r="N790" s="23" t="s">
        <v>1203</v>
      </c>
      <c r="O790" s="3">
        <v>0</v>
      </c>
      <c r="P790" s="3"/>
      <c r="Q790" s="3" t="s">
        <v>272</v>
      </c>
      <c r="R790" s="3" t="s">
        <v>1691</v>
      </c>
      <c r="S790" s="3" t="s">
        <v>1691</v>
      </c>
      <c r="T790" s="3">
        <v>0</v>
      </c>
      <c r="U790" s="3">
        <v>0</v>
      </c>
      <c r="V790" s="6">
        <v>100</v>
      </c>
      <c r="W790" s="7"/>
      <c r="X790" s="3" t="s">
        <v>2592</v>
      </c>
      <c r="Y790" s="3" t="s">
        <v>252</v>
      </c>
    </row>
    <row r="791" spans="1:25" x14ac:dyDescent="0.15">
      <c r="A791" s="3">
        <v>405226</v>
      </c>
      <c r="B791" s="23" t="s">
        <v>2593</v>
      </c>
      <c r="C791" s="6">
        <v>0</v>
      </c>
      <c r="D791" s="3">
        <v>0</v>
      </c>
      <c r="E791" s="3">
        <v>0</v>
      </c>
      <c r="F791" s="3">
        <v>0</v>
      </c>
      <c r="G791" s="3">
        <v>0</v>
      </c>
      <c r="H791" s="3">
        <v>0</v>
      </c>
      <c r="I791" s="3">
        <v>0</v>
      </c>
      <c r="J791" s="4">
        <v>911</v>
      </c>
      <c r="K791" s="3">
        <v>4</v>
      </c>
      <c r="L791" s="3" t="s">
        <v>323</v>
      </c>
      <c r="M791" s="3">
        <v>405</v>
      </c>
      <c r="N791" s="23" t="s">
        <v>1203</v>
      </c>
      <c r="O791" s="3">
        <v>0</v>
      </c>
      <c r="P791" s="3"/>
      <c r="Q791" s="3" t="s">
        <v>272</v>
      </c>
      <c r="R791" s="3" t="s">
        <v>1692</v>
      </c>
      <c r="S791" s="3" t="s">
        <v>1692</v>
      </c>
      <c r="T791" s="3">
        <v>0</v>
      </c>
      <c r="U791" s="3">
        <v>0</v>
      </c>
      <c r="V791" s="6">
        <v>100</v>
      </c>
      <c r="W791" s="7"/>
      <c r="X791" s="3" t="s">
        <v>2593</v>
      </c>
      <c r="Y791" s="3" t="s">
        <v>252</v>
      </c>
    </row>
    <row r="792" spans="1:25" x14ac:dyDescent="0.15">
      <c r="A792" s="3">
        <v>405227</v>
      </c>
      <c r="B792" s="23" t="s">
        <v>2594</v>
      </c>
      <c r="C792" s="6">
        <v>0</v>
      </c>
      <c r="D792" s="3">
        <v>0</v>
      </c>
      <c r="E792" s="3">
        <v>0</v>
      </c>
      <c r="F792" s="3">
        <v>0</v>
      </c>
      <c r="G792" s="3">
        <v>0</v>
      </c>
      <c r="H792" s="3">
        <v>0</v>
      </c>
      <c r="I792" s="3">
        <v>0</v>
      </c>
      <c r="J792" s="4">
        <v>912</v>
      </c>
      <c r="K792" s="3">
        <v>4</v>
      </c>
      <c r="L792" s="3" t="s">
        <v>323</v>
      </c>
      <c r="M792" s="3">
        <v>405</v>
      </c>
      <c r="N792" s="23" t="s">
        <v>1203</v>
      </c>
      <c r="O792" s="3">
        <v>0</v>
      </c>
      <c r="P792" s="3"/>
      <c r="Q792" s="3" t="s">
        <v>272</v>
      </c>
      <c r="R792" s="3" t="s">
        <v>1693</v>
      </c>
      <c r="S792" s="3" t="s">
        <v>1693</v>
      </c>
      <c r="T792" s="3">
        <v>0</v>
      </c>
      <c r="U792" s="3">
        <v>0</v>
      </c>
      <c r="V792" s="6">
        <v>100</v>
      </c>
      <c r="W792" s="7"/>
      <c r="X792" s="3" t="s">
        <v>2594</v>
      </c>
      <c r="Y792" s="3" t="s">
        <v>252</v>
      </c>
    </row>
    <row r="793" spans="1:25" x14ac:dyDescent="0.15">
      <c r="A793" s="3">
        <v>405228</v>
      </c>
      <c r="B793" s="23" t="s">
        <v>2595</v>
      </c>
      <c r="C793" s="6">
        <v>0</v>
      </c>
      <c r="D793" s="3">
        <v>0</v>
      </c>
      <c r="E793" s="3">
        <v>0</v>
      </c>
      <c r="F793" s="3">
        <v>0</v>
      </c>
      <c r="G793" s="3">
        <v>0</v>
      </c>
      <c r="H793" s="3">
        <v>0</v>
      </c>
      <c r="I793" s="3">
        <v>0</v>
      </c>
      <c r="J793" s="4">
        <v>913</v>
      </c>
      <c r="K793" s="3">
        <v>4</v>
      </c>
      <c r="L793" s="3" t="s">
        <v>323</v>
      </c>
      <c r="M793" s="3">
        <v>405</v>
      </c>
      <c r="N793" s="23" t="s">
        <v>1203</v>
      </c>
      <c r="O793" s="3">
        <v>0</v>
      </c>
      <c r="P793" s="3"/>
      <c r="Q793" s="3" t="s">
        <v>272</v>
      </c>
      <c r="R793" s="3" t="s">
        <v>1694</v>
      </c>
      <c r="S793" s="3" t="s">
        <v>1694</v>
      </c>
      <c r="T793" s="3">
        <v>0</v>
      </c>
      <c r="U793" s="3">
        <v>0</v>
      </c>
      <c r="V793" s="6">
        <v>100</v>
      </c>
      <c r="W793" s="7"/>
      <c r="X793" s="3" t="s">
        <v>2595</v>
      </c>
      <c r="Y793" s="3" t="s">
        <v>252</v>
      </c>
    </row>
    <row r="794" spans="1:25" x14ac:dyDescent="0.15">
      <c r="A794" s="3">
        <v>405229</v>
      </c>
      <c r="B794" s="23" t="s">
        <v>2596</v>
      </c>
      <c r="C794" s="6">
        <v>0</v>
      </c>
      <c r="D794" s="3">
        <v>0</v>
      </c>
      <c r="E794" s="3">
        <v>0</v>
      </c>
      <c r="F794" s="3">
        <v>0</v>
      </c>
      <c r="G794" s="3">
        <v>0</v>
      </c>
      <c r="H794" s="3">
        <v>0</v>
      </c>
      <c r="I794" s="3">
        <v>0</v>
      </c>
      <c r="J794" s="4">
        <v>914</v>
      </c>
      <c r="K794" s="3">
        <v>4</v>
      </c>
      <c r="L794" s="3" t="s">
        <v>323</v>
      </c>
      <c r="M794" s="3">
        <v>405</v>
      </c>
      <c r="N794" s="23" t="s">
        <v>1203</v>
      </c>
      <c r="O794" s="3">
        <v>0</v>
      </c>
      <c r="P794" s="3"/>
      <c r="Q794" s="3" t="s">
        <v>272</v>
      </c>
      <c r="R794" s="3" t="s">
        <v>1695</v>
      </c>
      <c r="S794" s="3" t="s">
        <v>1695</v>
      </c>
      <c r="T794" s="3">
        <v>0</v>
      </c>
      <c r="U794" s="3">
        <v>0</v>
      </c>
      <c r="V794" s="6">
        <v>100</v>
      </c>
      <c r="W794" s="7"/>
      <c r="X794" s="3" t="s">
        <v>2596</v>
      </c>
      <c r="Y794" s="3" t="s">
        <v>252</v>
      </c>
    </row>
    <row r="795" spans="1:25" x14ac:dyDescent="0.15">
      <c r="A795" s="3">
        <v>405230</v>
      </c>
      <c r="B795" s="23" t="s">
        <v>2597</v>
      </c>
      <c r="C795" s="6">
        <v>0</v>
      </c>
      <c r="D795" s="3">
        <v>0</v>
      </c>
      <c r="E795" s="3">
        <v>0</v>
      </c>
      <c r="F795" s="3">
        <v>0</v>
      </c>
      <c r="G795" s="3">
        <v>0</v>
      </c>
      <c r="H795" s="3">
        <v>0</v>
      </c>
      <c r="I795" s="3">
        <v>0</v>
      </c>
      <c r="J795" s="4">
        <v>915</v>
      </c>
      <c r="K795" s="3">
        <v>4</v>
      </c>
      <c r="L795" s="3" t="s">
        <v>323</v>
      </c>
      <c r="M795" s="3">
        <v>405</v>
      </c>
      <c r="N795" s="23" t="s">
        <v>1203</v>
      </c>
      <c r="O795" s="3">
        <v>0</v>
      </c>
      <c r="P795" s="3"/>
      <c r="Q795" s="3" t="s">
        <v>272</v>
      </c>
      <c r="R795" s="3" t="s">
        <v>1696</v>
      </c>
      <c r="S795" s="3" t="s">
        <v>1696</v>
      </c>
      <c r="T795" s="3">
        <v>0</v>
      </c>
      <c r="U795" s="3">
        <v>0</v>
      </c>
      <c r="V795" s="6">
        <v>100</v>
      </c>
      <c r="W795" s="7"/>
      <c r="X795" s="27" t="s">
        <v>2680</v>
      </c>
      <c r="Y795" s="3" t="s">
        <v>252</v>
      </c>
    </row>
    <row r="796" spans="1:25" x14ac:dyDescent="0.15">
      <c r="A796" s="3">
        <v>405231</v>
      </c>
      <c r="B796" s="23" t="s">
        <v>2598</v>
      </c>
      <c r="C796" s="6">
        <v>0</v>
      </c>
      <c r="D796" s="3">
        <v>0</v>
      </c>
      <c r="E796" s="3">
        <v>0</v>
      </c>
      <c r="F796" s="3">
        <v>0</v>
      </c>
      <c r="G796" s="3">
        <v>0</v>
      </c>
      <c r="H796" s="3">
        <v>0</v>
      </c>
      <c r="I796" s="3">
        <v>0</v>
      </c>
      <c r="J796" s="4">
        <v>916</v>
      </c>
      <c r="K796" s="3">
        <v>4</v>
      </c>
      <c r="L796" s="3" t="s">
        <v>323</v>
      </c>
      <c r="M796" s="3">
        <v>405</v>
      </c>
      <c r="N796" s="23" t="s">
        <v>1203</v>
      </c>
      <c r="O796" s="3">
        <v>0</v>
      </c>
      <c r="P796" s="3"/>
      <c r="Q796" s="3" t="s">
        <v>272</v>
      </c>
      <c r="R796" s="3" t="s">
        <v>1697</v>
      </c>
      <c r="S796" s="3" t="s">
        <v>1697</v>
      </c>
      <c r="T796" s="3">
        <v>0</v>
      </c>
      <c r="U796" s="3">
        <v>0</v>
      </c>
      <c r="V796" s="6">
        <v>100</v>
      </c>
      <c r="W796" s="7"/>
      <c r="X796" s="3" t="s">
        <v>2598</v>
      </c>
      <c r="Y796" s="3" t="s">
        <v>252</v>
      </c>
    </row>
    <row r="797" spans="1:25" x14ac:dyDescent="0.15">
      <c r="A797" s="3">
        <v>405232</v>
      </c>
      <c r="B797" s="23" t="s">
        <v>2599</v>
      </c>
      <c r="C797" s="6">
        <v>0</v>
      </c>
      <c r="D797" s="3">
        <v>0</v>
      </c>
      <c r="E797" s="3">
        <v>0</v>
      </c>
      <c r="F797" s="3">
        <v>0</v>
      </c>
      <c r="G797" s="3">
        <v>0</v>
      </c>
      <c r="H797" s="3">
        <v>0</v>
      </c>
      <c r="I797" s="3">
        <v>0</v>
      </c>
      <c r="J797" s="4">
        <v>917</v>
      </c>
      <c r="K797" s="3">
        <v>4</v>
      </c>
      <c r="L797" s="3" t="s">
        <v>323</v>
      </c>
      <c r="M797" s="3">
        <v>405</v>
      </c>
      <c r="N797" s="23" t="s">
        <v>1203</v>
      </c>
      <c r="O797" s="3">
        <v>0</v>
      </c>
      <c r="P797" s="3"/>
      <c r="Q797" s="3" t="s">
        <v>272</v>
      </c>
      <c r="R797" s="3" t="s">
        <v>1698</v>
      </c>
      <c r="S797" s="3" t="s">
        <v>1698</v>
      </c>
      <c r="T797" s="3">
        <v>0</v>
      </c>
      <c r="U797" s="3">
        <v>0</v>
      </c>
      <c r="V797" s="6">
        <v>100</v>
      </c>
      <c r="W797" s="7"/>
      <c r="X797" s="3" t="s">
        <v>2599</v>
      </c>
      <c r="Y797" s="3" t="s">
        <v>252</v>
      </c>
    </row>
    <row r="798" spans="1:25" x14ac:dyDescent="0.15">
      <c r="A798" s="3">
        <v>405233</v>
      </c>
      <c r="B798" s="23" t="s">
        <v>2600</v>
      </c>
      <c r="C798" s="6">
        <v>0</v>
      </c>
      <c r="D798" s="3">
        <v>0</v>
      </c>
      <c r="E798" s="3">
        <v>0</v>
      </c>
      <c r="F798" s="3">
        <v>0</v>
      </c>
      <c r="G798" s="3">
        <v>0</v>
      </c>
      <c r="H798" s="3">
        <v>0</v>
      </c>
      <c r="I798" s="3">
        <v>0</v>
      </c>
      <c r="J798" s="4">
        <v>918</v>
      </c>
      <c r="K798" s="3">
        <v>4</v>
      </c>
      <c r="L798" s="3" t="s">
        <v>323</v>
      </c>
      <c r="M798" s="3">
        <v>405</v>
      </c>
      <c r="N798" s="23" t="s">
        <v>1203</v>
      </c>
      <c r="O798" s="3">
        <v>0</v>
      </c>
      <c r="P798" s="3"/>
      <c r="Q798" s="3" t="s">
        <v>272</v>
      </c>
      <c r="R798" s="3" t="s">
        <v>1699</v>
      </c>
      <c r="S798" s="3" t="s">
        <v>1699</v>
      </c>
      <c r="T798" s="3">
        <v>0</v>
      </c>
      <c r="U798" s="3">
        <v>0</v>
      </c>
      <c r="V798" s="6">
        <v>100</v>
      </c>
      <c r="W798" s="7"/>
      <c r="X798" s="3" t="s">
        <v>2600</v>
      </c>
      <c r="Y798" s="3" t="s">
        <v>252</v>
      </c>
    </row>
    <row r="799" spans="1:25" x14ac:dyDescent="0.15">
      <c r="A799" s="3">
        <v>405234</v>
      </c>
      <c r="B799" s="23" t="s">
        <v>2601</v>
      </c>
      <c r="C799" s="6">
        <v>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0</v>
      </c>
      <c r="J799" s="4">
        <v>919</v>
      </c>
      <c r="K799" s="3">
        <v>4</v>
      </c>
      <c r="L799" s="3" t="s">
        <v>323</v>
      </c>
      <c r="M799" s="3">
        <v>405</v>
      </c>
      <c r="N799" s="23" t="s">
        <v>1203</v>
      </c>
      <c r="O799" s="3">
        <v>0</v>
      </c>
      <c r="P799" s="3"/>
      <c r="Q799" s="3" t="s">
        <v>272</v>
      </c>
      <c r="R799" s="3" t="s">
        <v>1700</v>
      </c>
      <c r="S799" s="3" t="s">
        <v>1700</v>
      </c>
      <c r="T799" s="3">
        <v>0</v>
      </c>
      <c r="U799" s="3">
        <v>0</v>
      </c>
      <c r="V799" s="6">
        <v>100</v>
      </c>
      <c r="W799" s="7"/>
      <c r="X799" s="3" t="s">
        <v>2601</v>
      </c>
      <c r="Y799" s="3" t="s">
        <v>252</v>
      </c>
    </row>
    <row r="800" spans="1:25" x14ac:dyDescent="0.15">
      <c r="A800" s="3">
        <v>405235</v>
      </c>
      <c r="B800" s="23" t="s">
        <v>2602</v>
      </c>
      <c r="C800" s="6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4">
        <v>920</v>
      </c>
      <c r="K800" s="3">
        <v>4</v>
      </c>
      <c r="L800" s="3" t="s">
        <v>323</v>
      </c>
      <c r="M800" s="3">
        <v>405</v>
      </c>
      <c r="N800" s="23" t="s">
        <v>1203</v>
      </c>
      <c r="O800" s="3">
        <v>0</v>
      </c>
      <c r="P800" s="3"/>
      <c r="Q800" s="3" t="s">
        <v>272</v>
      </c>
      <c r="R800" s="3" t="s">
        <v>1701</v>
      </c>
      <c r="S800" s="3" t="s">
        <v>1701</v>
      </c>
      <c r="T800" s="3">
        <v>0</v>
      </c>
      <c r="U800" s="3">
        <v>0</v>
      </c>
      <c r="V800" s="6">
        <v>100</v>
      </c>
      <c r="W800" s="7"/>
      <c r="X800" s="3" t="s">
        <v>2602</v>
      </c>
      <c r="Y800" s="3" t="s">
        <v>252</v>
      </c>
    </row>
    <row r="801" spans="1:25" x14ac:dyDescent="0.15">
      <c r="A801" s="3">
        <v>405236</v>
      </c>
      <c r="B801" s="23" t="s">
        <v>2603</v>
      </c>
      <c r="C801" s="6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4">
        <v>921</v>
      </c>
      <c r="K801" s="3">
        <v>4</v>
      </c>
      <c r="L801" s="3" t="s">
        <v>323</v>
      </c>
      <c r="M801" s="3">
        <v>405</v>
      </c>
      <c r="N801" s="23" t="s">
        <v>1203</v>
      </c>
      <c r="O801" s="3">
        <v>0</v>
      </c>
      <c r="P801" s="3"/>
      <c r="Q801" s="3" t="s">
        <v>272</v>
      </c>
      <c r="R801" s="3" t="s">
        <v>1702</v>
      </c>
      <c r="S801" s="3" t="s">
        <v>1702</v>
      </c>
      <c r="T801" s="3">
        <v>0</v>
      </c>
      <c r="U801" s="3">
        <v>0</v>
      </c>
      <c r="V801" s="6">
        <v>100</v>
      </c>
      <c r="W801" s="7"/>
      <c r="X801" s="3" t="s">
        <v>2603</v>
      </c>
      <c r="Y801" s="3" t="s">
        <v>252</v>
      </c>
    </row>
    <row r="802" spans="1:25" x14ac:dyDescent="0.15">
      <c r="A802" s="3">
        <v>405237</v>
      </c>
      <c r="B802" s="23" t="s">
        <v>2604</v>
      </c>
      <c r="C802" s="6">
        <v>0</v>
      </c>
      <c r="D802" s="3">
        <v>0</v>
      </c>
      <c r="E802" s="3">
        <v>0</v>
      </c>
      <c r="F802" s="3">
        <v>0</v>
      </c>
      <c r="G802" s="3">
        <v>0</v>
      </c>
      <c r="H802" s="3">
        <v>0</v>
      </c>
      <c r="I802" s="3">
        <v>0</v>
      </c>
      <c r="J802" s="4">
        <v>913</v>
      </c>
      <c r="K802" s="3">
        <v>4</v>
      </c>
      <c r="L802" s="3" t="s">
        <v>323</v>
      </c>
      <c r="M802" s="3">
        <v>405</v>
      </c>
      <c r="N802" s="23" t="s">
        <v>1203</v>
      </c>
      <c r="O802" s="3">
        <v>0</v>
      </c>
      <c r="P802" s="3"/>
      <c r="Q802" s="3" t="s">
        <v>272</v>
      </c>
      <c r="R802" s="3" t="s">
        <v>1703</v>
      </c>
      <c r="S802" s="3" t="s">
        <v>1703</v>
      </c>
      <c r="T802" s="3">
        <v>0</v>
      </c>
      <c r="U802" s="3">
        <v>0</v>
      </c>
      <c r="V802" s="6">
        <v>100</v>
      </c>
      <c r="W802" s="7"/>
      <c r="X802" s="27" t="s">
        <v>2604</v>
      </c>
      <c r="Y802" s="3" t="s">
        <v>252</v>
      </c>
    </row>
    <row r="803" spans="1:25" x14ac:dyDescent="0.15">
      <c r="A803" s="3">
        <v>405238</v>
      </c>
      <c r="B803" s="23" t="s">
        <v>2605</v>
      </c>
      <c r="C803" s="6">
        <v>0</v>
      </c>
      <c r="D803" s="3">
        <v>0</v>
      </c>
      <c r="E803" s="3">
        <v>0</v>
      </c>
      <c r="F803" s="3">
        <v>0</v>
      </c>
      <c r="G803" s="3">
        <v>0</v>
      </c>
      <c r="H803" s="3">
        <v>0</v>
      </c>
      <c r="I803" s="3">
        <v>0</v>
      </c>
      <c r="J803" s="4">
        <v>914</v>
      </c>
      <c r="K803" s="3">
        <v>4</v>
      </c>
      <c r="L803" s="3" t="s">
        <v>323</v>
      </c>
      <c r="M803" s="3">
        <v>405</v>
      </c>
      <c r="N803" s="23" t="s">
        <v>1203</v>
      </c>
      <c r="O803" s="3">
        <v>0</v>
      </c>
      <c r="P803" s="3"/>
      <c r="Q803" s="3" t="s">
        <v>272</v>
      </c>
      <c r="R803" s="3" t="s">
        <v>1704</v>
      </c>
      <c r="S803" s="3" t="s">
        <v>1704</v>
      </c>
      <c r="T803" s="3">
        <v>0</v>
      </c>
      <c r="U803" s="3">
        <v>0</v>
      </c>
      <c r="V803" s="6">
        <v>100</v>
      </c>
      <c r="W803" s="7"/>
      <c r="X803" s="3" t="s">
        <v>2605</v>
      </c>
      <c r="Y803" s="3" t="s">
        <v>252</v>
      </c>
    </row>
    <row r="804" spans="1:25" x14ac:dyDescent="0.15">
      <c r="A804" s="3">
        <v>405239</v>
      </c>
      <c r="B804" s="23" t="s">
        <v>2606</v>
      </c>
      <c r="C804" s="6">
        <v>0</v>
      </c>
      <c r="D804" s="3">
        <v>0</v>
      </c>
      <c r="E804" s="3">
        <v>0</v>
      </c>
      <c r="F804" s="3">
        <v>0</v>
      </c>
      <c r="G804" s="3">
        <v>0</v>
      </c>
      <c r="H804" s="3">
        <v>0</v>
      </c>
      <c r="I804" s="3">
        <v>0</v>
      </c>
      <c r="J804" s="4">
        <v>915</v>
      </c>
      <c r="K804" s="3">
        <v>4</v>
      </c>
      <c r="L804" s="3" t="s">
        <v>323</v>
      </c>
      <c r="M804" s="3">
        <v>405</v>
      </c>
      <c r="N804" s="23" t="s">
        <v>1203</v>
      </c>
      <c r="O804" s="3">
        <v>0</v>
      </c>
      <c r="P804" s="3"/>
      <c r="Q804" s="3" t="s">
        <v>272</v>
      </c>
      <c r="R804" s="3" t="s">
        <v>1705</v>
      </c>
      <c r="S804" s="3" t="s">
        <v>1705</v>
      </c>
      <c r="T804" s="3">
        <v>0</v>
      </c>
      <c r="U804" s="3">
        <v>0</v>
      </c>
      <c r="V804" s="6">
        <v>100</v>
      </c>
      <c r="W804" s="7"/>
      <c r="X804" s="3" t="s">
        <v>2606</v>
      </c>
      <c r="Y804" s="3" t="s">
        <v>252</v>
      </c>
    </row>
    <row r="805" spans="1:25" x14ac:dyDescent="0.15">
      <c r="A805" s="3">
        <v>405240</v>
      </c>
      <c r="B805" s="23" t="s">
        <v>2607</v>
      </c>
      <c r="C805" s="6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4">
        <v>916</v>
      </c>
      <c r="K805" s="3">
        <v>4</v>
      </c>
      <c r="L805" s="3" t="s">
        <v>323</v>
      </c>
      <c r="M805" s="3">
        <v>405</v>
      </c>
      <c r="N805" s="23" t="s">
        <v>1203</v>
      </c>
      <c r="O805" s="3">
        <v>0</v>
      </c>
      <c r="P805" s="3"/>
      <c r="Q805" s="3" t="s">
        <v>272</v>
      </c>
      <c r="R805" s="3" t="s">
        <v>1706</v>
      </c>
      <c r="S805" s="3" t="s">
        <v>1706</v>
      </c>
      <c r="T805" s="3">
        <v>0</v>
      </c>
      <c r="U805" s="3">
        <v>0</v>
      </c>
      <c r="V805" s="6">
        <v>100</v>
      </c>
      <c r="W805" s="7"/>
      <c r="X805" s="3" t="s">
        <v>2607</v>
      </c>
      <c r="Y805" s="3" t="s">
        <v>252</v>
      </c>
    </row>
    <row r="806" spans="1:25" x14ac:dyDescent="0.15">
      <c r="A806" s="3">
        <v>405241</v>
      </c>
      <c r="B806" s="23" t="s">
        <v>2608</v>
      </c>
      <c r="C806" s="6">
        <v>0</v>
      </c>
      <c r="D806" s="3">
        <v>0</v>
      </c>
      <c r="E806" s="3">
        <v>0</v>
      </c>
      <c r="F806" s="3">
        <v>0</v>
      </c>
      <c r="G806" s="3">
        <v>0</v>
      </c>
      <c r="H806" s="3">
        <v>0</v>
      </c>
      <c r="I806" s="3">
        <v>0</v>
      </c>
      <c r="J806" s="4">
        <v>917</v>
      </c>
      <c r="K806" s="3">
        <v>4</v>
      </c>
      <c r="L806" s="3" t="s">
        <v>323</v>
      </c>
      <c r="M806" s="3">
        <v>405</v>
      </c>
      <c r="N806" s="23" t="s">
        <v>1203</v>
      </c>
      <c r="O806" s="3">
        <v>0</v>
      </c>
      <c r="P806" s="3"/>
      <c r="Q806" s="3" t="s">
        <v>272</v>
      </c>
      <c r="R806" s="3" t="s">
        <v>1707</v>
      </c>
      <c r="S806" s="3" t="s">
        <v>1707</v>
      </c>
      <c r="T806" s="3">
        <v>0</v>
      </c>
      <c r="U806" s="3">
        <v>0</v>
      </c>
      <c r="V806" s="6">
        <v>100</v>
      </c>
      <c r="W806" s="7"/>
      <c r="X806" s="3" t="s">
        <v>2608</v>
      </c>
      <c r="Y806" s="3" t="s">
        <v>252</v>
      </c>
    </row>
    <row r="807" spans="1:25" x14ac:dyDescent="0.15">
      <c r="A807" s="3">
        <v>405242</v>
      </c>
      <c r="B807" s="23" t="s">
        <v>2609</v>
      </c>
      <c r="C807" s="6">
        <v>0</v>
      </c>
      <c r="D807" s="3">
        <v>0</v>
      </c>
      <c r="E807" s="3">
        <v>0</v>
      </c>
      <c r="F807" s="3">
        <v>0</v>
      </c>
      <c r="G807" s="3">
        <v>0</v>
      </c>
      <c r="H807" s="3">
        <v>0</v>
      </c>
      <c r="I807" s="3">
        <v>0</v>
      </c>
      <c r="J807" s="4">
        <v>918</v>
      </c>
      <c r="K807" s="3">
        <v>4</v>
      </c>
      <c r="L807" s="3" t="s">
        <v>323</v>
      </c>
      <c r="M807" s="3">
        <v>405</v>
      </c>
      <c r="N807" s="23" t="s">
        <v>1203</v>
      </c>
      <c r="O807" s="3">
        <v>0</v>
      </c>
      <c r="P807" s="3"/>
      <c r="Q807" s="3" t="s">
        <v>272</v>
      </c>
      <c r="R807" s="3" t="s">
        <v>1708</v>
      </c>
      <c r="S807" s="3" t="s">
        <v>1708</v>
      </c>
      <c r="T807" s="3">
        <v>0</v>
      </c>
      <c r="U807" s="3">
        <v>0</v>
      </c>
      <c r="V807" s="6">
        <v>100</v>
      </c>
      <c r="W807" s="7"/>
      <c r="X807" s="3" t="s">
        <v>2609</v>
      </c>
      <c r="Y807" s="3" t="s">
        <v>252</v>
      </c>
    </row>
    <row r="808" spans="1:25" x14ac:dyDescent="0.15">
      <c r="A808" s="3">
        <v>405243</v>
      </c>
      <c r="B808" s="23" t="s">
        <v>2610</v>
      </c>
      <c r="C808" s="6">
        <v>0</v>
      </c>
      <c r="D808" s="3">
        <v>0</v>
      </c>
      <c r="E808" s="3">
        <v>0</v>
      </c>
      <c r="F808" s="3">
        <v>0</v>
      </c>
      <c r="G808" s="3">
        <v>0</v>
      </c>
      <c r="H808" s="3">
        <v>0</v>
      </c>
      <c r="I808" s="3">
        <v>0</v>
      </c>
      <c r="J808" s="4">
        <v>919</v>
      </c>
      <c r="K808" s="3">
        <v>4</v>
      </c>
      <c r="L808" s="3" t="s">
        <v>323</v>
      </c>
      <c r="M808" s="3">
        <v>405</v>
      </c>
      <c r="N808" s="23" t="s">
        <v>1203</v>
      </c>
      <c r="O808" s="3">
        <v>0</v>
      </c>
      <c r="P808" s="3"/>
      <c r="Q808" s="3" t="s">
        <v>272</v>
      </c>
      <c r="R808" s="3" t="s">
        <v>1709</v>
      </c>
      <c r="S808" s="3" t="s">
        <v>1709</v>
      </c>
      <c r="T808" s="3">
        <v>0</v>
      </c>
      <c r="U808" s="3">
        <v>0</v>
      </c>
      <c r="V808" s="6">
        <v>100</v>
      </c>
      <c r="W808" s="7"/>
      <c r="X808" s="3" t="s">
        <v>2610</v>
      </c>
      <c r="Y808" s="3" t="s">
        <v>252</v>
      </c>
    </row>
    <row r="809" spans="1:25" x14ac:dyDescent="0.15">
      <c r="A809" s="3">
        <v>405244</v>
      </c>
      <c r="B809" s="23" t="s">
        <v>2611</v>
      </c>
      <c r="C809" s="6">
        <v>0</v>
      </c>
      <c r="D809" s="3">
        <v>0</v>
      </c>
      <c r="E809" s="3">
        <v>0</v>
      </c>
      <c r="F809" s="3">
        <v>0</v>
      </c>
      <c r="G809" s="3">
        <v>0</v>
      </c>
      <c r="H809" s="3">
        <v>0</v>
      </c>
      <c r="I809" s="3">
        <v>0</v>
      </c>
      <c r="J809" s="4">
        <v>920</v>
      </c>
      <c r="K809" s="3">
        <v>4</v>
      </c>
      <c r="L809" s="3" t="s">
        <v>323</v>
      </c>
      <c r="M809" s="3">
        <v>405</v>
      </c>
      <c r="N809" s="23" t="s">
        <v>1203</v>
      </c>
      <c r="O809" s="3">
        <v>0</v>
      </c>
      <c r="P809" s="3"/>
      <c r="Q809" s="3" t="s">
        <v>272</v>
      </c>
      <c r="R809" s="3" t="s">
        <v>1710</v>
      </c>
      <c r="S809" s="3" t="s">
        <v>1710</v>
      </c>
      <c r="T809" s="3">
        <v>0</v>
      </c>
      <c r="U809" s="3">
        <v>0</v>
      </c>
      <c r="V809" s="6">
        <v>100</v>
      </c>
      <c r="W809" s="7"/>
      <c r="X809" s="3" t="s">
        <v>2611</v>
      </c>
      <c r="Y809" s="3" t="s">
        <v>252</v>
      </c>
    </row>
    <row r="810" spans="1:25" x14ac:dyDescent="0.15">
      <c r="A810" s="3">
        <v>405245</v>
      </c>
      <c r="B810" s="23" t="s">
        <v>2612</v>
      </c>
      <c r="C810" s="6">
        <v>0</v>
      </c>
      <c r="D810" s="3">
        <v>0</v>
      </c>
      <c r="E810" s="3">
        <v>0</v>
      </c>
      <c r="F810" s="3">
        <v>0</v>
      </c>
      <c r="G810" s="3">
        <v>0</v>
      </c>
      <c r="H810" s="3">
        <v>0</v>
      </c>
      <c r="I810" s="3">
        <v>0</v>
      </c>
      <c r="J810" s="4">
        <v>921</v>
      </c>
      <c r="K810" s="3">
        <v>4</v>
      </c>
      <c r="L810" s="3" t="s">
        <v>323</v>
      </c>
      <c r="M810" s="3">
        <v>405</v>
      </c>
      <c r="N810" s="23" t="s">
        <v>1203</v>
      </c>
      <c r="O810" s="3">
        <v>0</v>
      </c>
      <c r="P810" s="3"/>
      <c r="Q810" s="3" t="s">
        <v>272</v>
      </c>
      <c r="R810" s="3" t="s">
        <v>1711</v>
      </c>
      <c r="S810" s="3" t="s">
        <v>1711</v>
      </c>
      <c r="T810" s="3">
        <v>0</v>
      </c>
      <c r="U810" s="3">
        <v>0</v>
      </c>
      <c r="V810" s="6">
        <v>100</v>
      </c>
      <c r="W810" s="7"/>
      <c r="X810" s="3" t="s">
        <v>2612</v>
      </c>
      <c r="Y810" s="3" t="s">
        <v>252</v>
      </c>
    </row>
    <row r="811" spans="1:25" x14ac:dyDescent="0.15">
      <c r="A811" s="3">
        <v>405246</v>
      </c>
      <c r="B811" s="23" t="s">
        <v>2635</v>
      </c>
      <c r="C811" s="6">
        <v>0</v>
      </c>
      <c r="D811" s="3">
        <v>0</v>
      </c>
      <c r="E811" s="3">
        <v>0</v>
      </c>
      <c r="F811" s="3">
        <v>0</v>
      </c>
      <c r="G811" s="3">
        <v>0</v>
      </c>
      <c r="H811" s="3">
        <v>0</v>
      </c>
      <c r="I811" s="3">
        <v>0</v>
      </c>
      <c r="J811" s="4">
        <v>913</v>
      </c>
      <c r="K811" s="3">
        <v>4</v>
      </c>
      <c r="L811" s="3" t="s">
        <v>323</v>
      </c>
      <c r="M811" s="3">
        <v>405</v>
      </c>
      <c r="N811" s="23" t="s">
        <v>1203</v>
      </c>
      <c r="O811" s="3">
        <v>0</v>
      </c>
      <c r="P811" s="3"/>
      <c r="Q811" s="3" t="s">
        <v>272</v>
      </c>
      <c r="R811" s="27" t="s">
        <v>2662</v>
      </c>
      <c r="S811" s="27" t="s">
        <v>2662</v>
      </c>
      <c r="T811" s="3">
        <v>0</v>
      </c>
      <c r="U811" s="3">
        <v>0</v>
      </c>
      <c r="V811" s="6">
        <v>100</v>
      </c>
      <c r="W811" s="7"/>
      <c r="X811" s="27" t="s">
        <v>2635</v>
      </c>
      <c r="Y811" s="3" t="s">
        <v>252</v>
      </c>
    </row>
    <row r="812" spans="1:25" x14ac:dyDescent="0.15">
      <c r="A812" s="3">
        <v>405247</v>
      </c>
      <c r="B812" s="23" t="s">
        <v>2636</v>
      </c>
      <c r="C812" s="6">
        <v>0</v>
      </c>
      <c r="D812" s="3">
        <v>0</v>
      </c>
      <c r="E812" s="3">
        <v>0</v>
      </c>
      <c r="F812" s="3">
        <v>0</v>
      </c>
      <c r="G812" s="3">
        <v>0</v>
      </c>
      <c r="H812" s="3">
        <v>0</v>
      </c>
      <c r="I812" s="3">
        <v>0</v>
      </c>
      <c r="J812" s="4">
        <v>914</v>
      </c>
      <c r="K812" s="3">
        <v>4</v>
      </c>
      <c r="L812" s="3" t="s">
        <v>323</v>
      </c>
      <c r="M812" s="3">
        <v>405</v>
      </c>
      <c r="N812" s="23" t="s">
        <v>1203</v>
      </c>
      <c r="O812" s="3">
        <v>0</v>
      </c>
      <c r="P812" s="3"/>
      <c r="Q812" s="3" t="s">
        <v>272</v>
      </c>
      <c r="R812" s="27" t="s">
        <v>2663</v>
      </c>
      <c r="S812" s="27" t="s">
        <v>2663</v>
      </c>
      <c r="T812" s="3">
        <v>0</v>
      </c>
      <c r="U812" s="3">
        <v>0</v>
      </c>
      <c r="V812" s="6">
        <v>100</v>
      </c>
      <c r="W812" s="7"/>
      <c r="X812" s="3" t="s">
        <v>2636</v>
      </c>
      <c r="Y812" s="3" t="s">
        <v>252</v>
      </c>
    </row>
    <row r="813" spans="1:25" x14ac:dyDescent="0.15">
      <c r="A813" s="3">
        <v>405248</v>
      </c>
      <c r="B813" s="23" t="s">
        <v>2637</v>
      </c>
      <c r="C813" s="6">
        <v>0</v>
      </c>
      <c r="D813" s="3">
        <v>0</v>
      </c>
      <c r="E813" s="3">
        <v>0</v>
      </c>
      <c r="F813" s="3">
        <v>0</v>
      </c>
      <c r="G813" s="3">
        <v>0</v>
      </c>
      <c r="H813" s="3">
        <v>0</v>
      </c>
      <c r="I813" s="3">
        <v>0</v>
      </c>
      <c r="J813" s="4">
        <v>915</v>
      </c>
      <c r="K813" s="3">
        <v>4</v>
      </c>
      <c r="L813" s="3" t="s">
        <v>323</v>
      </c>
      <c r="M813" s="3">
        <v>405</v>
      </c>
      <c r="N813" s="23" t="s">
        <v>1203</v>
      </c>
      <c r="O813" s="3">
        <v>0</v>
      </c>
      <c r="P813" s="3"/>
      <c r="Q813" s="3" t="s">
        <v>272</v>
      </c>
      <c r="R813" s="27" t="s">
        <v>2664</v>
      </c>
      <c r="S813" s="27" t="s">
        <v>2664</v>
      </c>
      <c r="T813" s="3">
        <v>0</v>
      </c>
      <c r="U813" s="3">
        <v>0</v>
      </c>
      <c r="V813" s="6">
        <v>100</v>
      </c>
      <c r="W813" s="7"/>
      <c r="X813" s="3" t="s">
        <v>2637</v>
      </c>
      <c r="Y813" s="3" t="s">
        <v>252</v>
      </c>
    </row>
    <row r="814" spans="1:25" x14ac:dyDescent="0.15">
      <c r="A814" s="3">
        <v>405249</v>
      </c>
      <c r="B814" s="23" t="s">
        <v>2638</v>
      </c>
      <c r="C814" s="6">
        <v>0</v>
      </c>
      <c r="D814" s="3">
        <v>0</v>
      </c>
      <c r="E814" s="3">
        <v>0</v>
      </c>
      <c r="F814" s="3">
        <v>0</v>
      </c>
      <c r="G814" s="3">
        <v>0</v>
      </c>
      <c r="H814" s="3">
        <v>0</v>
      </c>
      <c r="I814" s="3">
        <v>0</v>
      </c>
      <c r="J814" s="4">
        <v>916</v>
      </c>
      <c r="K814" s="3">
        <v>4</v>
      </c>
      <c r="L814" s="3" t="s">
        <v>323</v>
      </c>
      <c r="M814" s="3">
        <v>405</v>
      </c>
      <c r="N814" s="23" t="s">
        <v>1203</v>
      </c>
      <c r="O814" s="3">
        <v>0</v>
      </c>
      <c r="P814" s="3"/>
      <c r="Q814" s="3" t="s">
        <v>272</v>
      </c>
      <c r="R814" s="27" t="s">
        <v>2665</v>
      </c>
      <c r="S814" s="27" t="s">
        <v>2665</v>
      </c>
      <c r="T814" s="3">
        <v>0</v>
      </c>
      <c r="U814" s="3">
        <v>0</v>
      </c>
      <c r="V814" s="6">
        <v>100</v>
      </c>
      <c r="W814" s="7"/>
      <c r="X814" s="3" t="s">
        <v>2638</v>
      </c>
      <c r="Y814" s="3" t="s">
        <v>252</v>
      </c>
    </row>
    <row r="815" spans="1:25" x14ac:dyDescent="0.15">
      <c r="A815" s="3">
        <v>405250</v>
      </c>
      <c r="B815" s="23" t="s">
        <v>2639</v>
      </c>
      <c r="C815" s="6">
        <v>0</v>
      </c>
      <c r="D815" s="3">
        <v>0</v>
      </c>
      <c r="E815" s="3">
        <v>0</v>
      </c>
      <c r="F815" s="3">
        <v>0</v>
      </c>
      <c r="G815" s="3">
        <v>0</v>
      </c>
      <c r="H815" s="3">
        <v>0</v>
      </c>
      <c r="I815" s="3">
        <v>0</v>
      </c>
      <c r="J815" s="4">
        <v>917</v>
      </c>
      <c r="K815" s="3">
        <v>4</v>
      </c>
      <c r="L815" s="3" t="s">
        <v>323</v>
      </c>
      <c r="M815" s="3">
        <v>405</v>
      </c>
      <c r="N815" s="23" t="s">
        <v>1203</v>
      </c>
      <c r="O815" s="3">
        <v>0</v>
      </c>
      <c r="P815" s="3"/>
      <c r="Q815" s="3" t="s">
        <v>272</v>
      </c>
      <c r="R815" s="27" t="s">
        <v>2666</v>
      </c>
      <c r="S815" s="27" t="s">
        <v>2666</v>
      </c>
      <c r="T815" s="3">
        <v>0</v>
      </c>
      <c r="U815" s="3">
        <v>0</v>
      </c>
      <c r="V815" s="6">
        <v>100</v>
      </c>
      <c r="W815" s="7"/>
      <c r="X815" s="3" t="s">
        <v>2639</v>
      </c>
      <c r="Y815" s="3" t="s">
        <v>252</v>
      </c>
    </row>
    <row r="816" spans="1:25" x14ac:dyDescent="0.15">
      <c r="A816" s="3">
        <v>405251</v>
      </c>
      <c r="B816" s="23" t="s">
        <v>2640</v>
      </c>
      <c r="C816" s="6">
        <v>0</v>
      </c>
      <c r="D816" s="3">
        <v>0</v>
      </c>
      <c r="E816" s="3">
        <v>0</v>
      </c>
      <c r="F816" s="3">
        <v>0</v>
      </c>
      <c r="G816" s="3">
        <v>0</v>
      </c>
      <c r="H816" s="3">
        <v>0</v>
      </c>
      <c r="I816" s="3">
        <v>0</v>
      </c>
      <c r="J816" s="4">
        <v>918</v>
      </c>
      <c r="K816" s="3">
        <v>4</v>
      </c>
      <c r="L816" s="3" t="s">
        <v>323</v>
      </c>
      <c r="M816" s="3">
        <v>405</v>
      </c>
      <c r="N816" s="23" t="s">
        <v>1203</v>
      </c>
      <c r="O816" s="3">
        <v>0</v>
      </c>
      <c r="P816" s="3"/>
      <c r="Q816" s="3" t="s">
        <v>272</v>
      </c>
      <c r="R816" s="27" t="s">
        <v>2667</v>
      </c>
      <c r="S816" s="27" t="s">
        <v>2667</v>
      </c>
      <c r="T816" s="3">
        <v>0</v>
      </c>
      <c r="U816" s="3">
        <v>0</v>
      </c>
      <c r="V816" s="6">
        <v>100</v>
      </c>
      <c r="W816" s="7"/>
      <c r="X816" s="3" t="s">
        <v>2640</v>
      </c>
      <c r="Y816" s="3" t="s">
        <v>252</v>
      </c>
    </row>
    <row r="817" spans="1:25" x14ac:dyDescent="0.15">
      <c r="A817" s="3">
        <v>405252</v>
      </c>
      <c r="B817" s="23" t="s">
        <v>2641</v>
      </c>
      <c r="C817" s="6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4">
        <v>919</v>
      </c>
      <c r="K817" s="3">
        <v>4</v>
      </c>
      <c r="L817" s="3" t="s">
        <v>323</v>
      </c>
      <c r="M817" s="3">
        <v>405</v>
      </c>
      <c r="N817" s="23" t="s">
        <v>1203</v>
      </c>
      <c r="O817" s="3">
        <v>0</v>
      </c>
      <c r="P817" s="3"/>
      <c r="Q817" s="3" t="s">
        <v>272</v>
      </c>
      <c r="R817" s="27" t="s">
        <v>2668</v>
      </c>
      <c r="S817" s="27" t="s">
        <v>2668</v>
      </c>
      <c r="T817" s="3">
        <v>0</v>
      </c>
      <c r="U817" s="3">
        <v>0</v>
      </c>
      <c r="V817" s="6">
        <v>100</v>
      </c>
      <c r="W817" s="7"/>
      <c r="X817" s="3" t="s">
        <v>2641</v>
      </c>
      <c r="Y817" s="3" t="s">
        <v>252</v>
      </c>
    </row>
    <row r="818" spans="1:25" x14ac:dyDescent="0.15">
      <c r="A818" s="3">
        <v>405253</v>
      </c>
      <c r="B818" s="23" t="s">
        <v>2642</v>
      </c>
      <c r="C818" s="6">
        <v>0</v>
      </c>
      <c r="D818" s="3">
        <v>0</v>
      </c>
      <c r="E818" s="3">
        <v>0</v>
      </c>
      <c r="F818" s="3">
        <v>0</v>
      </c>
      <c r="G818" s="3">
        <v>0</v>
      </c>
      <c r="H818" s="3">
        <v>0</v>
      </c>
      <c r="I818" s="3">
        <v>0</v>
      </c>
      <c r="J818" s="4">
        <v>920</v>
      </c>
      <c r="K818" s="3">
        <v>4</v>
      </c>
      <c r="L818" s="3" t="s">
        <v>323</v>
      </c>
      <c r="M818" s="3">
        <v>405</v>
      </c>
      <c r="N818" s="23" t="s">
        <v>1203</v>
      </c>
      <c r="O818" s="3">
        <v>0</v>
      </c>
      <c r="P818" s="3"/>
      <c r="Q818" s="3" t="s">
        <v>272</v>
      </c>
      <c r="R818" s="27" t="s">
        <v>2669</v>
      </c>
      <c r="S818" s="27" t="s">
        <v>2669</v>
      </c>
      <c r="T818" s="3">
        <v>0</v>
      </c>
      <c r="U818" s="3">
        <v>0</v>
      </c>
      <c r="V818" s="6">
        <v>100</v>
      </c>
      <c r="W818" s="7"/>
      <c r="X818" s="3" t="s">
        <v>2642</v>
      </c>
      <c r="Y818" s="3" t="s">
        <v>252</v>
      </c>
    </row>
    <row r="819" spans="1:25" x14ac:dyDescent="0.15">
      <c r="A819" s="3">
        <v>405254</v>
      </c>
      <c r="B819" s="23" t="s">
        <v>2643</v>
      </c>
      <c r="C819" s="6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4">
        <v>921</v>
      </c>
      <c r="K819" s="3">
        <v>4</v>
      </c>
      <c r="L819" s="3" t="s">
        <v>323</v>
      </c>
      <c r="M819" s="3">
        <v>405</v>
      </c>
      <c r="N819" s="23" t="s">
        <v>1203</v>
      </c>
      <c r="O819" s="3">
        <v>0</v>
      </c>
      <c r="P819" s="3"/>
      <c r="Q819" s="3" t="s">
        <v>272</v>
      </c>
      <c r="R819" s="27" t="s">
        <v>2670</v>
      </c>
      <c r="S819" s="27" t="s">
        <v>2670</v>
      </c>
      <c r="T819" s="3">
        <v>0</v>
      </c>
      <c r="U819" s="3">
        <v>0</v>
      </c>
      <c r="V819" s="6">
        <v>100</v>
      </c>
      <c r="W819" s="7"/>
      <c r="X819" s="3" t="s">
        <v>2643</v>
      </c>
      <c r="Y819" s="3" t="s">
        <v>252</v>
      </c>
    </row>
    <row r="820" spans="1:25" x14ac:dyDescent="0.15">
      <c r="A820" s="3">
        <v>405255</v>
      </c>
      <c r="B820" s="23" t="s">
        <v>2644</v>
      </c>
      <c r="C820" s="6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4">
        <v>913</v>
      </c>
      <c r="K820" s="3">
        <v>4</v>
      </c>
      <c r="L820" s="3" t="s">
        <v>323</v>
      </c>
      <c r="M820" s="3">
        <v>405</v>
      </c>
      <c r="N820" s="23" t="s">
        <v>1203</v>
      </c>
      <c r="O820" s="3">
        <v>0</v>
      </c>
      <c r="P820" s="3"/>
      <c r="Q820" s="3" t="s">
        <v>272</v>
      </c>
      <c r="R820" s="27" t="s">
        <v>2671</v>
      </c>
      <c r="S820" s="27" t="s">
        <v>2671</v>
      </c>
      <c r="T820" s="3">
        <v>0</v>
      </c>
      <c r="U820" s="3">
        <v>0</v>
      </c>
      <c r="V820" s="6">
        <v>100</v>
      </c>
      <c r="W820" s="7"/>
      <c r="X820" s="27" t="s">
        <v>2644</v>
      </c>
      <c r="Y820" s="3" t="s">
        <v>252</v>
      </c>
    </row>
    <row r="821" spans="1:25" x14ac:dyDescent="0.15">
      <c r="A821" s="3">
        <v>405256</v>
      </c>
      <c r="B821" s="23" t="s">
        <v>2645</v>
      </c>
      <c r="C821" s="6">
        <v>0</v>
      </c>
      <c r="D821" s="3">
        <v>0</v>
      </c>
      <c r="E821" s="3">
        <v>0</v>
      </c>
      <c r="F821" s="3">
        <v>0</v>
      </c>
      <c r="G821" s="3">
        <v>0</v>
      </c>
      <c r="H821" s="3">
        <v>0</v>
      </c>
      <c r="I821" s="3">
        <v>0</v>
      </c>
      <c r="J821" s="4">
        <v>914</v>
      </c>
      <c r="K821" s="3">
        <v>4</v>
      </c>
      <c r="L821" s="3" t="s">
        <v>323</v>
      </c>
      <c r="M821" s="3">
        <v>405</v>
      </c>
      <c r="N821" s="23" t="s">
        <v>1203</v>
      </c>
      <c r="O821" s="3">
        <v>0</v>
      </c>
      <c r="P821" s="3"/>
      <c r="Q821" s="3" t="s">
        <v>272</v>
      </c>
      <c r="R821" s="27" t="s">
        <v>2672</v>
      </c>
      <c r="S821" s="27" t="s">
        <v>2672</v>
      </c>
      <c r="T821" s="3">
        <v>0</v>
      </c>
      <c r="U821" s="3">
        <v>0</v>
      </c>
      <c r="V821" s="6">
        <v>100</v>
      </c>
      <c r="W821" s="7"/>
      <c r="X821" s="3" t="s">
        <v>2645</v>
      </c>
      <c r="Y821" s="3" t="s">
        <v>252</v>
      </c>
    </row>
    <row r="822" spans="1:25" x14ac:dyDescent="0.15">
      <c r="A822" s="3">
        <v>405257</v>
      </c>
      <c r="B822" s="23" t="s">
        <v>2646</v>
      </c>
      <c r="C822" s="6">
        <v>0</v>
      </c>
      <c r="D822" s="3">
        <v>0</v>
      </c>
      <c r="E822" s="3">
        <v>0</v>
      </c>
      <c r="F822" s="3">
        <v>0</v>
      </c>
      <c r="G822" s="3">
        <v>0</v>
      </c>
      <c r="H822" s="3">
        <v>0</v>
      </c>
      <c r="I822" s="3">
        <v>0</v>
      </c>
      <c r="J822" s="4">
        <v>915</v>
      </c>
      <c r="K822" s="3">
        <v>4</v>
      </c>
      <c r="L822" s="3" t="s">
        <v>323</v>
      </c>
      <c r="M822" s="3">
        <v>405</v>
      </c>
      <c r="N822" s="23" t="s">
        <v>1203</v>
      </c>
      <c r="O822" s="3">
        <v>0</v>
      </c>
      <c r="P822" s="3"/>
      <c r="Q822" s="3" t="s">
        <v>272</v>
      </c>
      <c r="R822" s="27" t="s">
        <v>2673</v>
      </c>
      <c r="S822" s="27" t="s">
        <v>2673</v>
      </c>
      <c r="T822" s="3">
        <v>0</v>
      </c>
      <c r="U822" s="3">
        <v>0</v>
      </c>
      <c r="V822" s="6">
        <v>100</v>
      </c>
      <c r="W822" s="7"/>
      <c r="X822" s="3" t="s">
        <v>2646</v>
      </c>
      <c r="Y822" s="3" t="s">
        <v>252</v>
      </c>
    </row>
    <row r="823" spans="1:25" x14ac:dyDescent="0.15">
      <c r="A823" s="3">
        <v>405258</v>
      </c>
      <c r="B823" s="23" t="s">
        <v>2647</v>
      </c>
      <c r="C823" s="6">
        <v>0</v>
      </c>
      <c r="D823" s="3">
        <v>0</v>
      </c>
      <c r="E823" s="3">
        <v>0</v>
      </c>
      <c r="F823" s="3">
        <v>0</v>
      </c>
      <c r="G823" s="3">
        <v>0</v>
      </c>
      <c r="H823" s="3">
        <v>0</v>
      </c>
      <c r="I823" s="3">
        <v>0</v>
      </c>
      <c r="J823" s="4">
        <v>916</v>
      </c>
      <c r="K823" s="3">
        <v>4</v>
      </c>
      <c r="L823" s="3" t="s">
        <v>323</v>
      </c>
      <c r="M823" s="3">
        <v>405</v>
      </c>
      <c r="N823" s="23" t="s">
        <v>1203</v>
      </c>
      <c r="O823" s="3">
        <v>0</v>
      </c>
      <c r="P823" s="3"/>
      <c r="Q823" s="3" t="s">
        <v>272</v>
      </c>
      <c r="R823" s="27" t="s">
        <v>2674</v>
      </c>
      <c r="S823" s="27" t="s">
        <v>2674</v>
      </c>
      <c r="T823" s="3">
        <v>0</v>
      </c>
      <c r="U823" s="3">
        <v>0</v>
      </c>
      <c r="V823" s="6">
        <v>100</v>
      </c>
      <c r="W823" s="7"/>
      <c r="X823" s="3" t="s">
        <v>2647</v>
      </c>
      <c r="Y823" s="3" t="s">
        <v>252</v>
      </c>
    </row>
    <row r="824" spans="1:25" x14ac:dyDescent="0.15">
      <c r="A824" s="3">
        <v>405259</v>
      </c>
      <c r="B824" s="23" t="s">
        <v>2648</v>
      </c>
      <c r="C824" s="6">
        <v>0</v>
      </c>
      <c r="D824" s="3">
        <v>0</v>
      </c>
      <c r="E824" s="3">
        <v>0</v>
      </c>
      <c r="F824" s="3">
        <v>0</v>
      </c>
      <c r="G824" s="3">
        <v>0</v>
      </c>
      <c r="H824" s="3">
        <v>0</v>
      </c>
      <c r="I824" s="3">
        <v>0</v>
      </c>
      <c r="J824" s="4">
        <v>917</v>
      </c>
      <c r="K824" s="3">
        <v>4</v>
      </c>
      <c r="L824" s="3" t="s">
        <v>323</v>
      </c>
      <c r="M824" s="3">
        <v>405</v>
      </c>
      <c r="N824" s="23" t="s">
        <v>1203</v>
      </c>
      <c r="O824" s="3">
        <v>0</v>
      </c>
      <c r="P824" s="3"/>
      <c r="Q824" s="3" t="s">
        <v>272</v>
      </c>
      <c r="R824" s="27" t="s">
        <v>2675</v>
      </c>
      <c r="S824" s="27" t="s">
        <v>2675</v>
      </c>
      <c r="T824" s="3">
        <v>0</v>
      </c>
      <c r="U824" s="3">
        <v>0</v>
      </c>
      <c r="V824" s="6">
        <v>100</v>
      </c>
      <c r="W824" s="7"/>
      <c r="X824" s="3" t="s">
        <v>2648</v>
      </c>
      <c r="Y824" s="3" t="s">
        <v>252</v>
      </c>
    </row>
    <row r="825" spans="1:25" x14ac:dyDescent="0.15">
      <c r="A825" s="3">
        <v>405260</v>
      </c>
      <c r="B825" s="23" t="s">
        <v>2649</v>
      </c>
      <c r="C825" s="6">
        <v>0</v>
      </c>
      <c r="D825" s="3">
        <v>0</v>
      </c>
      <c r="E825" s="3">
        <v>0</v>
      </c>
      <c r="F825" s="3">
        <v>0</v>
      </c>
      <c r="G825" s="3">
        <v>0</v>
      </c>
      <c r="H825" s="3">
        <v>0</v>
      </c>
      <c r="I825" s="3">
        <v>0</v>
      </c>
      <c r="J825" s="4">
        <v>918</v>
      </c>
      <c r="K825" s="3">
        <v>4</v>
      </c>
      <c r="L825" s="3" t="s">
        <v>323</v>
      </c>
      <c r="M825" s="3">
        <v>405</v>
      </c>
      <c r="N825" s="23" t="s">
        <v>1203</v>
      </c>
      <c r="O825" s="3">
        <v>0</v>
      </c>
      <c r="P825" s="3"/>
      <c r="Q825" s="3" t="s">
        <v>272</v>
      </c>
      <c r="R825" s="27" t="s">
        <v>2676</v>
      </c>
      <c r="S825" s="27" t="s">
        <v>2676</v>
      </c>
      <c r="T825" s="3">
        <v>0</v>
      </c>
      <c r="U825" s="3">
        <v>0</v>
      </c>
      <c r="V825" s="6">
        <v>100</v>
      </c>
      <c r="W825" s="7"/>
      <c r="X825" s="3" t="s">
        <v>2649</v>
      </c>
      <c r="Y825" s="3" t="s">
        <v>252</v>
      </c>
    </row>
    <row r="826" spans="1:25" x14ac:dyDescent="0.15">
      <c r="A826" s="3">
        <v>405261</v>
      </c>
      <c r="B826" s="23" t="s">
        <v>2650</v>
      </c>
      <c r="C826" s="6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4">
        <v>919</v>
      </c>
      <c r="K826" s="3">
        <v>4</v>
      </c>
      <c r="L826" s="3" t="s">
        <v>323</v>
      </c>
      <c r="M826" s="3">
        <v>405</v>
      </c>
      <c r="N826" s="23" t="s">
        <v>1203</v>
      </c>
      <c r="O826" s="3">
        <v>0</v>
      </c>
      <c r="P826" s="3"/>
      <c r="Q826" s="3" t="s">
        <v>272</v>
      </c>
      <c r="R826" s="27" t="s">
        <v>2677</v>
      </c>
      <c r="S826" s="27" t="s">
        <v>2677</v>
      </c>
      <c r="T826" s="3">
        <v>0</v>
      </c>
      <c r="U826" s="3">
        <v>0</v>
      </c>
      <c r="V826" s="6">
        <v>100</v>
      </c>
      <c r="W826" s="7"/>
      <c r="X826" s="3" t="s">
        <v>2650</v>
      </c>
      <c r="Y826" s="3" t="s">
        <v>252</v>
      </c>
    </row>
    <row r="827" spans="1:25" x14ac:dyDescent="0.15">
      <c r="A827" s="3">
        <v>405262</v>
      </c>
      <c r="B827" s="23" t="s">
        <v>2651</v>
      </c>
      <c r="C827" s="6">
        <v>0</v>
      </c>
      <c r="D827" s="3">
        <v>0</v>
      </c>
      <c r="E827" s="3">
        <v>0</v>
      </c>
      <c r="F827" s="3">
        <v>0</v>
      </c>
      <c r="G827" s="3">
        <v>0</v>
      </c>
      <c r="H827" s="3">
        <v>0</v>
      </c>
      <c r="I827" s="3">
        <v>0</v>
      </c>
      <c r="J827" s="4">
        <v>920</v>
      </c>
      <c r="K827" s="3">
        <v>4</v>
      </c>
      <c r="L827" s="3" t="s">
        <v>323</v>
      </c>
      <c r="M827" s="3">
        <v>405</v>
      </c>
      <c r="N827" s="23" t="s">
        <v>1203</v>
      </c>
      <c r="O827" s="3">
        <v>0</v>
      </c>
      <c r="P827" s="3"/>
      <c r="Q827" s="3" t="s">
        <v>272</v>
      </c>
      <c r="R827" s="27" t="s">
        <v>2678</v>
      </c>
      <c r="S827" s="27" t="s">
        <v>2678</v>
      </c>
      <c r="T827" s="3">
        <v>0</v>
      </c>
      <c r="U827" s="3">
        <v>0</v>
      </c>
      <c r="V827" s="6">
        <v>100</v>
      </c>
      <c r="W827" s="7"/>
      <c r="X827" s="3" t="s">
        <v>2651</v>
      </c>
      <c r="Y827" s="3" t="s">
        <v>252</v>
      </c>
    </row>
    <row r="828" spans="1:25" x14ac:dyDescent="0.15">
      <c r="A828" s="3">
        <v>405263</v>
      </c>
      <c r="B828" s="23" t="s">
        <v>2652</v>
      </c>
      <c r="C828" s="6">
        <v>0</v>
      </c>
      <c r="D828" s="3">
        <v>0</v>
      </c>
      <c r="E828" s="3">
        <v>0</v>
      </c>
      <c r="F828" s="3">
        <v>0</v>
      </c>
      <c r="G828" s="3">
        <v>0</v>
      </c>
      <c r="H828" s="3">
        <v>0</v>
      </c>
      <c r="I828" s="3">
        <v>0</v>
      </c>
      <c r="J828" s="4">
        <v>921</v>
      </c>
      <c r="K828" s="3">
        <v>4</v>
      </c>
      <c r="L828" s="3" t="s">
        <v>323</v>
      </c>
      <c r="M828" s="3">
        <v>405</v>
      </c>
      <c r="N828" s="23" t="s">
        <v>1203</v>
      </c>
      <c r="O828" s="3">
        <v>0</v>
      </c>
      <c r="P828" s="3"/>
      <c r="Q828" s="3" t="s">
        <v>272</v>
      </c>
      <c r="R828" s="27" t="s">
        <v>2679</v>
      </c>
      <c r="S828" s="27" t="s">
        <v>2679</v>
      </c>
      <c r="T828" s="3">
        <v>0</v>
      </c>
      <c r="U828" s="3">
        <v>0</v>
      </c>
      <c r="V828" s="6">
        <v>100</v>
      </c>
      <c r="W828" s="7"/>
      <c r="X828" s="3" t="s">
        <v>2652</v>
      </c>
      <c r="Y828" s="3" t="s">
        <v>252</v>
      </c>
    </row>
    <row r="829" spans="1:25" x14ac:dyDescent="0.15">
      <c r="A829" s="3">
        <v>405264</v>
      </c>
      <c r="B829" s="42" t="s">
        <v>2653</v>
      </c>
      <c r="C829" s="6">
        <v>0</v>
      </c>
      <c r="D829" s="3">
        <v>0</v>
      </c>
      <c r="E829" s="3">
        <v>0</v>
      </c>
      <c r="F829" s="3">
        <v>0</v>
      </c>
      <c r="G829" s="3">
        <v>0</v>
      </c>
      <c r="H829" s="3">
        <v>0</v>
      </c>
      <c r="I829" s="3">
        <v>0</v>
      </c>
      <c r="J829" s="4">
        <v>913</v>
      </c>
      <c r="K829" s="3">
        <v>4</v>
      </c>
      <c r="L829" s="3" t="s">
        <v>323</v>
      </c>
      <c r="M829" s="3">
        <v>405</v>
      </c>
      <c r="N829" s="23" t="s">
        <v>1203</v>
      </c>
      <c r="O829" s="3">
        <v>0</v>
      </c>
      <c r="P829" s="3"/>
      <c r="Q829" s="3" t="s">
        <v>272</v>
      </c>
      <c r="R829" s="27" t="s">
        <v>2700</v>
      </c>
      <c r="S829" s="27" t="s">
        <v>2700</v>
      </c>
      <c r="T829" s="3">
        <v>0</v>
      </c>
      <c r="U829" s="3">
        <v>0</v>
      </c>
      <c r="V829" s="6">
        <v>100</v>
      </c>
      <c r="W829" s="7"/>
      <c r="X829" s="27" t="s">
        <v>2653</v>
      </c>
      <c r="Y829" s="3" t="s">
        <v>252</v>
      </c>
    </row>
    <row r="830" spans="1:25" x14ac:dyDescent="0.15">
      <c r="A830" s="3">
        <v>405265</v>
      </c>
      <c r="B830" s="42" t="s">
        <v>2654</v>
      </c>
      <c r="C830" s="6">
        <v>0</v>
      </c>
      <c r="D830" s="3">
        <v>0</v>
      </c>
      <c r="E830" s="3">
        <v>0</v>
      </c>
      <c r="F830" s="3">
        <v>0</v>
      </c>
      <c r="G830" s="3">
        <v>0</v>
      </c>
      <c r="H830" s="3">
        <v>0</v>
      </c>
      <c r="I830" s="3">
        <v>0</v>
      </c>
      <c r="J830" s="4">
        <v>914</v>
      </c>
      <c r="K830" s="3">
        <v>4</v>
      </c>
      <c r="L830" s="3" t="s">
        <v>323</v>
      </c>
      <c r="M830" s="3">
        <v>405</v>
      </c>
      <c r="N830" s="23" t="s">
        <v>1203</v>
      </c>
      <c r="O830" s="3">
        <v>0</v>
      </c>
      <c r="P830" s="3"/>
      <c r="Q830" s="3" t="s">
        <v>272</v>
      </c>
      <c r="R830" s="27" t="s">
        <v>2701</v>
      </c>
      <c r="S830" s="27" t="s">
        <v>2701</v>
      </c>
      <c r="T830" s="3">
        <v>0</v>
      </c>
      <c r="U830" s="3">
        <v>0</v>
      </c>
      <c r="V830" s="6">
        <v>100</v>
      </c>
      <c r="W830" s="7"/>
      <c r="X830" s="27" t="s">
        <v>2654</v>
      </c>
      <c r="Y830" s="3" t="s">
        <v>252</v>
      </c>
    </row>
    <row r="831" spans="1:25" x14ac:dyDescent="0.15">
      <c r="A831" s="3">
        <v>405266</v>
      </c>
      <c r="B831" s="42" t="s">
        <v>2655</v>
      </c>
      <c r="C831" s="6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4">
        <v>915</v>
      </c>
      <c r="K831" s="3">
        <v>4</v>
      </c>
      <c r="L831" s="3" t="s">
        <v>323</v>
      </c>
      <c r="M831" s="3">
        <v>405</v>
      </c>
      <c r="N831" s="23" t="s">
        <v>1203</v>
      </c>
      <c r="O831" s="3">
        <v>0</v>
      </c>
      <c r="P831" s="3"/>
      <c r="Q831" s="3" t="s">
        <v>272</v>
      </c>
      <c r="R831" s="27" t="s">
        <v>2702</v>
      </c>
      <c r="S831" s="27" t="s">
        <v>2702</v>
      </c>
      <c r="T831" s="3">
        <v>0</v>
      </c>
      <c r="U831" s="3">
        <v>0</v>
      </c>
      <c r="V831" s="6">
        <v>100</v>
      </c>
      <c r="W831" s="7"/>
      <c r="X831" s="27" t="s">
        <v>2655</v>
      </c>
      <c r="Y831" s="3" t="s">
        <v>252</v>
      </c>
    </row>
    <row r="832" spans="1:25" x14ac:dyDescent="0.15">
      <c r="A832" s="3">
        <v>405267</v>
      </c>
      <c r="B832" s="42" t="s">
        <v>2656</v>
      </c>
      <c r="C832" s="6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4">
        <v>916</v>
      </c>
      <c r="K832" s="3">
        <v>4</v>
      </c>
      <c r="L832" s="3" t="s">
        <v>323</v>
      </c>
      <c r="M832" s="3">
        <v>405</v>
      </c>
      <c r="N832" s="23" t="s">
        <v>1203</v>
      </c>
      <c r="O832" s="3">
        <v>0</v>
      </c>
      <c r="P832" s="3"/>
      <c r="Q832" s="3" t="s">
        <v>272</v>
      </c>
      <c r="R832" s="27" t="s">
        <v>2703</v>
      </c>
      <c r="S832" s="27" t="s">
        <v>2703</v>
      </c>
      <c r="T832" s="3">
        <v>0</v>
      </c>
      <c r="U832" s="3">
        <v>0</v>
      </c>
      <c r="V832" s="6">
        <v>100</v>
      </c>
      <c r="W832" s="7"/>
      <c r="X832" s="27" t="s">
        <v>2656</v>
      </c>
      <c r="Y832" s="3" t="s">
        <v>252</v>
      </c>
    </row>
    <row r="833" spans="1:25" x14ac:dyDescent="0.15">
      <c r="A833" s="3">
        <v>405268</v>
      </c>
      <c r="B833" s="42" t="s">
        <v>2657</v>
      </c>
      <c r="C833" s="6">
        <v>0</v>
      </c>
      <c r="D833" s="3">
        <v>0</v>
      </c>
      <c r="E833" s="3">
        <v>0</v>
      </c>
      <c r="F833" s="3">
        <v>0</v>
      </c>
      <c r="G833" s="3">
        <v>0</v>
      </c>
      <c r="H833" s="3">
        <v>0</v>
      </c>
      <c r="I833" s="3">
        <v>0</v>
      </c>
      <c r="J833" s="4">
        <v>917</v>
      </c>
      <c r="K833" s="3">
        <v>4</v>
      </c>
      <c r="L833" s="3" t="s">
        <v>323</v>
      </c>
      <c r="M833" s="3">
        <v>405</v>
      </c>
      <c r="N833" s="23" t="s">
        <v>1203</v>
      </c>
      <c r="O833" s="3">
        <v>0</v>
      </c>
      <c r="P833" s="3"/>
      <c r="Q833" s="3" t="s">
        <v>272</v>
      </c>
      <c r="R833" s="27" t="s">
        <v>2704</v>
      </c>
      <c r="S833" s="27" t="s">
        <v>2704</v>
      </c>
      <c r="T833" s="3">
        <v>0</v>
      </c>
      <c r="U833" s="3">
        <v>0</v>
      </c>
      <c r="V833" s="6">
        <v>100</v>
      </c>
      <c r="W833" s="7"/>
      <c r="X833" s="27" t="s">
        <v>2657</v>
      </c>
      <c r="Y833" s="3" t="s">
        <v>252</v>
      </c>
    </row>
    <row r="834" spans="1:25" x14ac:dyDescent="0.15">
      <c r="A834" s="3">
        <v>405269</v>
      </c>
      <c r="B834" s="42" t="s">
        <v>2658</v>
      </c>
      <c r="C834" s="6">
        <v>0</v>
      </c>
      <c r="D834" s="3">
        <v>0</v>
      </c>
      <c r="E834" s="3">
        <v>0</v>
      </c>
      <c r="F834" s="3">
        <v>0</v>
      </c>
      <c r="G834" s="3">
        <v>0</v>
      </c>
      <c r="H834" s="3">
        <v>0</v>
      </c>
      <c r="I834" s="3">
        <v>0</v>
      </c>
      <c r="J834" s="4">
        <v>918</v>
      </c>
      <c r="K834" s="3">
        <v>4</v>
      </c>
      <c r="L834" s="3" t="s">
        <v>323</v>
      </c>
      <c r="M834" s="3">
        <v>405</v>
      </c>
      <c r="N834" s="23" t="s">
        <v>1203</v>
      </c>
      <c r="O834" s="3">
        <v>0</v>
      </c>
      <c r="P834" s="3"/>
      <c r="Q834" s="3" t="s">
        <v>272</v>
      </c>
      <c r="R834" s="27" t="s">
        <v>2705</v>
      </c>
      <c r="S834" s="27" t="s">
        <v>2705</v>
      </c>
      <c r="T834" s="3">
        <v>0</v>
      </c>
      <c r="U834" s="3">
        <v>0</v>
      </c>
      <c r="V834" s="6">
        <v>100</v>
      </c>
      <c r="W834" s="7"/>
      <c r="X834" s="27" t="s">
        <v>2658</v>
      </c>
      <c r="Y834" s="3" t="s">
        <v>252</v>
      </c>
    </row>
    <row r="835" spans="1:25" x14ac:dyDescent="0.15">
      <c r="A835" s="3">
        <v>405270</v>
      </c>
      <c r="B835" s="42" t="s">
        <v>2659</v>
      </c>
      <c r="C835" s="6">
        <v>0</v>
      </c>
      <c r="D835" s="3">
        <v>0</v>
      </c>
      <c r="E835" s="3">
        <v>0</v>
      </c>
      <c r="F835" s="3">
        <v>0</v>
      </c>
      <c r="G835" s="3">
        <v>0</v>
      </c>
      <c r="H835" s="3">
        <v>0</v>
      </c>
      <c r="I835" s="3">
        <v>0</v>
      </c>
      <c r="J835" s="4">
        <v>919</v>
      </c>
      <c r="K835" s="3">
        <v>4</v>
      </c>
      <c r="L835" s="3" t="s">
        <v>323</v>
      </c>
      <c r="M835" s="3">
        <v>405</v>
      </c>
      <c r="N835" s="23" t="s">
        <v>1203</v>
      </c>
      <c r="O835" s="3">
        <v>0</v>
      </c>
      <c r="P835" s="3"/>
      <c r="Q835" s="3" t="s">
        <v>272</v>
      </c>
      <c r="R835" s="27" t="s">
        <v>2706</v>
      </c>
      <c r="S835" s="27" t="s">
        <v>2706</v>
      </c>
      <c r="T835" s="3">
        <v>0</v>
      </c>
      <c r="U835" s="3">
        <v>0</v>
      </c>
      <c r="V835" s="6">
        <v>100</v>
      </c>
      <c r="W835" s="7"/>
      <c r="X835" s="27" t="s">
        <v>2659</v>
      </c>
      <c r="Y835" s="3" t="s">
        <v>252</v>
      </c>
    </row>
    <row r="836" spans="1:25" x14ac:dyDescent="0.15">
      <c r="A836" s="3">
        <v>405271</v>
      </c>
      <c r="B836" s="42" t="s">
        <v>2660</v>
      </c>
      <c r="C836" s="6">
        <v>0</v>
      </c>
      <c r="D836" s="3">
        <v>0</v>
      </c>
      <c r="E836" s="3">
        <v>0</v>
      </c>
      <c r="F836" s="3">
        <v>0</v>
      </c>
      <c r="G836" s="3">
        <v>0</v>
      </c>
      <c r="H836" s="3">
        <v>0</v>
      </c>
      <c r="I836" s="3">
        <v>0</v>
      </c>
      <c r="J836" s="4">
        <v>920</v>
      </c>
      <c r="K836" s="3">
        <v>4</v>
      </c>
      <c r="L836" s="3" t="s">
        <v>323</v>
      </c>
      <c r="M836" s="3">
        <v>405</v>
      </c>
      <c r="N836" s="23" t="s">
        <v>1203</v>
      </c>
      <c r="O836" s="3">
        <v>0</v>
      </c>
      <c r="P836" s="3"/>
      <c r="Q836" s="3" t="s">
        <v>272</v>
      </c>
      <c r="R836" s="27" t="s">
        <v>2707</v>
      </c>
      <c r="S836" s="27" t="s">
        <v>2707</v>
      </c>
      <c r="T836" s="3">
        <v>0</v>
      </c>
      <c r="U836" s="3">
        <v>0</v>
      </c>
      <c r="V836" s="6">
        <v>100</v>
      </c>
      <c r="W836" s="7"/>
      <c r="X836" s="27" t="s">
        <v>2660</v>
      </c>
      <c r="Y836" s="3" t="s">
        <v>252</v>
      </c>
    </row>
    <row r="837" spans="1:25" x14ac:dyDescent="0.15">
      <c r="A837" s="3">
        <v>405272</v>
      </c>
      <c r="B837" s="42" t="s">
        <v>2661</v>
      </c>
      <c r="C837" s="6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4">
        <v>921</v>
      </c>
      <c r="K837" s="3">
        <v>4</v>
      </c>
      <c r="L837" s="3" t="s">
        <v>323</v>
      </c>
      <c r="M837" s="3">
        <v>405</v>
      </c>
      <c r="N837" s="23" t="s">
        <v>1203</v>
      </c>
      <c r="O837" s="3">
        <v>0</v>
      </c>
      <c r="P837" s="3"/>
      <c r="Q837" s="3" t="s">
        <v>272</v>
      </c>
      <c r="R837" s="27" t="s">
        <v>2708</v>
      </c>
      <c r="S837" s="27" t="s">
        <v>2708</v>
      </c>
      <c r="T837" s="3">
        <v>0</v>
      </c>
      <c r="U837" s="3">
        <v>0</v>
      </c>
      <c r="V837" s="6">
        <v>100</v>
      </c>
      <c r="W837" s="7"/>
      <c r="X837" s="27" t="s">
        <v>2661</v>
      </c>
      <c r="Y837" s="3" t="s">
        <v>252</v>
      </c>
    </row>
    <row r="838" spans="1:25" x14ac:dyDescent="0.15">
      <c r="A838" s="3">
        <v>405273</v>
      </c>
      <c r="B838" s="42" t="s">
        <v>2691</v>
      </c>
      <c r="C838" s="6">
        <v>0</v>
      </c>
      <c r="D838" s="3">
        <v>0</v>
      </c>
      <c r="E838" s="3">
        <v>0</v>
      </c>
      <c r="F838" s="3">
        <v>0</v>
      </c>
      <c r="G838" s="3">
        <v>0</v>
      </c>
      <c r="H838" s="3">
        <v>0</v>
      </c>
      <c r="I838" s="3">
        <v>0</v>
      </c>
      <c r="J838" s="4">
        <v>913</v>
      </c>
      <c r="K838" s="3">
        <v>4</v>
      </c>
      <c r="L838" s="3" t="s">
        <v>323</v>
      </c>
      <c r="M838" s="3">
        <v>405</v>
      </c>
      <c r="N838" s="23" t="s">
        <v>1203</v>
      </c>
      <c r="O838" s="3">
        <v>0</v>
      </c>
      <c r="P838" s="3"/>
      <c r="Q838" s="3" t="s">
        <v>272</v>
      </c>
      <c r="R838" s="3"/>
      <c r="S838" s="3"/>
      <c r="T838" s="3">
        <v>0</v>
      </c>
      <c r="U838" s="3">
        <v>0</v>
      </c>
      <c r="V838" s="6">
        <v>100</v>
      </c>
      <c r="W838" s="7"/>
      <c r="X838" s="27" t="s">
        <v>2691</v>
      </c>
      <c r="Y838" s="3" t="s">
        <v>252</v>
      </c>
    </row>
    <row r="839" spans="1:25" x14ac:dyDescent="0.15">
      <c r="A839" s="3">
        <v>405274</v>
      </c>
      <c r="B839" s="42" t="s">
        <v>2692</v>
      </c>
      <c r="C839" s="6">
        <v>0</v>
      </c>
      <c r="D839" s="3">
        <v>0</v>
      </c>
      <c r="E839" s="3">
        <v>0</v>
      </c>
      <c r="F839" s="3">
        <v>0</v>
      </c>
      <c r="G839" s="3">
        <v>0</v>
      </c>
      <c r="H839" s="3">
        <v>0</v>
      </c>
      <c r="I839" s="3">
        <v>0</v>
      </c>
      <c r="J839" s="4">
        <v>914</v>
      </c>
      <c r="K839" s="3">
        <v>4</v>
      </c>
      <c r="L839" s="3" t="s">
        <v>323</v>
      </c>
      <c r="M839" s="3">
        <v>405</v>
      </c>
      <c r="N839" s="23" t="s">
        <v>1203</v>
      </c>
      <c r="O839" s="3">
        <v>0</v>
      </c>
      <c r="P839" s="3"/>
      <c r="Q839" s="3" t="s">
        <v>272</v>
      </c>
      <c r="R839" s="3"/>
      <c r="S839" s="3"/>
      <c r="T839" s="3">
        <v>0</v>
      </c>
      <c r="U839" s="3">
        <v>0</v>
      </c>
      <c r="V839" s="6">
        <v>100</v>
      </c>
      <c r="W839" s="7"/>
      <c r="X839" s="27" t="s">
        <v>2692</v>
      </c>
      <c r="Y839" s="3" t="s">
        <v>252</v>
      </c>
    </row>
    <row r="840" spans="1:25" x14ac:dyDescent="0.15">
      <c r="A840" s="3">
        <v>405275</v>
      </c>
      <c r="B840" s="42" t="s">
        <v>2693</v>
      </c>
      <c r="C840" s="6">
        <v>0</v>
      </c>
      <c r="D840" s="3">
        <v>0</v>
      </c>
      <c r="E840" s="3">
        <v>0</v>
      </c>
      <c r="F840" s="3">
        <v>0</v>
      </c>
      <c r="G840" s="3">
        <v>0</v>
      </c>
      <c r="H840" s="3">
        <v>0</v>
      </c>
      <c r="I840" s="3">
        <v>0</v>
      </c>
      <c r="J840" s="4">
        <v>915</v>
      </c>
      <c r="K840" s="3">
        <v>4</v>
      </c>
      <c r="L840" s="3" t="s">
        <v>323</v>
      </c>
      <c r="M840" s="3">
        <v>405</v>
      </c>
      <c r="N840" s="23" t="s">
        <v>1203</v>
      </c>
      <c r="O840" s="3">
        <v>0</v>
      </c>
      <c r="P840" s="3"/>
      <c r="Q840" s="3" t="s">
        <v>272</v>
      </c>
      <c r="R840" s="3"/>
      <c r="S840" s="3"/>
      <c r="T840" s="3">
        <v>0</v>
      </c>
      <c r="U840" s="3">
        <v>0</v>
      </c>
      <c r="V840" s="6">
        <v>100</v>
      </c>
      <c r="W840" s="7"/>
      <c r="X840" s="27" t="s">
        <v>2693</v>
      </c>
      <c r="Y840" s="3" t="s">
        <v>252</v>
      </c>
    </row>
    <row r="841" spans="1:25" x14ac:dyDescent="0.15">
      <c r="A841" s="3">
        <v>405276</v>
      </c>
      <c r="B841" s="42" t="s">
        <v>2694</v>
      </c>
      <c r="C841" s="6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4">
        <v>916</v>
      </c>
      <c r="K841" s="3">
        <v>4</v>
      </c>
      <c r="L841" s="3" t="s">
        <v>323</v>
      </c>
      <c r="M841" s="3">
        <v>405</v>
      </c>
      <c r="N841" s="23" t="s">
        <v>1203</v>
      </c>
      <c r="O841" s="3">
        <v>0</v>
      </c>
      <c r="P841" s="3"/>
      <c r="Q841" s="3" t="s">
        <v>272</v>
      </c>
      <c r="R841" s="3"/>
      <c r="S841" s="3"/>
      <c r="T841" s="3">
        <v>0</v>
      </c>
      <c r="U841" s="3">
        <v>0</v>
      </c>
      <c r="V841" s="6">
        <v>100</v>
      </c>
      <c r="W841" s="7"/>
      <c r="X841" s="27" t="s">
        <v>2694</v>
      </c>
      <c r="Y841" s="3" t="s">
        <v>252</v>
      </c>
    </row>
    <row r="842" spans="1:25" x14ac:dyDescent="0.15">
      <c r="A842" s="3">
        <v>405277</v>
      </c>
      <c r="B842" s="42" t="s">
        <v>2695</v>
      </c>
      <c r="C842" s="6">
        <v>0</v>
      </c>
      <c r="D842" s="3">
        <v>0</v>
      </c>
      <c r="E842" s="3">
        <v>0</v>
      </c>
      <c r="F842" s="3">
        <v>0</v>
      </c>
      <c r="G842" s="3">
        <v>0</v>
      </c>
      <c r="H842" s="3">
        <v>0</v>
      </c>
      <c r="I842" s="3">
        <v>0</v>
      </c>
      <c r="J842" s="4">
        <v>917</v>
      </c>
      <c r="K842" s="3">
        <v>4</v>
      </c>
      <c r="L842" s="3" t="s">
        <v>323</v>
      </c>
      <c r="M842" s="3">
        <v>405</v>
      </c>
      <c r="N842" s="23" t="s">
        <v>1203</v>
      </c>
      <c r="O842" s="3">
        <v>0</v>
      </c>
      <c r="P842" s="3"/>
      <c r="Q842" s="3" t="s">
        <v>272</v>
      </c>
      <c r="R842" s="3"/>
      <c r="S842" s="3"/>
      <c r="T842" s="3">
        <v>0</v>
      </c>
      <c r="U842" s="3">
        <v>0</v>
      </c>
      <c r="V842" s="6">
        <v>100</v>
      </c>
      <c r="W842" s="7"/>
      <c r="X842" s="27" t="s">
        <v>2695</v>
      </c>
      <c r="Y842" s="3" t="s">
        <v>252</v>
      </c>
    </row>
    <row r="843" spans="1:25" x14ac:dyDescent="0.15">
      <c r="A843" s="3">
        <v>405278</v>
      </c>
      <c r="B843" s="42" t="s">
        <v>2696</v>
      </c>
      <c r="C843" s="6">
        <v>0</v>
      </c>
      <c r="D843" s="3">
        <v>0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4">
        <v>918</v>
      </c>
      <c r="K843" s="3">
        <v>4</v>
      </c>
      <c r="L843" s="3" t="s">
        <v>323</v>
      </c>
      <c r="M843" s="3">
        <v>405</v>
      </c>
      <c r="N843" s="23" t="s">
        <v>1203</v>
      </c>
      <c r="O843" s="3">
        <v>0</v>
      </c>
      <c r="P843" s="3"/>
      <c r="Q843" s="3" t="s">
        <v>272</v>
      </c>
      <c r="R843" s="3"/>
      <c r="S843" s="3"/>
      <c r="T843" s="3">
        <v>0</v>
      </c>
      <c r="U843" s="3">
        <v>0</v>
      </c>
      <c r="V843" s="6">
        <v>100</v>
      </c>
      <c r="W843" s="7"/>
      <c r="X843" s="27" t="s">
        <v>2696</v>
      </c>
      <c r="Y843" s="3" t="s">
        <v>252</v>
      </c>
    </row>
    <row r="844" spans="1:25" x14ac:dyDescent="0.15">
      <c r="A844" s="3">
        <v>405279</v>
      </c>
      <c r="B844" s="42" t="s">
        <v>2697</v>
      </c>
      <c r="C844" s="6">
        <v>0</v>
      </c>
      <c r="D844" s="3">
        <v>0</v>
      </c>
      <c r="E844" s="3">
        <v>0</v>
      </c>
      <c r="F844" s="3">
        <v>0</v>
      </c>
      <c r="G844" s="3">
        <v>0</v>
      </c>
      <c r="H844" s="3">
        <v>0</v>
      </c>
      <c r="I844" s="3">
        <v>0</v>
      </c>
      <c r="J844" s="4">
        <v>919</v>
      </c>
      <c r="K844" s="3">
        <v>4</v>
      </c>
      <c r="L844" s="3" t="s">
        <v>323</v>
      </c>
      <c r="M844" s="3">
        <v>405</v>
      </c>
      <c r="N844" s="23" t="s">
        <v>1203</v>
      </c>
      <c r="O844" s="3">
        <v>0</v>
      </c>
      <c r="P844" s="3"/>
      <c r="Q844" s="3" t="s">
        <v>272</v>
      </c>
      <c r="R844" s="3"/>
      <c r="S844" s="3"/>
      <c r="T844" s="3">
        <v>0</v>
      </c>
      <c r="U844" s="3">
        <v>0</v>
      </c>
      <c r="V844" s="6">
        <v>100</v>
      </c>
      <c r="W844" s="7"/>
      <c r="X844" s="27" t="s">
        <v>2697</v>
      </c>
      <c r="Y844" s="3" t="s">
        <v>252</v>
      </c>
    </row>
    <row r="845" spans="1:25" x14ac:dyDescent="0.15">
      <c r="A845" s="3">
        <v>405280</v>
      </c>
      <c r="B845" s="42" t="s">
        <v>2698</v>
      </c>
      <c r="C845" s="6">
        <v>0</v>
      </c>
      <c r="D845" s="3">
        <v>0</v>
      </c>
      <c r="E845" s="3">
        <v>0</v>
      </c>
      <c r="F845" s="3">
        <v>0</v>
      </c>
      <c r="G845" s="3">
        <v>0</v>
      </c>
      <c r="H845" s="3">
        <v>0</v>
      </c>
      <c r="I845" s="3">
        <v>0</v>
      </c>
      <c r="J845" s="4">
        <v>920</v>
      </c>
      <c r="K845" s="3">
        <v>4</v>
      </c>
      <c r="L845" s="3" t="s">
        <v>323</v>
      </c>
      <c r="M845" s="3">
        <v>405</v>
      </c>
      <c r="N845" s="23" t="s">
        <v>1203</v>
      </c>
      <c r="O845" s="3">
        <v>0</v>
      </c>
      <c r="P845" s="3"/>
      <c r="Q845" s="3" t="s">
        <v>272</v>
      </c>
      <c r="R845" s="3"/>
      <c r="S845" s="3"/>
      <c r="T845" s="3">
        <v>0</v>
      </c>
      <c r="U845" s="3">
        <v>0</v>
      </c>
      <c r="V845" s="6">
        <v>100</v>
      </c>
      <c r="W845" s="7"/>
      <c r="X845" s="27" t="s">
        <v>2698</v>
      </c>
      <c r="Y845" s="3" t="s">
        <v>252</v>
      </c>
    </row>
    <row r="846" spans="1:25" x14ac:dyDescent="0.15">
      <c r="A846" s="3">
        <v>405281</v>
      </c>
      <c r="B846" s="42" t="s">
        <v>2699</v>
      </c>
      <c r="C846" s="6">
        <v>0</v>
      </c>
      <c r="D846" s="3">
        <v>0</v>
      </c>
      <c r="E846" s="3">
        <v>0</v>
      </c>
      <c r="F846" s="3">
        <v>0</v>
      </c>
      <c r="G846" s="3">
        <v>0</v>
      </c>
      <c r="H846" s="3">
        <v>0</v>
      </c>
      <c r="I846" s="3">
        <v>0</v>
      </c>
      <c r="J846" s="4">
        <v>921</v>
      </c>
      <c r="K846" s="3">
        <v>4</v>
      </c>
      <c r="L846" s="3" t="s">
        <v>323</v>
      </c>
      <c r="M846" s="3">
        <v>405</v>
      </c>
      <c r="N846" s="23" t="s">
        <v>1203</v>
      </c>
      <c r="O846" s="3">
        <v>0</v>
      </c>
      <c r="P846" s="3"/>
      <c r="Q846" s="3" t="s">
        <v>272</v>
      </c>
      <c r="R846" s="3"/>
      <c r="S846" s="3"/>
      <c r="T846" s="3">
        <v>0</v>
      </c>
      <c r="U846" s="3">
        <v>0</v>
      </c>
      <c r="V846" s="6">
        <v>100</v>
      </c>
      <c r="W846" s="7"/>
      <c r="X846" s="27" t="s">
        <v>2699</v>
      </c>
      <c r="Y846" s="3" t="s">
        <v>252</v>
      </c>
    </row>
    <row r="847" spans="1:25" x14ac:dyDescent="0.15">
      <c r="A847" s="3">
        <v>405282</v>
      </c>
      <c r="B847" s="42" t="s">
        <v>2709</v>
      </c>
      <c r="C847" s="6">
        <v>0</v>
      </c>
      <c r="D847" s="3">
        <v>0</v>
      </c>
      <c r="E847" s="3">
        <v>0</v>
      </c>
      <c r="F847" s="3">
        <v>0</v>
      </c>
      <c r="G847" s="3">
        <v>0</v>
      </c>
      <c r="H847" s="3">
        <v>0</v>
      </c>
      <c r="I847" s="3">
        <v>0</v>
      </c>
      <c r="J847" s="4">
        <v>913</v>
      </c>
      <c r="K847" s="3">
        <v>4</v>
      </c>
      <c r="L847" s="3" t="s">
        <v>323</v>
      </c>
      <c r="M847" s="3">
        <v>405</v>
      </c>
      <c r="N847" s="23" t="s">
        <v>1203</v>
      </c>
      <c r="O847" s="3">
        <v>0</v>
      </c>
      <c r="P847" s="3"/>
      <c r="Q847" s="3" t="s">
        <v>272</v>
      </c>
      <c r="R847" s="27" t="s">
        <v>2700</v>
      </c>
      <c r="S847" s="27" t="s">
        <v>2700</v>
      </c>
      <c r="T847" s="3">
        <v>0</v>
      </c>
      <c r="U847" s="3">
        <v>0</v>
      </c>
      <c r="V847" s="6">
        <v>100</v>
      </c>
      <c r="W847" s="7"/>
      <c r="X847" s="27" t="s">
        <v>2653</v>
      </c>
      <c r="Y847" s="3" t="s">
        <v>252</v>
      </c>
    </row>
    <row r="848" spans="1:25" x14ac:dyDescent="0.15">
      <c r="A848" s="3">
        <v>405283</v>
      </c>
      <c r="B848" s="42" t="s">
        <v>2710</v>
      </c>
      <c r="C848" s="6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4">
        <v>914</v>
      </c>
      <c r="K848" s="3">
        <v>4</v>
      </c>
      <c r="L848" s="3" t="s">
        <v>323</v>
      </c>
      <c r="M848" s="3">
        <v>405</v>
      </c>
      <c r="N848" s="23" t="s">
        <v>1203</v>
      </c>
      <c r="O848" s="3">
        <v>0</v>
      </c>
      <c r="P848" s="3"/>
      <c r="Q848" s="3" t="s">
        <v>272</v>
      </c>
      <c r="R848" s="27" t="s">
        <v>2701</v>
      </c>
      <c r="S848" s="27" t="s">
        <v>2701</v>
      </c>
      <c r="T848" s="3">
        <v>0</v>
      </c>
      <c r="U848" s="3">
        <v>0</v>
      </c>
      <c r="V848" s="6">
        <v>100</v>
      </c>
      <c r="W848" s="7"/>
      <c r="X848" s="27" t="s">
        <v>2654</v>
      </c>
      <c r="Y848" s="3" t="s">
        <v>252</v>
      </c>
    </row>
    <row r="849" spans="1:25" x14ac:dyDescent="0.15">
      <c r="A849" s="3">
        <v>405284</v>
      </c>
      <c r="B849" s="42" t="s">
        <v>2711</v>
      </c>
      <c r="C849" s="6">
        <v>0</v>
      </c>
      <c r="D849" s="3">
        <v>0</v>
      </c>
      <c r="E849" s="3">
        <v>0</v>
      </c>
      <c r="F849" s="3">
        <v>0</v>
      </c>
      <c r="G849" s="3">
        <v>0</v>
      </c>
      <c r="H849" s="3">
        <v>0</v>
      </c>
      <c r="I849" s="3">
        <v>0</v>
      </c>
      <c r="J849" s="4">
        <v>915</v>
      </c>
      <c r="K849" s="3">
        <v>4</v>
      </c>
      <c r="L849" s="3" t="s">
        <v>323</v>
      </c>
      <c r="M849" s="3">
        <v>405</v>
      </c>
      <c r="N849" s="23" t="s">
        <v>1203</v>
      </c>
      <c r="O849" s="3">
        <v>0</v>
      </c>
      <c r="P849" s="3"/>
      <c r="Q849" s="3" t="s">
        <v>272</v>
      </c>
      <c r="R849" s="27" t="s">
        <v>2702</v>
      </c>
      <c r="S849" s="27" t="s">
        <v>2702</v>
      </c>
      <c r="T849" s="3">
        <v>0</v>
      </c>
      <c r="U849" s="3">
        <v>0</v>
      </c>
      <c r="V849" s="6">
        <v>100</v>
      </c>
      <c r="W849" s="7"/>
      <c r="X849" s="27" t="s">
        <v>2655</v>
      </c>
      <c r="Y849" s="3" t="s">
        <v>252</v>
      </c>
    </row>
    <row r="850" spans="1:25" x14ac:dyDescent="0.15">
      <c r="A850" s="3">
        <v>405285</v>
      </c>
      <c r="B850" s="42" t="s">
        <v>2712</v>
      </c>
      <c r="C850" s="6">
        <v>0</v>
      </c>
      <c r="D850" s="3">
        <v>0</v>
      </c>
      <c r="E850" s="3">
        <v>0</v>
      </c>
      <c r="F850" s="3">
        <v>0</v>
      </c>
      <c r="G850" s="3">
        <v>0</v>
      </c>
      <c r="H850" s="3">
        <v>0</v>
      </c>
      <c r="I850" s="3">
        <v>0</v>
      </c>
      <c r="J850" s="4">
        <v>916</v>
      </c>
      <c r="K850" s="3">
        <v>4</v>
      </c>
      <c r="L850" s="3" t="s">
        <v>323</v>
      </c>
      <c r="M850" s="3">
        <v>405</v>
      </c>
      <c r="N850" s="23" t="s">
        <v>1203</v>
      </c>
      <c r="O850" s="3">
        <v>0</v>
      </c>
      <c r="P850" s="3"/>
      <c r="Q850" s="3" t="s">
        <v>272</v>
      </c>
      <c r="R850" s="27" t="s">
        <v>2703</v>
      </c>
      <c r="S850" s="27" t="s">
        <v>2703</v>
      </c>
      <c r="T850" s="3">
        <v>0</v>
      </c>
      <c r="U850" s="3">
        <v>0</v>
      </c>
      <c r="V850" s="6">
        <v>100</v>
      </c>
      <c r="W850" s="7"/>
      <c r="X850" s="27" t="s">
        <v>2656</v>
      </c>
      <c r="Y850" s="3" t="s">
        <v>252</v>
      </c>
    </row>
    <row r="851" spans="1:25" x14ac:dyDescent="0.15">
      <c r="A851" s="3">
        <v>405286</v>
      </c>
      <c r="B851" s="42" t="s">
        <v>2713</v>
      </c>
      <c r="C851" s="6">
        <v>0</v>
      </c>
      <c r="D851" s="3">
        <v>0</v>
      </c>
      <c r="E851" s="3">
        <v>0</v>
      </c>
      <c r="F851" s="3">
        <v>0</v>
      </c>
      <c r="G851" s="3">
        <v>0</v>
      </c>
      <c r="H851" s="3">
        <v>0</v>
      </c>
      <c r="I851" s="3">
        <v>0</v>
      </c>
      <c r="J851" s="4">
        <v>917</v>
      </c>
      <c r="K851" s="3">
        <v>4</v>
      </c>
      <c r="L851" s="3" t="s">
        <v>323</v>
      </c>
      <c r="M851" s="3">
        <v>405</v>
      </c>
      <c r="N851" s="23" t="s">
        <v>1203</v>
      </c>
      <c r="O851" s="3">
        <v>0</v>
      </c>
      <c r="P851" s="3"/>
      <c r="Q851" s="3" t="s">
        <v>272</v>
      </c>
      <c r="R851" s="27" t="s">
        <v>2704</v>
      </c>
      <c r="S851" s="27" t="s">
        <v>2704</v>
      </c>
      <c r="T851" s="3">
        <v>0</v>
      </c>
      <c r="U851" s="3">
        <v>0</v>
      </c>
      <c r="V851" s="6">
        <v>100</v>
      </c>
      <c r="W851" s="7"/>
      <c r="X851" s="27" t="s">
        <v>2657</v>
      </c>
      <c r="Y851" s="3" t="s">
        <v>252</v>
      </c>
    </row>
    <row r="852" spans="1:25" x14ac:dyDescent="0.15">
      <c r="A852" s="3">
        <v>405287</v>
      </c>
      <c r="B852" s="42" t="s">
        <v>2714</v>
      </c>
      <c r="C852" s="6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4">
        <v>918</v>
      </c>
      <c r="K852" s="3">
        <v>4</v>
      </c>
      <c r="L852" s="3" t="s">
        <v>323</v>
      </c>
      <c r="M852" s="3">
        <v>405</v>
      </c>
      <c r="N852" s="23" t="s">
        <v>1203</v>
      </c>
      <c r="O852" s="3">
        <v>0</v>
      </c>
      <c r="P852" s="3"/>
      <c r="Q852" s="3" t="s">
        <v>272</v>
      </c>
      <c r="R852" s="27" t="s">
        <v>2705</v>
      </c>
      <c r="S852" s="27" t="s">
        <v>2705</v>
      </c>
      <c r="T852" s="3">
        <v>0</v>
      </c>
      <c r="U852" s="3">
        <v>0</v>
      </c>
      <c r="V852" s="6">
        <v>100</v>
      </c>
      <c r="W852" s="7"/>
      <c r="X852" s="27" t="s">
        <v>2658</v>
      </c>
      <c r="Y852" s="3" t="s">
        <v>252</v>
      </c>
    </row>
    <row r="853" spans="1:25" x14ac:dyDescent="0.15">
      <c r="A853" s="3">
        <v>405288</v>
      </c>
      <c r="B853" s="42" t="s">
        <v>2715</v>
      </c>
      <c r="C853" s="6">
        <v>0</v>
      </c>
      <c r="D853" s="3">
        <v>0</v>
      </c>
      <c r="E853" s="3">
        <v>0</v>
      </c>
      <c r="F853" s="3">
        <v>0</v>
      </c>
      <c r="G853" s="3">
        <v>0</v>
      </c>
      <c r="H853" s="3">
        <v>0</v>
      </c>
      <c r="I853" s="3">
        <v>0</v>
      </c>
      <c r="J853" s="4">
        <v>919</v>
      </c>
      <c r="K853" s="3">
        <v>4</v>
      </c>
      <c r="L853" s="3" t="s">
        <v>323</v>
      </c>
      <c r="M853" s="3">
        <v>405</v>
      </c>
      <c r="N853" s="23" t="s">
        <v>1203</v>
      </c>
      <c r="O853" s="3">
        <v>0</v>
      </c>
      <c r="P853" s="3"/>
      <c r="Q853" s="3" t="s">
        <v>272</v>
      </c>
      <c r="R853" s="27" t="s">
        <v>2706</v>
      </c>
      <c r="S853" s="27" t="s">
        <v>2706</v>
      </c>
      <c r="T853" s="3">
        <v>0</v>
      </c>
      <c r="U853" s="3">
        <v>0</v>
      </c>
      <c r="V853" s="6">
        <v>100</v>
      </c>
      <c r="W853" s="7"/>
      <c r="X853" s="27" t="s">
        <v>2659</v>
      </c>
      <c r="Y853" s="3" t="s">
        <v>252</v>
      </c>
    </row>
    <row r="854" spans="1:25" x14ac:dyDescent="0.15">
      <c r="A854" s="3">
        <v>405289</v>
      </c>
      <c r="B854" s="42" t="s">
        <v>2716</v>
      </c>
      <c r="C854" s="6">
        <v>0</v>
      </c>
      <c r="D854" s="3">
        <v>0</v>
      </c>
      <c r="E854" s="3">
        <v>0</v>
      </c>
      <c r="F854" s="3">
        <v>0</v>
      </c>
      <c r="G854" s="3">
        <v>0</v>
      </c>
      <c r="H854" s="3">
        <v>0</v>
      </c>
      <c r="I854" s="3">
        <v>0</v>
      </c>
      <c r="J854" s="4">
        <v>920</v>
      </c>
      <c r="K854" s="3">
        <v>4</v>
      </c>
      <c r="L854" s="3" t="s">
        <v>323</v>
      </c>
      <c r="M854" s="3">
        <v>405</v>
      </c>
      <c r="N854" s="23" t="s">
        <v>1203</v>
      </c>
      <c r="O854" s="3">
        <v>0</v>
      </c>
      <c r="P854" s="3"/>
      <c r="Q854" s="3" t="s">
        <v>272</v>
      </c>
      <c r="R854" s="27" t="s">
        <v>2707</v>
      </c>
      <c r="S854" s="27" t="s">
        <v>2707</v>
      </c>
      <c r="T854" s="3">
        <v>0</v>
      </c>
      <c r="U854" s="3">
        <v>0</v>
      </c>
      <c r="V854" s="6">
        <v>100</v>
      </c>
      <c r="W854" s="7"/>
      <c r="X854" s="27" t="s">
        <v>2660</v>
      </c>
      <c r="Y854" s="3" t="s">
        <v>252</v>
      </c>
    </row>
    <row r="855" spans="1:25" x14ac:dyDescent="0.15">
      <c r="A855" s="3">
        <v>405290</v>
      </c>
      <c r="B855" s="42" t="s">
        <v>2717</v>
      </c>
      <c r="C855" s="6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4">
        <v>921</v>
      </c>
      <c r="K855" s="3">
        <v>4</v>
      </c>
      <c r="L855" s="3" t="s">
        <v>323</v>
      </c>
      <c r="M855" s="3">
        <v>405</v>
      </c>
      <c r="N855" s="23" t="s">
        <v>1203</v>
      </c>
      <c r="O855" s="3">
        <v>0</v>
      </c>
      <c r="P855" s="3"/>
      <c r="Q855" s="3" t="s">
        <v>272</v>
      </c>
      <c r="R855" s="27" t="s">
        <v>2708</v>
      </c>
      <c r="S855" s="27" t="s">
        <v>2708</v>
      </c>
      <c r="T855" s="3">
        <v>0</v>
      </c>
      <c r="U855" s="3">
        <v>0</v>
      </c>
      <c r="V855" s="6">
        <v>100</v>
      </c>
      <c r="W855" s="7"/>
      <c r="X855" s="27" t="s">
        <v>2661</v>
      </c>
      <c r="Y855" s="3" t="s">
        <v>252</v>
      </c>
    </row>
    <row r="856" spans="1:25" x14ac:dyDescent="0.15">
      <c r="A856" s="3">
        <v>407011</v>
      </c>
      <c r="B856" s="6" t="s">
        <v>1369</v>
      </c>
      <c r="C856" s="6">
        <v>0</v>
      </c>
      <c r="D856" s="3">
        <v>0</v>
      </c>
      <c r="E856" s="3">
        <v>0</v>
      </c>
      <c r="F856" s="3">
        <v>0</v>
      </c>
      <c r="G856" s="3">
        <v>0</v>
      </c>
      <c r="H856" s="3">
        <v>0</v>
      </c>
      <c r="I856" s="3">
        <v>0</v>
      </c>
      <c r="J856" s="4">
        <v>922</v>
      </c>
      <c r="K856" s="3">
        <v>4</v>
      </c>
      <c r="L856" s="3" t="s">
        <v>323</v>
      </c>
      <c r="M856" s="3">
        <v>407</v>
      </c>
      <c r="N856" s="4" t="s">
        <v>1370</v>
      </c>
      <c r="O856" s="3">
        <v>0</v>
      </c>
      <c r="P856" s="3"/>
      <c r="Q856" s="3" t="s">
        <v>272</v>
      </c>
      <c r="R856" s="3" t="s">
        <v>1371</v>
      </c>
      <c r="S856" s="3" t="s">
        <v>1371</v>
      </c>
      <c r="T856" s="3">
        <v>10</v>
      </c>
      <c r="U856" s="3">
        <v>0</v>
      </c>
      <c r="V856" s="6">
        <v>100</v>
      </c>
      <c r="W856" s="7"/>
      <c r="X856" s="3" t="s">
        <v>1369</v>
      </c>
      <c r="Y856" s="3" t="s">
        <v>252</v>
      </c>
    </row>
    <row r="857" spans="1:25" x14ac:dyDescent="0.15">
      <c r="A857" s="3">
        <v>407012</v>
      </c>
      <c r="B857" s="6" t="s">
        <v>1372</v>
      </c>
      <c r="C857" s="6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4">
        <v>923</v>
      </c>
      <c r="K857" s="3">
        <v>4</v>
      </c>
      <c r="L857" s="3" t="s">
        <v>323</v>
      </c>
      <c r="M857" s="3">
        <v>407</v>
      </c>
      <c r="N857" s="4" t="s">
        <v>1370</v>
      </c>
      <c r="O857" s="3">
        <v>0</v>
      </c>
      <c r="P857" s="3"/>
      <c r="Q857" s="3" t="s">
        <v>272</v>
      </c>
      <c r="R857" s="3" t="s">
        <v>1373</v>
      </c>
      <c r="S857" s="3" t="s">
        <v>1373</v>
      </c>
      <c r="T857" s="3">
        <v>10</v>
      </c>
      <c r="U857" s="3">
        <v>0</v>
      </c>
      <c r="V857" s="6">
        <v>100</v>
      </c>
      <c r="W857" s="7"/>
      <c r="X857" s="3" t="s">
        <v>1372</v>
      </c>
      <c r="Y857" s="3" t="s">
        <v>252</v>
      </c>
    </row>
    <row r="858" spans="1:25" x14ac:dyDescent="0.15">
      <c r="A858" s="3">
        <v>407013</v>
      </c>
      <c r="B858" s="6" t="s">
        <v>1374</v>
      </c>
      <c r="C858" s="6">
        <v>0</v>
      </c>
      <c r="D858" s="3">
        <v>0</v>
      </c>
      <c r="E858" s="3">
        <v>0</v>
      </c>
      <c r="F858" s="3">
        <v>0</v>
      </c>
      <c r="G858" s="3">
        <v>0</v>
      </c>
      <c r="H858" s="3">
        <v>0</v>
      </c>
      <c r="I858" s="3">
        <v>0</v>
      </c>
      <c r="J858" s="4">
        <v>924</v>
      </c>
      <c r="K858" s="3">
        <v>4</v>
      </c>
      <c r="L858" s="3" t="s">
        <v>323</v>
      </c>
      <c r="M858" s="3">
        <v>407</v>
      </c>
      <c r="N858" s="4" t="s">
        <v>1370</v>
      </c>
      <c r="O858" s="3">
        <v>0</v>
      </c>
      <c r="P858" s="3"/>
      <c r="Q858" s="3" t="s">
        <v>272</v>
      </c>
      <c r="R858" s="3" t="s">
        <v>1375</v>
      </c>
      <c r="S858" s="3" t="s">
        <v>1375</v>
      </c>
      <c r="T858" s="3">
        <v>10</v>
      </c>
      <c r="U858" s="3">
        <v>0</v>
      </c>
      <c r="V858" s="6">
        <v>100</v>
      </c>
      <c r="W858" s="7"/>
      <c r="X858" s="3" t="s">
        <v>1374</v>
      </c>
      <c r="Y858" s="3" t="s">
        <v>252</v>
      </c>
    </row>
    <row r="859" spans="1:25" x14ac:dyDescent="0.15">
      <c r="A859" s="3">
        <v>407014</v>
      </c>
      <c r="B859" s="6" t="s">
        <v>1376</v>
      </c>
      <c r="C859" s="6">
        <v>0</v>
      </c>
      <c r="D859" s="3">
        <v>0</v>
      </c>
      <c r="E859" s="3">
        <v>0</v>
      </c>
      <c r="F859" s="3">
        <v>0</v>
      </c>
      <c r="G859" s="3">
        <v>0</v>
      </c>
      <c r="H859" s="3">
        <v>0</v>
      </c>
      <c r="I859" s="3">
        <v>0</v>
      </c>
      <c r="J859" s="4">
        <v>925</v>
      </c>
      <c r="K859" s="3">
        <v>4</v>
      </c>
      <c r="L859" s="3" t="s">
        <v>323</v>
      </c>
      <c r="M859" s="3">
        <v>407</v>
      </c>
      <c r="N859" s="4" t="s">
        <v>1370</v>
      </c>
      <c r="O859" s="3">
        <v>0</v>
      </c>
      <c r="P859" s="3"/>
      <c r="Q859" s="3" t="s">
        <v>272</v>
      </c>
      <c r="R859" s="3" t="s">
        <v>1377</v>
      </c>
      <c r="S859" s="3" t="s">
        <v>1377</v>
      </c>
      <c r="T859" s="3">
        <v>10</v>
      </c>
      <c r="U859" s="3">
        <v>0</v>
      </c>
      <c r="V859" s="6">
        <v>100</v>
      </c>
      <c r="W859" s="7"/>
      <c r="X859" s="3" t="s">
        <v>1376</v>
      </c>
      <c r="Y859" s="3" t="s">
        <v>252</v>
      </c>
    </row>
    <row r="860" spans="1:25" x14ac:dyDescent="0.15">
      <c r="A860" s="3">
        <v>407015</v>
      </c>
      <c r="B860" s="6" t="s">
        <v>1378</v>
      </c>
      <c r="C860" s="6">
        <v>0</v>
      </c>
      <c r="D860" s="3">
        <v>0</v>
      </c>
      <c r="E860" s="3">
        <v>0</v>
      </c>
      <c r="F860" s="3">
        <v>0</v>
      </c>
      <c r="G860" s="3">
        <v>0</v>
      </c>
      <c r="H860" s="3">
        <v>0</v>
      </c>
      <c r="I860" s="3">
        <v>0</v>
      </c>
      <c r="J860" s="4">
        <v>926</v>
      </c>
      <c r="K860" s="3">
        <v>4</v>
      </c>
      <c r="L860" s="3" t="s">
        <v>323</v>
      </c>
      <c r="M860" s="3">
        <v>407</v>
      </c>
      <c r="N860" s="4" t="s">
        <v>1370</v>
      </c>
      <c r="O860" s="3">
        <v>0</v>
      </c>
      <c r="P860" s="3"/>
      <c r="Q860" s="3" t="s">
        <v>272</v>
      </c>
      <c r="R860" s="3" t="s">
        <v>1379</v>
      </c>
      <c r="S860" s="3" t="s">
        <v>1379</v>
      </c>
      <c r="T860" s="3">
        <v>10</v>
      </c>
      <c r="U860" s="3">
        <v>0</v>
      </c>
      <c r="V860" s="6">
        <v>100</v>
      </c>
      <c r="W860" s="7"/>
      <c r="X860" s="3" t="s">
        <v>1378</v>
      </c>
      <c r="Y860" s="3" t="s">
        <v>252</v>
      </c>
    </row>
    <row r="861" spans="1:25" x14ac:dyDescent="0.15">
      <c r="A861" s="3">
        <v>407016</v>
      </c>
      <c r="B861" s="6" t="s">
        <v>1380</v>
      </c>
      <c r="C861" s="6">
        <v>0</v>
      </c>
      <c r="D861" s="3">
        <v>0</v>
      </c>
      <c r="E861" s="3">
        <v>0</v>
      </c>
      <c r="F861" s="3">
        <v>0</v>
      </c>
      <c r="G861" s="3">
        <v>0</v>
      </c>
      <c r="H861" s="3">
        <v>0</v>
      </c>
      <c r="I861" s="3">
        <v>0</v>
      </c>
      <c r="J861" s="4">
        <v>927</v>
      </c>
      <c r="K861" s="3">
        <v>4</v>
      </c>
      <c r="L861" s="3" t="s">
        <v>323</v>
      </c>
      <c r="M861" s="3">
        <v>407</v>
      </c>
      <c r="N861" s="4" t="s">
        <v>1370</v>
      </c>
      <c r="O861" s="3">
        <v>0</v>
      </c>
      <c r="P861" s="3"/>
      <c r="Q861" s="3" t="s">
        <v>272</v>
      </c>
      <c r="R861" s="3" t="s">
        <v>1381</v>
      </c>
      <c r="S861" s="3" t="s">
        <v>1381</v>
      </c>
      <c r="T861" s="3">
        <v>10</v>
      </c>
      <c r="U861" s="3">
        <v>0</v>
      </c>
      <c r="V861" s="6">
        <v>100</v>
      </c>
      <c r="W861" s="7"/>
      <c r="X861" s="3" t="s">
        <v>1380</v>
      </c>
      <c r="Y861" s="3" t="s">
        <v>252</v>
      </c>
    </row>
    <row r="862" spans="1:25" x14ac:dyDescent="0.15">
      <c r="A862" s="3">
        <v>407017</v>
      </c>
      <c r="B862" s="6" t="s">
        <v>1382</v>
      </c>
      <c r="C862" s="6">
        <v>0</v>
      </c>
      <c r="D862" s="3">
        <v>0</v>
      </c>
      <c r="E862" s="3">
        <v>0</v>
      </c>
      <c r="F862" s="3">
        <v>0</v>
      </c>
      <c r="G862" s="3">
        <v>0</v>
      </c>
      <c r="H862" s="3">
        <v>0</v>
      </c>
      <c r="I862" s="3">
        <v>0</v>
      </c>
      <c r="J862" s="4">
        <v>928</v>
      </c>
      <c r="K862" s="3">
        <v>4</v>
      </c>
      <c r="L862" s="3" t="s">
        <v>323</v>
      </c>
      <c r="M862" s="3">
        <v>407</v>
      </c>
      <c r="N862" s="4" t="s">
        <v>1370</v>
      </c>
      <c r="O862" s="3">
        <v>0</v>
      </c>
      <c r="P862" s="3"/>
      <c r="Q862" s="3" t="s">
        <v>272</v>
      </c>
      <c r="R862" s="3" t="s">
        <v>1383</v>
      </c>
      <c r="S862" s="3" t="s">
        <v>1383</v>
      </c>
      <c r="T862" s="3">
        <v>10</v>
      </c>
      <c r="U862" s="3">
        <v>0</v>
      </c>
      <c r="V862" s="6">
        <v>100</v>
      </c>
      <c r="W862" s="7"/>
      <c r="X862" s="3" t="s">
        <v>1382</v>
      </c>
      <c r="Y862" s="3" t="s">
        <v>252</v>
      </c>
    </row>
    <row r="863" spans="1:25" x14ac:dyDescent="0.15">
      <c r="A863" s="3">
        <v>407018</v>
      </c>
      <c r="B863" s="6" t="s">
        <v>1384</v>
      </c>
      <c r="C863" s="6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4">
        <v>929</v>
      </c>
      <c r="K863" s="3">
        <v>4</v>
      </c>
      <c r="L863" s="3" t="s">
        <v>323</v>
      </c>
      <c r="M863" s="3">
        <v>407</v>
      </c>
      <c r="N863" s="4" t="s">
        <v>1370</v>
      </c>
      <c r="O863" s="3">
        <v>0</v>
      </c>
      <c r="P863" s="3"/>
      <c r="Q863" s="3" t="s">
        <v>272</v>
      </c>
      <c r="R863" s="3" t="s">
        <v>1385</v>
      </c>
      <c r="S863" s="3" t="s">
        <v>1385</v>
      </c>
      <c r="T863" s="3">
        <v>10</v>
      </c>
      <c r="U863" s="3">
        <v>0</v>
      </c>
      <c r="V863" s="6">
        <v>100</v>
      </c>
      <c r="W863" s="7"/>
      <c r="X863" s="3" t="s">
        <v>1384</v>
      </c>
      <c r="Y863" s="3" t="s">
        <v>252</v>
      </c>
    </row>
    <row r="864" spans="1:25" x14ac:dyDescent="0.15">
      <c r="A864" s="3">
        <v>407019</v>
      </c>
      <c r="B864" s="6" t="s">
        <v>1386</v>
      </c>
      <c r="C864" s="6">
        <v>0</v>
      </c>
      <c r="D864" s="3">
        <v>0</v>
      </c>
      <c r="E864" s="3">
        <v>0</v>
      </c>
      <c r="F864" s="3">
        <v>0</v>
      </c>
      <c r="G864" s="3">
        <v>0</v>
      </c>
      <c r="H864" s="3">
        <v>0</v>
      </c>
      <c r="I864" s="3">
        <v>0</v>
      </c>
      <c r="J864" s="4">
        <v>930</v>
      </c>
      <c r="K864" s="3">
        <v>4</v>
      </c>
      <c r="L864" s="3" t="s">
        <v>323</v>
      </c>
      <c r="M864" s="3">
        <v>407</v>
      </c>
      <c r="N864" s="4" t="s">
        <v>1370</v>
      </c>
      <c r="O864" s="3">
        <v>0</v>
      </c>
      <c r="P864" s="3"/>
      <c r="Q864" s="3" t="s">
        <v>272</v>
      </c>
      <c r="R864" s="3" t="s">
        <v>1387</v>
      </c>
      <c r="S864" s="3" t="s">
        <v>1387</v>
      </c>
      <c r="T864" s="3">
        <v>10</v>
      </c>
      <c r="U864" s="3">
        <v>0</v>
      </c>
      <c r="V864" s="6">
        <v>100</v>
      </c>
      <c r="W864" s="7"/>
      <c r="X864" s="3" t="s">
        <v>1386</v>
      </c>
      <c r="Y864" s="3" t="s">
        <v>252</v>
      </c>
    </row>
    <row r="865" spans="1:25" x14ac:dyDescent="0.15">
      <c r="A865" s="3">
        <v>407021</v>
      </c>
      <c r="B865" s="6" t="s">
        <v>1388</v>
      </c>
      <c r="C865" s="6">
        <v>0</v>
      </c>
      <c r="D865" s="3">
        <v>0</v>
      </c>
      <c r="E865" s="3">
        <v>0</v>
      </c>
      <c r="F865" s="3">
        <v>0</v>
      </c>
      <c r="G865" s="3">
        <v>0</v>
      </c>
      <c r="H865" s="3">
        <v>0</v>
      </c>
      <c r="I865" s="3">
        <v>0</v>
      </c>
      <c r="J865" s="4">
        <v>931</v>
      </c>
      <c r="K865" s="3">
        <v>4</v>
      </c>
      <c r="L865" s="3" t="s">
        <v>323</v>
      </c>
      <c r="M865" s="3">
        <v>407</v>
      </c>
      <c r="N865" s="4" t="s">
        <v>1370</v>
      </c>
      <c r="O865" s="3">
        <v>0</v>
      </c>
      <c r="P865" s="3"/>
      <c r="Q865" s="3" t="s">
        <v>272</v>
      </c>
      <c r="R865" s="3" t="s">
        <v>1389</v>
      </c>
      <c r="S865" s="3" t="s">
        <v>1389</v>
      </c>
      <c r="T865" s="3">
        <v>10</v>
      </c>
      <c r="U865" s="3">
        <v>0</v>
      </c>
      <c r="V865" s="6">
        <v>100</v>
      </c>
      <c r="W865" s="7"/>
      <c r="X865" s="3" t="s">
        <v>1388</v>
      </c>
      <c r="Y865" s="3" t="s">
        <v>252</v>
      </c>
    </row>
    <row r="866" spans="1:25" x14ac:dyDescent="0.15">
      <c r="A866" s="3">
        <v>407022</v>
      </c>
      <c r="B866" s="6" t="s">
        <v>1390</v>
      </c>
      <c r="C866" s="6">
        <v>0</v>
      </c>
      <c r="D866" s="3">
        <v>0</v>
      </c>
      <c r="E866" s="3">
        <v>0</v>
      </c>
      <c r="F866" s="3">
        <v>0</v>
      </c>
      <c r="G866" s="3">
        <v>0</v>
      </c>
      <c r="H866" s="3">
        <v>0</v>
      </c>
      <c r="I866" s="3">
        <v>0</v>
      </c>
      <c r="J866" s="4">
        <v>932</v>
      </c>
      <c r="K866" s="3">
        <v>4</v>
      </c>
      <c r="L866" s="3" t="s">
        <v>323</v>
      </c>
      <c r="M866" s="3">
        <v>407</v>
      </c>
      <c r="N866" s="4" t="s">
        <v>1370</v>
      </c>
      <c r="O866" s="3">
        <v>0</v>
      </c>
      <c r="P866" s="3"/>
      <c r="Q866" s="3" t="s">
        <v>272</v>
      </c>
      <c r="R866" s="3" t="s">
        <v>1391</v>
      </c>
      <c r="S866" s="3" t="s">
        <v>1391</v>
      </c>
      <c r="T866" s="3">
        <v>10</v>
      </c>
      <c r="U866" s="3">
        <v>0</v>
      </c>
      <c r="V866" s="6">
        <v>100</v>
      </c>
      <c r="W866" s="7"/>
      <c r="X866" s="3" t="s">
        <v>1390</v>
      </c>
      <c r="Y866" s="3" t="s">
        <v>252</v>
      </c>
    </row>
    <row r="867" spans="1:25" x14ac:dyDescent="0.15">
      <c r="A867" s="3">
        <v>407023</v>
      </c>
      <c r="B867" s="6" t="s">
        <v>1392</v>
      </c>
      <c r="C867" s="6">
        <v>0</v>
      </c>
      <c r="D867" s="3">
        <v>0</v>
      </c>
      <c r="E867" s="3">
        <v>0</v>
      </c>
      <c r="F867" s="3">
        <v>0</v>
      </c>
      <c r="G867" s="3">
        <v>0</v>
      </c>
      <c r="H867" s="3">
        <v>0</v>
      </c>
      <c r="I867" s="3">
        <v>0</v>
      </c>
      <c r="J867" s="4">
        <v>933</v>
      </c>
      <c r="K867" s="3">
        <v>4</v>
      </c>
      <c r="L867" s="3" t="s">
        <v>323</v>
      </c>
      <c r="M867" s="3">
        <v>407</v>
      </c>
      <c r="N867" s="4" t="s">
        <v>1370</v>
      </c>
      <c r="O867" s="3">
        <v>0</v>
      </c>
      <c r="P867" s="3"/>
      <c r="Q867" s="3" t="s">
        <v>272</v>
      </c>
      <c r="R867" s="3" t="s">
        <v>1393</v>
      </c>
      <c r="S867" s="3" t="s">
        <v>1393</v>
      </c>
      <c r="T867" s="3">
        <v>10</v>
      </c>
      <c r="U867" s="3">
        <v>0</v>
      </c>
      <c r="V867" s="6">
        <v>100</v>
      </c>
      <c r="W867" s="7"/>
      <c r="X867" s="3" t="s">
        <v>1392</v>
      </c>
      <c r="Y867" s="3" t="s">
        <v>252</v>
      </c>
    </row>
    <row r="868" spans="1:25" x14ac:dyDescent="0.15">
      <c r="A868" s="3">
        <v>407024</v>
      </c>
      <c r="B868" s="6" t="s">
        <v>1394</v>
      </c>
      <c r="C868" s="6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4">
        <v>934</v>
      </c>
      <c r="K868" s="3">
        <v>4</v>
      </c>
      <c r="L868" s="3" t="s">
        <v>323</v>
      </c>
      <c r="M868" s="3">
        <v>407</v>
      </c>
      <c r="N868" s="4" t="s">
        <v>1370</v>
      </c>
      <c r="O868" s="3">
        <v>0</v>
      </c>
      <c r="P868" s="3"/>
      <c r="Q868" s="3" t="s">
        <v>272</v>
      </c>
      <c r="R868" s="3" t="s">
        <v>1395</v>
      </c>
      <c r="S868" s="3" t="s">
        <v>1395</v>
      </c>
      <c r="T868" s="3">
        <v>10</v>
      </c>
      <c r="U868" s="3">
        <v>0</v>
      </c>
      <c r="V868" s="6">
        <v>100</v>
      </c>
      <c r="W868" s="7"/>
      <c r="X868" s="3" t="s">
        <v>1394</v>
      </c>
      <c r="Y868" s="3" t="s">
        <v>252</v>
      </c>
    </row>
    <row r="869" spans="1:25" x14ac:dyDescent="0.15">
      <c r="A869" s="3">
        <v>407025</v>
      </c>
      <c r="B869" s="6" t="s">
        <v>1396</v>
      </c>
      <c r="C869" s="6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4">
        <v>935</v>
      </c>
      <c r="K869" s="3">
        <v>4</v>
      </c>
      <c r="L869" s="3" t="s">
        <v>323</v>
      </c>
      <c r="M869" s="3">
        <v>407</v>
      </c>
      <c r="N869" s="4" t="s">
        <v>1370</v>
      </c>
      <c r="O869" s="3">
        <v>0</v>
      </c>
      <c r="P869" s="3"/>
      <c r="Q869" s="3" t="s">
        <v>272</v>
      </c>
      <c r="R869" s="3" t="s">
        <v>1397</v>
      </c>
      <c r="S869" s="3" t="s">
        <v>1397</v>
      </c>
      <c r="T869" s="3">
        <v>10</v>
      </c>
      <c r="U869" s="3">
        <v>0</v>
      </c>
      <c r="V869" s="6">
        <v>100</v>
      </c>
      <c r="W869" s="7"/>
      <c r="X869" s="3" t="s">
        <v>1396</v>
      </c>
      <c r="Y869" s="3" t="s">
        <v>252</v>
      </c>
    </row>
    <row r="870" spans="1:25" x14ac:dyDescent="0.15">
      <c r="A870" s="3">
        <v>407026</v>
      </c>
      <c r="B870" s="6" t="s">
        <v>1398</v>
      </c>
      <c r="C870" s="6">
        <v>0</v>
      </c>
      <c r="D870" s="3">
        <v>0</v>
      </c>
      <c r="E870" s="3">
        <v>0</v>
      </c>
      <c r="F870" s="3">
        <v>0</v>
      </c>
      <c r="G870" s="3">
        <v>0</v>
      </c>
      <c r="H870" s="3">
        <v>0</v>
      </c>
      <c r="I870" s="3">
        <v>0</v>
      </c>
      <c r="J870" s="4">
        <v>936</v>
      </c>
      <c r="K870" s="3">
        <v>4</v>
      </c>
      <c r="L870" s="3" t="s">
        <v>323</v>
      </c>
      <c r="M870" s="3">
        <v>407</v>
      </c>
      <c r="N870" s="4" t="s">
        <v>1370</v>
      </c>
      <c r="O870" s="3">
        <v>0</v>
      </c>
      <c r="P870" s="3"/>
      <c r="Q870" s="3" t="s">
        <v>272</v>
      </c>
      <c r="R870" s="3" t="s">
        <v>1399</v>
      </c>
      <c r="S870" s="3" t="s">
        <v>1399</v>
      </c>
      <c r="T870" s="3">
        <v>10</v>
      </c>
      <c r="U870" s="3">
        <v>0</v>
      </c>
      <c r="V870" s="6">
        <v>100</v>
      </c>
      <c r="W870" s="7"/>
      <c r="X870" s="3" t="s">
        <v>1398</v>
      </c>
      <c r="Y870" s="3" t="s">
        <v>252</v>
      </c>
    </row>
    <row r="871" spans="1:25" x14ac:dyDescent="0.15">
      <c r="A871" s="3">
        <v>407027</v>
      </c>
      <c r="B871" s="6" t="s">
        <v>1400</v>
      </c>
      <c r="C871" s="6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4">
        <v>937</v>
      </c>
      <c r="K871" s="3">
        <v>4</v>
      </c>
      <c r="L871" s="3" t="s">
        <v>323</v>
      </c>
      <c r="M871" s="3">
        <v>407</v>
      </c>
      <c r="N871" s="4" t="s">
        <v>1370</v>
      </c>
      <c r="O871" s="3">
        <v>0</v>
      </c>
      <c r="P871" s="3"/>
      <c r="Q871" s="3" t="s">
        <v>272</v>
      </c>
      <c r="R871" s="3" t="s">
        <v>1401</v>
      </c>
      <c r="S871" s="3" t="s">
        <v>1401</v>
      </c>
      <c r="T871" s="3">
        <v>10</v>
      </c>
      <c r="U871" s="3">
        <v>0</v>
      </c>
      <c r="V871" s="6">
        <v>100</v>
      </c>
      <c r="W871" s="7"/>
      <c r="X871" s="3" t="s">
        <v>1400</v>
      </c>
      <c r="Y871" s="3" t="s">
        <v>252</v>
      </c>
    </row>
    <row r="872" spans="1:25" x14ac:dyDescent="0.15">
      <c r="A872" s="3">
        <v>407028</v>
      </c>
      <c r="B872" s="6" t="s">
        <v>1402</v>
      </c>
      <c r="C872" s="6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4">
        <v>938</v>
      </c>
      <c r="K872" s="3">
        <v>4</v>
      </c>
      <c r="L872" s="3" t="s">
        <v>323</v>
      </c>
      <c r="M872" s="3">
        <v>407</v>
      </c>
      <c r="N872" s="4" t="s">
        <v>1370</v>
      </c>
      <c r="O872" s="3">
        <v>0</v>
      </c>
      <c r="P872" s="3"/>
      <c r="Q872" s="3" t="s">
        <v>272</v>
      </c>
      <c r="R872" s="3" t="s">
        <v>1403</v>
      </c>
      <c r="S872" s="3" t="s">
        <v>1403</v>
      </c>
      <c r="T872" s="3">
        <v>10</v>
      </c>
      <c r="U872" s="3">
        <v>0</v>
      </c>
      <c r="V872" s="6">
        <v>100</v>
      </c>
      <c r="W872" s="7"/>
      <c r="X872" s="3" t="s">
        <v>1402</v>
      </c>
      <c r="Y872" s="3" t="s">
        <v>252</v>
      </c>
    </row>
    <row r="873" spans="1:25" x14ac:dyDescent="0.15">
      <c r="A873" s="3">
        <v>407029</v>
      </c>
      <c r="B873" s="6" t="s">
        <v>1404</v>
      </c>
      <c r="C873" s="6">
        <v>0</v>
      </c>
      <c r="D873" s="3">
        <v>0</v>
      </c>
      <c r="E873" s="3">
        <v>0</v>
      </c>
      <c r="F873" s="3">
        <v>0</v>
      </c>
      <c r="G873" s="3">
        <v>0</v>
      </c>
      <c r="H873" s="3">
        <v>0</v>
      </c>
      <c r="I873" s="3">
        <v>0</v>
      </c>
      <c r="J873" s="4">
        <v>939</v>
      </c>
      <c r="K873" s="3">
        <v>4</v>
      </c>
      <c r="L873" s="3" t="s">
        <v>323</v>
      </c>
      <c r="M873" s="3">
        <v>407</v>
      </c>
      <c r="N873" s="4" t="s">
        <v>1370</v>
      </c>
      <c r="O873" s="3">
        <v>0</v>
      </c>
      <c r="P873" s="3"/>
      <c r="Q873" s="3" t="s">
        <v>272</v>
      </c>
      <c r="R873" s="3" t="s">
        <v>1405</v>
      </c>
      <c r="S873" s="3" t="s">
        <v>1405</v>
      </c>
      <c r="T873" s="3">
        <v>10</v>
      </c>
      <c r="U873" s="3">
        <v>0</v>
      </c>
      <c r="V873" s="6">
        <v>100</v>
      </c>
      <c r="W873" s="7"/>
      <c r="X873" s="3" t="s">
        <v>1404</v>
      </c>
      <c r="Y873" s="3" t="s">
        <v>252</v>
      </c>
    </row>
    <row r="874" spans="1:25" x14ac:dyDescent="0.15">
      <c r="A874" s="3">
        <v>407031</v>
      </c>
      <c r="B874" s="6" t="s">
        <v>1406</v>
      </c>
      <c r="C874" s="6">
        <v>0</v>
      </c>
      <c r="D874" s="3">
        <v>0</v>
      </c>
      <c r="E874" s="3">
        <v>0</v>
      </c>
      <c r="F874" s="3">
        <v>0</v>
      </c>
      <c r="G874" s="3">
        <v>0</v>
      </c>
      <c r="H874" s="3">
        <v>0</v>
      </c>
      <c r="I874" s="3">
        <v>0</v>
      </c>
      <c r="J874" s="4">
        <v>940</v>
      </c>
      <c r="K874" s="3">
        <v>4</v>
      </c>
      <c r="L874" s="3" t="s">
        <v>323</v>
      </c>
      <c r="M874" s="3">
        <v>407</v>
      </c>
      <c r="N874" s="4" t="s">
        <v>1370</v>
      </c>
      <c r="O874" s="3">
        <v>0</v>
      </c>
      <c r="P874" s="3"/>
      <c r="Q874" s="3" t="s">
        <v>272</v>
      </c>
      <c r="R874" s="3" t="s">
        <v>1407</v>
      </c>
      <c r="S874" s="3" t="s">
        <v>1407</v>
      </c>
      <c r="T874" s="3">
        <v>10</v>
      </c>
      <c r="U874" s="3">
        <v>0</v>
      </c>
      <c r="V874" s="6">
        <v>100</v>
      </c>
      <c r="W874" s="7"/>
      <c r="X874" s="3" t="s">
        <v>1406</v>
      </c>
      <c r="Y874" s="3" t="s">
        <v>252</v>
      </c>
    </row>
    <row r="875" spans="1:25" x14ac:dyDescent="0.15">
      <c r="A875" s="3">
        <v>407032</v>
      </c>
      <c r="B875" s="6" t="s">
        <v>1408</v>
      </c>
      <c r="C875" s="6">
        <v>0</v>
      </c>
      <c r="D875" s="3">
        <v>0</v>
      </c>
      <c r="E875" s="3">
        <v>0</v>
      </c>
      <c r="F875" s="3">
        <v>0</v>
      </c>
      <c r="G875" s="3">
        <v>0</v>
      </c>
      <c r="H875" s="3">
        <v>0</v>
      </c>
      <c r="I875" s="3">
        <v>0</v>
      </c>
      <c r="J875" s="4">
        <v>941</v>
      </c>
      <c r="K875" s="3">
        <v>4</v>
      </c>
      <c r="L875" s="3" t="s">
        <v>323</v>
      </c>
      <c r="M875" s="3">
        <v>407</v>
      </c>
      <c r="N875" s="4" t="s">
        <v>1370</v>
      </c>
      <c r="O875" s="3">
        <v>0</v>
      </c>
      <c r="P875" s="3"/>
      <c r="Q875" s="3" t="s">
        <v>272</v>
      </c>
      <c r="R875" s="3" t="s">
        <v>1409</v>
      </c>
      <c r="S875" s="3" t="s">
        <v>1409</v>
      </c>
      <c r="T875" s="3">
        <v>10</v>
      </c>
      <c r="U875" s="3">
        <v>0</v>
      </c>
      <c r="V875" s="6">
        <v>100</v>
      </c>
      <c r="W875" s="7"/>
      <c r="X875" s="3" t="s">
        <v>1408</v>
      </c>
      <c r="Y875" s="3" t="s">
        <v>252</v>
      </c>
    </row>
    <row r="876" spans="1:25" x14ac:dyDescent="0.15">
      <c r="A876" s="3">
        <v>407033</v>
      </c>
      <c r="B876" s="6" t="s">
        <v>1410</v>
      </c>
      <c r="C876" s="6">
        <v>0</v>
      </c>
      <c r="D876" s="3">
        <v>0</v>
      </c>
      <c r="E876" s="3">
        <v>0</v>
      </c>
      <c r="F876" s="3">
        <v>0</v>
      </c>
      <c r="G876" s="3">
        <v>0</v>
      </c>
      <c r="H876" s="3">
        <v>0</v>
      </c>
      <c r="I876" s="3">
        <v>0</v>
      </c>
      <c r="J876" s="4">
        <v>942</v>
      </c>
      <c r="K876" s="3">
        <v>4</v>
      </c>
      <c r="L876" s="3" t="s">
        <v>323</v>
      </c>
      <c r="M876" s="3">
        <v>407</v>
      </c>
      <c r="N876" s="4" t="s">
        <v>1370</v>
      </c>
      <c r="O876" s="3">
        <v>0</v>
      </c>
      <c r="P876" s="3"/>
      <c r="Q876" s="3" t="s">
        <v>272</v>
      </c>
      <c r="R876" s="3" t="s">
        <v>1411</v>
      </c>
      <c r="S876" s="3" t="s">
        <v>1411</v>
      </c>
      <c r="T876" s="3">
        <v>10</v>
      </c>
      <c r="U876" s="3">
        <v>0</v>
      </c>
      <c r="V876" s="6">
        <v>100</v>
      </c>
      <c r="W876" s="7"/>
      <c r="X876" s="3" t="s">
        <v>1410</v>
      </c>
      <c r="Y876" s="3" t="s">
        <v>252</v>
      </c>
    </row>
    <row r="877" spans="1:25" x14ac:dyDescent="0.15">
      <c r="A877" s="3">
        <v>407034</v>
      </c>
      <c r="B877" s="6" t="s">
        <v>1412</v>
      </c>
      <c r="C877" s="6">
        <v>0</v>
      </c>
      <c r="D877" s="3">
        <v>0</v>
      </c>
      <c r="E877" s="3">
        <v>0</v>
      </c>
      <c r="F877" s="3">
        <v>0</v>
      </c>
      <c r="G877" s="3">
        <v>0</v>
      </c>
      <c r="H877" s="3">
        <v>0</v>
      </c>
      <c r="I877" s="3">
        <v>0</v>
      </c>
      <c r="J877" s="4">
        <v>943</v>
      </c>
      <c r="K877" s="3">
        <v>4</v>
      </c>
      <c r="L877" s="3" t="s">
        <v>323</v>
      </c>
      <c r="M877" s="3">
        <v>407</v>
      </c>
      <c r="N877" s="4" t="s">
        <v>1370</v>
      </c>
      <c r="O877" s="3">
        <v>0</v>
      </c>
      <c r="P877" s="3"/>
      <c r="Q877" s="3" t="s">
        <v>272</v>
      </c>
      <c r="R877" s="3" t="s">
        <v>1413</v>
      </c>
      <c r="S877" s="3" t="s">
        <v>1413</v>
      </c>
      <c r="T877" s="3">
        <v>10</v>
      </c>
      <c r="U877" s="3">
        <v>0</v>
      </c>
      <c r="V877" s="6">
        <v>100</v>
      </c>
      <c r="W877" s="7"/>
      <c r="X877" s="3" t="s">
        <v>1412</v>
      </c>
      <c r="Y877" s="3" t="s">
        <v>252</v>
      </c>
    </row>
    <row r="878" spans="1:25" x14ac:dyDescent="0.15">
      <c r="A878" s="3">
        <v>407035</v>
      </c>
      <c r="B878" s="6" t="s">
        <v>1414</v>
      </c>
      <c r="C878" s="6">
        <v>0</v>
      </c>
      <c r="D878" s="3">
        <v>0</v>
      </c>
      <c r="E878" s="3">
        <v>0</v>
      </c>
      <c r="F878" s="3">
        <v>0</v>
      </c>
      <c r="G878" s="3">
        <v>0</v>
      </c>
      <c r="H878" s="3">
        <v>0</v>
      </c>
      <c r="I878" s="3">
        <v>0</v>
      </c>
      <c r="J878" s="4">
        <v>944</v>
      </c>
      <c r="K878" s="3">
        <v>4</v>
      </c>
      <c r="L878" s="3" t="s">
        <v>323</v>
      </c>
      <c r="M878" s="3">
        <v>407</v>
      </c>
      <c r="N878" s="4" t="s">
        <v>1370</v>
      </c>
      <c r="O878" s="3">
        <v>0</v>
      </c>
      <c r="P878" s="3"/>
      <c r="Q878" s="3" t="s">
        <v>272</v>
      </c>
      <c r="R878" s="3" t="s">
        <v>1415</v>
      </c>
      <c r="S878" s="3" t="s">
        <v>1415</v>
      </c>
      <c r="T878" s="3">
        <v>10</v>
      </c>
      <c r="U878" s="3">
        <v>0</v>
      </c>
      <c r="V878" s="6">
        <v>100</v>
      </c>
      <c r="W878" s="7"/>
      <c r="X878" s="3" t="s">
        <v>1414</v>
      </c>
      <c r="Y878" s="3" t="s">
        <v>252</v>
      </c>
    </row>
    <row r="879" spans="1:25" x14ac:dyDescent="0.15">
      <c r="A879" s="3">
        <v>407036</v>
      </c>
      <c r="B879" s="6" t="s">
        <v>1416</v>
      </c>
      <c r="C879" s="6">
        <v>0</v>
      </c>
      <c r="D879" s="3">
        <v>0</v>
      </c>
      <c r="E879" s="3">
        <v>0</v>
      </c>
      <c r="F879" s="3">
        <v>0</v>
      </c>
      <c r="G879" s="3">
        <v>0</v>
      </c>
      <c r="H879" s="3">
        <v>0</v>
      </c>
      <c r="I879" s="3">
        <v>0</v>
      </c>
      <c r="J879" s="4">
        <v>945</v>
      </c>
      <c r="K879" s="3">
        <v>4</v>
      </c>
      <c r="L879" s="3" t="s">
        <v>323</v>
      </c>
      <c r="M879" s="3">
        <v>407</v>
      </c>
      <c r="N879" s="4" t="s">
        <v>1370</v>
      </c>
      <c r="O879" s="3">
        <v>0</v>
      </c>
      <c r="P879" s="3"/>
      <c r="Q879" s="3" t="s">
        <v>272</v>
      </c>
      <c r="R879" s="3" t="s">
        <v>1417</v>
      </c>
      <c r="S879" s="3" t="s">
        <v>1417</v>
      </c>
      <c r="T879" s="3">
        <v>10</v>
      </c>
      <c r="U879" s="3">
        <v>0</v>
      </c>
      <c r="V879" s="6">
        <v>100</v>
      </c>
      <c r="W879" s="7"/>
      <c r="X879" s="3" t="s">
        <v>1416</v>
      </c>
      <c r="Y879" s="3" t="s">
        <v>252</v>
      </c>
    </row>
    <row r="880" spans="1:25" x14ac:dyDescent="0.15">
      <c r="A880" s="3">
        <v>407037</v>
      </c>
      <c r="B880" s="6" t="s">
        <v>1418</v>
      </c>
      <c r="C880" s="6">
        <v>0</v>
      </c>
      <c r="D880" s="3">
        <v>0</v>
      </c>
      <c r="E880" s="3">
        <v>0</v>
      </c>
      <c r="F880" s="3">
        <v>0</v>
      </c>
      <c r="G880" s="3">
        <v>0</v>
      </c>
      <c r="H880" s="3">
        <v>0</v>
      </c>
      <c r="I880" s="3">
        <v>0</v>
      </c>
      <c r="J880" s="4">
        <v>946</v>
      </c>
      <c r="K880" s="3">
        <v>4</v>
      </c>
      <c r="L880" s="3" t="s">
        <v>323</v>
      </c>
      <c r="M880" s="3">
        <v>407</v>
      </c>
      <c r="N880" s="4" t="s">
        <v>1370</v>
      </c>
      <c r="O880" s="3">
        <v>0</v>
      </c>
      <c r="P880" s="3"/>
      <c r="Q880" s="3" t="s">
        <v>272</v>
      </c>
      <c r="R880" s="3" t="s">
        <v>1419</v>
      </c>
      <c r="S880" s="3" t="s">
        <v>1419</v>
      </c>
      <c r="T880" s="3">
        <v>10</v>
      </c>
      <c r="U880" s="3">
        <v>0</v>
      </c>
      <c r="V880" s="6">
        <v>100</v>
      </c>
      <c r="W880" s="7"/>
      <c r="X880" s="3" t="s">
        <v>1418</v>
      </c>
      <c r="Y880" s="3" t="s">
        <v>252</v>
      </c>
    </row>
    <row r="881" spans="1:25" x14ac:dyDescent="0.15">
      <c r="A881" s="3">
        <v>407038</v>
      </c>
      <c r="B881" s="6" t="s">
        <v>1420</v>
      </c>
      <c r="C881" s="6">
        <v>0</v>
      </c>
      <c r="D881" s="3">
        <v>0</v>
      </c>
      <c r="E881" s="3">
        <v>0</v>
      </c>
      <c r="F881" s="3">
        <v>0</v>
      </c>
      <c r="G881" s="3">
        <v>0</v>
      </c>
      <c r="H881" s="3">
        <v>0</v>
      </c>
      <c r="I881" s="3">
        <v>0</v>
      </c>
      <c r="J881" s="4">
        <v>947</v>
      </c>
      <c r="K881" s="3">
        <v>4</v>
      </c>
      <c r="L881" s="3" t="s">
        <v>323</v>
      </c>
      <c r="M881" s="3">
        <v>407</v>
      </c>
      <c r="N881" s="4" t="s">
        <v>1370</v>
      </c>
      <c r="O881" s="3">
        <v>0</v>
      </c>
      <c r="P881" s="3"/>
      <c r="Q881" s="3" t="s">
        <v>272</v>
      </c>
      <c r="R881" s="3" t="s">
        <v>1421</v>
      </c>
      <c r="S881" s="3" t="s">
        <v>1421</v>
      </c>
      <c r="T881" s="3">
        <v>10</v>
      </c>
      <c r="U881" s="3">
        <v>0</v>
      </c>
      <c r="V881" s="6">
        <v>100</v>
      </c>
      <c r="W881" s="7"/>
      <c r="X881" s="3" t="s">
        <v>1420</v>
      </c>
      <c r="Y881" s="3" t="s">
        <v>252</v>
      </c>
    </row>
    <row r="882" spans="1:25" x14ac:dyDescent="0.15">
      <c r="A882" s="3">
        <v>407039</v>
      </c>
      <c r="B882" s="6" t="s">
        <v>1422</v>
      </c>
      <c r="C882" s="6">
        <v>0</v>
      </c>
      <c r="D882" s="3">
        <v>0</v>
      </c>
      <c r="E882" s="3">
        <v>0</v>
      </c>
      <c r="F882" s="3">
        <v>0</v>
      </c>
      <c r="G882" s="3">
        <v>0</v>
      </c>
      <c r="H882" s="3">
        <v>0</v>
      </c>
      <c r="I882" s="3">
        <v>0</v>
      </c>
      <c r="J882" s="4">
        <v>948</v>
      </c>
      <c r="K882" s="3">
        <v>4</v>
      </c>
      <c r="L882" s="3" t="s">
        <v>323</v>
      </c>
      <c r="M882" s="3">
        <v>407</v>
      </c>
      <c r="N882" s="4" t="s">
        <v>1370</v>
      </c>
      <c r="O882" s="3">
        <v>0</v>
      </c>
      <c r="P882" s="3"/>
      <c r="Q882" s="3" t="s">
        <v>272</v>
      </c>
      <c r="R882" s="3" t="s">
        <v>1423</v>
      </c>
      <c r="S882" s="3" t="s">
        <v>1423</v>
      </c>
      <c r="T882" s="3">
        <v>10</v>
      </c>
      <c r="U882" s="3">
        <v>0</v>
      </c>
      <c r="V882" s="6">
        <v>100</v>
      </c>
      <c r="W882" s="7"/>
      <c r="X882" s="3" t="s">
        <v>1422</v>
      </c>
      <c r="Y882" s="3" t="s">
        <v>252</v>
      </c>
    </row>
    <row r="883" spans="1:25" x14ac:dyDescent="0.15">
      <c r="A883" s="3">
        <v>407041</v>
      </c>
      <c r="B883" s="6" t="s">
        <v>1424</v>
      </c>
      <c r="C883" s="6">
        <v>0</v>
      </c>
      <c r="D883" s="3">
        <v>0</v>
      </c>
      <c r="E883" s="3">
        <v>0</v>
      </c>
      <c r="F883" s="3">
        <v>0</v>
      </c>
      <c r="G883" s="3">
        <v>0</v>
      </c>
      <c r="H883" s="3">
        <v>0</v>
      </c>
      <c r="I883" s="3">
        <v>0</v>
      </c>
      <c r="J883" s="4">
        <v>949</v>
      </c>
      <c r="K883" s="3">
        <v>4</v>
      </c>
      <c r="L883" s="3" t="s">
        <v>323</v>
      </c>
      <c r="M883" s="3">
        <v>407</v>
      </c>
      <c r="N883" s="4" t="s">
        <v>1370</v>
      </c>
      <c r="O883" s="3">
        <v>0</v>
      </c>
      <c r="P883" s="3"/>
      <c r="Q883" s="3" t="s">
        <v>272</v>
      </c>
      <c r="R883" s="3" t="s">
        <v>1425</v>
      </c>
      <c r="S883" s="3" t="s">
        <v>1425</v>
      </c>
      <c r="T883" s="3">
        <v>10</v>
      </c>
      <c r="U883" s="3">
        <v>0</v>
      </c>
      <c r="V883" s="6">
        <v>100</v>
      </c>
      <c r="W883" s="7"/>
      <c r="X883" s="3" t="s">
        <v>1424</v>
      </c>
      <c r="Y883" s="3" t="s">
        <v>252</v>
      </c>
    </row>
    <row r="884" spans="1:25" x14ac:dyDescent="0.15">
      <c r="A884" s="3">
        <v>407042</v>
      </c>
      <c r="B884" s="6" t="s">
        <v>1426</v>
      </c>
      <c r="C884" s="6">
        <v>0</v>
      </c>
      <c r="D884" s="3">
        <v>0</v>
      </c>
      <c r="E884" s="3">
        <v>0</v>
      </c>
      <c r="F884" s="3">
        <v>0</v>
      </c>
      <c r="G884" s="3">
        <v>0</v>
      </c>
      <c r="H884" s="3">
        <v>0</v>
      </c>
      <c r="I884" s="3">
        <v>0</v>
      </c>
      <c r="J884" s="4">
        <v>950</v>
      </c>
      <c r="K884" s="3">
        <v>4</v>
      </c>
      <c r="L884" s="3" t="s">
        <v>323</v>
      </c>
      <c r="M884" s="3">
        <v>407</v>
      </c>
      <c r="N884" s="4" t="s">
        <v>1370</v>
      </c>
      <c r="O884" s="3">
        <v>0</v>
      </c>
      <c r="P884" s="3"/>
      <c r="Q884" s="3" t="s">
        <v>272</v>
      </c>
      <c r="R884" s="3" t="s">
        <v>1427</v>
      </c>
      <c r="S884" s="3" t="s">
        <v>1427</v>
      </c>
      <c r="T884" s="3">
        <v>10</v>
      </c>
      <c r="U884" s="3">
        <v>0</v>
      </c>
      <c r="V884" s="6">
        <v>100</v>
      </c>
      <c r="W884" s="7"/>
      <c r="X884" s="3" t="s">
        <v>1426</v>
      </c>
      <c r="Y884" s="3" t="s">
        <v>252</v>
      </c>
    </row>
    <row r="885" spans="1:25" x14ac:dyDescent="0.15">
      <c r="A885" s="3">
        <v>407043</v>
      </c>
      <c r="B885" s="6" t="s">
        <v>1428</v>
      </c>
      <c r="C885" s="6">
        <v>0</v>
      </c>
      <c r="D885" s="3">
        <v>0</v>
      </c>
      <c r="E885" s="3">
        <v>0</v>
      </c>
      <c r="F885" s="3">
        <v>0</v>
      </c>
      <c r="G885" s="3">
        <v>0</v>
      </c>
      <c r="H885" s="3">
        <v>0</v>
      </c>
      <c r="I885" s="3">
        <v>0</v>
      </c>
      <c r="J885" s="4">
        <v>951</v>
      </c>
      <c r="K885" s="3">
        <v>4</v>
      </c>
      <c r="L885" s="3" t="s">
        <v>323</v>
      </c>
      <c r="M885" s="3">
        <v>407</v>
      </c>
      <c r="N885" s="4" t="s">
        <v>1370</v>
      </c>
      <c r="O885" s="3">
        <v>0</v>
      </c>
      <c r="P885" s="3"/>
      <c r="Q885" s="3" t="s">
        <v>272</v>
      </c>
      <c r="R885" s="3" t="s">
        <v>1429</v>
      </c>
      <c r="S885" s="3" t="s">
        <v>1429</v>
      </c>
      <c r="T885" s="3">
        <v>10</v>
      </c>
      <c r="U885" s="3">
        <v>0</v>
      </c>
      <c r="V885" s="6">
        <v>100</v>
      </c>
      <c r="W885" s="7"/>
      <c r="X885" s="3" t="s">
        <v>1428</v>
      </c>
      <c r="Y885" s="3" t="s">
        <v>252</v>
      </c>
    </row>
    <row r="886" spans="1:25" x14ac:dyDescent="0.15">
      <c r="A886" s="3">
        <v>407044</v>
      </c>
      <c r="B886" s="6" t="s">
        <v>1430</v>
      </c>
      <c r="C886" s="6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4">
        <v>952</v>
      </c>
      <c r="K886" s="3">
        <v>4</v>
      </c>
      <c r="L886" s="3" t="s">
        <v>323</v>
      </c>
      <c r="M886" s="3">
        <v>407</v>
      </c>
      <c r="N886" s="4" t="s">
        <v>1370</v>
      </c>
      <c r="O886" s="3">
        <v>0</v>
      </c>
      <c r="P886" s="3"/>
      <c r="Q886" s="3" t="s">
        <v>272</v>
      </c>
      <c r="R886" s="3" t="s">
        <v>1431</v>
      </c>
      <c r="S886" s="3" t="s">
        <v>1431</v>
      </c>
      <c r="T886" s="3">
        <v>10</v>
      </c>
      <c r="U886" s="3">
        <v>0</v>
      </c>
      <c r="V886" s="6">
        <v>100</v>
      </c>
      <c r="W886" s="7"/>
      <c r="X886" s="3" t="s">
        <v>1430</v>
      </c>
      <c r="Y886" s="3" t="s">
        <v>252</v>
      </c>
    </row>
    <row r="887" spans="1:25" x14ac:dyDescent="0.15">
      <c r="A887" s="3">
        <v>407045</v>
      </c>
      <c r="B887" s="6" t="s">
        <v>1432</v>
      </c>
      <c r="C887" s="6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4">
        <v>953</v>
      </c>
      <c r="K887" s="3">
        <v>4</v>
      </c>
      <c r="L887" s="3" t="s">
        <v>323</v>
      </c>
      <c r="M887" s="3">
        <v>407</v>
      </c>
      <c r="N887" s="4" t="s">
        <v>1370</v>
      </c>
      <c r="O887" s="3">
        <v>0</v>
      </c>
      <c r="P887" s="3"/>
      <c r="Q887" s="3" t="s">
        <v>272</v>
      </c>
      <c r="R887" s="3" t="s">
        <v>1433</v>
      </c>
      <c r="S887" s="3" t="s">
        <v>1433</v>
      </c>
      <c r="T887" s="3">
        <v>10</v>
      </c>
      <c r="U887" s="3">
        <v>0</v>
      </c>
      <c r="V887" s="6">
        <v>100</v>
      </c>
      <c r="W887" s="7"/>
      <c r="X887" s="3" t="s">
        <v>1432</v>
      </c>
      <c r="Y887" s="3" t="s">
        <v>252</v>
      </c>
    </row>
    <row r="888" spans="1:25" x14ac:dyDescent="0.15">
      <c r="A888" s="3">
        <v>407046</v>
      </c>
      <c r="B888" s="6" t="s">
        <v>1434</v>
      </c>
      <c r="C888" s="6">
        <v>0</v>
      </c>
      <c r="D888" s="3">
        <v>0</v>
      </c>
      <c r="E888" s="3">
        <v>0</v>
      </c>
      <c r="F888" s="3">
        <v>0</v>
      </c>
      <c r="G888" s="3">
        <v>0</v>
      </c>
      <c r="H888" s="3">
        <v>0</v>
      </c>
      <c r="I888" s="3">
        <v>0</v>
      </c>
      <c r="J888" s="4">
        <v>954</v>
      </c>
      <c r="K888" s="3">
        <v>4</v>
      </c>
      <c r="L888" s="3" t="s">
        <v>323</v>
      </c>
      <c r="M888" s="3">
        <v>407</v>
      </c>
      <c r="N888" s="4" t="s">
        <v>1370</v>
      </c>
      <c r="O888" s="3">
        <v>0</v>
      </c>
      <c r="P888" s="3"/>
      <c r="Q888" s="3" t="s">
        <v>272</v>
      </c>
      <c r="R888" s="3" t="s">
        <v>1435</v>
      </c>
      <c r="S888" s="3" t="s">
        <v>1435</v>
      </c>
      <c r="T888" s="3">
        <v>10</v>
      </c>
      <c r="U888" s="3">
        <v>0</v>
      </c>
      <c r="V888" s="6">
        <v>100</v>
      </c>
      <c r="W888" s="7"/>
      <c r="X888" s="3" t="s">
        <v>1434</v>
      </c>
      <c r="Y888" s="3" t="s">
        <v>252</v>
      </c>
    </row>
    <row r="889" spans="1:25" x14ac:dyDescent="0.15">
      <c r="A889" s="3">
        <v>407047</v>
      </c>
      <c r="B889" s="6" t="s">
        <v>1436</v>
      </c>
      <c r="C889" s="6">
        <v>0</v>
      </c>
      <c r="D889" s="3">
        <v>0</v>
      </c>
      <c r="E889" s="3">
        <v>0</v>
      </c>
      <c r="F889" s="3">
        <v>0</v>
      </c>
      <c r="G889" s="3">
        <v>0</v>
      </c>
      <c r="H889" s="3">
        <v>0</v>
      </c>
      <c r="I889" s="3">
        <v>0</v>
      </c>
      <c r="J889" s="4">
        <v>955</v>
      </c>
      <c r="K889" s="3">
        <v>4</v>
      </c>
      <c r="L889" s="3" t="s">
        <v>323</v>
      </c>
      <c r="M889" s="3">
        <v>407</v>
      </c>
      <c r="N889" s="4" t="s">
        <v>1370</v>
      </c>
      <c r="O889" s="3">
        <v>0</v>
      </c>
      <c r="P889" s="3"/>
      <c r="Q889" s="3" t="s">
        <v>272</v>
      </c>
      <c r="R889" s="3" t="s">
        <v>1437</v>
      </c>
      <c r="S889" s="3" t="s">
        <v>1437</v>
      </c>
      <c r="T889" s="3">
        <v>10</v>
      </c>
      <c r="U889" s="3">
        <v>0</v>
      </c>
      <c r="V889" s="6">
        <v>100</v>
      </c>
      <c r="W889" s="7"/>
      <c r="X889" s="3" t="s">
        <v>1436</v>
      </c>
      <c r="Y889" s="3" t="s">
        <v>252</v>
      </c>
    </row>
    <row r="890" spans="1:25" x14ac:dyDescent="0.15">
      <c r="A890" s="3">
        <v>407048</v>
      </c>
      <c r="B890" s="6" t="s">
        <v>1438</v>
      </c>
      <c r="C890" s="6">
        <v>0</v>
      </c>
      <c r="D890" s="3">
        <v>0</v>
      </c>
      <c r="E890" s="3">
        <v>0</v>
      </c>
      <c r="F890" s="3">
        <v>0</v>
      </c>
      <c r="G890" s="3">
        <v>0</v>
      </c>
      <c r="H890" s="3">
        <v>0</v>
      </c>
      <c r="I890" s="3">
        <v>0</v>
      </c>
      <c r="J890" s="4">
        <v>956</v>
      </c>
      <c r="K890" s="3">
        <v>4</v>
      </c>
      <c r="L890" s="3" t="s">
        <v>323</v>
      </c>
      <c r="M890" s="3">
        <v>407</v>
      </c>
      <c r="N890" s="4" t="s">
        <v>1370</v>
      </c>
      <c r="O890" s="3">
        <v>0</v>
      </c>
      <c r="P890" s="3"/>
      <c r="Q890" s="3" t="s">
        <v>272</v>
      </c>
      <c r="R890" s="3" t="s">
        <v>1439</v>
      </c>
      <c r="S890" s="3" t="s">
        <v>1439</v>
      </c>
      <c r="T890" s="3">
        <v>10</v>
      </c>
      <c r="U890" s="3">
        <v>0</v>
      </c>
      <c r="V890" s="6">
        <v>100</v>
      </c>
      <c r="W890" s="7"/>
      <c r="X890" s="3" t="s">
        <v>1438</v>
      </c>
      <c r="Y890" s="3" t="s">
        <v>252</v>
      </c>
    </row>
    <row r="891" spans="1:25" x14ac:dyDescent="0.15">
      <c r="A891" s="3">
        <v>407049</v>
      </c>
      <c r="B891" s="6" t="s">
        <v>1440</v>
      </c>
      <c r="C891" s="6">
        <v>0</v>
      </c>
      <c r="D891" s="3">
        <v>0</v>
      </c>
      <c r="E891" s="3">
        <v>0</v>
      </c>
      <c r="F891" s="3">
        <v>0</v>
      </c>
      <c r="G891" s="3">
        <v>0</v>
      </c>
      <c r="H891" s="3">
        <v>0</v>
      </c>
      <c r="I891" s="3">
        <v>0</v>
      </c>
      <c r="J891" s="4">
        <v>957</v>
      </c>
      <c r="K891" s="3">
        <v>4</v>
      </c>
      <c r="L891" s="3" t="s">
        <v>323</v>
      </c>
      <c r="M891" s="3">
        <v>407</v>
      </c>
      <c r="N891" s="4" t="s">
        <v>1370</v>
      </c>
      <c r="O891" s="3">
        <v>0</v>
      </c>
      <c r="P891" s="3"/>
      <c r="Q891" s="3" t="s">
        <v>272</v>
      </c>
      <c r="R891" s="3" t="s">
        <v>1441</v>
      </c>
      <c r="S891" s="3" t="s">
        <v>1441</v>
      </c>
      <c r="T891" s="3">
        <v>10</v>
      </c>
      <c r="U891" s="3">
        <v>0</v>
      </c>
      <c r="V891" s="6">
        <v>100</v>
      </c>
      <c r="W891" s="7"/>
      <c r="X891" s="3" t="s">
        <v>1440</v>
      </c>
      <c r="Y891" s="3" t="s">
        <v>252</v>
      </c>
    </row>
    <row r="892" spans="1:25" x14ac:dyDescent="0.15">
      <c r="A892" s="3">
        <v>407051</v>
      </c>
      <c r="B892" s="6" t="s">
        <v>1442</v>
      </c>
      <c r="C892" s="6">
        <v>0</v>
      </c>
      <c r="D892" s="3">
        <v>0</v>
      </c>
      <c r="E892" s="3">
        <v>0</v>
      </c>
      <c r="F892" s="3">
        <v>0</v>
      </c>
      <c r="G892" s="3">
        <v>0</v>
      </c>
      <c r="H892" s="3">
        <v>0</v>
      </c>
      <c r="I892" s="3">
        <v>0</v>
      </c>
      <c r="J892" s="4">
        <v>958</v>
      </c>
      <c r="K892" s="3">
        <v>4</v>
      </c>
      <c r="L892" s="3" t="s">
        <v>323</v>
      </c>
      <c r="M892" s="3">
        <v>407</v>
      </c>
      <c r="N892" s="4" t="s">
        <v>1370</v>
      </c>
      <c r="O892" s="3">
        <v>0</v>
      </c>
      <c r="P892" s="3"/>
      <c r="Q892" s="3" t="s">
        <v>272</v>
      </c>
      <c r="R892" s="3" t="s">
        <v>1443</v>
      </c>
      <c r="S892" s="3" t="s">
        <v>1443</v>
      </c>
      <c r="T892" s="3">
        <v>10</v>
      </c>
      <c r="U892" s="3">
        <v>0</v>
      </c>
      <c r="V892" s="6">
        <v>100</v>
      </c>
      <c r="W892" s="7"/>
      <c r="X892" s="3" t="s">
        <v>1442</v>
      </c>
      <c r="Y892" s="3" t="s">
        <v>252</v>
      </c>
    </row>
    <row r="893" spans="1:25" x14ac:dyDescent="0.15">
      <c r="A893" s="3">
        <v>407052</v>
      </c>
      <c r="B893" s="6" t="s">
        <v>1444</v>
      </c>
      <c r="C893" s="6">
        <v>0</v>
      </c>
      <c r="D893" s="3">
        <v>0</v>
      </c>
      <c r="E893" s="3">
        <v>0</v>
      </c>
      <c r="F893" s="3">
        <v>0</v>
      </c>
      <c r="G893" s="3">
        <v>0</v>
      </c>
      <c r="H893" s="3">
        <v>0</v>
      </c>
      <c r="I893" s="3">
        <v>0</v>
      </c>
      <c r="J893" s="4">
        <v>959</v>
      </c>
      <c r="K893" s="3">
        <v>4</v>
      </c>
      <c r="L893" s="3" t="s">
        <v>323</v>
      </c>
      <c r="M893" s="3">
        <v>407</v>
      </c>
      <c r="N893" s="4" t="s">
        <v>1370</v>
      </c>
      <c r="O893" s="3">
        <v>0</v>
      </c>
      <c r="P893" s="3"/>
      <c r="Q893" s="3" t="s">
        <v>272</v>
      </c>
      <c r="R893" s="3" t="s">
        <v>1445</v>
      </c>
      <c r="S893" s="3" t="s">
        <v>1445</v>
      </c>
      <c r="T893" s="3">
        <v>10</v>
      </c>
      <c r="U893" s="3">
        <v>0</v>
      </c>
      <c r="V893" s="6">
        <v>100</v>
      </c>
      <c r="W893" s="7"/>
      <c r="X893" s="3" t="s">
        <v>1444</v>
      </c>
      <c r="Y893" s="3" t="s">
        <v>252</v>
      </c>
    </row>
    <row r="894" spans="1:25" x14ac:dyDescent="0.15">
      <c r="A894" s="3">
        <v>407053</v>
      </c>
      <c r="B894" s="6" t="s">
        <v>1446</v>
      </c>
      <c r="C894" s="6">
        <v>0</v>
      </c>
      <c r="D894" s="3">
        <v>0</v>
      </c>
      <c r="E894" s="3">
        <v>0</v>
      </c>
      <c r="F894" s="3">
        <v>0</v>
      </c>
      <c r="G894" s="3">
        <v>0</v>
      </c>
      <c r="H894" s="3">
        <v>0</v>
      </c>
      <c r="I894" s="3">
        <v>0</v>
      </c>
      <c r="J894" s="4">
        <v>960</v>
      </c>
      <c r="K894" s="3">
        <v>4</v>
      </c>
      <c r="L894" s="3" t="s">
        <v>323</v>
      </c>
      <c r="M894" s="3">
        <v>407</v>
      </c>
      <c r="N894" s="4" t="s">
        <v>1370</v>
      </c>
      <c r="O894" s="3">
        <v>0</v>
      </c>
      <c r="P894" s="3"/>
      <c r="Q894" s="3" t="s">
        <v>272</v>
      </c>
      <c r="R894" s="3" t="s">
        <v>1447</v>
      </c>
      <c r="S894" s="3" t="s">
        <v>1447</v>
      </c>
      <c r="T894" s="3">
        <v>10</v>
      </c>
      <c r="U894" s="3">
        <v>0</v>
      </c>
      <c r="V894" s="6">
        <v>100</v>
      </c>
      <c r="W894" s="7"/>
      <c r="X894" s="3" t="s">
        <v>1446</v>
      </c>
      <c r="Y894" s="3" t="s">
        <v>252</v>
      </c>
    </row>
    <row r="895" spans="1:25" x14ac:dyDescent="0.15">
      <c r="A895" s="3">
        <v>407054</v>
      </c>
      <c r="B895" s="6" t="s">
        <v>1448</v>
      </c>
      <c r="C895" s="6">
        <v>0</v>
      </c>
      <c r="D895" s="3">
        <v>0</v>
      </c>
      <c r="E895" s="3">
        <v>0</v>
      </c>
      <c r="F895" s="3">
        <v>0</v>
      </c>
      <c r="G895" s="3">
        <v>0</v>
      </c>
      <c r="H895" s="3">
        <v>0</v>
      </c>
      <c r="I895" s="3">
        <v>0</v>
      </c>
      <c r="J895" s="4">
        <v>961</v>
      </c>
      <c r="K895" s="3">
        <v>4</v>
      </c>
      <c r="L895" s="3" t="s">
        <v>323</v>
      </c>
      <c r="M895" s="3">
        <v>407</v>
      </c>
      <c r="N895" s="4" t="s">
        <v>1370</v>
      </c>
      <c r="O895" s="3">
        <v>0</v>
      </c>
      <c r="P895" s="3"/>
      <c r="Q895" s="3" t="s">
        <v>272</v>
      </c>
      <c r="R895" s="3" t="s">
        <v>1449</v>
      </c>
      <c r="S895" s="3" t="s">
        <v>1449</v>
      </c>
      <c r="T895" s="3">
        <v>10</v>
      </c>
      <c r="U895" s="3">
        <v>0</v>
      </c>
      <c r="V895" s="6">
        <v>100</v>
      </c>
      <c r="W895" s="7"/>
      <c r="X895" s="3" t="s">
        <v>1448</v>
      </c>
      <c r="Y895" s="3" t="s">
        <v>252</v>
      </c>
    </row>
    <row r="896" spans="1:25" x14ac:dyDescent="0.15">
      <c r="A896" s="3">
        <v>407055</v>
      </c>
      <c r="B896" s="6" t="s">
        <v>1450</v>
      </c>
      <c r="C896" s="6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0</v>
      </c>
      <c r="J896" s="4">
        <v>962</v>
      </c>
      <c r="K896" s="3">
        <v>4</v>
      </c>
      <c r="L896" s="3" t="s">
        <v>323</v>
      </c>
      <c r="M896" s="3">
        <v>407</v>
      </c>
      <c r="N896" s="4" t="s">
        <v>1370</v>
      </c>
      <c r="O896" s="3">
        <v>0</v>
      </c>
      <c r="P896" s="3"/>
      <c r="Q896" s="3" t="s">
        <v>272</v>
      </c>
      <c r="R896" s="3" t="s">
        <v>1451</v>
      </c>
      <c r="S896" s="3" t="s">
        <v>1451</v>
      </c>
      <c r="T896" s="3">
        <v>10</v>
      </c>
      <c r="U896" s="3">
        <v>0</v>
      </c>
      <c r="V896" s="6">
        <v>100</v>
      </c>
      <c r="W896" s="7"/>
      <c r="X896" s="3" t="s">
        <v>1450</v>
      </c>
      <c r="Y896" s="3" t="s">
        <v>252</v>
      </c>
    </row>
    <row r="897" spans="1:25" x14ac:dyDescent="0.15">
      <c r="A897" s="3">
        <v>407056</v>
      </c>
      <c r="B897" s="6" t="s">
        <v>1452</v>
      </c>
      <c r="C897" s="6">
        <v>0</v>
      </c>
      <c r="D897" s="3">
        <v>0</v>
      </c>
      <c r="E897" s="3">
        <v>0</v>
      </c>
      <c r="F897" s="3">
        <v>0</v>
      </c>
      <c r="G897" s="3">
        <v>0</v>
      </c>
      <c r="H897" s="3">
        <v>0</v>
      </c>
      <c r="I897" s="3">
        <v>0</v>
      </c>
      <c r="J897" s="4">
        <v>963</v>
      </c>
      <c r="K897" s="3">
        <v>4</v>
      </c>
      <c r="L897" s="3" t="s">
        <v>323</v>
      </c>
      <c r="M897" s="3">
        <v>407</v>
      </c>
      <c r="N897" s="4" t="s">
        <v>1370</v>
      </c>
      <c r="O897" s="3">
        <v>0</v>
      </c>
      <c r="P897" s="3"/>
      <c r="Q897" s="3" t="s">
        <v>272</v>
      </c>
      <c r="R897" s="3" t="s">
        <v>1453</v>
      </c>
      <c r="S897" s="3" t="s">
        <v>1453</v>
      </c>
      <c r="T897" s="3">
        <v>10</v>
      </c>
      <c r="U897" s="3">
        <v>0</v>
      </c>
      <c r="V897" s="6">
        <v>100</v>
      </c>
      <c r="W897" s="7"/>
      <c r="X897" s="3" t="s">
        <v>1452</v>
      </c>
      <c r="Y897" s="3" t="s">
        <v>252</v>
      </c>
    </row>
    <row r="898" spans="1:25" x14ac:dyDescent="0.15">
      <c r="A898" s="3">
        <v>407057</v>
      </c>
      <c r="B898" s="6" t="s">
        <v>1454</v>
      </c>
      <c r="C898" s="6">
        <v>0</v>
      </c>
      <c r="D898" s="3">
        <v>0</v>
      </c>
      <c r="E898" s="3">
        <v>0</v>
      </c>
      <c r="F898" s="3">
        <v>0</v>
      </c>
      <c r="G898" s="3">
        <v>0</v>
      </c>
      <c r="H898" s="3">
        <v>0</v>
      </c>
      <c r="I898" s="3">
        <v>0</v>
      </c>
      <c r="J898" s="4">
        <v>964</v>
      </c>
      <c r="K898" s="3">
        <v>4</v>
      </c>
      <c r="L898" s="3" t="s">
        <v>323</v>
      </c>
      <c r="M898" s="3">
        <v>407</v>
      </c>
      <c r="N898" s="4" t="s">
        <v>1370</v>
      </c>
      <c r="O898" s="3">
        <v>0</v>
      </c>
      <c r="P898" s="3"/>
      <c r="Q898" s="3" t="s">
        <v>272</v>
      </c>
      <c r="R898" s="3" t="s">
        <v>1455</v>
      </c>
      <c r="S898" s="3" t="s">
        <v>1455</v>
      </c>
      <c r="T898" s="3">
        <v>10</v>
      </c>
      <c r="U898" s="3">
        <v>0</v>
      </c>
      <c r="V898" s="6">
        <v>100</v>
      </c>
      <c r="W898" s="7"/>
      <c r="X898" s="3" t="s">
        <v>1454</v>
      </c>
      <c r="Y898" s="3" t="s">
        <v>252</v>
      </c>
    </row>
    <row r="899" spans="1:25" x14ac:dyDescent="0.15">
      <c r="A899" s="3">
        <v>407058</v>
      </c>
      <c r="B899" s="6" t="s">
        <v>1456</v>
      </c>
      <c r="C899" s="6">
        <v>0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4">
        <v>965</v>
      </c>
      <c r="K899" s="3">
        <v>4</v>
      </c>
      <c r="L899" s="3" t="s">
        <v>323</v>
      </c>
      <c r="M899" s="3">
        <v>407</v>
      </c>
      <c r="N899" s="4" t="s">
        <v>1370</v>
      </c>
      <c r="O899" s="3">
        <v>0</v>
      </c>
      <c r="P899" s="3"/>
      <c r="Q899" s="3" t="s">
        <v>272</v>
      </c>
      <c r="R899" s="3" t="s">
        <v>1457</v>
      </c>
      <c r="S899" s="3" t="s">
        <v>1457</v>
      </c>
      <c r="T899" s="3">
        <v>10</v>
      </c>
      <c r="U899" s="3">
        <v>0</v>
      </c>
      <c r="V899" s="6">
        <v>100</v>
      </c>
      <c r="W899" s="7"/>
      <c r="X899" s="3" t="s">
        <v>1456</v>
      </c>
      <c r="Y899" s="3" t="s">
        <v>252</v>
      </c>
    </row>
    <row r="900" spans="1:25" x14ac:dyDescent="0.15">
      <c r="A900" s="3">
        <v>407059</v>
      </c>
      <c r="B900" s="6" t="s">
        <v>1458</v>
      </c>
      <c r="C900" s="6">
        <v>0</v>
      </c>
      <c r="D900" s="3">
        <v>0</v>
      </c>
      <c r="E900" s="3">
        <v>0</v>
      </c>
      <c r="F900" s="3">
        <v>0</v>
      </c>
      <c r="G900" s="3">
        <v>0</v>
      </c>
      <c r="H900" s="3">
        <v>0</v>
      </c>
      <c r="I900" s="3">
        <v>0</v>
      </c>
      <c r="J900" s="4">
        <v>966</v>
      </c>
      <c r="K900" s="3">
        <v>4</v>
      </c>
      <c r="L900" s="3" t="s">
        <v>323</v>
      </c>
      <c r="M900" s="3">
        <v>407</v>
      </c>
      <c r="N900" s="4" t="s">
        <v>1370</v>
      </c>
      <c r="O900" s="3">
        <v>0</v>
      </c>
      <c r="P900" s="3"/>
      <c r="Q900" s="3" t="s">
        <v>272</v>
      </c>
      <c r="R900" s="3" t="s">
        <v>1459</v>
      </c>
      <c r="S900" s="3" t="s">
        <v>1459</v>
      </c>
      <c r="T900" s="3">
        <v>10</v>
      </c>
      <c r="U900" s="3">
        <v>0</v>
      </c>
      <c r="V900" s="6">
        <v>100</v>
      </c>
      <c r="W900" s="7"/>
      <c r="X900" s="3" t="s">
        <v>1458</v>
      </c>
      <c r="Y900" s="3" t="s">
        <v>252</v>
      </c>
    </row>
    <row r="901" spans="1:25" x14ac:dyDescent="0.15">
      <c r="A901" s="3">
        <v>407061</v>
      </c>
      <c r="B901" s="6" t="s">
        <v>1460</v>
      </c>
      <c r="C901" s="6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4">
        <v>967</v>
      </c>
      <c r="K901" s="3">
        <v>4</v>
      </c>
      <c r="L901" s="3" t="s">
        <v>323</v>
      </c>
      <c r="M901" s="3">
        <v>407</v>
      </c>
      <c r="N901" s="4" t="s">
        <v>1370</v>
      </c>
      <c r="O901" s="3">
        <v>0</v>
      </c>
      <c r="P901" s="3"/>
      <c r="Q901" s="3" t="s">
        <v>272</v>
      </c>
      <c r="R901" s="3" t="s">
        <v>1461</v>
      </c>
      <c r="S901" s="3" t="s">
        <v>1461</v>
      </c>
      <c r="T901" s="3">
        <v>10</v>
      </c>
      <c r="U901" s="3">
        <v>0</v>
      </c>
      <c r="V901" s="6">
        <v>100</v>
      </c>
      <c r="W901" s="7"/>
      <c r="X901" s="3" t="s">
        <v>1460</v>
      </c>
      <c r="Y901" s="3" t="s">
        <v>252</v>
      </c>
    </row>
    <row r="902" spans="1:25" x14ac:dyDescent="0.15">
      <c r="A902" s="3">
        <v>407062</v>
      </c>
      <c r="B902" s="6" t="s">
        <v>1462</v>
      </c>
      <c r="C902" s="6">
        <v>0</v>
      </c>
      <c r="D902" s="3">
        <v>0</v>
      </c>
      <c r="E902" s="3">
        <v>0</v>
      </c>
      <c r="F902" s="3">
        <v>0</v>
      </c>
      <c r="G902" s="3">
        <v>0</v>
      </c>
      <c r="H902" s="3">
        <v>0</v>
      </c>
      <c r="I902" s="3">
        <v>0</v>
      </c>
      <c r="J902" s="4">
        <v>968</v>
      </c>
      <c r="K902" s="3">
        <v>4</v>
      </c>
      <c r="L902" s="3" t="s">
        <v>323</v>
      </c>
      <c r="M902" s="3">
        <v>407</v>
      </c>
      <c r="N902" s="4" t="s">
        <v>1370</v>
      </c>
      <c r="O902" s="3">
        <v>0</v>
      </c>
      <c r="P902" s="3"/>
      <c r="Q902" s="3" t="s">
        <v>272</v>
      </c>
      <c r="R902" s="3" t="s">
        <v>1463</v>
      </c>
      <c r="S902" s="3" t="s">
        <v>1463</v>
      </c>
      <c r="T902" s="3">
        <v>10</v>
      </c>
      <c r="U902" s="3">
        <v>0</v>
      </c>
      <c r="V902" s="6">
        <v>100</v>
      </c>
      <c r="W902" s="7"/>
      <c r="X902" s="3" t="s">
        <v>1462</v>
      </c>
      <c r="Y902" s="3" t="s">
        <v>252</v>
      </c>
    </row>
    <row r="903" spans="1:25" x14ac:dyDescent="0.15">
      <c r="A903" s="3">
        <v>407063</v>
      </c>
      <c r="B903" s="6" t="s">
        <v>1464</v>
      </c>
      <c r="C903" s="6">
        <v>0</v>
      </c>
      <c r="D903" s="3">
        <v>0</v>
      </c>
      <c r="E903" s="3">
        <v>0</v>
      </c>
      <c r="F903" s="3">
        <v>0</v>
      </c>
      <c r="G903" s="3">
        <v>0</v>
      </c>
      <c r="H903" s="3">
        <v>0</v>
      </c>
      <c r="I903" s="3">
        <v>0</v>
      </c>
      <c r="J903" s="4">
        <v>969</v>
      </c>
      <c r="K903" s="3">
        <v>4</v>
      </c>
      <c r="L903" s="3" t="s">
        <v>323</v>
      </c>
      <c r="M903" s="3">
        <v>407</v>
      </c>
      <c r="N903" s="4" t="s">
        <v>1370</v>
      </c>
      <c r="O903" s="3">
        <v>0</v>
      </c>
      <c r="P903" s="3"/>
      <c r="Q903" s="3" t="s">
        <v>272</v>
      </c>
      <c r="R903" s="3" t="s">
        <v>1465</v>
      </c>
      <c r="S903" s="3" t="s">
        <v>1465</v>
      </c>
      <c r="T903" s="3">
        <v>10</v>
      </c>
      <c r="U903" s="3">
        <v>0</v>
      </c>
      <c r="V903" s="6">
        <v>100</v>
      </c>
      <c r="W903" s="7"/>
      <c r="X903" s="3" t="s">
        <v>1464</v>
      </c>
      <c r="Y903" s="3" t="s">
        <v>252</v>
      </c>
    </row>
    <row r="904" spans="1:25" x14ac:dyDescent="0.15">
      <c r="A904" s="3">
        <v>407064</v>
      </c>
      <c r="B904" s="6" t="s">
        <v>1466</v>
      </c>
      <c r="C904" s="6">
        <v>0</v>
      </c>
      <c r="D904" s="3">
        <v>0</v>
      </c>
      <c r="E904" s="3">
        <v>0</v>
      </c>
      <c r="F904" s="3">
        <v>0</v>
      </c>
      <c r="G904" s="3">
        <v>0</v>
      </c>
      <c r="H904" s="3">
        <v>0</v>
      </c>
      <c r="I904" s="3">
        <v>0</v>
      </c>
      <c r="J904" s="4">
        <v>970</v>
      </c>
      <c r="K904" s="3">
        <v>4</v>
      </c>
      <c r="L904" s="3" t="s">
        <v>323</v>
      </c>
      <c r="M904" s="3">
        <v>407</v>
      </c>
      <c r="N904" s="4" t="s">
        <v>1370</v>
      </c>
      <c r="O904" s="3">
        <v>0</v>
      </c>
      <c r="P904" s="3"/>
      <c r="Q904" s="3" t="s">
        <v>272</v>
      </c>
      <c r="R904" s="3" t="s">
        <v>1467</v>
      </c>
      <c r="S904" s="3" t="s">
        <v>1467</v>
      </c>
      <c r="T904" s="3">
        <v>10</v>
      </c>
      <c r="U904" s="3">
        <v>0</v>
      </c>
      <c r="V904" s="6">
        <v>100</v>
      </c>
      <c r="W904" s="7"/>
      <c r="X904" s="3" t="s">
        <v>1466</v>
      </c>
      <c r="Y904" s="3" t="s">
        <v>252</v>
      </c>
    </row>
    <row r="905" spans="1:25" x14ac:dyDescent="0.15">
      <c r="A905" s="3">
        <v>407065</v>
      </c>
      <c r="B905" s="6" t="s">
        <v>1468</v>
      </c>
      <c r="C905" s="6">
        <v>0</v>
      </c>
      <c r="D905" s="3">
        <v>0</v>
      </c>
      <c r="E905" s="3">
        <v>0</v>
      </c>
      <c r="F905" s="3">
        <v>0</v>
      </c>
      <c r="G905" s="3">
        <v>0</v>
      </c>
      <c r="H905" s="3">
        <v>0</v>
      </c>
      <c r="I905" s="3">
        <v>0</v>
      </c>
      <c r="J905" s="4">
        <v>971</v>
      </c>
      <c r="K905" s="3">
        <v>4</v>
      </c>
      <c r="L905" s="3" t="s">
        <v>323</v>
      </c>
      <c r="M905" s="3">
        <v>407</v>
      </c>
      <c r="N905" s="4" t="s">
        <v>1370</v>
      </c>
      <c r="O905" s="3">
        <v>0</v>
      </c>
      <c r="P905" s="3"/>
      <c r="Q905" s="3" t="s">
        <v>272</v>
      </c>
      <c r="R905" s="3" t="s">
        <v>1469</v>
      </c>
      <c r="S905" s="3" t="s">
        <v>1469</v>
      </c>
      <c r="T905" s="3">
        <v>10</v>
      </c>
      <c r="U905" s="3">
        <v>0</v>
      </c>
      <c r="V905" s="6">
        <v>100</v>
      </c>
      <c r="W905" s="7"/>
      <c r="X905" s="3" t="s">
        <v>1468</v>
      </c>
      <c r="Y905" s="3" t="s">
        <v>252</v>
      </c>
    </row>
    <row r="906" spans="1:25" x14ac:dyDescent="0.15">
      <c r="A906" s="3">
        <v>407066</v>
      </c>
      <c r="B906" s="6" t="s">
        <v>1470</v>
      </c>
      <c r="C906" s="6">
        <v>0</v>
      </c>
      <c r="D906" s="3">
        <v>0</v>
      </c>
      <c r="E906" s="3">
        <v>0</v>
      </c>
      <c r="F906" s="3">
        <v>0</v>
      </c>
      <c r="G906" s="3">
        <v>0</v>
      </c>
      <c r="H906" s="3">
        <v>0</v>
      </c>
      <c r="I906" s="3">
        <v>0</v>
      </c>
      <c r="J906" s="4">
        <v>972</v>
      </c>
      <c r="K906" s="3">
        <v>4</v>
      </c>
      <c r="L906" s="3" t="s">
        <v>323</v>
      </c>
      <c r="M906" s="3">
        <v>407</v>
      </c>
      <c r="N906" s="4" t="s">
        <v>1370</v>
      </c>
      <c r="O906" s="3">
        <v>0</v>
      </c>
      <c r="P906" s="3"/>
      <c r="Q906" s="3" t="s">
        <v>272</v>
      </c>
      <c r="R906" s="3" t="s">
        <v>1471</v>
      </c>
      <c r="S906" s="3" t="s">
        <v>1471</v>
      </c>
      <c r="T906" s="3">
        <v>10</v>
      </c>
      <c r="U906" s="3">
        <v>0</v>
      </c>
      <c r="V906" s="6">
        <v>100</v>
      </c>
      <c r="W906" s="7"/>
      <c r="X906" s="3" t="s">
        <v>1470</v>
      </c>
      <c r="Y906" s="3" t="s">
        <v>252</v>
      </c>
    </row>
    <row r="907" spans="1:25" x14ac:dyDescent="0.15">
      <c r="A907" s="3">
        <v>407067</v>
      </c>
      <c r="B907" s="6" t="s">
        <v>1472</v>
      </c>
      <c r="C907" s="6">
        <v>0</v>
      </c>
      <c r="D907" s="3">
        <v>0</v>
      </c>
      <c r="E907" s="3">
        <v>0</v>
      </c>
      <c r="F907" s="3">
        <v>0</v>
      </c>
      <c r="G907" s="3">
        <v>0</v>
      </c>
      <c r="H907" s="3">
        <v>0</v>
      </c>
      <c r="I907" s="3">
        <v>0</v>
      </c>
      <c r="J907" s="4">
        <v>973</v>
      </c>
      <c r="K907" s="3">
        <v>4</v>
      </c>
      <c r="L907" s="3" t="s">
        <v>323</v>
      </c>
      <c r="M907" s="3">
        <v>407</v>
      </c>
      <c r="N907" s="4" t="s">
        <v>1370</v>
      </c>
      <c r="O907" s="3">
        <v>0</v>
      </c>
      <c r="P907" s="3"/>
      <c r="Q907" s="3" t="s">
        <v>272</v>
      </c>
      <c r="R907" s="3" t="s">
        <v>1473</v>
      </c>
      <c r="S907" s="3" t="s">
        <v>1473</v>
      </c>
      <c r="T907" s="3">
        <v>10</v>
      </c>
      <c r="U907" s="3">
        <v>0</v>
      </c>
      <c r="V907" s="6">
        <v>100</v>
      </c>
      <c r="W907" s="7"/>
      <c r="X907" s="3" t="s">
        <v>1472</v>
      </c>
      <c r="Y907" s="3" t="s">
        <v>252</v>
      </c>
    </row>
    <row r="908" spans="1:25" x14ac:dyDescent="0.15">
      <c r="A908" s="3">
        <v>407068</v>
      </c>
      <c r="B908" s="6" t="s">
        <v>1474</v>
      </c>
      <c r="C908" s="6">
        <v>0</v>
      </c>
      <c r="D908" s="3">
        <v>0</v>
      </c>
      <c r="E908" s="3">
        <v>0</v>
      </c>
      <c r="F908" s="3">
        <v>0</v>
      </c>
      <c r="G908" s="3">
        <v>0</v>
      </c>
      <c r="H908" s="3">
        <v>0</v>
      </c>
      <c r="I908" s="3">
        <v>0</v>
      </c>
      <c r="J908" s="4">
        <v>974</v>
      </c>
      <c r="K908" s="3">
        <v>4</v>
      </c>
      <c r="L908" s="3" t="s">
        <v>323</v>
      </c>
      <c r="M908" s="3">
        <v>407</v>
      </c>
      <c r="N908" s="4" t="s">
        <v>1370</v>
      </c>
      <c r="O908" s="3">
        <v>0</v>
      </c>
      <c r="P908" s="3"/>
      <c r="Q908" s="3" t="s">
        <v>272</v>
      </c>
      <c r="R908" s="3" t="s">
        <v>1475</v>
      </c>
      <c r="S908" s="3" t="s">
        <v>1475</v>
      </c>
      <c r="T908" s="3">
        <v>10</v>
      </c>
      <c r="U908" s="3">
        <v>0</v>
      </c>
      <c r="V908" s="6">
        <v>100</v>
      </c>
      <c r="W908" s="7"/>
      <c r="X908" s="3" t="s">
        <v>1474</v>
      </c>
      <c r="Y908" s="3" t="s">
        <v>252</v>
      </c>
    </row>
    <row r="909" spans="1:25" x14ac:dyDescent="0.15">
      <c r="A909" s="3">
        <v>407069</v>
      </c>
      <c r="B909" s="6" t="s">
        <v>1476</v>
      </c>
      <c r="C909" s="6">
        <v>0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4">
        <v>975</v>
      </c>
      <c r="K909" s="3">
        <v>4</v>
      </c>
      <c r="L909" s="3" t="s">
        <v>323</v>
      </c>
      <c r="M909" s="3">
        <v>407</v>
      </c>
      <c r="N909" s="4" t="s">
        <v>1370</v>
      </c>
      <c r="O909" s="3">
        <v>0</v>
      </c>
      <c r="P909" s="3"/>
      <c r="Q909" s="3" t="s">
        <v>272</v>
      </c>
      <c r="R909" s="3" t="s">
        <v>1477</v>
      </c>
      <c r="S909" s="3" t="s">
        <v>1477</v>
      </c>
      <c r="T909" s="3">
        <v>10</v>
      </c>
      <c r="U909" s="3">
        <v>0</v>
      </c>
      <c r="V909" s="6">
        <v>100</v>
      </c>
      <c r="W909" s="7"/>
      <c r="X909" s="3" t="s">
        <v>1476</v>
      </c>
      <c r="Y909" s="3" t="s">
        <v>252</v>
      </c>
    </row>
    <row r="910" spans="1:25" x14ac:dyDescent="0.15">
      <c r="A910" s="3">
        <v>407071</v>
      </c>
      <c r="B910" s="6" t="s">
        <v>1478</v>
      </c>
      <c r="C910" s="6">
        <v>0</v>
      </c>
      <c r="D910" s="3">
        <v>0</v>
      </c>
      <c r="E910" s="3">
        <v>0</v>
      </c>
      <c r="F910" s="3">
        <v>0</v>
      </c>
      <c r="G910" s="3">
        <v>0</v>
      </c>
      <c r="H910" s="3">
        <v>0</v>
      </c>
      <c r="I910" s="3">
        <v>0</v>
      </c>
      <c r="J910" s="4">
        <v>976</v>
      </c>
      <c r="K910" s="3">
        <v>4</v>
      </c>
      <c r="L910" s="3" t="s">
        <v>323</v>
      </c>
      <c r="M910" s="3">
        <v>407</v>
      </c>
      <c r="N910" s="4" t="s">
        <v>1370</v>
      </c>
      <c r="O910" s="3">
        <v>0</v>
      </c>
      <c r="P910" s="3"/>
      <c r="Q910" s="3" t="s">
        <v>272</v>
      </c>
      <c r="R910" s="3" t="s">
        <v>1479</v>
      </c>
      <c r="S910" s="3" t="s">
        <v>1479</v>
      </c>
      <c r="T910" s="3">
        <v>10</v>
      </c>
      <c r="U910" s="3">
        <v>0</v>
      </c>
      <c r="V910" s="6">
        <v>100</v>
      </c>
      <c r="W910" s="7"/>
      <c r="X910" s="3" t="s">
        <v>1478</v>
      </c>
      <c r="Y910" s="3" t="s">
        <v>252</v>
      </c>
    </row>
    <row r="911" spans="1:25" x14ac:dyDescent="0.15">
      <c r="A911" s="3">
        <v>407072</v>
      </c>
      <c r="B911" s="6" t="s">
        <v>1480</v>
      </c>
      <c r="C911" s="6">
        <v>0</v>
      </c>
      <c r="D911" s="3">
        <v>0</v>
      </c>
      <c r="E911" s="3">
        <v>0</v>
      </c>
      <c r="F911" s="3">
        <v>0</v>
      </c>
      <c r="G911" s="3">
        <v>0</v>
      </c>
      <c r="H911" s="3">
        <v>0</v>
      </c>
      <c r="I911" s="3">
        <v>0</v>
      </c>
      <c r="J911" s="4">
        <v>977</v>
      </c>
      <c r="K911" s="3">
        <v>4</v>
      </c>
      <c r="L911" s="3" t="s">
        <v>323</v>
      </c>
      <c r="M911" s="3">
        <v>407</v>
      </c>
      <c r="N911" s="4" t="s">
        <v>1370</v>
      </c>
      <c r="O911" s="3">
        <v>0</v>
      </c>
      <c r="P911" s="3"/>
      <c r="Q911" s="3" t="s">
        <v>272</v>
      </c>
      <c r="R911" s="3" t="s">
        <v>1481</v>
      </c>
      <c r="S911" s="3" t="s">
        <v>1481</v>
      </c>
      <c r="T911" s="3">
        <v>10</v>
      </c>
      <c r="U911" s="3">
        <v>0</v>
      </c>
      <c r="V911" s="6">
        <v>100</v>
      </c>
      <c r="W911" s="7"/>
      <c r="X911" s="3" t="s">
        <v>1480</v>
      </c>
      <c r="Y911" s="3" t="s">
        <v>252</v>
      </c>
    </row>
    <row r="912" spans="1:25" x14ac:dyDescent="0.15">
      <c r="A912" s="3">
        <v>407073</v>
      </c>
      <c r="B912" s="6" t="s">
        <v>1482</v>
      </c>
      <c r="C912" s="6">
        <v>0</v>
      </c>
      <c r="D912" s="3">
        <v>0</v>
      </c>
      <c r="E912" s="3">
        <v>0</v>
      </c>
      <c r="F912" s="3">
        <v>0</v>
      </c>
      <c r="G912" s="3">
        <v>0</v>
      </c>
      <c r="H912" s="3">
        <v>0</v>
      </c>
      <c r="I912" s="3">
        <v>0</v>
      </c>
      <c r="J912" s="4">
        <v>978</v>
      </c>
      <c r="K912" s="3">
        <v>4</v>
      </c>
      <c r="L912" s="3" t="s">
        <v>323</v>
      </c>
      <c r="M912" s="3">
        <v>407</v>
      </c>
      <c r="N912" s="4" t="s">
        <v>1370</v>
      </c>
      <c r="O912" s="3">
        <v>0</v>
      </c>
      <c r="P912" s="3"/>
      <c r="Q912" s="3" t="s">
        <v>272</v>
      </c>
      <c r="R912" s="3" t="s">
        <v>1483</v>
      </c>
      <c r="S912" s="3" t="s">
        <v>1483</v>
      </c>
      <c r="T912" s="3">
        <v>10</v>
      </c>
      <c r="U912" s="3">
        <v>0</v>
      </c>
      <c r="V912" s="6">
        <v>100</v>
      </c>
      <c r="W912" s="7"/>
      <c r="X912" s="3" t="s">
        <v>1482</v>
      </c>
      <c r="Y912" s="3" t="s">
        <v>252</v>
      </c>
    </row>
    <row r="913" spans="1:25" x14ac:dyDescent="0.15">
      <c r="A913" s="3">
        <v>407074</v>
      </c>
      <c r="B913" s="6" t="s">
        <v>1484</v>
      </c>
      <c r="C913" s="6">
        <v>0</v>
      </c>
      <c r="D913" s="3">
        <v>0</v>
      </c>
      <c r="E913" s="3">
        <v>0</v>
      </c>
      <c r="F913" s="3">
        <v>0</v>
      </c>
      <c r="G913" s="3">
        <v>0</v>
      </c>
      <c r="H913" s="3">
        <v>0</v>
      </c>
      <c r="I913" s="3">
        <v>0</v>
      </c>
      <c r="J913" s="4">
        <v>979</v>
      </c>
      <c r="K913" s="3">
        <v>4</v>
      </c>
      <c r="L913" s="3" t="s">
        <v>323</v>
      </c>
      <c r="M913" s="3">
        <v>407</v>
      </c>
      <c r="N913" s="4" t="s">
        <v>1370</v>
      </c>
      <c r="O913" s="3">
        <v>0</v>
      </c>
      <c r="P913" s="3"/>
      <c r="Q913" s="3" t="s">
        <v>272</v>
      </c>
      <c r="R913" s="3" t="s">
        <v>1485</v>
      </c>
      <c r="S913" s="3" t="s">
        <v>1485</v>
      </c>
      <c r="T913" s="3">
        <v>10</v>
      </c>
      <c r="U913" s="3">
        <v>0</v>
      </c>
      <c r="V913" s="6">
        <v>100</v>
      </c>
      <c r="W913" s="7"/>
      <c r="X913" s="3" t="s">
        <v>1484</v>
      </c>
      <c r="Y913" s="3" t="s">
        <v>252</v>
      </c>
    </row>
    <row r="914" spans="1:25" x14ac:dyDescent="0.15">
      <c r="A914" s="3">
        <v>407075</v>
      </c>
      <c r="B914" s="6" t="s">
        <v>1486</v>
      </c>
      <c r="C914" s="6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4">
        <v>980</v>
      </c>
      <c r="K914" s="3">
        <v>4</v>
      </c>
      <c r="L914" s="3" t="s">
        <v>323</v>
      </c>
      <c r="M914" s="3">
        <v>407</v>
      </c>
      <c r="N914" s="4" t="s">
        <v>1370</v>
      </c>
      <c r="O914" s="3">
        <v>0</v>
      </c>
      <c r="P914" s="3"/>
      <c r="Q914" s="3" t="s">
        <v>272</v>
      </c>
      <c r="R914" s="3" t="s">
        <v>1487</v>
      </c>
      <c r="S914" s="3" t="s">
        <v>1487</v>
      </c>
      <c r="T914" s="3">
        <v>10</v>
      </c>
      <c r="U914" s="3">
        <v>0</v>
      </c>
      <c r="V914" s="6">
        <v>100</v>
      </c>
      <c r="W914" s="7"/>
      <c r="X914" s="3" t="s">
        <v>1486</v>
      </c>
      <c r="Y914" s="3" t="s">
        <v>252</v>
      </c>
    </row>
    <row r="915" spans="1:25" x14ac:dyDescent="0.15">
      <c r="A915" s="3">
        <v>407076</v>
      </c>
      <c r="B915" s="6" t="s">
        <v>1488</v>
      </c>
      <c r="C915" s="6">
        <v>0</v>
      </c>
      <c r="D915" s="3">
        <v>0</v>
      </c>
      <c r="E915" s="3">
        <v>0</v>
      </c>
      <c r="F915" s="3">
        <v>0</v>
      </c>
      <c r="G915" s="3">
        <v>0</v>
      </c>
      <c r="H915" s="3">
        <v>0</v>
      </c>
      <c r="I915" s="3">
        <v>0</v>
      </c>
      <c r="J915" s="4">
        <v>981</v>
      </c>
      <c r="K915" s="3">
        <v>4</v>
      </c>
      <c r="L915" s="3" t="s">
        <v>323</v>
      </c>
      <c r="M915" s="3">
        <v>407</v>
      </c>
      <c r="N915" s="4" t="s">
        <v>1370</v>
      </c>
      <c r="O915" s="3">
        <v>0</v>
      </c>
      <c r="P915" s="3"/>
      <c r="Q915" s="3" t="s">
        <v>272</v>
      </c>
      <c r="R915" s="3" t="s">
        <v>1489</v>
      </c>
      <c r="S915" s="3" t="s">
        <v>1489</v>
      </c>
      <c r="T915" s="3">
        <v>10</v>
      </c>
      <c r="U915" s="3">
        <v>0</v>
      </c>
      <c r="V915" s="6">
        <v>100</v>
      </c>
      <c r="W915" s="7"/>
      <c r="X915" s="3" t="s">
        <v>1488</v>
      </c>
      <c r="Y915" s="3" t="s">
        <v>252</v>
      </c>
    </row>
    <row r="916" spans="1:25" x14ac:dyDescent="0.15">
      <c r="A916" s="3">
        <v>407077</v>
      </c>
      <c r="B916" s="6" t="s">
        <v>1490</v>
      </c>
      <c r="C916" s="6">
        <v>0</v>
      </c>
      <c r="D916" s="3">
        <v>0</v>
      </c>
      <c r="E916" s="3">
        <v>0</v>
      </c>
      <c r="F916" s="3">
        <v>0</v>
      </c>
      <c r="G916" s="3">
        <v>0</v>
      </c>
      <c r="H916" s="3">
        <v>0</v>
      </c>
      <c r="I916" s="3">
        <v>0</v>
      </c>
      <c r="J916" s="4">
        <v>982</v>
      </c>
      <c r="K916" s="3">
        <v>4</v>
      </c>
      <c r="L916" s="3" t="s">
        <v>323</v>
      </c>
      <c r="M916" s="3">
        <v>407</v>
      </c>
      <c r="N916" s="4" t="s">
        <v>1370</v>
      </c>
      <c r="O916" s="3">
        <v>0</v>
      </c>
      <c r="P916" s="3"/>
      <c r="Q916" s="3" t="s">
        <v>272</v>
      </c>
      <c r="R916" s="3" t="s">
        <v>1491</v>
      </c>
      <c r="S916" s="3" t="s">
        <v>1491</v>
      </c>
      <c r="T916" s="3">
        <v>10</v>
      </c>
      <c r="U916" s="3">
        <v>0</v>
      </c>
      <c r="V916" s="6">
        <v>100</v>
      </c>
      <c r="W916" s="7"/>
      <c r="X916" s="3" t="s">
        <v>1490</v>
      </c>
      <c r="Y916" s="3" t="s">
        <v>252</v>
      </c>
    </row>
    <row r="917" spans="1:25" x14ac:dyDescent="0.15">
      <c r="A917" s="3">
        <v>407078</v>
      </c>
      <c r="B917" s="6" t="s">
        <v>1492</v>
      </c>
      <c r="C917" s="6">
        <v>0</v>
      </c>
      <c r="D917" s="3">
        <v>0</v>
      </c>
      <c r="E917" s="3">
        <v>0</v>
      </c>
      <c r="F917" s="3">
        <v>0</v>
      </c>
      <c r="G917" s="3">
        <v>0</v>
      </c>
      <c r="H917" s="3">
        <v>0</v>
      </c>
      <c r="I917" s="3">
        <v>0</v>
      </c>
      <c r="J917" s="4">
        <v>983</v>
      </c>
      <c r="K917" s="3">
        <v>4</v>
      </c>
      <c r="L917" s="3" t="s">
        <v>323</v>
      </c>
      <c r="M917" s="3">
        <v>407</v>
      </c>
      <c r="N917" s="4" t="s">
        <v>1370</v>
      </c>
      <c r="O917" s="3">
        <v>0</v>
      </c>
      <c r="P917" s="3"/>
      <c r="Q917" s="3" t="s">
        <v>272</v>
      </c>
      <c r="R917" s="3" t="s">
        <v>1493</v>
      </c>
      <c r="S917" s="3" t="s">
        <v>1493</v>
      </c>
      <c r="T917" s="3">
        <v>10</v>
      </c>
      <c r="U917" s="3">
        <v>0</v>
      </c>
      <c r="V917" s="6">
        <v>100</v>
      </c>
      <c r="W917" s="7"/>
      <c r="X917" s="3" t="s">
        <v>1492</v>
      </c>
      <c r="Y917" s="3" t="s">
        <v>252</v>
      </c>
    </row>
    <row r="918" spans="1:25" x14ac:dyDescent="0.15">
      <c r="A918" s="3">
        <v>407079</v>
      </c>
      <c r="B918" s="6" t="s">
        <v>1494</v>
      </c>
      <c r="C918" s="6">
        <v>0</v>
      </c>
      <c r="D918" s="3">
        <v>0</v>
      </c>
      <c r="E918" s="3">
        <v>0</v>
      </c>
      <c r="F918" s="3">
        <v>0</v>
      </c>
      <c r="G918" s="3">
        <v>0</v>
      </c>
      <c r="H918" s="3">
        <v>0</v>
      </c>
      <c r="I918" s="3">
        <v>0</v>
      </c>
      <c r="J918" s="4">
        <v>984</v>
      </c>
      <c r="K918" s="3">
        <v>4</v>
      </c>
      <c r="L918" s="3" t="s">
        <v>323</v>
      </c>
      <c r="M918" s="3">
        <v>407</v>
      </c>
      <c r="N918" s="4" t="s">
        <v>1370</v>
      </c>
      <c r="O918" s="3">
        <v>0</v>
      </c>
      <c r="P918" s="3"/>
      <c r="Q918" s="3" t="s">
        <v>272</v>
      </c>
      <c r="R918" s="3" t="s">
        <v>1639</v>
      </c>
      <c r="S918" s="3" t="s">
        <v>1495</v>
      </c>
      <c r="T918" s="3">
        <v>10</v>
      </c>
      <c r="U918" s="3">
        <v>0</v>
      </c>
      <c r="V918" s="6">
        <v>100</v>
      </c>
      <c r="W918" s="7"/>
      <c r="X918" s="3" t="s">
        <v>1494</v>
      </c>
      <c r="Y918" s="3" t="s">
        <v>252</v>
      </c>
    </row>
    <row r="919" spans="1:25" x14ac:dyDescent="0.15">
      <c r="A919" s="3">
        <v>407080</v>
      </c>
      <c r="B919" s="6" t="s">
        <v>1496</v>
      </c>
      <c r="C919" s="6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4">
        <v>985</v>
      </c>
      <c r="K919" s="3">
        <v>4</v>
      </c>
      <c r="L919" s="3" t="s">
        <v>323</v>
      </c>
      <c r="M919" s="3">
        <v>407</v>
      </c>
      <c r="N919" s="4" t="s">
        <v>1370</v>
      </c>
      <c r="O919" s="3">
        <v>0</v>
      </c>
      <c r="P919" s="3"/>
      <c r="Q919" s="3" t="s">
        <v>272</v>
      </c>
      <c r="R919" s="3" t="s">
        <v>1497</v>
      </c>
      <c r="S919" s="3" t="s">
        <v>1497</v>
      </c>
      <c r="T919" s="3">
        <v>10</v>
      </c>
      <c r="U919" s="3">
        <v>0</v>
      </c>
      <c r="V919" s="6">
        <v>100</v>
      </c>
      <c r="W919" s="7"/>
      <c r="X919" s="3" t="s">
        <v>1496</v>
      </c>
      <c r="Y919" s="3" t="s">
        <v>252</v>
      </c>
    </row>
    <row r="920" spans="1:25" x14ac:dyDescent="0.15">
      <c r="A920" s="3">
        <v>407081</v>
      </c>
      <c r="B920" s="6" t="s">
        <v>1498</v>
      </c>
      <c r="C920" s="6">
        <v>0</v>
      </c>
      <c r="D920" s="3">
        <v>0</v>
      </c>
      <c r="E920" s="3">
        <v>0</v>
      </c>
      <c r="F920" s="3">
        <v>0</v>
      </c>
      <c r="G920" s="3">
        <v>0</v>
      </c>
      <c r="H920" s="3">
        <v>0</v>
      </c>
      <c r="I920" s="3">
        <v>0</v>
      </c>
      <c r="J920" s="4">
        <v>986</v>
      </c>
      <c r="K920" s="3">
        <v>4</v>
      </c>
      <c r="L920" s="3" t="s">
        <v>323</v>
      </c>
      <c r="M920" s="3">
        <v>407</v>
      </c>
      <c r="N920" s="4" t="s">
        <v>1370</v>
      </c>
      <c r="O920" s="3">
        <v>0</v>
      </c>
      <c r="P920" s="3"/>
      <c r="Q920" s="3" t="s">
        <v>272</v>
      </c>
      <c r="R920" s="3" t="s">
        <v>1499</v>
      </c>
      <c r="S920" s="3" t="s">
        <v>1499</v>
      </c>
      <c r="T920" s="3">
        <v>10</v>
      </c>
      <c r="U920" s="3">
        <v>0</v>
      </c>
      <c r="V920" s="6">
        <v>100</v>
      </c>
      <c r="W920" s="7"/>
      <c r="X920" s="3" t="s">
        <v>1498</v>
      </c>
      <c r="Y920" s="3" t="s">
        <v>252</v>
      </c>
    </row>
    <row r="921" spans="1:25" x14ac:dyDescent="0.15">
      <c r="A921" s="3">
        <v>407082</v>
      </c>
      <c r="B921" s="6" t="s">
        <v>1500</v>
      </c>
      <c r="C921" s="6">
        <v>0</v>
      </c>
      <c r="D921" s="3">
        <v>0</v>
      </c>
      <c r="E921" s="3">
        <v>0</v>
      </c>
      <c r="F921" s="3">
        <v>0</v>
      </c>
      <c r="G921" s="3">
        <v>0</v>
      </c>
      <c r="H921" s="3">
        <v>0</v>
      </c>
      <c r="I921" s="3">
        <v>0</v>
      </c>
      <c r="J921" s="4">
        <v>987</v>
      </c>
      <c r="K921" s="3">
        <v>4</v>
      </c>
      <c r="L921" s="3" t="s">
        <v>323</v>
      </c>
      <c r="M921" s="3">
        <v>407</v>
      </c>
      <c r="N921" s="4" t="s">
        <v>1370</v>
      </c>
      <c r="O921" s="3">
        <v>0</v>
      </c>
      <c r="P921" s="3"/>
      <c r="Q921" s="3" t="s">
        <v>272</v>
      </c>
      <c r="R921" s="3" t="s">
        <v>1501</v>
      </c>
      <c r="S921" s="3" t="s">
        <v>1501</v>
      </c>
      <c r="T921" s="3">
        <v>10</v>
      </c>
      <c r="U921" s="3">
        <v>0</v>
      </c>
      <c r="V921" s="6">
        <v>100</v>
      </c>
      <c r="W921" s="7"/>
      <c r="X921" s="3" t="s">
        <v>1500</v>
      </c>
      <c r="Y921" s="3" t="s">
        <v>252</v>
      </c>
    </row>
    <row r="922" spans="1:25" x14ac:dyDescent="0.15">
      <c r="A922" s="3">
        <v>407083</v>
      </c>
      <c r="B922" s="6" t="s">
        <v>1502</v>
      </c>
      <c r="C922" s="6">
        <v>0</v>
      </c>
      <c r="D922" s="3">
        <v>0</v>
      </c>
      <c r="E922" s="3">
        <v>0</v>
      </c>
      <c r="F922" s="3">
        <v>0</v>
      </c>
      <c r="G922" s="3">
        <v>0</v>
      </c>
      <c r="H922" s="3">
        <v>0</v>
      </c>
      <c r="I922" s="3">
        <v>0</v>
      </c>
      <c r="J922" s="4">
        <v>988</v>
      </c>
      <c r="K922" s="3">
        <v>4</v>
      </c>
      <c r="L922" s="3" t="s">
        <v>323</v>
      </c>
      <c r="M922" s="3">
        <v>407</v>
      </c>
      <c r="N922" s="4" t="s">
        <v>1370</v>
      </c>
      <c r="O922" s="3">
        <v>0</v>
      </c>
      <c r="P922" s="3"/>
      <c r="Q922" s="3" t="s">
        <v>272</v>
      </c>
      <c r="R922" s="3" t="s">
        <v>1503</v>
      </c>
      <c r="S922" s="3" t="s">
        <v>1503</v>
      </c>
      <c r="T922" s="3">
        <v>10</v>
      </c>
      <c r="U922" s="3">
        <v>0</v>
      </c>
      <c r="V922" s="6">
        <v>100</v>
      </c>
      <c r="W922" s="7"/>
      <c r="X922" s="3" t="s">
        <v>1502</v>
      </c>
      <c r="Y922" s="3" t="s">
        <v>252</v>
      </c>
    </row>
    <row r="923" spans="1:25" x14ac:dyDescent="0.15">
      <c r="A923" s="3">
        <v>407084</v>
      </c>
      <c r="B923" s="6" t="s">
        <v>1504</v>
      </c>
      <c r="C923" s="6">
        <v>0</v>
      </c>
      <c r="D923" s="3">
        <v>0</v>
      </c>
      <c r="E923" s="3">
        <v>0</v>
      </c>
      <c r="F923" s="3">
        <v>0</v>
      </c>
      <c r="G923" s="3">
        <v>0</v>
      </c>
      <c r="H923" s="3">
        <v>0</v>
      </c>
      <c r="I923" s="3">
        <v>0</v>
      </c>
      <c r="J923" s="4">
        <v>989</v>
      </c>
      <c r="K923" s="3">
        <v>4</v>
      </c>
      <c r="L923" s="3" t="s">
        <v>323</v>
      </c>
      <c r="M923" s="3">
        <v>407</v>
      </c>
      <c r="N923" s="4" t="s">
        <v>1370</v>
      </c>
      <c r="O923" s="3">
        <v>0</v>
      </c>
      <c r="P923" s="3"/>
      <c r="Q923" s="3" t="s">
        <v>272</v>
      </c>
      <c r="R923" s="3" t="s">
        <v>1505</v>
      </c>
      <c r="S923" s="3" t="s">
        <v>1505</v>
      </c>
      <c r="T923" s="3">
        <v>10</v>
      </c>
      <c r="U923" s="3">
        <v>0</v>
      </c>
      <c r="V923" s="6">
        <v>100</v>
      </c>
      <c r="W923" s="7"/>
      <c r="X923" s="3" t="s">
        <v>1504</v>
      </c>
      <c r="Y923" s="3" t="s">
        <v>252</v>
      </c>
    </row>
    <row r="924" spans="1:25" x14ac:dyDescent="0.15">
      <c r="A924" s="3">
        <v>407085</v>
      </c>
      <c r="B924" s="6" t="s">
        <v>1506</v>
      </c>
      <c r="C924" s="6">
        <v>0</v>
      </c>
      <c r="D924" s="3">
        <v>0</v>
      </c>
      <c r="E924" s="3">
        <v>0</v>
      </c>
      <c r="F924" s="3">
        <v>0</v>
      </c>
      <c r="G924" s="3">
        <v>0</v>
      </c>
      <c r="H924" s="3">
        <v>0</v>
      </c>
      <c r="I924" s="3">
        <v>0</v>
      </c>
      <c r="J924" s="4">
        <v>990</v>
      </c>
      <c r="K924" s="3">
        <v>4</v>
      </c>
      <c r="L924" s="3" t="s">
        <v>323</v>
      </c>
      <c r="M924" s="3">
        <v>407</v>
      </c>
      <c r="N924" s="4" t="s">
        <v>1370</v>
      </c>
      <c r="O924" s="3">
        <v>0</v>
      </c>
      <c r="P924" s="3"/>
      <c r="Q924" s="3" t="s">
        <v>272</v>
      </c>
      <c r="R924" s="3" t="s">
        <v>1507</v>
      </c>
      <c r="S924" s="3" t="s">
        <v>1507</v>
      </c>
      <c r="T924" s="3">
        <v>10</v>
      </c>
      <c r="U924" s="3">
        <v>0</v>
      </c>
      <c r="V924" s="6">
        <v>100</v>
      </c>
      <c r="W924" s="7"/>
      <c r="X924" s="3" t="s">
        <v>1506</v>
      </c>
      <c r="Y924" s="3" t="s">
        <v>252</v>
      </c>
    </row>
    <row r="925" spans="1:25" x14ac:dyDescent="0.15">
      <c r="A925" s="3">
        <v>407086</v>
      </c>
      <c r="B925" s="6" t="s">
        <v>1508</v>
      </c>
      <c r="C925" s="6">
        <v>0</v>
      </c>
      <c r="D925" s="3">
        <v>0</v>
      </c>
      <c r="E925" s="3">
        <v>0</v>
      </c>
      <c r="F925" s="3">
        <v>0</v>
      </c>
      <c r="G925" s="3">
        <v>0</v>
      </c>
      <c r="H925" s="3">
        <v>0</v>
      </c>
      <c r="I925" s="3">
        <v>0</v>
      </c>
      <c r="J925" s="4">
        <v>991</v>
      </c>
      <c r="K925" s="3">
        <v>4</v>
      </c>
      <c r="L925" s="3" t="s">
        <v>323</v>
      </c>
      <c r="M925" s="3">
        <v>407</v>
      </c>
      <c r="N925" s="4" t="s">
        <v>1370</v>
      </c>
      <c r="O925" s="3">
        <v>0</v>
      </c>
      <c r="P925" s="3"/>
      <c r="Q925" s="3" t="s">
        <v>272</v>
      </c>
      <c r="R925" s="3" t="s">
        <v>1509</v>
      </c>
      <c r="S925" s="3" t="s">
        <v>1509</v>
      </c>
      <c r="T925" s="3">
        <v>10</v>
      </c>
      <c r="U925" s="3">
        <v>0</v>
      </c>
      <c r="V925" s="6">
        <v>100</v>
      </c>
      <c r="W925" s="7"/>
      <c r="X925" s="3" t="s">
        <v>1508</v>
      </c>
      <c r="Y925" s="3" t="s">
        <v>252</v>
      </c>
    </row>
    <row r="926" spans="1:25" x14ac:dyDescent="0.15">
      <c r="A926" s="3">
        <v>407087</v>
      </c>
      <c r="B926" s="6" t="s">
        <v>1510</v>
      </c>
      <c r="C926" s="6">
        <v>0</v>
      </c>
      <c r="D926" s="3">
        <v>0</v>
      </c>
      <c r="E926" s="3">
        <v>0</v>
      </c>
      <c r="F926" s="3">
        <v>0</v>
      </c>
      <c r="G926" s="3">
        <v>0</v>
      </c>
      <c r="H926" s="3">
        <v>0</v>
      </c>
      <c r="I926" s="3">
        <v>0</v>
      </c>
      <c r="J926" s="4">
        <v>992</v>
      </c>
      <c r="K926" s="3">
        <v>4</v>
      </c>
      <c r="L926" s="3" t="s">
        <v>323</v>
      </c>
      <c r="M926" s="3">
        <v>407</v>
      </c>
      <c r="N926" s="4" t="s">
        <v>1370</v>
      </c>
      <c r="O926" s="3">
        <v>0</v>
      </c>
      <c r="P926" s="3"/>
      <c r="Q926" s="3" t="s">
        <v>272</v>
      </c>
      <c r="R926" s="3" t="s">
        <v>1511</v>
      </c>
      <c r="S926" s="3" t="s">
        <v>1511</v>
      </c>
      <c r="T926" s="3">
        <v>10</v>
      </c>
      <c r="U926" s="3">
        <v>0</v>
      </c>
      <c r="V926" s="6">
        <v>100</v>
      </c>
      <c r="W926" s="7"/>
      <c r="X926" s="3" t="s">
        <v>1510</v>
      </c>
      <c r="Y926" s="3" t="s">
        <v>252</v>
      </c>
    </row>
    <row r="927" spans="1:25" x14ac:dyDescent="0.15">
      <c r="A927" s="3">
        <v>407088</v>
      </c>
      <c r="B927" s="6" t="s">
        <v>1512</v>
      </c>
      <c r="C927" s="6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4">
        <v>993</v>
      </c>
      <c r="K927" s="3">
        <v>4</v>
      </c>
      <c r="L927" s="3" t="s">
        <v>323</v>
      </c>
      <c r="M927" s="3">
        <v>407</v>
      </c>
      <c r="N927" s="4" t="s">
        <v>1370</v>
      </c>
      <c r="O927" s="3">
        <v>0</v>
      </c>
      <c r="P927" s="3"/>
      <c r="Q927" s="3" t="s">
        <v>272</v>
      </c>
      <c r="R927" s="3" t="s">
        <v>1513</v>
      </c>
      <c r="S927" s="3" t="s">
        <v>1513</v>
      </c>
      <c r="T927" s="3">
        <v>10</v>
      </c>
      <c r="U927" s="3">
        <v>0</v>
      </c>
      <c r="V927" s="6">
        <v>100</v>
      </c>
      <c r="W927" s="7"/>
      <c r="X927" s="3" t="s">
        <v>1512</v>
      </c>
      <c r="Y927" s="3" t="s">
        <v>252</v>
      </c>
    </row>
    <row r="928" spans="1:25" x14ac:dyDescent="0.15">
      <c r="A928" s="29">
        <v>407089</v>
      </c>
      <c r="B928" s="30" t="s">
        <v>1630</v>
      </c>
      <c r="C928" s="6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4">
        <v>985</v>
      </c>
      <c r="K928" s="3">
        <v>4</v>
      </c>
      <c r="L928" s="3" t="s">
        <v>323</v>
      </c>
      <c r="M928" s="3">
        <v>407</v>
      </c>
      <c r="N928" s="4" t="s">
        <v>1370</v>
      </c>
      <c r="O928" s="3">
        <v>0</v>
      </c>
      <c r="P928" s="3"/>
      <c r="Q928" s="3" t="s">
        <v>272</v>
      </c>
      <c r="R928" s="3" t="s">
        <v>1640</v>
      </c>
      <c r="S928" s="3" t="s">
        <v>1640</v>
      </c>
      <c r="T928" s="3">
        <v>10</v>
      </c>
      <c r="U928" s="3">
        <v>0</v>
      </c>
      <c r="V928" s="6">
        <v>100</v>
      </c>
      <c r="W928" s="7"/>
      <c r="X928" s="30" t="s">
        <v>1677</v>
      </c>
      <c r="Y928" s="3" t="s">
        <v>252</v>
      </c>
    </row>
    <row r="929" spans="1:25" x14ac:dyDescent="0.15">
      <c r="A929" s="29">
        <v>407090</v>
      </c>
      <c r="B929" s="30" t="s">
        <v>1631</v>
      </c>
      <c r="C929" s="6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0</v>
      </c>
      <c r="J929" s="4">
        <v>986</v>
      </c>
      <c r="K929" s="3">
        <v>4</v>
      </c>
      <c r="L929" s="3" t="s">
        <v>323</v>
      </c>
      <c r="M929" s="3">
        <v>407</v>
      </c>
      <c r="N929" s="4" t="s">
        <v>1370</v>
      </c>
      <c r="O929" s="3">
        <v>0</v>
      </c>
      <c r="P929" s="3"/>
      <c r="Q929" s="3" t="s">
        <v>272</v>
      </c>
      <c r="R929" s="3" t="s">
        <v>1641</v>
      </c>
      <c r="S929" s="3" t="s">
        <v>1641</v>
      </c>
      <c r="T929" s="3">
        <v>10</v>
      </c>
      <c r="U929" s="3">
        <v>0</v>
      </c>
      <c r="V929" s="6">
        <v>100</v>
      </c>
      <c r="W929" s="7"/>
      <c r="X929" s="30" t="s">
        <v>1631</v>
      </c>
      <c r="Y929" s="3" t="s">
        <v>252</v>
      </c>
    </row>
    <row r="930" spans="1:25" x14ac:dyDescent="0.15">
      <c r="A930" s="29">
        <v>407091</v>
      </c>
      <c r="B930" s="30" t="s">
        <v>1632</v>
      </c>
      <c r="C930" s="6">
        <v>0</v>
      </c>
      <c r="D930" s="3">
        <v>0</v>
      </c>
      <c r="E930" s="3">
        <v>0</v>
      </c>
      <c r="F930" s="3">
        <v>0</v>
      </c>
      <c r="G930" s="3">
        <v>0</v>
      </c>
      <c r="H930" s="3">
        <v>0</v>
      </c>
      <c r="I930" s="3">
        <v>0</v>
      </c>
      <c r="J930" s="4">
        <v>987</v>
      </c>
      <c r="K930" s="3">
        <v>4</v>
      </c>
      <c r="L930" s="3" t="s">
        <v>323</v>
      </c>
      <c r="M930" s="3">
        <v>407</v>
      </c>
      <c r="N930" s="4" t="s">
        <v>1370</v>
      </c>
      <c r="O930" s="3">
        <v>0</v>
      </c>
      <c r="P930" s="3"/>
      <c r="Q930" s="3" t="s">
        <v>272</v>
      </c>
      <c r="R930" s="3" t="s">
        <v>1642</v>
      </c>
      <c r="S930" s="3" t="s">
        <v>1642</v>
      </c>
      <c r="T930" s="3">
        <v>10</v>
      </c>
      <c r="U930" s="3">
        <v>0</v>
      </c>
      <c r="V930" s="6">
        <v>100</v>
      </c>
      <c r="W930" s="7"/>
      <c r="X930" s="30" t="s">
        <v>1632</v>
      </c>
      <c r="Y930" s="3" t="s">
        <v>252</v>
      </c>
    </row>
    <row r="931" spans="1:25" x14ac:dyDescent="0.15">
      <c r="A931" s="29">
        <v>407092</v>
      </c>
      <c r="B931" s="30" t="s">
        <v>1633</v>
      </c>
      <c r="C931" s="6">
        <v>0</v>
      </c>
      <c r="D931" s="3">
        <v>0</v>
      </c>
      <c r="E931" s="3">
        <v>0</v>
      </c>
      <c r="F931" s="3">
        <v>0</v>
      </c>
      <c r="G931" s="3">
        <v>0</v>
      </c>
      <c r="H931" s="3">
        <v>0</v>
      </c>
      <c r="I931" s="3">
        <v>0</v>
      </c>
      <c r="J931" s="4">
        <v>988</v>
      </c>
      <c r="K931" s="3">
        <v>4</v>
      </c>
      <c r="L931" s="3" t="s">
        <v>323</v>
      </c>
      <c r="M931" s="3">
        <v>407</v>
      </c>
      <c r="N931" s="4" t="s">
        <v>1370</v>
      </c>
      <c r="O931" s="3">
        <v>0</v>
      </c>
      <c r="P931" s="3"/>
      <c r="Q931" s="3" t="s">
        <v>272</v>
      </c>
      <c r="R931" s="3" t="s">
        <v>1643</v>
      </c>
      <c r="S931" s="3" t="s">
        <v>1643</v>
      </c>
      <c r="T931" s="3">
        <v>10</v>
      </c>
      <c r="U931" s="3">
        <v>0</v>
      </c>
      <c r="V931" s="6">
        <v>100</v>
      </c>
      <c r="W931" s="7"/>
      <c r="X931" s="30" t="s">
        <v>1633</v>
      </c>
      <c r="Y931" s="3" t="s">
        <v>252</v>
      </c>
    </row>
    <row r="932" spans="1:25" x14ac:dyDescent="0.15">
      <c r="A932" s="29">
        <v>407093</v>
      </c>
      <c r="B932" s="30" t="s">
        <v>1634</v>
      </c>
      <c r="C932" s="6">
        <v>0</v>
      </c>
      <c r="D932" s="3">
        <v>0</v>
      </c>
      <c r="E932" s="3">
        <v>0</v>
      </c>
      <c r="F932" s="3">
        <v>0</v>
      </c>
      <c r="G932" s="3">
        <v>0</v>
      </c>
      <c r="H932" s="3">
        <v>0</v>
      </c>
      <c r="I932" s="3">
        <v>0</v>
      </c>
      <c r="J932" s="4">
        <v>989</v>
      </c>
      <c r="K932" s="3">
        <v>4</v>
      </c>
      <c r="L932" s="3" t="s">
        <v>323</v>
      </c>
      <c r="M932" s="3">
        <v>407</v>
      </c>
      <c r="N932" s="4" t="s">
        <v>1370</v>
      </c>
      <c r="O932" s="3">
        <v>0</v>
      </c>
      <c r="P932" s="3"/>
      <c r="Q932" s="3" t="s">
        <v>272</v>
      </c>
      <c r="R932" s="3" t="s">
        <v>1644</v>
      </c>
      <c r="S932" s="3" t="s">
        <v>1644</v>
      </c>
      <c r="T932" s="3">
        <v>10</v>
      </c>
      <c r="U932" s="3">
        <v>0</v>
      </c>
      <c r="V932" s="6">
        <v>100</v>
      </c>
      <c r="W932" s="7"/>
      <c r="X932" s="30" t="s">
        <v>1634</v>
      </c>
      <c r="Y932" s="3" t="s">
        <v>252</v>
      </c>
    </row>
    <row r="933" spans="1:25" x14ac:dyDescent="0.15">
      <c r="A933" s="29">
        <v>407094</v>
      </c>
      <c r="B933" s="30" t="s">
        <v>1635</v>
      </c>
      <c r="C933" s="6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4">
        <v>990</v>
      </c>
      <c r="K933" s="3">
        <v>4</v>
      </c>
      <c r="L933" s="3" t="s">
        <v>323</v>
      </c>
      <c r="M933" s="3">
        <v>407</v>
      </c>
      <c r="N933" s="4" t="s">
        <v>1370</v>
      </c>
      <c r="O933" s="3">
        <v>0</v>
      </c>
      <c r="P933" s="3"/>
      <c r="Q933" s="3" t="s">
        <v>272</v>
      </c>
      <c r="R933" s="3" t="s">
        <v>1645</v>
      </c>
      <c r="S933" s="3" t="s">
        <v>1645</v>
      </c>
      <c r="T933" s="3">
        <v>10</v>
      </c>
      <c r="U933" s="3">
        <v>0</v>
      </c>
      <c r="V933" s="6">
        <v>100</v>
      </c>
      <c r="W933" s="7"/>
      <c r="X933" s="30" t="s">
        <v>1635</v>
      </c>
      <c r="Y933" s="3" t="s">
        <v>252</v>
      </c>
    </row>
    <row r="934" spans="1:25" x14ac:dyDescent="0.15">
      <c r="A934" s="29">
        <v>407095</v>
      </c>
      <c r="B934" s="30" t="s">
        <v>1636</v>
      </c>
      <c r="C934" s="6">
        <v>0</v>
      </c>
      <c r="D934" s="3">
        <v>0</v>
      </c>
      <c r="E934" s="3">
        <v>0</v>
      </c>
      <c r="F934" s="3">
        <v>0</v>
      </c>
      <c r="G934" s="3">
        <v>0</v>
      </c>
      <c r="H934" s="3">
        <v>0</v>
      </c>
      <c r="I934" s="3">
        <v>0</v>
      </c>
      <c r="J934" s="4">
        <v>991</v>
      </c>
      <c r="K934" s="3">
        <v>4</v>
      </c>
      <c r="L934" s="3" t="s">
        <v>323</v>
      </c>
      <c r="M934" s="3">
        <v>407</v>
      </c>
      <c r="N934" s="4" t="s">
        <v>1370</v>
      </c>
      <c r="O934" s="3">
        <v>0</v>
      </c>
      <c r="P934" s="3"/>
      <c r="Q934" s="3" t="s">
        <v>272</v>
      </c>
      <c r="R934" s="3" t="s">
        <v>1646</v>
      </c>
      <c r="S934" s="3" t="s">
        <v>1646</v>
      </c>
      <c r="T934" s="3">
        <v>10</v>
      </c>
      <c r="U934" s="3">
        <v>0</v>
      </c>
      <c r="V934" s="6">
        <v>100</v>
      </c>
      <c r="W934" s="7"/>
      <c r="X934" s="30" t="s">
        <v>1636</v>
      </c>
      <c r="Y934" s="3" t="s">
        <v>252</v>
      </c>
    </row>
    <row r="935" spans="1:25" x14ac:dyDescent="0.15">
      <c r="A935" s="29">
        <v>407096</v>
      </c>
      <c r="B935" s="30" t="s">
        <v>1637</v>
      </c>
      <c r="C935" s="6">
        <v>0</v>
      </c>
      <c r="D935" s="3">
        <v>0</v>
      </c>
      <c r="E935" s="3">
        <v>0</v>
      </c>
      <c r="F935" s="3">
        <v>0</v>
      </c>
      <c r="G935" s="3">
        <v>0</v>
      </c>
      <c r="H935" s="3">
        <v>0</v>
      </c>
      <c r="I935" s="3">
        <v>0</v>
      </c>
      <c r="J935" s="4">
        <v>992</v>
      </c>
      <c r="K935" s="3">
        <v>4</v>
      </c>
      <c r="L935" s="3" t="s">
        <v>323</v>
      </c>
      <c r="M935" s="3">
        <v>407</v>
      </c>
      <c r="N935" s="4" t="s">
        <v>1370</v>
      </c>
      <c r="O935" s="3">
        <v>0</v>
      </c>
      <c r="P935" s="3"/>
      <c r="Q935" s="3" t="s">
        <v>272</v>
      </c>
      <c r="R935" s="3" t="s">
        <v>1647</v>
      </c>
      <c r="S935" s="3" t="s">
        <v>1647</v>
      </c>
      <c r="T935" s="3">
        <v>10</v>
      </c>
      <c r="U935" s="3">
        <v>0</v>
      </c>
      <c r="V935" s="6">
        <v>100</v>
      </c>
      <c r="W935" s="7"/>
      <c r="X935" s="30" t="s">
        <v>1637</v>
      </c>
      <c r="Y935" s="3" t="s">
        <v>252</v>
      </c>
    </row>
    <row r="936" spans="1:25" x14ac:dyDescent="0.15">
      <c r="A936" s="29">
        <v>407097</v>
      </c>
      <c r="B936" s="30" t="s">
        <v>1638</v>
      </c>
      <c r="C936" s="6">
        <v>0</v>
      </c>
      <c r="D936" s="3">
        <v>0</v>
      </c>
      <c r="E936" s="3">
        <v>0</v>
      </c>
      <c r="F936" s="3">
        <v>0</v>
      </c>
      <c r="G936" s="3">
        <v>0</v>
      </c>
      <c r="H936" s="3">
        <v>0</v>
      </c>
      <c r="I936" s="3">
        <v>0</v>
      </c>
      <c r="J936" s="4">
        <v>993</v>
      </c>
      <c r="K936" s="3">
        <v>4</v>
      </c>
      <c r="L936" s="3" t="s">
        <v>323</v>
      </c>
      <c r="M936" s="3">
        <v>407</v>
      </c>
      <c r="N936" s="4" t="s">
        <v>1370</v>
      </c>
      <c r="O936" s="3">
        <v>0</v>
      </c>
      <c r="P936" s="3"/>
      <c r="Q936" s="3" t="s">
        <v>272</v>
      </c>
      <c r="R936" s="3" t="s">
        <v>1648</v>
      </c>
      <c r="S936" s="3" t="s">
        <v>1648</v>
      </c>
      <c r="T936" s="3">
        <v>10</v>
      </c>
      <c r="U936" s="3">
        <v>0</v>
      </c>
      <c r="V936" s="6">
        <v>100</v>
      </c>
      <c r="W936" s="7"/>
      <c r="X936" s="30" t="s">
        <v>1638</v>
      </c>
      <c r="Y936" s="3" t="s">
        <v>252</v>
      </c>
    </row>
    <row r="937" spans="1:25" x14ac:dyDescent="0.15">
      <c r="A937" s="29">
        <v>407098</v>
      </c>
      <c r="B937" s="30" t="s">
        <v>1630</v>
      </c>
      <c r="C937" s="6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4">
        <v>985</v>
      </c>
      <c r="K937" s="3">
        <v>4</v>
      </c>
      <c r="L937" s="3" t="s">
        <v>323</v>
      </c>
      <c r="M937" s="3">
        <v>407</v>
      </c>
      <c r="N937" s="4" t="s">
        <v>1370</v>
      </c>
      <c r="O937" s="3">
        <v>0</v>
      </c>
      <c r="P937" s="3"/>
      <c r="Q937" s="3" t="s">
        <v>272</v>
      </c>
      <c r="R937" s="3" t="s">
        <v>1649</v>
      </c>
      <c r="S937" s="3" t="s">
        <v>1649</v>
      </c>
      <c r="T937" s="3">
        <v>10</v>
      </c>
      <c r="U937" s="3">
        <v>0</v>
      </c>
      <c r="V937" s="6">
        <v>100</v>
      </c>
      <c r="W937" s="7"/>
      <c r="X937" s="30" t="s">
        <v>1630</v>
      </c>
      <c r="Y937" s="3" t="s">
        <v>252</v>
      </c>
    </row>
    <row r="938" spans="1:25" x14ac:dyDescent="0.15">
      <c r="A938" s="29">
        <v>407099</v>
      </c>
      <c r="B938" s="30" t="s">
        <v>1631</v>
      </c>
      <c r="C938" s="6">
        <v>0</v>
      </c>
      <c r="D938" s="3">
        <v>0</v>
      </c>
      <c r="E938" s="3">
        <v>0</v>
      </c>
      <c r="F938" s="3">
        <v>0</v>
      </c>
      <c r="G938" s="3">
        <v>0</v>
      </c>
      <c r="H938" s="3">
        <v>0</v>
      </c>
      <c r="I938" s="3">
        <v>0</v>
      </c>
      <c r="J938" s="4">
        <v>986</v>
      </c>
      <c r="K938" s="3">
        <v>4</v>
      </c>
      <c r="L938" s="3" t="s">
        <v>323</v>
      </c>
      <c r="M938" s="3">
        <v>407</v>
      </c>
      <c r="N938" s="4" t="s">
        <v>1370</v>
      </c>
      <c r="O938" s="3">
        <v>0</v>
      </c>
      <c r="P938" s="3"/>
      <c r="Q938" s="3" t="s">
        <v>272</v>
      </c>
      <c r="R938" s="3" t="s">
        <v>1650</v>
      </c>
      <c r="S938" s="3" t="s">
        <v>1650</v>
      </c>
      <c r="T938" s="3">
        <v>10</v>
      </c>
      <c r="U938" s="3">
        <v>0</v>
      </c>
      <c r="V938" s="6">
        <v>100</v>
      </c>
      <c r="W938" s="7"/>
      <c r="X938" s="30" t="s">
        <v>1631</v>
      </c>
      <c r="Y938" s="3" t="s">
        <v>252</v>
      </c>
    </row>
    <row r="939" spans="1:25" x14ac:dyDescent="0.15">
      <c r="A939" s="29">
        <v>407100</v>
      </c>
      <c r="B939" s="30" t="s">
        <v>1632</v>
      </c>
      <c r="C939" s="6">
        <v>0</v>
      </c>
      <c r="D939" s="3">
        <v>0</v>
      </c>
      <c r="E939" s="3">
        <v>0</v>
      </c>
      <c r="F939" s="3">
        <v>0</v>
      </c>
      <c r="G939" s="3">
        <v>0</v>
      </c>
      <c r="H939" s="3">
        <v>0</v>
      </c>
      <c r="I939" s="3">
        <v>0</v>
      </c>
      <c r="J939" s="4">
        <v>987</v>
      </c>
      <c r="K939" s="3">
        <v>4</v>
      </c>
      <c r="L939" s="3" t="s">
        <v>323</v>
      </c>
      <c r="M939" s="3">
        <v>407</v>
      </c>
      <c r="N939" s="4" t="s">
        <v>1370</v>
      </c>
      <c r="O939" s="3">
        <v>0</v>
      </c>
      <c r="P939" s="3"/>
      <c r="Q939" s="3" t="s">
        <v>272</v>
      </c>
      <c r="R939" s="3" t="s">
        <v>1651</v>
      </c>
      <c r="S939" s="3" t="s">
        <v>1651</v>
      </c>
      <c r="T939" s="3">
        <v>10</v>
      </c>
      <c r="U939" s="3">
        <v>0</v>
      </c>
      <c r="V939" s="6">
        <v>100</v>
      </c>
      <c r="W939" s="7"/>
      <c r="X939" s="30" t="s">
        <v>1632</v>
      </c>
      <c r="Y939" s="3" t="s">
        <v>252</v>
      </c>
    </row>
    <row r="940" spans="1:25" x14ac:dyDescent="0.15">
      <c r="A940" s="29">
        <v>407101</v>
      </c>
      <c r="B940" s="30" t="s">
        <v>1633</v>
      </c>
      <c r="C940" s="6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4">
        <v>988</v>
      </c>
      <c r="K940" s="3">
        <v>4</v>
      </c>
      <c r="L940" s="3" t="s">
        <v>323</v>
      </c>
      <c r="M940" s="3">
        <v>407</v>
      </c>
      <c r="N940" s="4" t="s">
        <v>1370</v>
      </c>
      <c r="O940" s="3">
        <v>0</v>
      </c>
      <c r="P940" s="3"/>
      <c r="Q940" s="3" t="s">
        <v>272</v>
      </c>
      <c r="R940" s="3" t="s">
        <v>1652</v>
      </c>
      <c r="S940" s="3" t="s">
        <v>1652</v>
      </c>
      <c r="T940" s="3">
        <v>10</v>
      </c>
      <c r="U940" s="3">
        <v>0</v>
      </c>
      <c r="V940" s="6">
        <v>100</v>
      </c>
      <c r="W940" s="7"/>
      <c r="X940" s="30" t="s">
        <v>1633</v>
      </c>
      <c r="Y940" s="3" t="s">
        <v>252</v>
      </c>
    </row>
    <row r="941" spans="1:25" x14ac:dyDescent="0.15">
      <c r="A941" s="29">
        <v>407102</v>
      </c>
      <c r="B941" s="30" t="s">
        <v>1634</v>
      </c>
      <c r="C941" s="6">
        <v>0</v>
      </c>
      <c r="D941" s="3">
        <v>0</v>
      </c>
      <c r="E941" s="3">
        <v>0</v>
      </c>
      <c r="F941" s="3">
        <v>0</v>
      </c>
      <c r="G941" s="3">
        <v>0</v>
      </c>
      <c r="H941" s="3">
        <v>0</v>
      </c>
      <c r="I941" s="3">
        <v>0</v>
      </c>
      <c r="J941" s="4">
        <v>989</v>
      </c>
      <c r="K941" s="3">
        <v>4</v>
      </c>
      <c r="L941" s="3" t="s">
        <v>323</v>
      </c>
      <c r="M941" s="3">
        <v>407</v>
      </c>
      <c r="N941" s="4" t="s">
        <v>1370</v>
      </c>
      <c r="O941" s="3">
        <v>0</v>
      </c>
      <c r="P941" s="3"/>
      <c r="Q941" s="3" t="s">
        <v>272</v>
      </c>
      <c r="R941" s="3" t="s">
        <v>1653</v>
      </c>
      <c r="S941" s="3" t="s">
        <v>1653</v>
      </c>
      <c r="T941" s="3">
        <v>10</v>
      </c>
      <c r="U941" s="3">
        <v>0</v>
      </c>
      <c r="V941" s="6">
        <v>100</v>
      </c>
      <c r="W941" s="7"/>
      <c r="X941" s="30" t="s">
        <v>1634</v>
      </c>
      <c r="Y941" s="3" t="s">
        <v>252</v>
      </c>
    </row>
    <row r="942" spans="1:25" x14ac:dyDescent="0.15">
      <c r="A942" s="29">
        <v>407103</v>
      </c>
      <c r="B942" s="30" t="s">
        <v>1635</v>
      </c>
      <c r="C942" s="6">
        <v>0</v>
      </c>
      <c r="D942" s="3">
        <v>0</v>
      </c>
      <c r="E942" s="3">
        <v>0</v>
      </c>
      <c r="F942" s="3">
        <v>0</v>
      </c>
      <c r="G942" s="3">
        <v>0</v>
      </c>
      <c r="H942" s="3">
        <v>0</v>
      </c>
      <c r="I942" s="3">
        <v>0</v>
      </c>
      <c r="J942" s="4">
        <v>990</v>
      </c>
      <c r="K942" s="3">
        <v>4</v>
      </c>
      <c r="L942" s="3" t="s">
        <v>323</v>
      </c>
      <c r="M942" s="3">
        <v>407</v>
      </c>
      <c r="N942" s="4" t="s">
        <v>1370</v>
      </c>
      <c r="O942" s="3">
        <v>0</v>
      </c>
      <c r="P942" s="3"/>
      <c r="Q942" s="3" t="s">
        <v>272</v>
      </c>
      <c r="R942" s="3" t="s">
        <v>1654</v>
      </c>
      <c r="S942" s="3" t="s">
        <v>1654</v>
      </c>
      <c r="T942" s="3">
        <v>10</v>
      </c>
      <c r="U942" s="3">
        <v>0</v>
      </c>
      <c r="V942" s="6">
        <v>100</v>
      </c>
      <c r="W942" s="7"/>
      <c r="X942" s="30" t="s">
        <v>1635</v>
      </c>
      <c r="Y942" s="3" t="s">
        <v>252</v>
      </c>
    </row>
    <row r="943" spans="1:25" x14ac:dyDescent="0.15">
      <c r="A943" s="29">
        <v>407104</v>
      </c>
      <c r="B943" s="30" t="s">
        <v>1636</v>
      </c>
      <c r="C943" s="6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4">
        <v>991</v>
      </c>
      <c r="K943" s="3">
        <v>4</v>
      </c>
      <c r="L943" s="3" t="s">
        <v>323</v>
      </c>
      <c r="M943" s="3">
        <v>407</v>
      </c>
      <c r="N943" s="4" t="s">
        <v>1370</v>
      </c>
      <c r="O943" s="3">
        <v>0</v>
      </c>
      <c r="P943" s="3"/>
      <c r="Q943" s="3" t="s">
        <v>272</v>
      </c>
      <c r="R943" s="3" t="s">
        <v>1655</v>
      </c>
      <c r="S943" s="3" t="s">
        <v>1655</v>
      </c>
      <c r="T943" s="3">
        <v>10</v>
      </c>
      <c r="U943" s="3">
        <v>0</v>
      </c>
      <c r="V943" s="6">
        <v>100</v>
      </c>
      <c r="W943" s="7"/>
      <c r="X943" s="30" t="s">
        <v>1636</v>
      </c>
      <c r="Y943" s="3" t="s">
        <v>252</v>
      </c>
    </row>
    <row r="944" spans="1:25" x14ac:dyDescent="0.15">
      <c r="A944" s="29">
        <v>407105</v>
      </c>
      <c r="B944" s="30" t="s">
        <v>1637</v>
      </c>
      <c r="C944" s="6">
        <v>0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4">
        <v>992</v>
      </c>
      <c r="K944" s="3">
        <v>4</v>
      </c>
      <c r="L944" s="3" t="s">
        <v>323</v>
      </c>
      <c r="M944" s="3">
        <v>407</v>
      </c>
      <c r="N944" s="4" t="s">
        <v>1370</v>
      </c>
      <c r="O944" s="3">
        <v>0</v>
      </c>
      <c r="P944" s="3"/>
      <c r="Q944" s="3" t="s">
        <v>272</v>
      </c>
      <c r="R944" s="3" t="s">
        <v>1656</v>
      </c>
      <c r="S944" s="3" t="s">
        <v>1656</v>
      </c>
      <c r="T944" s="3">
        <v>10</v>
      </c>
      <c r="U944" s="3">
        <v>0</v>
      </c>
      <c r="V944" s="6">
        <v>100</v>
      </c>
      <c r="W944" s="7"/>
      <c r="X944" s="30" t="s">
        <v>1637</v>
      </c>
      <c r="Y944" s="3" t="s">
        <v>252</v>
      </c>
    </row>
    <row r="945" spans="1:25" x14ac:dyDescent="0.15">
      <c r="A945" s="29">
        <v>407106</v>
      </c>
      <c r="B945" s="30" t="s">
        <v>1638</v>
      </c>
      <c r="C945" s="6">
        <v>0</v>
      </c>
      <c r="D945" s="3">
        <v>0</v>
      </c>
      <c r="E945" s="3">
        <v>0</v>
      </c>
      <c r="F945" s="3">
        <v>0</v>
      </c>
      <c r="G945" s="3">
        <v>0</v>
      </c>
      <c r="H945" s="3">
        <v>0</v>
      </c>
      <c r="I945" s="3">
        <v>0</v>
      </c>
      <c r="J945" s="4">
        <v>993</v>
      </c>
      <c r="K945" s="3">
        <v>4</v>
      </c>
      <c r="L945" s="3" t="s">
        <v>323</v>
      </c>
      <c r="M945" s="3">
        <v>407</v>
      </c>
      <c r="N945" s="4" t="s">
        <v>1370</v>
      </c>
      <c r="O945" s="3">
        <v>0</v>
      </c>
      <c r="P945" s="3"/>
      <c r="Q945" s="3" t="s">
        <v>272</v>
      </c>
      <c r="R945" s="3" t="s">
        <v>1657</v>
      </c>
      <c r="S945" s="3" t="s">
        <v>1657</v>
      </c>
      <c r="T945" s="3">
        <v>10</v>
      </c>
      <c r="U945" s="3">
        <v>0</v>
      </c>
      <c r="V945" s="6">
        <v>100</v>
      </c>
      <c r="W945" s="7"/>
      <c r="X945" s="30" t="s">
        <v>1638</v>
      </c>
      <c r="Y945" s="3" t="s">
        <v>252</v>
      </c>
    </row>
    <row r="946" spans="1:25" x14ac:dyDescent="0.15">
      <c r="A946" s="29">
        <v>407107</v>
      </c>
      <c r="B946" s="30" t="s">
        <v>1630</v>
      </c>
      <c r="C946" s="6">
        <v>0</v>
      </c>
      <c r="D946" s="3">
        <v>0</v>
      </c>
      <c r="E946" s="3">
        <v>0</v>
      </c>
      <c r="F946" s="3">
        <v>0</v>
      </c>
      <c r="G946" s="3">
        <v>0</v>
      </c>
      <c r="H946" s="3">
        <v>0</v>
      </c>
      <c r="I946" s="3">
        <v>0</v>
      </c>
      <c r="J946" s="4">
        <v>985</v>
      </c>
      <c r="K946" s="3">
        <v>4</v>
      </c>
      <c r="L946" s="3" t="s">
        <v>323</v>
      </c>
      <c r="M946" s="3">
        <v>407</v>
      </c>
      <c r="N946" s="4" t="s">
        <v>1370</v>
      </c>
      <c r="O946" s="3">
        <v>0</v>
      </c>
      <c r="P946" s="3"/>
      <c r="Q946" s="3" t="s">
        <v>272</v>
      </c>
      <c r="R946" s="3" t="s">
        <v>1658</v>
      </c>
      <c r="S946" s="3" t="s">
        <v>1658</v>
      </c>
      <c r="T946" s="3">
        <v>10</v>
      </c>
      <c r="U946" s="3">
        <v>0</v>
      </c>
      <c r="V946" s="6">
        <v>100</v>
      </c>
      <c r="W946" s="7"/>
      <c r="X946" s="30" t="s">
        <v>1630</v>
      </c>
      <c r="Y946" s="3" t="s">
        <v>252</v>
      </c>
    </row>
    <row r="947" spans="1:25" x14ac:dyDescent="0.15">
      <c r="A947" s="29">
        <v>407108</v>
      </c>
      <c r="B947" s="30" t="s">
        <v>1631</v>
      </c>
      <c r="C947" s="6">
        <v>0</v>
      </c>
      <c r="D947" s="3">
        <v>0</v>
      </c>
      <c r="E947" s="3">
        <v>0</v>
      </c>
      <c r="F947" s="3">
        <v>0</v>
      </c>
      <c r="G947" s="3">
        <v>0</v>
      </c>
      <c r="H947" s="3">
        <v>0</v>
      </c>
      <c r="I947" s="3">
        <v>0</v>
      </c>
      <c r="J947" s="4">
        <v>986</v>
      </c>
      <c r="K947" s="3">
        <v>4</v>
      </c>
      <c r="L947" s="3" t="s">
        <v>323</v>
      </c>
      <c r="M947" s="3">
        <v>407</v>
      </c>
      <c r="N947" s="4" t="s">
        <v>1370</v>
      </c>
      <c r="O947" s="3">
        <v>0</v>
      </c>
      <c r="P947" s="3"/>
      <c r="Q947" s="3" t="s">
        <v>272</v>
      </c>
      <c r="R947" s="3" t="s">
        <v>1659</v>
      </c>
      <c r="S947" s="3" t="s">
        <v>1659</v>
      </c>
      <c r="T947" s="3">
        <v>10</v>
      </c>
      <c r="U947" s="3">
        <v>0</v>
      </c>
      <c r="V947" s="6">
        <v>100</v>
      </c>
      <c r="W947" s="7"/>
      <c r="X947" s="30" t="s">
        <v>1631</v>
      </c>
      <c r="Y947" s="3" t="s">
        <v>252</v>
      </c>
    </row>
    <row r="948" spans="1:25" x14ac:dyDescent="0.15">
      <c r="A948" s="29">
        <v>407109</v>
      </c>
      <c r="B948" s="30" t="s">
        <v>1632</v>
      </c>
      <c r="C948" s="6">
        <v>0</v>
      </c>
      <c r="D948" s="3">
        <v>0</v>
      </c>
      <c r="E948" s="3">
        <v>0</v>
      </c>
      <c r="F948" s="3">
        <v>0</v>
      </c>
      <c r="G948" s="3">
        <v>0</v>
      </c>
      <c r="H948" s="3">
        <v>0</v>
      </c>
      <c r="I948" s="3">
        <v>0</v>
      </c>
      <c r="J948" s="4">
        <v>987</v>
      </c>
      <c r="K948" s="3">
        <v>4</v>
      </c>
      <c r="L948" s="3" t="s">
        <v>323</v>
      </c>
      <c r="M948" s="3">
        <v>407</v>
      </c>
      <c r="N948" s="4" t="s">
        <v>1370</v>
      </c>
      <c r="O948" s="3">
        <v>0</v>
      </c>
      <c r="P948" s="3"/>
      <c r="Q948" s="3" t="s">
        <v>272</v>
      </c>
      <c r="R948" s="3" t="s">
        <v>1660</v>
      </c>
      <c r="S948" s="3" t="s">
        <v>1660</v>
      </c>
      <c r="T948" s="3">
        <v>10</v>
      </c>
      <c r="U948" s="3">
        <v>0</v>
      </c>
      <c r="V948" s="6">
        <v>100</v>
      </c>
      <c r="W948" s="7"/>
      <c r="X948" s="30" t="s">
        <v>1632</v>
      </c>
      <c r="Y948" s="3" t="s">
        <v>252</v>
      </c>
    </row>
    <row r="949" spans="1:25" x14ac:dyDescent="0.15">
      <c r="A949" s="29">
        <v>407110</v>
      </c>
      <c r="B949" s="30" t="s">
        <v>1633</v>
      </c>
      <c r="C949" s="6">
        <v>0</v>
      </c>
      <c r="D949" s="3">
        <v>0</v>
      </c>
      <c r="E949" s="3">
        <v>0</v>
      </c>
      <c r="F949" s="3">
        <v>0</v>
      </c>
      <c r="G949" s="3">
        <v>0</v>
      </c>
      <c r="H949" s="3">
        <v>0</v>
      </c>
      <c r="I949" s="3">
        <v>0</v>
      </c>
      <c r="J949" s="4">
        <v>988</v>
      </c>
      <c r="K949" s="3">
        <v>4</v>
      </c>
      <c r="L949" s="3" t="s">
        <v>323</v>
      </c>
      <c r="M949" s="3">
        <v>407</v>
      </c>
      <c r="N949" s="4" t="s">
        <v>1370</v>
      </c>
      <c r="O949" s="3">
        <v>0</v>
      </c>
      <c r="P949" s="3"/>
      <c r="Q949" s="3" t="s">
        <v>272</v>
      </c>
      <c r="R949" s="3" t="s">
        <v>1661</v>
      </c>
      <c r="S949" s="3" t="s">
        <v>1661</v>
      </c>
      <c r="T949" s="3">
        <v>10</v>
      </c>
      <c r="U949" s="3">
        <v>0</v>
      </c>
      <c r="V949" s="6">
        <v>100</v>
      </c>
      <c r="W949" s="7"/>
      <c r="X949" s="30" t="s">
        <v>1633</v>
      </c>
      <c r="Y949" s="3" t="s">
        <v>252</v>
      </c>
    </row>
    <row r="950" spans="1:25" x14ac:dyDescent="0.15">
      <c r="A950" s="29">
        <v>407111</v>
      </c>
      <c r="B950" s="30" t="s">
        <v>1634</v>
      </c>
      <c r="C950" s="6">
        <v>0</v>
      </c>
      <c r="D950" s="3">
        <v>0</v>
      </c>
      <c r="E950" s="3">
        <v>0</v>
      </c>
      <c r="F950" s="3">
        <v>0</v>
      </c>
      <c r="G950" s="3">
        <v>0</v>
      </c>
      <c r="H950" s="3">
        <v>0</v>
      </c>
      <c r="I950" s="3">
        <v>0</v>
      </c>
      <c r="J950" s="4">
        <v>989</v>
      </c>
      <c r="K950" s="3">
        <v>4</v>
      </c>
      <c r="L950" s="3" t="s">
        <v>323</v>
      </c>
      <c r="M950" s="3">
        <v>407</v>
      </c>
      <c r="N950" s="4" t="s">
        <v>1370</v>
      </c>
      <c r="O950" s="3">
        <v>0</v>
      </c>
      <c r="P950" s="3"/>
      <c r="Q950" s="3" t="s">
        <v>272</v>
      </c>
      <c r="R950" s="3" t="s">
        <v>1662</v>
      </c>
      <c r="S950" s="3" t="s">
        <v>1662</v>
      </c>
      <c r="T950" s="3">
        <v>10</v>
      </c>
      <c r="U950" s="3">
        <v>0</v>
      </c>
      <c r="V950" s="6">
        <v>100</v>
      </c>
      <c r="W950" s="7"/>
      <c r="X950" s="30" t="s">
        <v>1634</v>
      </c>
      <c r="Y950" s="3" t="s">
        <v>252</v>
      </c>
    </row>
    <row r="951" spans="1:25" x14ac:dyDescent="0.15">
      <c r="A951" s="29">
        <v>407112</v>
      </c>
      <c r="B951" s="30" t="s">
        <v>1635</v>
      </c>
      <c r="C951" s="6">
        <v>0</v>
      </c>
      <c r="D951" s="3">
        <v>0</v>
      </c>
      <c r="E951" s="3">
        <v>0</v>
      </c>
      <c r="F951" s="3">
        <v>0</v>
      </c>
      <c r="G951" s="3">
        <v>0</v>
      </c>
      <c r="H951" s="3">
        <v>0</v>
      </c>
      <c r="I951" s="3">
        <v>0</v>
      </c>
      <c r="J951" s="4">
        <v>990</v>
      </c>
      <c r="K951" s="3">
        <v>4</v>
      </c>
      <c r="L951" s="3" t="s">
        <v>323</v>
      </c>
      <c r="M951" s="3">
        <v>407</v>
      </c>
      <c r="N951" s="4" t="s">
        <v>1370</v>
      </c>
      <c r="O951" s="3">
        <v>0</v>
      </c>
      <c r="P951" s="3"/>
      <c r="Q951" s="3" t="s">
        <v>272</v>
      </c>
      <c r="R951" s="3" t="s">
        <v>1663</v>
      </c>
      <c r="S951" s="3" t="s">
        <v>1663</v>
      </c>
      <c r="T951" s="3">
        <v>10</v>
      </c>
      <c r="U951" s="3">
        <v>0</v>
      </c>
      <c r="V951" s="6">
        <v>100</v>
      </c>
      <c r="W951" s="7"/>
      <c r="X951" s="30" t="s">
        <v>1635</v>
      </c>
      <c r="Y951" s="3" t="s">
        <v>252</v>
      </c>
    </row>
    <row r="952" spans="1:25" x14ac:dyDescent="0.15">
      <c r="A952" s="29">
        <v>407113</v>
      </c>
      <c r="B952" s="30" t="s">
        <v>1636</v>
      </c>
      <c r="C952" s="6">
        <v>0</v>
      </c>
      <c r="D952" s="3">
        <v>0</v>
      </c>
      <c r="E952" s="3">
        <v>0</v>
      </c>
      <c r="F952" s="3">
        <v>0</v>
      </c>
      <c r="G952" s="3">
        <v>0</v>
      </c>
      <c r="H952" s="3">
        <v>0</v>
      </c>
      <c r="I952" s="3">
        <v>0</v>
      </c>
      <c r="J952" s="4">
        <v>991</v>
      </c>
      <c r="K952" s="3">
        <v>4</v>
      </c>
      <c r="L952" s="3" t="s">
        <v>323</v>
      </c>
      <c r="M952" s="3">
        <v>407</v>
      </c>
      <c r="N952" s="4" t="s">
        <v>1370</v>
      </c>
      <c r="O952" s="3">
        <v>0</v>
      </c>
      <c r="P952" s="3"/>
      <c r="Q952" s="3" t="s">
        <v>272</v>
      </c>
      <c r="R952" s="3" t="s">
        <v>1664</v>
      </c>
      <c r="S952" s="3" t="s">
        <v>1664</v>
      </c>
      <c r="T952" s="3">
        <v>10</v>
      </c>
      <c r="U952" s="3">
        <v>0</v>
      </c>
      <c r="V952" s="6">
        <v>100</v>
      </c>
      <c r="W952" s="7"/>
      <c r="X952" s="30" t="s">
        <v>1636</v>
      </c>
      <c r="Y952" s="3" t="s">
        <v>252</v>
      </c>
    </row>
    <row r="953" spans="1:25" x14ac:dyDescent="0.15">
      <c r="A953" s="29">
        <v>407114</v>
      </c>
      <c r="B953" s="30" t="s">
        <v>1637</v>
      </c>
      <c r="C953" s="6">
        <v>0</v>
      </c>
      <c r="D953" s="3">
        <v>0</v>
      </c>
      <c r="E953" s="3">
        <v>0</v>
      </c>
      <c r="F953" s="3">
        <v>0</v>
      </c>
      <c r="G953" s="3">
        <v>0</v>
      </c>
      <c r="H953" s="3">
        <v>0</v>
      </c>
      <c r="I953" s="3">
        <v>0</v>
      </c>
      <c r="J953" s="4">
        <v>992</v>
      </c>
      <c r="K953" s="3">
        <v>4</v>
      </c>
      <c r="L953" s="3" t="s">
        <v>323</v>
      </c>
      <c r="M953" s="3">
        <v>407</v>
      </c>
      <c r="N953" s="4" t="s">
        <v>1370</v>
      </c>
      <c r="O953" s="3">
        <v>0</v>
      </c>
      <c r="P953" s="3"/>
      <c r="Q953" s="3" t="s">
        <v>272</v>
      </c>
      <c r="R953" s="3" t="s">
        <v>1665</v>
      </c>
      <c r="S953" s="3" t="s">
        <v>1665</v>
      </c>
      <c r="T953" s="3">
        <v>10</v>
      </c>
      <c r="U953" s="3">
        <v>0</v>
      </c>
      <c r="V953" s="6">
        <v>100</v>
      </c>
      <c r="W953" s="7"/>
      <c r="X953" s="30" t="s">
        <v>1637</v>
      </c>
      <c r="Y953" s="3" t="s">
        <v>252</v>
      </c>
    </row>
    <row r="954" spans="1:25" x14ac:dyDescent="0.15">
      <c r="A954" s="29">
        <v>407115</v>
      </c>
      <c r="B954" s="30" t="s">
        <v>1638</v>
      </c>
      <c r="C954" s="6">
        <v>0</v>
      </c>
      <c r="D954" s="3">
        <v>0</v>
      </c>
      <c r="E954" s="3">
        <v>0</v>
      </c>
      <c r="F954" s="3">
        <v>0</v>
      </c>
      <c r="G954" s="3">
        <v>0</v>
      </c>
      <c r="H954" s="3">
        <v>0</v>
      </c>
      <c r="I954" s="3">
        <v>0</v>
      </c>
      <c r="J954" s="4">
        <v>993</v>
      </c>
      <c r="K954" s="3">
        <v>4</v>
      </c>
      <c r="L954" s="3" t="s">
        <v>323</v>
      </c>
      <c r="M954" s="3">
        <v>407</v>
      </c>
      <c r="N954" s="4" t="s">
        <v>1370</v>
      </c>
      <c r="O954" s="3">
        <v>0</v>
      </c>
      <c r="P954" s="3"/>
      <c r="Q954" s="3" t="s">
        <v>272</v>
      </c>
      <c r="R954" s="3" t="s">
        <v>1667</v>
      </c>
      <c r="S954" s="3" t="s">
        <v>1666</v>
      </c>
      <c r="T954" s="3">
        <v>10</v>
      </c>
      <c r="U954" s="3">
        <v>0</v>
      </c>
      <c r="V954" s="6">
        <v>100</v>
      </c>
      <c r="W954" s="7"/>
      <c r="X954" s="30" t="s">
        <v>1638</v>
      </c>
      <c r="Y954" s="3" t="s">
        <v>252</v>
      </c>
    </row>
    <row r="955" spans="1:25" x14ac:dyDescent="0.15">
      <c r="A955" s="29">
        <v>407116</v>
      </c>
      <c r="B955" s="30" t="s">
        <v>1630</v>
      </c>
      <c r="C955" s="6">
        <v>0</v>
      </c>
      <c r="D955" s="3">
        <v>0</v>
      </c>
      <c r="E955" s="3">
        <v>0</v>
      </c>
      <c r="F955" s="3">
        <v>0</v>
      </c>
      <c r="G955" s="3">
        <v>0</v>
      </c>
      <c r="H955" s="3">
        <v>0</v>
      </c>
      <c r="I955" s="3">
        <v>0</v>
      </c>
      <c r="J955" s="4">
        <v>985</v>
      </c>
      <c r="K955" s="3">
        <v>4</v>
      </c>
      <c r="L955" s="3" t="s">
        <v>323</v>
      </c>
      <c r="M955" s="3">
        <v>407</v>
      </c>
      <c r="N955" s="4" t="s">
        <v>1370</v>
      </c>
      <c r="O955" s="3">
        <v>0</v>
      </c>
      <c r="P955" s="3"/>
      <c r="Q955" s="3" t="s">
        <v>272</v>
      </c>
      <c r="R955" s="3" t="s">
        <v>1668</v>
      </c>
      <c r="S955" s="3" t="s">
        <v>1668</v>
      </c>
      <c r="T955" s="3">
        <v>10</v>
      </c>
      <c r="U955" s="3">
        <v>0</v>
      </c>
      <c r="V955" s="6">
        <v>100</v>
      </c>
      <c r="W955" s="7"/>
      <c r="X955" s="30" t="s">
        <v>1630</v>
      </c>
      <c r="Y955" s="3" t="s">
        <v>252</v>
      </c>
    </row>
    <row r="956" spans="1:25" x14ac:dyDescent="0.15">
      <c r="A956" s="29">
        <v>407117</v>
      </c>
      <c r="B956" s="30" t="s">
        <v>1631</v>
      </c>
      <c r="C956" s="6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4">
        <v>986</v>
      </c>
      <c r="K956" s="3">
        <v>4</v>
      </c>
      <c r="L956" s="3" t="s">
        <v>323</v>
      </c>
      <c r="M956" s="3">
        <v>407</v>
      </c>
      <c r="N956" s="4" t="s">
        <v>1370</v>
      </c>
      <c r="O956" s="3">
        <v>0</v>
      </c>
      <c r="P956" s="3"/>
      <c r="Q956" s="3" t="s">
        <v>272</v>
      </c>
      <c r="R956" s="3" t="s">
        <v>1669</v>
      </c>
      <c r="S956" s="3" t="s">
        <v>1669</v>
      </c>
      <c r="T956" s="3">
        <v>10</v>
      </c>
      <c r="U956" s="3">
        <v>0</v>
      </c>
      <c r="V956" s="6">
        <v>100</v>
      </c>
      <c r="W956" s="7"/>
      <c r="X956" s="30" t="s">
        <v>1631</v>
      </c>
      <c r="Y956" s="3" t="s">
        <v>252</v>
      </c>
    </row>
    <row r="957" spans="1:25" x14ac:dyDescent="0.15">
      <c r="A957" s="29">
        <v>407118</v>
      </c>
      <c r="B957" s="30" t="s">
        <v>1632</v>
      </c>
      <c r="C957" s="6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4">
        <v>987</v>
      </c>
      <c r="K957" s="3">
        <v>4</v>
      </c>
      <c r="L957" s="3" t="s">
        <v>323</v>
      </c>
      <c r="M957" s="3">
        <v>407</v>
      </c>
      <c r="N957" s="4" t="s">
        <v>1370</v>
      </c>
      <c r="O957" s="3">
        <v>0</v>
      </c>
      <c r="P957" s="3"/>
      <c r="Q957" s="3" t="s">
        <v>272</v>
      </c>
      <c r="R957" s="3" t="s">
        <v>1670</v>
      </c>
      <c r="S957" s="3" t="s">
        <v>1670</v>
      </c>
      <c r="T957" s="3">
        <v>10</v>
      </c>
      <c r="U957" s="3">
        <v>0</v>
      </c>
      <c r="V957" s="6">
        <v>100</v>
      </c>
      <c r="W957" s="7"/>
      <c r="X957" s="30" t="s">
        <v>1632</v>
      </c>
      <c r="Y957" s="3" t="s">
        <v>252</v>
      </c>
    </row>
    <row r="958" spans="1:25" x14ac:dyDescent="0.15">
      <c r="A958" s="29">
        <v>407119</v>
      </c>
      <c r="B958" s="30" t="s">
        <v>1633</v>
      </c>
      <c r="C958" s="6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0</v>
      </c>
      <c r="J958" s="4">
        <v>988</v>
      </c>
      <c r="K958" s="3">
        <v>4</v>
      </c>
      <c r="L958" s="3" t="s">
        <v>323</v>
      </c>
      <c r="M958" s="3">
        <v>407</v>
      </c>
      <c r="N958" s="4" t="s">
        <v>1370</v>
      </c>
      <c r="O958" s="3">
        <v>0</v>
      </c>
      <c r="P958" s="3"/>
      <c r="Q958" s="3" t="s">
        <v>272</v>
      </c>
      <c r="R958" s="3" t="s">
        <v>1671</v>
      </c>
      <c r="S958" s="3" t="s">
        <v>1671</v>
      </c>
      <c r="T958" s="3">
        <v>10</v>
      </c>
      <c r="U958" s="3">
        <v>0</v>
      </c>
      <c r="V958" s="6">
        <v>100</v>
      </c>
      <c r="W958" s="7"/>
      <c r="X958" s="30" t="s">
        <v>1633</v>
      </c>
      <c r="Y958" s="3" t="s">
        <v>252</v>
      </c>
    </row>
    <row r="959" spans="1:25" x14ac:dyDescent="0.15">
      <c r="A959" s="29">
        <v>407120</v>
      </c>
      <c r="B959" s="30" t="s">
        <v>1634</v>
      </c>
      <c r="C959" s="6">
        <v>0</v>
      </c>
      <c r="D959" s="3">
        <v>0</v>
      </c>
      <c r="E959" s="3">
        <v>0</v>
      </c>
      <c r="F959" s="3">
        <v>0</v>
      </c>
      <c r="G959" s="3">
        <v>0</v>
      </c>
      <c r="H959" s="3">
        <v>0</v>
      </c>
      <c r="I959" s="3">
        <v>0</v>
      </c>
      <c r="J959" s="4">
        <v>989</v>
      </c>
      <c r="K959" s="3">
        <v>4</v>
      </c>
      <c r="L959" s="3" t="s">
        <v>323</v>
      </c>
      <c r="M959" s="3">
        <v>407</v>
      </c>
      <c r="N959" s="4" t="s">
        <v>1370</v>
      </c>
      <c r="O959" s="3">
        <v>0</v>
      </c>
      <c r="P959" s="3"/>
      <c r="Q959" s="3" t="s">
        <v>272</v>
      </c>
      <c r="R959" s="3" t="s">
        <v>1672</v>
      </c>
      <c r="S959" s="3" t="s">
        <v>1672</v>
      </c>
      <c r="T959" s="3">
        <v>10</v>
      </c>
      <c r="U959" s="3">
        <v>0</v>
      </c>
      <c r="V959" s="6">
        <v>100</v>
      </c>
      <c r="W959" s="7"/>
      <c r="X959" s="30" t="s">
        <v>1634</v>
      </c>
      <c r="Y959" s="3" t="s">
        <v>252</v>
      </c>
    </row>
    <row r="960" spans="1:25" x14ac:dyDescent="0.15">
      <c r="A960" s="29">
        <v>407121</v>
      </c>
      <c r="B960" s="30" t="s">
        <v>1635</v>
      </c>
      <c r="C960" s="6">
        <v>0</v>
      </c>
      <c r="D960" s="3">
        <v>0</v>
      </c>
      <c r="E960" s="3">
        <v>0</v>
      </c>
      <c r="F960" s="3">
        <v>0</v>
      </c>
      <c r="G960" s="3">
        <v>0</v>
      </c>
      <c r="H960" s="3">
        <v>0</v>
      </c>
      <c r="I960" s="3">
        <v>0</v>
      </c>
      <c r="J960" s="4">
        <v>990</v>
      </c>
      <c r="K960" s="3">
        <v>4</v>
      </c>
      <c r="L960" s="3" t="s">
        <v>323</v>
      </c>
      <c r="M960" s="3">
        <v>407</v>
      </c>
      <c r="N960" s="4" t="s">
        <v>1370</v>
      </c>
      <c r="O960" s="3">
        <v>0</v>
      </c>
      <c r="P960" s="3"/>
      <c r="Q960" s="3" t="s">
        <v>272</v>
      </c>
      <c r="R960" s="3" t="s">
        <v>1673</v>
      </c>
      <c r="S960" s="3" t="s">
        <v>1673</v>
      </c>
      <c r="T960" s="3">
        <v>10</v>
      </c>
      <c r="U960" s="3">
        <v>0</v>
      </c>
      <c r="V960" s="6">
        <v>100</v>
      </c>
      <c r="W960" s="7"/>
      <c r="X960" s="30" t="s">
        <v>1635</v>
      </c>
      <c r="Y960" s="3" t="s">
        <v>252</v>
      </c>
    </row>
    <row r="961" spans="1:25" x14ac:dyDescent="0.15">
      <c r="A961" s="29">
        <v>407122</v>
      </c>
      <c r="B961" s="30" t="s">
        <v>1636</v>
      </c>
      <c r="C961" s="6">
        <v>0</v>
      </c>
      <c r="D961" s="3">
        <v>0</v>
      </c>
      <c r="E961" s="3">
        <v>0</v>
      </c>
      <c r="F961" s="3">
        <v>0</v>
      </c>
      <c r="G961" s="3">
        <v>0</v>
      </c>
      <c r="H961" s="3">
        <v>0</v>
      </c>
      <c r="I961" s="3">
        <v>0</v>
      </c>
      <c r="J961" s="4">
        <v>991</v>
      </c>
      <c r="K961" s="3">
        <v>4</v>
      </c>
      <c r="L961" s="3" t="s">
        <v>323</v>
      </c>
      <c r="M961" s="3">
        <v>407</v>
      </c>
      <c r="N961" s="4" t="s">
        <v>1370</v>
      </c>
      <c r="O961" s="3">
        <v>0</v>
      </c>
      <c r="P961" s="3"/>
      <c r="Q961" s="3" t="s">
        <v>272</v>
      </c>
      <c r="R961" s="3" t="s">
        <v>1674</v>
      </c>
      <c r="S961" s="3" t="s">
        <v>1674</v>
      </c>
      <c r="T961" s="3">
        <v>10</v>
      </c>
      <c r="U961" s="3">
        <v>0</v>
      </c>
      <c r="V961" s="6">
        <v>100</v>
      </c>
      <c r="W961" s="7"/>
      <c r="X961" s="30" t="s">
        <v>1636</v>
      </c>
      <c r="Y961" s="3" t="s">
        <v>252</v>
      </c>
    </row>
    <row r="962" spans="1:25" x14ac:dyDescent="0.15">
      <c r="A962" s="29">
        <v>407123</v>
      </c>
      <c r="B962" s="30" t="s">
        <v>1637</v>
      </c>
      <c r="C962" s="6">
        <v>0</v>
      </c>
      <c r="D962" s="3">
        <v>0</v>
      </c>
      <c r="E962" s="3">
        <v>0</v>
      </c>
      <c r="F962" s="3">
        <v>0</v>
      </c>
      <c r="G962" s="3">
        <v>0</v>
      </c>
      <c r="H962" s="3">
        <v>0</v>
      </c>
      <c r="I962" s="3">
        <v>0</v>
      </c>
      <c r="J962" s="4">
        <v>992</v>
      </c>
      <c r="K962" s="3">
        <v>4</v>
      </c>
      <c r="L962" s="3" t="s">
        <v>323</v>
      </c>
      <c r="M962" s="3">
        <v>407</v>
      </c>
      <c r="N962" s="4" t="s">
        <v>1370</v>
      </c>
      <c r="O962" s="3">
        <v>0</v>
      </c>
      <c r="P962" s="3"/>
      <c r="Q962" s="3" t="s">
        <v>272</v>
      </c>
      <c r="R962" s="3" t="s">
        <v>1675</v>
      </c>
      <c r="S962" s="3" t="s">
        <v>1675</v>
      </c>
      <c r="T962" s="3">
        <v>10</v>
      </c>
      <c r="U962" s="3">
        <v>0</v>
      </c>
      <c r="V962" s="6">
        <v>100</v>
      </c>
      <c r="W962" s="7"/>
      <c r="X962" s="30" t="s">
        <v>1637</v>
      </c>
      <c r="Y962" s="3" t="s">
        <v>252</v>
      </c>
    </row>
    <row r="963" spans="1:25" x14ac:dyDescent="0.15">
      <c r="A963" s="29">
        <v>407124</v>
      </c>
      <c r="B963" s="30" t="s">
        <v>1638</v>
      </c>
      <c r="C963" s="6">
        <v>0</v>
      </c>
      <c r="D963" s="3">
        <v>0</v>
      </c>
      <c r="E963" s="3">
        <v>0</v>
      </c>
      <c r="F963" s="3">
        <v>0</v>
      </c>
      <c r="G963" s="3">
        <v>0</v>
      </c>
      <c r="H963" s="3">
        <v>0</v>
      </c>
      <c r="I963" s="3">
        <v>0</v>
      </c>
      <c r="J963" s="4">
        <v>993</v>
      </c>
      <c r="K963" s="3">
        <v>4</v>
      </c>
      <c r="L963" s="3" t="s">
        <v>323</v>
      </c>
      <c r="M963" s="3">
        <v>407</v>
      </c>
      <c r="N963" s="4" t="s">
        <v>1370</v>
      </c>
      <c r="O963" s="3">
        <v>0</v>
      </c>
      <c r="P963" s="3"/>
      <c r="Q963" s="3" t="s">
        <v>272</v>
      </c>
      <c r="R963" s="3" t="s">
        <v>1676</v>
      </c>
      <c r="S963" s="3" t="s">
        <v>1676</v>
      </c>
      <c r="T963" s="3">
        <v>10</v>
      </c>
      <c r="U963" s="3">
        <v>0</v>
      </c>
      <c r="V963" s="6">
        <v>100</v>
      </c>
      <c r="W963" s="7"/>
      <c r="X963" s="30" t="s">
        <v>1638</v>
      </c>
      <c r="Y963" s="3" t="s">
        <v>252</v>
      </c>
    </row>
    <row r="964" spans="1:25" x14ac:dyDescent="0.15">
      <c r="A964" s="3">
        <v>408011</v>
      </c>
      <c r="B964" s="3" t="s">
        <v>1514</v>
      </c>
      <c r="C964" s="6">
        <v>0</v>
      </c>
      <c r="D964" s="3">
        <v>0</v>
      </c>
      <c r="E964" s="3">
        <v>0</v>
      </c>
      <c r="F964" s="3">
        <v>0</v>
      </c>
      <c r="G964" s="3">
        <v>0</v>
      </c>
      <c r="H964" s="3">
        <v>0</v>
      </c>
      <c r="I964" s="3">
        <v>0</v>
      </c>
      <c r="J964" s="4">
        <v>994</v>
      </c>
      <c r="K964" s="3">
        <v>4</v>
      </c>
      <c r="L964" s="3" t="s">
        <v>323</v>
      </c>
      <c r="M964" s="3">
        <v>408</v>
      </c>
      <c r="N964" s="4" t="s">
        <v>1515</v>
      </c>
      <c r="O964" s="3">
        <v>0</v>
      </c>
      <c r="P964" s="3"/>
      <c r="Q964" s="3" t="s">
        <v>272</v>
      </c>
      <c r="R964" s="3" t="s">
        <v>1516</v>
      </c>
      <c r="S964" s="3" t="s">
        <v>1516</v>
      </c>
      <c r="T964" s="3">
        <v>10</v>
      </c>
      <c r="U964" s="3">
        <v>0</v>
      </c>
      <c r="V964" s="6">
        <v>100</v>
      </c>
      <c r="W964" s="7"/>
      <c r="X964" s="3" t="s">
        <v>1514</v>
      </c>
      <c r="Y964" s="3" t="s">
        <v>252</v>
      </c>
    </row>
    <row r="965" spans="1:25" x14ac:dyDescent="0.15">
      <c r="A965" s="3">
        <v>408012</v>
      </c>
      <c r="B965" s="3" t="s">
        <v>1517</v>
      </c>
      <c r="C965" s="6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4">
        <v>995</v>
      </c>
      <c r="K965" s="3">
        <v>4</v>
      </c>
      <c r="L965" s="3" t="s">
        <v>323</v>
      </c>
      <c r="M965" s="3">
        <v>408</v>
      </c>
      <c r="N965" s="4" t="s">
        <v>1515</v>
      </c>
      <c r="O965" s="3">
        <v>0</v>
      </c>
      <c r="P965" s="3"/>
      <c r="Q965" s="3" t="s">
        <v>272</v>
      </c>
      <c r="R965" s="3" t="s">
        <v>1518</v>
      </c>
      <c r="S965" s="3" t="s">
        <v>1518</v>
      </c>
      <c r="T965" s="3">
        <v>10</v>
      </c>
      <c r="U965" s="3">
        <v>0</v>
      </c>
      <c r="V965" s="6">
        <v>100</v>
      </c>
      <c r="W965" s="7"/>
      <c r="X965" s="3" t="s">
        <v>1517</v>
      </c>
      <c r="Y965" s="3" t="s">
        <v>252</v>
      </c>
    </row>
    <row r="966" spans="1:25" x14ac:dyDescent="0.15">
      <c r="A966" s="3">
        <v>408013</v>
      </c>
      <c r="B966" s="3" t="s">
        <v>1519</v>
      </c>
      <c r="C966" s="6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4">
        <v>996</v>
      </c>
      <c r="K966" s="3">
        <v>4</v>
      </c>
      <c r="L966" s="3" t="s">
        <v>323</v>
      </c>
      <c r="M966" s="3">
        <v>408</v>
      </c>
      <c r="N966" s="4" t="s">
        <v>1515</v>
      </c>
      <c r="O966" s="3">
        <v>0</v>
      </c>
      <c r="P966" s="3"/>
      <c r="Q966" s="3" t="s">
        <v>272</v>
      </c>
      <c r="R966" s="3" t="s">
        <v>1520</v>
      </c>
      <c r="S966" s="3" t="s">
        <v>1520</v>
      </c>
      <c r="T966" s="3">
        <v>10</v>
      </c>
      <c r="U966" s="3">
        <v>0</v>
      </c>
      <c r="V966" s="6">
        <v>100</v>
      </c>
      <c r="W966" s="7"/>
      <c r="X966" s="3" t="s">
        <v>1519</v>
      </c>
      <c r="Y966" s="3" t="s">
        <v>252</v>
      </c>
    </row>
    <row r="967" spans="1:25" x14ac:dyDescent="0.15">
      <c r="A967" s="3">
        <v>408014</v>
      </c>
      <c r="B967" s="3" t="s">
        <v>1521</v>
      </c>
      <c r="C967" s="6">
        <v>0</v>
      </c>
      <c r="D967" s="3">
        <v>0</v>
      </c>
      <c r="E967" s="3">
        <v>0</v>
      </c>
      <c r="F967" s="3">
        <v>0</v>
      </c>
      <c r="G967" s="3">
        <v>0</v>
      </c>
      <c r="H967" s="3">
        <v>0</v>
      </c>
      <c r="I967" s="3">
        <v>0</v>
      </c>
      <c r="J967" s="4">
        <v>997</v>
      </c>
      <c r="K967" s="3">
        <v>4</v>
      </c>
      <c r="L967" s="3" t="s">
        <v>323</v>
      </c>
      <c r="M967" s="3">
        <v>408</v>
      </c>
      <c r="N967" s="4" t="s">
        <v>1515</v>
      </c>
      <c r="O967" s="3">
        <v>0</v>
      </c>
      <c r="P967" s="3"/>
      <c r="Q967" s="3" t="s">
        <v>272</v>
      </c>
      <c r="R967" s="3" t="s">
        <v>1522</v>
      </c>
      <c r="S967" s="3" t="s">
        <v>1522</v>
      </c>
      <c r="T967" s="3">
        <v>10</v>
      </c>
      <c r="U967" s="3">
        <v>0</v>
      </c>
      <c r="V967" s="6">
        <v>100</v>
      </c>
      <c r="W967" s="7"/>
      <c r="X967" s="3" t="s">
        <v>1521</v>
      </c>
      <c r="Y967" s="3" t="s">
        <v>252</v>
      </c>
    </row>
    <row r="968" spans="1:25" x14ac:dyDescent="0.15">
      <c r="A968" s="3">
        <v>408015</v>
      </c>
      <c r="B968" s="3" t="s">
        <v>1523</v>
      </c>
      <c r="C968" s="6">
        <v>0</v>
      </c>
      <c r="D968" s="3">
        <v>0</v>
      </c>
      <c r="E968" s="3">
        <v>0</v>
      </c>
      <c r="F968" s="3">
        <v>0</v>
      </c>
      <c r="G968" s="3">
        <v>0</v>
      </c>
      <c r="H968" s="3">
        <v>0</v>
      </c>
      <c r="I968" s="3">
        <v>0</v>
      </c>
      <c r="J968" s="4">
        <v>998</v>
      </c>
      <c r="K968" s="3">
        <v>4</v>
      </c>
      <c r="L968" s="3" t="s">
        <v>323</v>
      </c>
      <c r="M968" s="3">
        <v>408</v>
      </c>
      <c r="N968" s="4" t="s">
        <v>1515</v>
      </c>
      <c r="O968" s="3">
        <v>0</v>
      </c>
      <c r="P968" s="3"/>
      <c r="Q968" s="3" t="s">
        <v>272</v>
      </c>
      <c r="R968" s="3" t="s">
        <v>1524</v>
      </c>
      <c r="S968" s="3" t="s">
        <v>1524</v>
      </c>
      <c r="T968" s="3">
        <v>10</v>
      </c>
      <c r="U968" s="3">
        <v>0</v>
      </c>
      <c r="V968" s="6">
        <v>100</v>
      </c>
      <c r="W968" s="7"/>
      <c r="X968" s="3" t="s">
        <v>1523</v>
      </c>
      <c r="Y968" s="3" t="s">
        <v>252</v>
      </c>
    </row>
    <row r="969" spans="1:25" x14ac:dyDescent="0.15">
      <c r="A969" s="3">
        <v>408016</v>
      </c>
      <c r="B969" s="3" t="s">
        <v>1525</v>
      </c>
      <c r="C969" s="6">
        <v>0</v>
      </c>
      <c r="D969" s="3">
        <v>0</v>
      </c>
      <c r="E969" s="3">
        <v>0</v>
      </c>
      <c r="F969" s="3">
        <v>0</v>
      </c>
      <c r="G969" s="3">
        <v>0</v>
      </c>
      <c r="H969" s="3">
        <v>0</v>
      </c>
      <c r="I969" s="3">
        <v>0</v>
      </c>
      <c r="J969" s="4">
        <v>999</v>
      </c>
      <c r="K969" s="3">
        <v>4</v>
      </c>
      <c r="L969" s="3" t="s">
        <v>323</v>
      </c>
      <c r="M969" s="3">
        <v>408</v>
      </c>
      <c r="N969" s="4" t="s">
        <v>1515</v>
      </c>
      <c r="O969" s="3">
        <v>0</v>
      </c>
      <c r="P969" s="3"/>
      <c r="Q969" s="3" t="s">
        <v>272</v>
      </c>
      <c r="R969" s="3" t="s">
        <v>1526</v>
      </c>
      <c r="S969" s="3" t="s">
        <v>1526</v>
      </c>
      <c r="T969" s="3">
        <v>10</v>
      </c>
      <c r="U969" s="3">
        <v>0</v>
      </c>
      <c r="V969" s="6">
        <v>100</v>
      </c>
      <c r="W969" s="7"/>
      <c r="X969" s="3" t="s">
        <v>1525</v>
      </c>
      <c r="Y969" s="3" t="s">
        <v>252</v>
      </c>
    </row>
    <row r="970" spans="1:25" x14ac:dyDescent="0.15">
      <c r="A970" s="3">
        <v>408017</v>
      </c>
      <c r="B970" s="3" t="s">
        <v>1527</v>
      </c>
      <c r="C970" s="6">
        <v>0</v>
      </c>
      <c r="D970" s="3">
        <v>0</v>
      </c>
      <c r="E970" s="3">
        <v>0</v>
      </c>
      <c r="F970" s="3">
        <v>0</v>
      </c>
      <c r="G970" s="3">
        <v>0</v>
      </c>
      <c r="H970" s="3">
        <v>0</v>
      </c>
      <c r="I970" s="3">
        <v>0</v>
      </c>
      <c r="J970" s="4">
        <v>1000</v>
      </c>
      <c r="K970" s="3">
        <v>4</v>
      </c>
      <c r="L970" s="3" t="s">
        <v>323</v>
      </c>
      <c r="M970" s="3">
        <v>408</v>
      </c>
      <c r="N970" s="4" t="s">
        <v>1515</v>
      </c>
      <c r="O970" s="3">
        <v>0</v>
      </c>
      <c r="P970" s="3"/>
      <c r="Q970" s="3" t="s">
        <v>272</v>
      </c>
      <c r="R970" s="3" t="s">
        <v>1528</v>
      </c>
      <c r="S970" s="3" t="s">
        <v>1528</v>
      </c>
      <c r="T970" s="3">
        <v>10</v>
      </c>
      <c r="U970" s="3">
        <v>0</v>
      </c>
      <c r="V970" s="6">
        <v>100</v>
      </c>
      <c r="W970" s="7"/>
      <c r="X970" s="3" t="s">
        <v>1527</v>
      </c>
      <c r="Y970" s="3" t="s">
        <v>252</v>
      </c>
    </row>
    <row r="971" spans="1:25" x14ac:dyDescent="0.15">
      <c r="A971" s="3">
        <v>408018</v>
      </c>
      <c r="B971" s="3" t="s">
        <v>1529</v>
      </c>
      <c r="C971" s="6">
        <v>0</v>
      </c>
      <c r="D971" s="3">
        <v>0</v>
      </c>
      <c r="E971" s="3">
        <v>0</v>
      </c>
      <c r="F971" s="3">
        <v>0</v>
      </c>
      <c r="G971" s="3">
        <v>0</v>
      </c>
      <c r="H971" s="3">
        <v>0</v>
      </c>
      <c r="I971" s="3">
        <v>0</v>
      </c>
      <c r="J971" s="4">
        <v>1001</v>
      </c>
      <c r="K971" s="3">
        <v>4</v>
      </c>
      <c r="L971" s="3" t="s">
        <v>323</v>
      </c>
      <c r="M971" s="3">
        <v>408</v>
      </c>
      <c r="N971" s="4" t="s">
        <v>1515</v>
      </c>
      <c r="O971" s="3">
        <v>0</v>
      </c>
      <c r="P971" s="3"/>
      <c r="Q971" s="3" t="s">
        <v>272</v>
      </c>
      <c r="R971" s="3" t="s">
        <v>1530</v>
      </c>
      <c r="S971" s="3" t="s">
        <v>1530</v>
      </c>
      <c r="T971" s="3">
        <v>10</v>
      </c>
      <c r="U971" s="3">
        <v>0</v>
      </c>
      <c r="V971" s="6">
        <v>100</v>
      </c>
      <c r="W971" s="7"/>
      <c r="X971" s="3" t="s">
        <v>1529</v>
      </c>
      <c r="Y971" s="3" t="s">
        <v>252</v>
      </c>
    </row>
    <row r="972" spans="1:25" x14ac:dyDescent="0.15">
      <c r="A972" s="3">
        <v>408019</v>
      </c>
      <c r="B972" s="3" t="s">
        <v>1531</v>
      </c>
      <c r="C972" s="6">
        <v>0</v>
      </c>
      <c r="D972" s="3">
        <v>0</v>
      </c>
      <c r="E972" s="3">
        <v>0</v>
      </c>
      <c r="F972" s="3">
        <v>0</v>
      </c>
      <c r="G972" s="3">
        <v>0</v>
      </c>
      <c r="H972" s="3">
        <v>0</v>
      </c>
      <c r="I972" s="3">
        <v>0</v>
      </c>
      <c r="J972" s="4">
        <v>1002</v>
      </c>
      <c r="K972" s="3">
        <v>4</v>
      </c>
      <c r="L972" s="3" t="s">
        <v>323</v>
      </c>
      <c r="M972" s="3">
        <v>408</v>
      </c>
      <c r="N972" s="4" t="s">
        <v>1515</v>
      </c>
      <c r="O972" s="3">
        <v>0</v>
      </c>
      <c r="P972" s="3"/>
      <c r="Q972" s="3" t="s">
        <v>272</v>
      </c>
      <c r="R972" s="3" t="s">
        <v>1532</v>
      </c>
      <c r="S972" s="3" t="s">
        <v>1532</v>
      </c>
      <c r="T972" s="3">
        <v>10</v>
      </c>
      <c r="U972" s="3">
        <v>0</v>
      </c>
      <c r="V972" s="6">
        <v>100</v>
      </c>
      <c r="W972" s="7"/>
      <c r="X972" s="3" t="s">
        <v>1531</v>
      </c>
      <c r="Y972" s="3" t="s">
        <v>252</v>
      </c>
    </row>
    <row r="973" spans="1:25" x14ac:dyDescent="0.15">
      <c r="A973" s="3">
        <v>408021</v>
      </c>
      <c r="B973" s="3" t="s">
        <v>1533</v>
      </c>
      <c r="C973" s="6">
        <v>0</v>
      </c>
      <c r="D973" s="3">
        <v>0</v>
      </c>
      <c r="E973" s="3">
        <v>0</v>
      </c>
      <c r="F973" s="3">
        <v>0</v>
      </c>
      <c r="G973" s="3">
        <v>0</v>
      </c>
      <c r="H973" s="3">
        <v>0</v>
      </c>
      <c r="I973" s="3">
        <v>0</v>
      </c>
      <c r="J973" s="4">
        <v>1003</v>
      </c>
      <c r="K973" s="3">
        <v>4</v>
      </c>
      <c r="L973" s="3" t="s">
        <v>323</v>
      </c>
      <c r="M973" s="3">
        <v>408</v>
      </c>
      <c r="N973" s="4" t="s">
        <v>1515</v>
      </c>
      <c r="O973" s="3">
        <v>0</v>
      </c>
      <c r="P973" s="3"/>
      <c r="Q973" s="3" t="s">
        <v>272</v>
      </c>
      <c r="R973" s="3" t="s">
        <v>1534</v>
      </c>
      <c r="S973" s="3" t="s">
        <v>1534</v>
      </c>
      <c r="T973" s="3">
        <v>10</v>
      </c>
      <c r="U973" s="3">
        <v>0</v>
      </c>
      <c r="V973" s="6">
        <v>100</v>
      </c>
      <c r="W973" s="7"/>
      <c r="X973" s="3" t="s">
        <v>1533</v>
      </c>
      <c r="Y973" s="3" t="s">
        <v>252</v>
      </c>
    </row>
    <row r="974" spans="1:25" x14ac:dyDescent="0.15">
      <c r="A974" s="3">
        <v>408022</v>
      </c>
      <c r="B974" s="3" t="s">
        <v>1535</v>
      </c>
      <c r="C974" s="6">
        <v>0</v>
      </c>
      <c r="D974" s="3">
        <v>0</v>
      </c>
      <c r="E974" s="3">
        <v>0</v>
      </c>
      <c r="F974" s="3">
        <v>0</v>
      </c>
      <c r="G974" s="3">
        <v>0</v>
      </c>
      <c r="H974" s="3">
        <v>0</v>
      </c>
      <c r="I974" s="3">
        <v>0</v>
      </c>
      <c r="J974" s="4">
        <v>1004</v>
      </c>
      <c r="K974" s="3">
        <v>4</v>
      </c>
      <c r="L974" s="3" t="s">
        <v>323</v>
      </c>
      <c r="M974" s="3">
        <v>408</v>
      </c>
      <c r="N974" s="4" t="s">
        <v>1515</v>
      </c>
      <c r="O974" s="3">
        <v>0</v>
      </c>
      <c r="P974" s="3"/>
      <c r="Q974" s="3" t="s">
        <v>272</v>
      </c>
      <c r="R974" s="3" t="s">
        <v>1536</v>
      </c>
      <c r="S974" s="3" t="s">
        <v>1536</v>
      </c>
      <c r="T974" s="3">
        <v>10</v>
      </c>
      <c r="U974" s="3">
        <v>0</v>
      </c>
      <c r="V974" s="6">
        <v>100</v>
      </c>
      <c r="W974" s="7"/>
      <c r="X974" s="3" t="s">
        <v>1535</v>
      </c>
      <c r="Y974" s="3" t="s">
        <v>252</v>
      </c>
    </row>
    <row r="975" spans="1:25" x14ac:dyDescent="0.15">
      <c r="A975" s="3">
        <v>408023</v>
      </c>
      <c r="B975" s="3" t="s">
        <v>1537</v>
      </c>
      <c r="C975" s="6">
        <v>0</v>
      </c>
      <c r="D975" s="3">
        <v>0</v>
      </c>
      <c r="E975" s="3">
        <v>0</v>
      </c>
      <c r="F975" s="3">
        <v>0</v>
      </c>
      <c r="G975" s="3">
        <v>0</v>
      </c>
      <c r="H975" s="3">
        <v>0</v>
      </c>
      <c r="I975" s="3">
        <v>0</v>
      </c>
      <c r="J975" s="4">
        <v>1005</v>
      </c>
      <c r="K975" s="3">
        <v>4</v>
      </c>
      <c r="L975" s="3" t="s">
        <v>323</v>
      </c>
      <c r="M975" s="3">
        <v>408</v>
      </c>
      <c r="N975" s="4" t="s">
        <v>1515</v>
      </c>
      <c r="O975" s="3">
        <v>0</v>
      </c>
      <c r="P975" s="3"/>
      <c r="Q975" s="3" t="s">
        <v>272</v>
      </c>
      <c r="R975" s="3" t="s">
        <v>1538</v>
      </c>
      <c r="S975" s="3" t="s">
        <v>1538</v>
      </c>
      <c r="T975" s="3">
        <v>10</v>
      </c>
      <c r="U975" s="3">
        <v>0</v>
      </c>
      <c r="V975" s="6">
        <v>100</v>
      </c>
      <c r="W975" s="7"/>
      <c r="X975" s="3" t="s">
        <v>1537</v>
      </c>
      <c r="Y975" s="3" t="s">
        <v>252</v>
      </c>
    </row>
    <row r="976" spans="1:25" x14ac:dyDescent="0.15">
      <c r="A976" s="3">
        <v>408024</v>
      </c>
      <c r="B976" s="3" t="s">
        <v>1539</v>
      </c>
      <c r="C976" s="6">
        <v>0</v>
      </c>
      <c r="D976" s="3">
        <v>0</v>
      </c>
      <c r="E976" s="3">
        <v>0</v>
      </c>
      <c r="F976" s="3">
        <v>0</v>
      </c>
      <c r="G976" s="3">
        <v>0</v>
      </c>
      <c r="H976" s="3">
        <v>0</v>
      </c>
      <c r="I976" s="3">
        <v>0</v>
      </c>
      <c r="J976" s="4">
        <v>1006</v>
      </c>
      <c r="K976" s="3">
        <v>4</v>
      </c>
      <c r="L976" s="3" t="s">
        <v>323</v>
      </c>
      <c r="M976" s="3">
        <v>408</v>
      </c>
      <c r="N976" s="4" t="s">
        <v>1515</v>
      </c>
      <c r="O976" s="3">
        <v>0</v>
      </c>
      <c r="P976" s="3"/>
      <c r="Q976" s="3" t="s">
        <v>272</v>
      </c>
      <c r="R976" s="3" t="s">
        <v>1540</v>
      </c>
      <c r="S976" s="3" t="s">
        <v>1540</v>
      </c>
      <c r="T976" s="3">
        <v>10</v>
      </c>
      <c r="U976" s="3">
        <v>0</v>
      </c>
      <c r="V976" s="6">
        <v>100</v>
      </c>
      <c r="W976" s="7"/>
      <c r="X976" s="3" t="s">
        <v>1539</v>
      </c>
      <c r="Y976" s="3" t="s">
        <v>252</v>
      </c>
    </row>
    <row r="977" spans="1:25" x14ac:dyDescent="0.15">
      <c r="A977" s="3">
        <v>408025</v>
      </c>
      <c r="B977" s="3" t="s">
        <v>1541</v>
      </c>
      <c r="C977" s="6">
        <v>0</v>
      </c>
      <c r="D977" s="3">
        <v>0</v>
      </c>
      <c r="E977" s="3">
        <v>0</v>
      </c>
      <c r="F977" s="3">
        <v>0</v>
      </c>
      <c r="G977" s="3">
        <v>0</v>
      </c>
      <c r="H977" s="3">
        <v>0</v>
      </c>
      <c r="I977" s="3">
        <v>0</v>
      </c>
      <c r="J977" s="4">
        <v>1007</v>
      </c>
      <c r="K977" s="3">
        <v>4</v>
      </c>
      <c r="L977" s="3" t="s">
        <v>323</v>
      </c>
      <c r="M977" s="3">
        <v>408</v>
      </c>
      <c r="N977" s="4" t="s">
        <v>1515</v>
      </c>
      <c r="O977" s="3">
        <v>0</v>
      </c>
      <c r="P977" s="3"/>
      <c r="Q977" s="3" t="s">
        <v>272</v>
      </c>
      <c r="R977" s="3" t="s">
        <v>1542</v>
      </c>
      <c r="S977" s="3" t="s">
        <v>1542</v>
      </c>
      <c r="T977" s="3">
        <v>10</v>
      </c>
      <c r="U977" s="3">
        <v>0</v>
      </c>
      <c r="V977" s="6">
        <v>100</v>
      </c>
      <c r="W977" s="7"/>
      <c r="X977" s="3" t="s">
        <v>1541</v>
      </c>
      <c r="Y977" s="3" t="s">
        <v>252</v>
      </c>
    </row>
    <row r="978" spans="1:25" x14ac:dyDescent="0.15">
      <c r="A978" s="3">
        <v>408026</v>
      </c>
      <c r="B978" s="3" t="s">
        <v>1543</v>
      </c>
      <c r="C978" s="6">
        <v>0</v>
      </c>
      <c r="D978" s="3">
        <v>0</v>
      </c>
      <c r="E978" s="3">
        <v>0</v>
      </c>
      <c r="F978" s="3">
        <v>0</v>
      </c>
      <c r="G978" s="3">
        <v>0</v>
      </c>
      <c r="H978" s="3">
        <v>0</v>
      </c>
      <c r="I978" s="3">
        <v>0</v>
      </c>
      <c r="J978" s="4">
        <v>1008</v>
      </c>
      <c r="K978" s="3">
        <v>4</v>
      </c>
      <c r="L978" s="3" t="s">
        <v>323</v>
      </c>
      <c r="M978" s="3">
        <v>408</v>
      </c>
      <c r="N978" s="4" t="s">
        <v>1515</v>
      </c>
      <c r="O978" s="3">
        <v>0</v>
      </c>
      <c r="P978" s="3"/>
      <c r="Q978" s="3" t="s">
        <v>272</v>
      </c>
      <c r="R978" s="3" t="s">
        <v>1544</v>
      </c>
      <c r="S978" s="3" t="s">
        <v>1544</v>
      </c>
      <c r="T978" s="3">
        <v>10</v>
      </c>
      <c r="U978" s="3">
        <v>0</v>
      </c>
      <c r="V978" s="6">
        <v>100</v>
      </c>
      <c r="W978" s="7"/>
      <c r="X978" s="3" t="s">
        <v>1543</v>
      </c>
      <c r="Y978" s="3" t="s">
        <v>252</v>
      </c>
    </row>
    <row r="979" spans="1:25" x14ac:dyDescent="0.15">
      <c r="A979" s="3">
        <v>408027</v>
      </c>
      <c r="B979" s="3" t="s">
        <v>1545</v>
      </c>
      <c r="C979" s="6">
        <v>0</v>
      </c>
      <c r="D979" s="3">
        <v>0</v>
      </c>
      <c r="E979" s="3">
        <v>0</v>
      </c>
      <c r="F979" s="3">
        <v>0</v>
      </c>
      <c r="G979" s="3">
        <v>0</v>
      </c>
      <c r="H979" s="3">
        <v>0</v>
      </c>
      <c r="I979" s="3">
        <v>0</v>
      </c>
      <c r="J979" s="4">
        <v>1009</v>
      </c>
      <c r="K979" s="3">
        <v>4</v>
      </c>
      <c r="L979" s="3" t="s">
        <v>323</v>
      </c>
      <c r="M979" s="3">
        <v>408</v>
      </c>
      <c r="N979" s="4" t="s">
        <v>1515</v>
      </c>
      <c r="O979" s="3">
        <v>0</v>
      </c>
      <c r="P979" s="3"/>
      <c r="Q979" s="3" t="s">
        <v>272</v>
      </c>
      <c r="R979" s="3" t="s">
        <v>1546</v>
      </c>
      <c r="S979" s="3" t="s">
        <v>1546</v>
      </c>
      <c r="T979" s="3">
        <v>10</v>
      </c>
      <c r="U979" s="3">
        <v>0</v>
      </c>
      <c r="V979" s="6">
        <v>100</v>
      </c>
      <c r="W979" s="7"/>
      <c r="X979" s="3" t="s">
        <v>1545</v>
      </c>
      <c r="Y979" s="3" t="s">
        <v>252</v>
      </c>
    </row>
    <row r="980" spans="1:25" x14ac:dyDescent="0.15">
      <c r="A980" s="3">
        <v>408028</v>
      </c>
      <c r="B980" s="3" t="s">
        <v>1547</v>
      </c>
      <c r="C980" s="6">
        <v>0</v>
      </c>
      <c r="D980" s="3">
        <v>0</v>
      </c>
      <c r="E980" s="3">
        <v>0</v>
      </c>
      <c r="F980" s="3">
        <v>0</v>
      </c>
      <c r="G980" s="3">
        <v>0</v>
      </c>
      <c r="H980" s="3">
        <v>0</v>
      </c>
      <c r="I980" s="3">
        <v>0</v>
      </c>
      <c r="J980" s="4">
        <v>1010</v>
      </c>
      <c r="K980" s="3">
        <v>4</v>
      </c>
      <c r="L980" s="3" t="s">
        <v>323</v>
      </c>
      <c r="M980" s="3">
        <v>408</v>
      </c>
      <c r="N980" s="4" t="s">
        <v>1515</v>
      </c>
      <c r="O980" s="3">
        <v>0</v>
      </c>
      <c r="P980" s="3"/>
      <c r="Q980" s="3" t="s">
        <v>272</v>
      </c>
      <c r="R980" s="3" t="s">
        <v>1548</v>
      </c>
      <c r="S980" s="3" t="s">
        <v>1548</v>
      </c>
      <c r="T980" s="3">
        <v>10</v>
      </c>
      <c r="U980" s="3">
        <v>0</v>
      </c>
      <c r="V980" s="6">
        <v>100</v>
      </c>
      <c r="W980" s="7"/>
      <c r="X980" s="3" t="s">
        <v>1547</v>
      </c>
      <c r="Y980" s="3" t="s">
        <v>252</v>
      </c>
    </row>
    <row r="981" spans="1:25" s="1" customFormat="1" x14ac:dyDescent="0.15">
      <c r="A981" s="4">
        <v>408029</v>
      </c>
      <c r="B981" s="4" t="s">
        <v>1549</v>
      </c>
      <c r="C981" s="4">
        <v>0</v>
      </c>
      <c r="D981" s="3">
        <v>0</v>
      </c>
      <c r="E981" s="3">
        <v>0</v>
      </c>
      <c r="F981" s="4">
        <v>0</v>
      </c>
      <c r="G981" s="4">
        <v>0</v>
      </c>
      <c r="H981" s="3">
        <v>0</v>
      </c>
      <c r="I981" s="4">
        <v>0</v>
      </c>
      <c r="J981" s="4">
        <v>1011</v>
      </c>
      <c r="K981" s="4">
        <v>4</v>
      </c>
      <c r="L981" s="4" t="s">
        <v>323</v>
      </c>
      <c r="M981" s="4">
        <v>408</v>
      </c>
      <c r="N981" s="4" t="s">
        <v>1515</v>
      </c>
      <c r="O981" s="4">
        <v>0</v>
      </c>
      <c r="P981" s="4"/>
      <c r="Q981" s="4" t="s">
        <v>272</v>
      </c>
      <c r="R981" s="4" t="s">
        <v>1550</v>
      </c>
      <c r="S981" s="4" t="s">
        <v>1550</v>
      </c>
      <c r="T981" s="4">
        <v>10</v>
      </c>
      <c r="U981" s="4">
        <v>0</v>
      </c>
      <c r="V981" s="4">
        <v>100</v>
      </c>
      <c r="W981" s="24"/>
      <c r="X981" s="4" t="s">
        <v>1549</v>
      </c>
      <c r="Y981" s="4" t="s">
        <v>252</v>
      </c>
    </row>
    <row r="982" spans="1:25" x14ac:dyDescent="0.15">
      <c r="A982" s="4">
        <v>910001</v>
      </c>
      <c r="B982" s="27" t="s">
        <v>2153</v>
      </c>
      <c r="C982" s="3">
        <v>0</v>
      </c>
      <c r="D982" s="3">
        <v>0</v>
      </c>
      <c r="E982" s="3">
        <v>0</v>
      </c>
      <c r="F982" s="3">
        <v>0</v>
      </c>
      <c r="G982" s="3">
        <v>0</v>
      </c>
      <c r="H982" s="3">
        <v>0</v>
      </c>
      <c r="I982" s="3">
        <v>0</v>
      </c>
      <c r="J982" s="4">
        <v>340</v>
      </c>
      <c r="K982" s="3">
        <v>9</v>
      </c>
      <c r="L982" s="27" t="s">
        <v>2354</v>
      </c>
      <c r="M982" s="3">
        <v>910</v>
      </c>
      <c r="N982" s="28" t="s">
        <v>2515</v>
      </c>
      <c r="O982" s="3">
        <v>0</v>
      </c>
      <c r="P982" s="3"/>
      <c r="Q982" s="3" t="s">
        <v>601</v>
      </c>
      <c r="R982" s="3" t="s">
        <v>2384</v>
      </c>
      <c r="S982" s="3" t="str">
        <f t="shared" ref="S982:S1045" si="50">CONCATENATE(A982,"")</f>
        <v>910001</v>
      </c>
      <c r="T982" s="3">
        <v>1</v>
      </c>
      <c r="U982" s="3">
        <v>0</v>
      </c>
      <c r="V982" s="3">
        <v>1</v>
      </c>
      <c r="W982" s="7"/>
      <c r="X982" s="27" t="s">
        <v>2153</v>
      </c>
      <c r="Y982" s="27" t="s">
        <v>2184</v>
      </c>
    </row>
    <row r="983" spans="1:25" x14ac:dyDescent="0.15">
      <c r="A983" s="4">
        <v>910002</v>
      </c>
      <c r="B983" s="27" t="s">
        <v>2550</v>
      </c>
      <c r="C983" s="3">
        <v>0</v>
      </c>
      <c r="D983" s="3">
        <v>0</v>
      </c>
      <c r="E983" s="3">
        <v>0</v>
      </c>
      <c r="F983" s="3">
        <v>0</v>
      </c>
      <c r="G983" s="3">
        <v>0</v>
      </c>
      <c r="H983" s="3">
        <v>0</v>
      </c>
      <c r="I983" s="3">
        <v>0</v>
      </c>
      <c r="J983" s="4">
        <v>342</v>
      </c>
      <c r="K983" s="3">
        <v>9</v>
      </c>
      <c r="L983" s="27" t="s">
        <v>2354</v>
      </c>
      <c r="M983" s="3">
        <v>910</v>
      </c>
      <c r="N983" s="28" t="s">
        <v>2515</v>
      </c>
      <c r="O983" s="3">
        <v>0</v>
      </c>
      <c r="P983" s="3"/>
      <c r="Q983" s="3" t="s">
        <v>601</v>
      </c>
      <c r="R983" s="3" t="s">
        <v>2385</v>
      </c>
      <c r="S983" s="3" t="str">
        <f t="shared" si="50"/>
        <v>910002</v>
      </c>
      <c r="T983" s="3">
        <v>1</v>
      </c>
      <c r="U983" s="3">
        <v>0</v>
      </c>
      <c r="V983" s="3">
        <v>1</v>
      </c>
      <c r="W983" s="7"/>
      <c r="X983" s="27" t="s">
        <v>2550</v>
      </c>
      <c r="Y983" s="27" t="s">
        <v>2551</v>
      </c>
    </row>
    <row r="984" spans="1:25" x14ac:dyDescent="0.15">
      <c r="A984" s="4">
        <v>910003</v>
      </c>
      <c r="B984" s="3" t="s">
        <v>2526</v>
      </c>
      <c r="C984" s="3">
        <v>0</v>
      </c>
      <c r="D984" s="3">
        <v>0</v>
      </c>
      <c r="E984" s="3">
        <v>0</v>
      </c>
      <c r="F984" s="3">
        <v>0</v>
      </c>
      <c r="G984" s="3">
        <v>0</v>
      </c>
      <c r="H984" s="3">
        <v>0</v>
      </c>
      <c r="I984" s="3">
        <v>0</v>
      </c>
      <c r="J984" s="4">
        <v>343</v>
      </c>
      <c r="K984" s="3">
        <v>9</v>
      </c>
      <c r="L984" s="27" t="s">
        <v>2354</v>
      </c>
      <c r="M984" s="3">
        <v>910</v>
      </c>
      <c r="N984" s="28" t="s">
        <v>2515</v>
      </c>
      <c r="O984" s="3">
        <v>0</v>
      </c>
      <c r="P984" s="3"/>
      <c r="Q984" s="3" t="s">
        <v>601</v>
      </c>
      <c r="R984" s="3" t="s">
        <v>2386</v>
      </c>
      <c r="S984" s="3" t="str">
        <f t="shared" si="50"/>
        <v>910003</v>
      </c>
      <c r="T984" s="3">
        <v>1</v>
      </c>
      <c r="U984" s="3">
        <v>0</v>
      </c>
      <c r="V984" s="3">
        <v>1</v>
      </c>
      <c r="W984" s="7"/>
      <c r="X984" s="3" t="s">
        <v>2162</v>
      </c>
      <c r="Y984" s="27" t="s">
        <v>2185</v>
      </c>
    </row>
    <row r="985" spans="1:25" x14ac:dyDescent="0.15">
      <c r="A985" s="4">
        <v>910004</v>
      </c>
      <c r="B985" s="3" t="s">
        <v>2525</v>
      </c>
      <c r="C985" s="3">
        <v>0</v>
      </c>
      <c r="D985" s="3">
        <v>0</v>
      </c>
      <c r="E985" s="3">
        <v>0</v>
      </c>
      <c r="F985" s="3">
        <v>0</v>
      </c>
      <c r="G985" s="3">
        <v>0</v>
      </c>
      <c r="H985" s="3">
        <v>0</v>
      </c>
      <c r="I985" s="3">
        <v>0</v>
      </c>
      <c r="J985" s="4">
        <v>344</v>
      </c>
      <c r="K985" s="3">
        <v>9</v>
      </c>
      <c r="L985" s="27" t="s">
        <v>2354</v>
      </c>
      <c r="M985" s="3">
        <v>910</v>
      </c>
      <c r="N985" s="28" t="s">
        <v>2515</v>
      </c>
      <c r="O985" s="3">
        <v>0</v>
      </c>
      <c r="P985" s="3"/>
      <c r="Q985" s="3" t="s">
        <v>601</v>
      </c>
      <c r="R985" s="3" t="s">
        <v>2387</v>
      </c>
      <c r="S985" s="3" t="str">
        <f t="shared" si="50"/>
        <v>910004</v>
      </c>
      <c r="T985" s="3">
        <v>1</v>
      </c>
      <c r="U985" s="3">
        <v>0</v>
      </c>
      <c r="V985" s="3">
        <v>1</v>
      </c>
      <c r="W985" s="7"/>
      <c r="X985" s="3" t="s">
        <v>2152</v>
      </c>
      <c r="Y985" s="27" t="s">
        <v>2186</v>
      </c>
    </row>
    <row r="986" spans="1:25" x14ac:dyDescent="0.15">
      <c r="A986" s="4">
        <v>910005</v>
      </c>
      <c r="B986" s="3" t="s">
        <v>2163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4">
        <v>345</v>
      </c>
      <c r="K986" s="3">
        <v>9</v>
      </c>
      <c r="L986" s="27" t="s">
        <v>2354</v>
      </c>
      <c r="M986" s="3">
        <v>910</v>
      </c>
      <c r="N986" s="28" t="s">
        <v>2515</v>
      </c>
      <c r="O986" s="3">
        <v>0</v>
      </c>
      <c r="P986" s="3"/>
      <c r="Q986" s="3" t="s">
        <v>601</v>
      </c>
      <c r="R986" s="3" t="s">
        <v>2388</v>
      </c>
      <c r="S986" s="3" t="str">
        <f t="shared" si="50"/>
        <v>910005</v>
      </c>
      <c r="T986" s="3">
        <v>1</v>
      </c>
      <c r="U986" s="3">
        <v>0</v>
      </c>
      <c r="V986" s="3">
        <v>1</v>
      </c>
      <c r="W986" s="7"/>
      <c r="X986" s="3" t="s">
        <v>2163</v>
      </c>
      <c r="Y986" s="27" t="s">
        <v>2527</v>
      </c>
    </row>
    <row r="987" spans="1:25" x14ac:dyDescent="0.15">
      <c r="A987" s="4">
        <v>910006</v>
      </c>
      <c r="B987" s="27" t="s">
        <v>2381</v>
      </c>
      <c r="C987" s="3">
        <v>0</v>
      </c>
      <c r="D987" s="3">
        <v>0</v>
      </c>
      <c r="E987" s="3">
        <v>0</v>
      </c>
      <c r="F987" s="3">
        <v>0</v>
      </c>
      <c r="G987" s="3">
        <v>0</v>
      </c>
      <c r="H987" s="3">
        <v>0</v>
      </c>
      <c r="I987" s="3">
        <v>0</v>
      </c>
      <c r="J987" s="4">
        <v>346</v>
      </c>
      <c r="K987" s="3">
        <v>9</v>
      </c>
      <c r="L987" s="27" t="s">
        <v>2354</v>
      </c>
      <c r="M987" s="3">
        <v>910</v>
      </c>
      <c r="N987" s="28" t="s">
        <v>2515</v>
      </c>
      <c r="O987" s="3">
        <v>0</v>
      </c>
      <c r="P987" s="3"/>
      <c r="Q987" s="3" t="s">
        <v>601</v>
      </c>
      <c r="R987" s="27" t="s">
        <v>2519</v>
      </c>
      <c r="S987" s="3" t="str">
        <f t="shared" si="50"/>
        <v>910006</v>
      </c>
      <c r="T987" s="3">
        <v>1</v>
      </c>
      <c r="U987" s="3">
        <v>0</v>
      </c>
      <c r="V987" s="3">
        <v>1</v>
      </c>
      <c r="W987" s="7"/>
      <c r="X987" s="27" t="s">
        <v>2381</v>
      </c>
      <c r="Y987" s="27" t="s">
        <v>2382</v>
      </c>
    </row>
    <row r="988" spans="1:25" x14ac:dyDescent="0.15">
      <c r="A988" s="4">
        <v>910007</v>
      </c>
      <c r="B988" s="3" t="s">
        <v>2164</v>
      </c>
      <c r="C988" s="3">
        <v>0</v>
      </c>
      <c r="D988" s="3">
        <v>0</v>
      </c>
      <c r="E988" s="3">
        <v>0</v>
      </c>
      <c r="F988" s="3">
        <v>0</v>
      </c>
      <c r="G988" s="3">
        <v>0</v>
      </c>
      <c r="H988" s="3">
        <v>0</v>
      </c>
      <c r="I988" s="3">
        <v>0</v>
      </c>
      <c r="J988" s="4">
        <v>347</v>
      </c>
      <c r="K988" s="3">
        <v>9</v>
      </c>
      <c r="L988" s="27" t="s">
        <v>2354</v>
      </c>
      <c r="M988" s="3">
        <v>910</v>
      </c>
      <c r="N988" s="28" t="s">
        <v>2515</v>
      </c>
      <c r="O988" s="3">
        <v>0</v>
      </c>
      <c r="P988" s="3"/>
      <c r="Q988" s="3" t="s">
        <v>601</v>
      </c>
      <c r="R988" s="3" t="s">
        <v>2389</v>
      </c>
      <c r="S988" s="3" t="str">
        <f t="shared" si="50"/>
        <v>910007</v>
      </c>
      <c r="T988" s="3">
        <v>1</v>
      </c>
      <c r="U988" s="3">
        <v>0</v>
      </c>
      <c r="V988" s="3">
        <v>1</v>
      </c>
      <c r="W988" s="7"/>
      <c r="X988" s="3" t="s">
        <v>2164</v>
      </c>
      <c r="Y988" s="27" t="s">
        <v>2187</v>
      </c>
    </row>
    <row r="989" spans="1:25" x14ac:dyDescent="0.15">
      <c r="A989" s="4">
        <v>910008</v>
      </c>
      <c r="B989" s="3" t="s">
        <v>2165</v>
      </c>
      <c r="C989" s="3">
        <v>0</v>
      </c>
      <c r="D989" s="3">
        <v>0</v>
      </c>
      <c r="E989" s="3">
        <v>0</v>
      </c>
      <c r="F989" s="3">
        <v>0</v>
      </c>
      <c r="G989" s="3">
        <v>0</v>
      </c>
      <c r="H989" s="3">
        <v>0</v>
      </c>
      <c r="I989" s="3">
        <v>0</v>
      </c>
      <c r="J989" s="4">
        <v>348</v>
      </c>
      <c r="K989" s="3">
        <v>9</v>
      </c>
      <c r="L989" s="27" t="s">
        <v>2354</v>
      </c>
      <c r="M989" s="3">
        <v>910</v>
      </c>
      <c r="N989" s="28" t="s">
        <v>2515</v>
      </c>
      <c r="O989" s="3">
        <v>0</v>
      </c>
      <c r="P989" s="3"/>
      <c r="Q989" s="3" t="s">
        <v>601</v>
      </c>
      <c r="R989" s="27" t="s">
        <v>2520</v>
      </c>
      <c r="S989" s="3" t="str">
        <f t="shared" si="50"/>
        <v>910008</v>
      </c>
      <c r="T989" s="3">
        <v>1</v>
      </c>
      <c r="U989" s="3">
        <v>0</v>
      </c>
      <c r="V989" s="3">
        <v>1</v>
      </c>
      <c r="W989" s="7"/>
      <c r="X989" s="3" t="s">
        <v>2165</v>
      </c>
      <c r="Y989" s="27" t="s">
        <v>2528</v>
      </c>
    </row>
    <row r="990" spans="1:25" x14ac:dyDescent="0.15">
      <c r="A990" s="4">
        <v>910009</v>
      </c>
      <c r="B990" s="3" t="s">
        <v>2155</v>
      </c>
      <c r="C990" s="3">
        <v>0</v>
      </c>
      <c r="D990" s="3">
        <v>0</v>
      </c>
      <c r="E990" s="3">
        <v>0</v>
      </c>
      <c r="F990" s="3">
        <v>0</v>
      </c>
      <c r="G990" s="3">
        <v>0</v>
      </c>
      <c r="H990" s="3">
        <v>0</v>
      </c>
      <c r="I990" s="3">
        <v>0</v>
      </c>
      <c r="J990" s="4">
        <v>349</v>
      </c>
      <c r="K990" s="3">
        <v>9</v>
      </c>
      <c r="L990" s="27" t="s">
        <v>2354</v>
      </c>
      <c r="M990" s="3">
        <v>910</v>
      </c>
      <c r="N990" s="28" t="s">
        <v>2515</v>
      </c>
      <c r="O990" s="3">
        <v>0</v>
      </c>
      <c r="P990" s="3"/>
      <c r="Q990" s="3" t="s">
        <v>601</v>
      </c>
      <c r="R990" s="3" t="s">
        <v>2390</v>
      </c>
      <c r="S990" s="3" t="str">
        <f t="shared" si="50"/>
        <v>910009</v>
      </c>
      <c r="T990" s="3">
        <v>1</v>
      </c>
      <c r="U990" s="3">
        <v>0</v>
      </c>
      <c r="V990" s="3">
        <v>1</v>
      </c>
      <c r="W990" s="7"/>
      <c r="X990" s="3" t="s">
        <v>2155</v>
      </c>
      <c r="Y990" s="27" t="s">
        <v>2188</v>
      </c>
    </row>
    <row r="991" spans="1:25" x14ac:dyDescent="0.15">
      <c r="A991" s="4">
        <v>910010</v>
      </c>
      <c r="B991" s="3" t="s">
        <v>2166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4">
        <v>350</v>
      </c>
      <c r="K991" s="3">
        <v>9</v>
      </c>
      <c r="L991" s="27" t="s">
        <v>2354</v>
      </c>
      <c r="M991" s="3">
        <v>910</v>
      </c>
      <c r="N991" s="28" t="s">
        <v>2515</v>
      </c>
      <c r="O991" s="3">
        <v>0</v>
      </c>
      <c r="P991" s="3"/>
      <c r="Q991" s="3" t="s">
        <v>601</v>
      </c>
      <c r="R991" s="3" t="s">
        <v>2391</v>
      </c>
      <c r="S991" s="3" t="str">
        <f t="shared" si="50"/>
        <v>910010</v>
      </c>
      <c r="T991" s="3">
        <v>1</v>
      </c>
      <c r="U991" s="3">
        <v>0</v>
      </c>
      <c r="V991" s="3">
        <v>1</v>
      </c>
      <c r="W991" s="7"/>
      <c r="X991" s="3" t="s">
        <v>2166</v>
      </c>
      <c r="Y991" s="27" t="s">
        <v>2189</v>
      </c>
    </row>
    <row r="992" spans="1:25" x14ac:dyDescent="0.15">
      <c r="A992" s="4">
        <v>910011</v>
      </c>
      <c r="B992" s="3" t="s">
        <v>2167</v>
      </c>
      <c r="C992" s="3">
        <v>0</v>
      </c>
      <c r="D992" s="3">
        <v>0</v>
      </c>
      <c r="E992" s="3">
        <v>0</v>
      </c>
      <c r="F992" s="3">
        <v>0</v>
      </c>
      <c r="G992" s="3">
        <v>0</v>
      </c>
      <c r="H992" s="3">
        <v>0</v>
      </c>
      <c r="I992" s="3">
        <v>0</v>
      </c>
      <c r="J992" s="4">
        <v>351</v>
      </c>
      <c r="K992" s="3">
        <v>9</v>
      </c>
      <c r="L992" s="27" t="s">
        <v>2354</v>
      </c>
      <c r="M992" s="3">
        <v>910</v>
      </c>
      <c r="N992" s="28" t="s">
        <v>2515</v>
      </c>
      <c r="O992" s="3">
        <v>0</v>
      </c>
      <c r="P992" s="3"/>
      <c r="Q992" s="3" t="s">
        <v>601</v>
      </c>
      <c r="R992" s="3" t="s">
        <v>2392</v>
      </c>
      <c r="S992" s="3" t="str">
        <f t="shared" si="50"/>
        <v>910011</v>
      </c>
      <c r="T992" s="3">
        <v>1</v>
      </c>
      <c r="U992" s="3">
        <v>0</v>
      </c>
      <c r="V992" s="3">
        <v>1</v>
      </c>
      <c r="W992" s="7"/>
      <c r="X992" s="3" t="s">
        <v>2167</v>
      </c>
      <c r="Y992" s="27" t="s">
        <v>2383</v>
      </c>
    </row>
    <row r="993" spans="1:25" x14ac:dyDescent="0.15">
      <c r="A993" s="4">
        <v>910012</v>
      </c>
      <c r="B993" s="3" t="s">
        <v>2168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4">
        <v>352</v>
      </c>
      <c r="K993" s="3">
        <v>9</v>
      </c>
      <c r="L993" s="27" t="s">
        <v>2354</v>
      </c>
      <c r="M993" s="3">
        <v>910</v>
      </c>
      <c r="N993" s="28" t="s">
        <v>2515</v>
      </c>
      <c r="O993" s="3">
        <v>0</v>
      </c>
      <c r="P993" s="3"/>
      <c r="Q993" s="3" t="s">
        <v>601</v>
      </c>
      <c r="R993" s="3" t="s">
        <v>2393</v>
      </c>
      <c r="S993" s="3" t="str">
        <f t="shared" si="50"/>
        <v>910012</v>
      </c>
      <c r="T993" s="3">
        <v>1</v>
      </c>
      <c r="U993" s="3">
        <v>0</v>
      </c>
      <c r="V993" s="3">
        <v>1</v>
      </c>
      <c r="W993" s="7"/>
      <c r="X993" s="3" t="s">
        <v>2168</v>
      </c>
      <c r="Y993" s="27" t="s">
        <v>2190</v>
      </c>
    </row>
    <row r="994" spans="1:25" x14ac:dyDescent="0.15">
      <c r="A994" s="4">
        <v>910013</v>
      </c>
      <c r="B994" s="3" t="s">
        <v>2169</v>
      </c>
      <c r="C994" s="3">
        <v>0</v>
      </c>
      <c r="D994" s="3">
        <v>0</v>
      </c>
      <c r="E994" s="3">
        <v>0</v>
      </c>
      <c r="F994" s="3">
        <v>0</v>
      </c>
      <c r="G994" s="3">
        <v>0</v>
      </c>
      <c r="H994" s="3">
        <v>0</v>
      </c>
      <c r="I994" s="3">
        <v>0</v>
      </c>
      <c r="J994" s="4">
        <v>353</v>
      </c>
      <c r="K994" s="3">
        <v>9</v>
      </c>
      <c r="L994" s="27" t="s">
        <v>2354</v>
      </c>
      <c r="M994" s="3">
        <v>910</v>
      </c>
      <c r="N994" s="28" t="s">
        <v>2515</v>
      </c>
      <c r="O994" s="3">
        <v>0</v>
      </c>
      <c r="P994" s="3"/>
      <c r="Q994" s="3" t="s">
        <v>601</v>
      </c>
      <c r="R994" s="3" t="s">
        <v>2394</v>
      </c>
      <c r="S994" s="3" t="str">
        <f t="shared" si="50"/>
        <v>910013</v>
      </c>
      <c r="T994" s="3">
        <v>1</v>
      </c>
      <c r="U994" s="3">
        <v>0</v>
      </c>
      <c r="V994" s="3">
        <v>1</v>
      </c>
      <c r="W994" s="7"/>
      <c r="X994" s="3" t="s">
        <v>2169</v>
      </c>
      <c r="Y994" s="27" t="s">
        <v>2191</v>
      </c>
    </row>
    <row r="995" spans="1:25" x14ac:dyDescent="0.15">
      <c r="A995" s="4">
        <v>910014</v>
      </c>
      <c r="B995" s="3" t="s">
        <v>2170</v>
      </c>
      <c r="C995" s="3">
        <v>0</v>
      </c>
      <c r="D995" s="3">
        <v>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4">
        <v>354</v>
      </c>
      <c r="K995" s="3">
        <v>9</v>
      </c>
      <c r="L995" s="27" t="s">
        <v>2354</v>
      </c>
      <c r="M995" s="3">
        <v>910</v>
      </c>
      <c r="N995" s="28" t="s">
        <v>2515</v>
      </c>
      <c r="O995" s="3">
        <v>0</v>
      </c>
      <c r="P995" s="3"/>
      <c r="Q995" s="3" t="s">
        <v>601</v>
      </c>
      <c r="R995" s="3" t="s">
        <v>2395</v>
      </c>
      <c r="S995" s="3" t="str">
        <f t="shared" si="50"/>
        <v>910014</v>
      </c>
      <c r="T995" s="3">
        <v>1</v>
      </c>
      <c r="U995" s="3">
        <v>0</v>
      </c>
      <c r="V995" s="3">
        <v>1</v>
      </c>
      <c r="W995" s="7"/>
      <c r="X995" s="3" t="s">
        <v>2170</v>
      </c>
      <c r="Y995" s="27" t="s">
        <v>2192</v>
      </c>
    </row>
    <row r="996" spans="1:25" x14ac:dyDescent="0.15">
      <c r="A996" s="4">
        <v>910015</v>
      </c>
      <c r="B996" s="3" t="s">
        <v>2171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4">
        <v>355</v>
      </c>
      <c r="K996" s="3">
        <v>9</v>
      </c>
      <c r="L996" s="27" t="s">
        <v>2354</v>
      </c>
      <c r="M996" s="3">
        <v>910</v>
      </c>
      <c r="N996" s="28" t="s">
        <v>2515</v>
      </c>
      <c r="O996" s="3">
        <v>0</v>
      </c>
      <c r="P996" s="3"/>
      <c r="Q996" s="3" t="s">
        <v>601</v>
      </c>
      <c r="R996" s="3" t="s">
        <v>2396</v>
      </c>
      <c r="S996" s="3" t="str">
        <f t="shared" si="50"/>
        <v>910015</v>
      </c>
      <c r="T996" s="3">
        <v>1</v>
      </c>
      <c r="U996" s="3">
        <v>0</v>
      </c>
      <c r="V996" s="3">
        <v>1</v>
      </c>
      <c r="W996" s="7"/>
      <c r="X996" s="3" t="s">
        <v>2171</v>
      </c>
      <c r="Y996" s="27" t="s">
        <v>2193</v>
      </c>
    </row>
    <row r="997" spans="1:25" x14ac:dyDescent="0.15">
      <c r="A997" s="4">
        <v>910016</v>
      </c>
      <c r="B997" s="3" t="s">
        <v>2172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4">
        <v>356</v>
      </c>
      <c r="K997" s="3">
        <v>9</v>
      </c>
      <c r="L997" s="27" t="s">
        <v>2354</v>
      </c>
      <c r="M997" s="3">
        <v>910</v>
      </c>
      <c r="N997" s="28" t="s">
        <v>2515</v>
      </c>
      <c r="O997" s="3">
        <v>0</v>
      </c>
      <c r="P997" s="3"/>
      <c r="Q997" s="3" t="s">
        <v>601</v>
      </c>
      <c r="R997" s="3" t="s">
        <v>2397</v>
      </c>
      <c r="S997" s="3" t="str">
        <f t="shared" si="50"/>
        <v>910016</v>
      </c>
      <c r="T997" s="3">
        <v>1</v>
      </c>
      <c r="U997" s="3">
        <v>0</v>
      </c>
      <c r="V997" s="3">
        <v>1</v>
      </c>
      <c r="W997" s="7"/>
      <c r="X997" s="3" t="s">
        <v>2172</v>
      </c>
      <c r="Y997" s="27" t="s">
        <v>2194</v>
      </c>
    </row>
    <row r="998" spans="1:25" x14ac:dyDescent="0.15">
      <c r="A998" s="4">
        <v>910017</v>
      </c>
      <c r="B998" s="3" t="s">
        <v>2173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4">
        <v>357</v>
      </c>
      <c r="K998" s="3">
        <v>9</v>
      </c>
      <c r="L998" s="27" t="s">
        <v>2354</v>
      </c>
      <c r="M998" s="3">
        <v>910</v>
      </c>
      <c r="N998" s="28" t="s">
        <v>2515</v>
      </c>
      <c r="O998" s="3">
        <v>0</v>
      </c>
      <c r="P998" s="3"/>
      <c r="Q998" s="3" t="s">
        <v>601</v>
      </c>
      <c r="R998" s="3" t="s">
        <v>2398</v>
      </c>
      <c r="S998" s="3" t="str">
        <f t="shared" si="50"/>
        <v>910017</v>
      </c>
      <c r="T998" s="3">
        <v>1</v>
      </c>
      <c r="U998" s="3">
        <v>0</v>
      </c>
      <c r="V998" s="3">
        <v>1</v>
      </c>
      <c r="W998" s="7"/>
      <c r="X998" s="3" t="s">
        <v>2173</v>
      </c>
      <c r="Y998" s="27" t="s">
        <v>2529</v>
      </c>
    </row>
    <row r="999" spans="1:25" x14ac:dyDescent="0.15">
      <c r="A999" s="4">
        <v>910018</v>
      </c>
      <c r="B999" s="27" t="s">
        <v>2351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4">
        <v>358</v>
      </c>
      <c r="K999" s="3">
        <v>9</v>
      </c>
      <c r="L999" s="27" t="s">
        <v>2354</v>
      </c>
      <c r="M999" s="3">
        <v>910</v>
      </c>
      <c r="N999" s="28" t="s">
        <v>2515</v>
      </c>
      <c r="O999" s="3">
        <v>0</v>
      </c>
      <c r="P999" s="3"/>
      <c r="Q999" s="3" t="s">
        <v>601</v>
      </c>
      <c r="R999" s="3" t="s">
        <v>2399</v>
      </c>
      <c r="S999" s="3" t="str">
        <f t="shared" si="50"/>
        <v>910018</v>
      </c>
      <c r="T999" s="3">
        <v>1</v>
      </c>
      <c r="U999" s="3">
        <v>0</v>
      </c>
      <c r="V999" s="3">
        <v>1</v>
      </c>
      <c r="W999" s="7"/>
      <c r="X999" s="27" t="s">
        <v>2351</v>
      </c>
      <c r="Y999" s="27" t="s">
        <v>2355</v>
      </c>
    </row>
    <row r="1000" spans="1:25" x14ac:dyDescent="0.15">
      <c r="A1000" s="4">
        <v>910019</v>
      </c>
      <c r="B1000" s="3" t="s">
        <v>2174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4">
        <v>359</v>
      </c>
      <c r="K1000" s="3">
        <v>9</v>
      </c>
      <c r="L1000" s="27" t="s">
        <v>2354</v>
      </c>
      <c r="M1000" s="3">
        <v>910</v>
      </c>
      <c r="N1000" s="28" t="s">
        <v>2515</v>
      </c>
      <c r="O1000" s="3">
        <v>0</v>
      </c>
      <c r="P1000" s="3"/>
      <c r="Q1000" s="3" t="s">
        <v>601</v>
      </c>
      <c r="R1000" s="3" t="s">
        <v>2400</v>
      </c>
      <c r="S1000" s="3" t="str">
        <f t="shared" si="50"/>
        <v>910019</v>
      </c>
      <c r="T1000" s="3">
        <v>1</v>
      </c>
      <c r="U1000" s="3">
        <v>0</v>
      </c>
      <c r="V1000" s="3">
        <v>1</v>
      </c>
      <c r="W1000" s="7"/>
      <c r="X1000" s="3" t="s">
        <v>2174</v>
      </c>
      <c r="Y1000" s="27" t="s">
        <v>2195</v>
      </c>
    </row>
    <row r="1001" spans="1:25" x14ac:dyDescent="0.15">
      <c r="A1001" s="4">
        <v>910020</v>
      </c>
      <c r="B1001" s="3" t="s">
        <v>2175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4">
        <v>360</v>
      </c>
      <c r="K1001" s="3">
        <v>9</v>
      </c>
      <c r="L1001" s="27" t="s">
        <v>2354</v>
      </c>
      <c r="M1001" s="3">
        <v>910</v>
      </c>
      <c r="N1001" s="28" t="s">
        <v>2515</v>
      </c>
      <c r="O1001" s="3">
        <v>0</v>
      </c>
      <c r="P1001" s="3"/>
      <c r="Q1001" s="3" t="s">
        <v>601</v>
      </c>
      <c r="R1001" s="3" t="s">
        <v>2401</v>
      </c>
      <c r="S1001" s="3" t="str">
        <f t="shared" si="50"/>
        <v>910020</v>
      </c>
      <c r="T1001" s="3">
        <v>1</v>
      </c>
      <c r="U1001" s="3">
        <v>0</v>
      </c>
      <c r="V1001" s="3">
        <v>1</v>
      </c>
      <c r="W1001" s="7"/>
      <c r="X1001" s="3" t="s">
        <v>2175</v>
      </c>
      <c r="Y1001" s="27" t="s">
        <v>2197</v>
      </c>
    </row>
    <row r="1002" spans="1:25" x14ac:dyDescent="0.15">
      <c r="A1002" s="4">
        <v>910021</v>
      </c>
      <c r="B1002" s="3" t="s">
        <v>2161</v>
      </c>
      <c r="C1002" s="3">
        <v>0</v>
      </c>
      <c r="D1002" s="3">
        <v>0</v>
      </c>
      <c r="E1002" s="3">
        <v>0</v>
      </c>
      <c r="F1002" s="3">
        <v>0</v>
      </c>
      <c r="G1002" s="3">
        <v>0</v>
      </c>
      <c r="H1002" s="3">
        <v>0</v>
      </c>
      <c r="I1002" s="3">
        <v>0</v>
      </c>
      <c r="J1002" s="4">
        <v>361</v>
      </c>
      <c r="K1002" s="3">
        <v>9</v>
      </c>
      <c r="L1002" s="27" t="s">
        <v>2354</v>
      </c>
      <c r="M1002" s="3">
        <v>910</v>
      </c>
      <c r="N1002" s="28" t="s">
        <v>2515</v>
      </c>
      <c r="O1002" s="3">
        <v>0</v>
      </c>
      <c r="P1002" s="3"/>
      <c r="Q1002" s="3" t="s">
        <v>601</v>
      </c>
      <c r="R1002" s="3" t="s">
        <v>2402</v>
      </c>
      <c r="S1002" s="3" t="str">
        <f t="shared" si="50"/>
        <v>910021</v>
      </c>
      <c r="T1002" s="3">
        <v>1</v>
      </c>
      <c r="U1002" s="3">
        <v>0</v>
      </c>
      <c r="V1002" s="3">
        <v>1</v>
      </c>
      <c r="W1002" s="7"/>
      <c r="X1002" s="3" t="s">
        <v>2161</v>
      </c>
      <c r="Y1002" s="27" t="s">
        <v>2196</v>
      </c>
    </row>
    <row r="1003" spans="1:25" x14ac:dyDescent="0.15">
      <c r="A1003" s="4">
        <v>910022</v>
      </c>
      <c r="B1003" s="3" t="s">
        <v>2176</v>
      </c>
      <c r="C1003" s="3">
        <v>0</v>
      </c>
      <c r="D1003" s="3">
        <v>0</v>
      </c>
      <c r="E1003" s="3">
        <v>0</v>
      </c>
      <c r="F1003" s="3">
        <v>0</v>
      </c>
      <c r="G1003" s="3">
        <v>0</v>
      </c>
      <c r="H1003" s="3">
        <v>0</v>
      </c>
      <c r="I1003" s="3">
        <v>0</v>
      </c>
      <c r="J1003" s="4">
        <v>362</v>
      </c>
      <c r="K1003" s="3">
        <v>9</v>
      </c>
      <c r="L1003" s="27" t="s">
        <v>2354</v>
      </c>
      <c r="M1003" s="3">
        <v>910</v>
      </c>
      <c r="N1003" s="28" t="s">
        <v>2515</v>
      </c>
      <c r="O1003" s="3">
        <v>0</v>
      </c>
      <c r="P1003" s="3"/>
      <c r="Q1003" s="3" t="s">
        <v>601</v>
      </c>
      <c r="R1003" s="3" t="s">
        <v>2403</v>
      </c>
      <c r="S1003" s="3" t="str">
        <f t="shared" si="50"/>
        <v>910022</v>
      </c>
      <c r="T1003" s="3">
        <v>1</v>
      </c>
      <c r="U1003" s="3">
        <v>0</v>
      </c>
      <c r="V1003" s="3">
        <v>1</v>
      </c>
      <c r="W1003" s="7"/>
      <c r="X1003" s="3" t="s">
        <v>2176</v>
      </c>
      <c r="Y1003" s="27" t="s">
        <v>2198</v>
      </c>
    </row>
    <row r="1004" spans="1:25" x14ac:dyDescent="0.15">
      <c r="A1004" s="4">
        <v>910023</v>
      </c>
      <c r="B1004" s="3" t="s">
        <v>2177</v>
      </c>
      <c r="C1004" s="3">
        <v>0</v>
      </c>
      <c r="D1004" s="3">
        <v>0</v>
      </c>
      <c r="E1004" s="3">
        <v>0</v>
      </c>
      <c r="F1004" s="3">
        <v>0</v>
      </c>
      <c r="G1004" s="3">
        <v>0</v>
      </c>
      <c r="H1004" s="3">
        <v>0</v>
      </c>
      <c r="I1004" s="3">
        <v>0</v>
      </c>
      <c r="J1004" s="4">
        <v>363</v>
      </c>
      <c r="K1004" s="3">
        <v>9</v>
      </c>
      <c r="L1004" s="27" t="s">
        <v>2354</v>
      </c>
      <c r="M1004" s="3">
        <v>910</v>
      </c>
      <c r="N1004" s="28" t="s">
        <v>2515</v>
      </c>
      <c r="O1004" s="3">
        <v>0</v>
      </c>
      <c r="P1004" s="3"/>
      <c r="Q1004" s="3" t="s">
        <v>601</v>
      </c>
      <c r="R1004" s="3" t="s">
        <v>2404</v>
      </c>
      <c r="S1004" s="3" t="str">
        <f t="shared" si="50"/>
        <v>910023</v>
      </c>
      <c r="T1004" s="3">
        <v>1</v>
      </c>
      <c r="U1004" s="3">
        <v>0</v>
      </c>
      <c r="V1004" s="3">
        <v>1</v>
      </c>
      <c r="W1004" s="7"/>
      <c r="X1004" s="3" t="s">
        <v>2177</v>
      </c>
      <c r="Y1004" s="27" t="s">
        <v>2199</v>
      </c>
    </row>
    <row r="1005" spans="1:25" x14ac:dyDescent="0.15">
      <c r="A1005" s="4">
        <v>910024</v>
      </c>
      <c r="B1005" s="3" t="s">
        <v>2178</v>
      </c>
      <c r="C1005" s="3">
        <v>0</v>
      </c>
      <c r="D1005" s="3">
        <v>0</v>
      </c>
      <c r="E1005" s="3">
        <v>0</v>
      </c>
      <c r="F1005" s="3">
        <v>0</v>
      </c>
      <c r="G1005" s="3">
        <v>0</v>
      </c>
      <c r="H1005" s="3">
        <v>0</v>
      </c>
      <c r="I1005" s="3">
        <v>0</v>
      </c>
      <c r="J1005" s="4">
        <v>364</v>
      </c>
      <c r="K1005" s="3">
        <v>9</v>
      </c>
      <c r="L1005" s="27" t="s">
        <v>2354</v>
      </c>
      <c r="M1005" s="3">
        <v>910</v>
      </c>
      <c r="N1005" s="28" t="s">
        <v>2515</v>
      </c>
      <c r="O1005" s="3">
        <v>0</v>
      </c>
      <c r="P1005" s="3"/>
      <c r="Q1005" s="3" t="s">
        <v>601</v>
      </c>
      <c r="R1005" s="3" t="s">
        <v>2405</v>
      </c>
      <c r="S1005" s="3" t="str">
        <f t="shared" si="50"/>
        <v>910024</v>
      </c>
      <c r="T1005" s="3">
        <v>1</v>
      </c>
      <c r="U1005" s="3">
        <v>0</v>
      </c>
      <c r="V1005" s="3">
        <v>1</v>
      </c>
      <c r="W1005" s="7"/>
      <c r="X1005" s="3" t="s">
        <v>2178</v>
      </c>
      <c r="Y1005" s="27" t="s">
        <v>2200</v>
      </c>
    </row>
    <row r="1006" spans="1:25" x14ac:dyDescent="0.15">
      <c r="A1006" s="4">
        <v>910025</v>
      </c>
      <c r="B1006" s="3" t="s">
        <v>2179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0</v>
      </c>
      <c r="I1006" s="3">
        <v>0</v>
      </c>
      <c r="J1006" s="4">
        <v>365</v>
      </c>
      <c r="K1006" s="3">
        <v>9</v>
      </c>
      <c r="L1006" s="27" t="s">
        <v>2354</v>
      </c>
      <c r="M1006" s="3">
        <v>910</v>
      </c>
      <c r="N1006" s="28" t="s">
        <v>2515</v>
      </c>
      <c r="O1006" s="3">
        <v>0</v>
      </c>
      <c r="P1006" s="3"/>
      <c r="Q1006" s="3" t="s">
        <v>601</v>
      </c>
      <c r="R1006" s="3" t="s">
        <v>2406</v>
      </c>
      <c r="S1006" s="3" t="str">
        <f t="shared" si="50"/>
        <v>910025</v>
      </c>
      <c r="T1006" s="3">
        <v>1</v>
      </c>
      <c r="U1006" s="3">
        <v>0</v>
      </c>
      <c r="V1006" s="3">
        <v>1</v>
      </c>
      <c r="W1006" s="7"/>
      <c r="X1006" s="3" t="s">
        <v>2179</v>
      </c>
      <c r="Y1006" s="27" t="s">
        <v>2201</v>
      </c>
    </row>
    <row r="1007" spans="1:25" x14ac:dyDescent="0.15">
      <c r="A1007" s="4">
        <v>910026</v>
      </c>
      <c r="B1007" s="3" t="s">
        <v>2180</v>
      </c>
      <c r="C1007" s="3">
        <v>0</v>
      </c>
      <c r="D1007" s="3">
        <v>0</v>
      </c>
      <c r="E1007" s="3">
        <v>0</v>
      </c>
      <c r="F1007" s="3">
        <v>0</v>
      </c>
      <c r="G1007" s="3">
        <v>0</v>
      </c>
      <c r="H1007" s="3">
        <v>0</v>
      </c>
      <c r="I1007" s="3">
        <v>0</v>
      </c>
      <c r="J1007" s="4">
        <v>366</v>
      </c>
      <c r="K1007" s="3">
        <v>9</v>
      </c>
      <c r="L1007" s="27" t="s">
        <v>2354</v>
      </c>
      <c r="M1007" s="3">
        <v>910</v>
      </c>
      <c r="N1007" s="28" t="s">
        <v>2515</v>
      </c>
      <c r="O1007" s="3">
        <v>0</v>
      </c>
      <c r="P1007" s="3"/>
      <c r="Q1007" s="3" t="s">
        <v>601</v>
      </c>
      <c r="R1007" s="3" t="s">
        <v>2407</v>
      </c>
      <c r="S1007" s="3" t="str">
        <f t="shared" si="50"/>
        <v>910026</v>
      </c>
      <c r="T1007" s="3">
        <v>1</v>
      </c>
      <c r="U1007" s="3">
        <v>0</v>
      </c>
      <c r="V1007" s="3">
        <v>1</v>
      </c>
      <c r="W1007" s="7"/>
      <c r="X1007" s="3" t="s">
        <v>2180</v>
      </c>
      <c r="Y1007" s="27" t="s">
        <v>2202</v>
      </c>
    </row>
    <row r="1008" spans="1:25" x14ac:dyDescent="0.15">
      <c r="A1008" s="4">
        <v>910027</v>
      </c>
      <c r="B1008" s="3" t="s">
        <v>2181</v>
      </c>
      <c r="C1008" s="3">
        <v>0</v>
      </c>
      <c r="D1008" s="3">
        <v>0</v>
      </c>
      <c r="E1008" s="3">
        <v>0</v>
      </c>
      <c r="F1008" s="3">
        <v>0</v>
      </c>
      <c r="G1008" s="3">
        <v>0</v>
      </c>
      <c r="H1008" s="3">
        <v>0</v>
      </c>
      <c r="I1008" s="3">
        <v>0</v>
      </c>
      <c r="J1008" s="4">
        <v>367</v>
      </c>
      <c r="K1008" s="3">
        <v>9</v>
      </c>
      <c r="L1008" s="27" t="s">
        <v>2354</v>
      </c>
      <c r="M1008" s="3">
        <v>910</v>
      </c>
      <c r="N1008" s="28" t="s">
        <v>2515</v>
      </c>
      <c r="O1008" s="3">
        <v>0</v>
      </c>
      <c r="P1008" s="3"/>
      <c r="Q1008" s="3" t="s">
        <v>601</v>
      </c>
      <c r="R1008" s="3" t="s">
        <v>2408</v>
      </c>
      <c r="S1008" s="3" t="str">
        <f t="shared" si="50"/>
        <v>910027</v>
      </c>
      <c r="T1008" s="3">
        <v>1</v>
      </c>
      <c r="U1008" s="3">
        <v>0</v>
      </c>
      <c r="V1008" s="3">
        <v>1</v>
      </c>
      <c r="W1008" s="7"/>
      <c r="X1008" s="3" t="s">
        <v>2181</v>
      </c>
      <c r="Y1008" s="27" t="s">
        <v>2203</v>
      </c>
    </row>
    <row r="1009" spans="1:25" x14ac:dyDescent="0.15">
      <c r="A1009" s="4">
        <v>910028</v>
      </c>
      <c r="B1009" s="3" t="s">
        <v>2182</v>
      </c>
      <c r="C1009" s="3">
        <v>0</v>
      </c>
      <c r="D1009" s="3">
        <v>0</v>
      </c>
      <c r="E1009" s="3">
        <v>0</v>
      </c>
      <c r="F1009" s="3">
        <v>0</v>
      </c>
      <c r="G1009" s="3">
        <v>0</v>
      </c>
      <c r="H1009" s="3">
        <v>0</v>
      </c>
      <c r="I1009" s="3">
        <v>0</v>
      </c>
      <c r="J1009" s="4">
        <v>368</v>
      </c>
      <c r="K1009" s="3">
        <v>9</v>
      </c>
      <c r="L1009" s="27" t="s">
        <v>2354</v>
      </c>
      <c r="M1009" s="3">
        <v>910</v>
      </c>
      <c r="N1009" s="28" t="s">
        <v>2515</v>
      </c>
      <c r="O1009" s="3">
        <v>0</v>
      </c>
      <c r="P1009" s="3"/>
      <c r="Q1009" s="3" t="s">
        <v>601</v>
      </c>
      <c r="R1009" s="3" t="s">
        <v>2409</v>
      </c>
      <c r="S1009" s="3" t="str">
        <f t="shared" si="50"/>
        <v>910028</v>
      </c>
      <c r="T1009" s="3">
        <v>1</v>
      </c>
      <c r="U1009" s="3">
        <v>0</v>
      </c>
      <c r="V1009" s="3">
        <v>1</v>
      </c>
      <c r="W1009" s="7"/>
      <c r="X1009" s="3" t="s">
        <v>2182</v>
      </c>
      <c r="Y1009" s="27" t="s">
        <v>2204</v>
      </c>
    </row>
    <row r="1010" spans="1:25" x14ac:dyDescent="0.15">
      <c r="A1010" s="4">
        <v>910029</v>
      </c>
      <c r="B1010" s="3" t="s">
        <v>2183</v>
      </c>
      <c r="C1010" s="3">
        <v>0</v>
      </c>
      <c r="D1010" s="3">
        <v>0</v>
      </c>
      <c r="E1010" s="3">
        <v>0</v>
      </c>
      <c r="F1010" s="3">
        <v>0</v>
      </c>
      <c r="G1010" s="3">
        <v>0</v>
      </c>
      <c r="H1010" s="3">
        <v>0</v>
      </c>
      <c r="I1010" s="3">
        <v>0</v>
      </c>
      <c r="J1010" s="4">
        <v>369</v>
      </c>
      <c r="K1010" s="3">
        <v>9</v>
      </c>
      <c r="L1010" s="27" t="s">
        <v>2354</v>
      </c>
      <c r="M1010" s="3">
        <v>910</v>
      </c>
      <c r="N1010" s="28" t="s">
        <v>2515</v>
      </c>
      <c r="O1010" s="3">
        <v>0</v>
      </c>
      <c r="P1010" s="3"/>
      <c r="Q1010" s="3" t="s">
        <v>601</v>
      </c>
      <c r="R1010" s="3" t="s">
        <v>2410</v>
      </c>
      <c r="S1010" s="3" t="str">
        <f t="shared" si="50"/>
        <v>910029</v>
      </c>
      <c r="T1010" s="3">
        <v>1</v>
      </c>
      <c r="U1010" s="3">
        <v>0</v>
      </c>
      <c r="V1010" s="3">
        <v>1</v>
      </c>
      <c r="W1010" s="7"/>
      <c r="X1010" s="3" t="s">
        <v>2183</v>
      </c>
      <c r="Y1010" s="27" t="s">
        <v>2205</v>
      </c>
    </row>
    <row r="1011" spans="1:25" x14ac:dyDescent="0.15">
      <c r="A1011" s="4">
        <v>910030</v>
      </c>
      <c r="B1011" s="27" t="s">
        <v>2334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4">
        <v>370</v>
      </c>
      <c r="K1011" s="3">
        <v>9</v>
      </c>
      <c r="L1011" s="27" t="s">
        <v>2354</v>
      </c>
      <c r="M1011" s="3">
        <v>910</v>
      </c>
      <c r="N1011" s="28" t="s">
        <v>2515</v>
      </c>
      <c r="O1011" s="3">
        <v>0</v>
      </c>
      <c r="P1011" s="3"/>
      <c r="Q1011" s="3" t="s">
        <v>601</v>
      </c>
      <c r="R1011" s="3" t="s">
        <v>2411</v>
      </c>
      <c r="S1011" s="3" t="str">
        <f t="shared" si="50"/>
        <v>910030</v>
      </c>
      <c r="T1011" s="3">
        <v>1</v>
      </c>
      <c r="U1011" s="3">
        <v>0</v>
      </c>
      <c r="V1011" s="3">
        <v>1</v>
      </c>
      <c r="W1011" s="7"/>
      <c r="X1011" s="27" t="s">
        <v>2334</v>
      </c>
      <c r="Y1011" s="27" t="s">
        <v>2365</v>
      </c>
    </row>
    <row r="1012" spans="1:25" x14ac:dyDescent="0.15">
      <c r="A1012" s="4">
        <v>910031</v>
      </c>
      <c r="B1012" s="27" t="s">
        <v>2335</v>
      </c>
      <c r="C1012" s="3">
        <v>0</v>
      </c>
      <c r="D1012" s="3">
        <v>0</v>
      </c>
      <c r="E1012" s="3">
        <v>0</v>
      </c>
      <c r="F1012" s="3">
        <v>0</v>
      </c>
      <c r="G1012" s="3">
        <v>0</v>
      </c>
      <c r="H1012" s="3">
        <v>0</v>
      </c>
      <c r="I1012" s="3">
        <v>0</v>
      </c>
      <c r="J1012" s="4">
        <v>371</v>
      </c>
      <c r="K1012" s="3">
        <v>9</v>
      </c>
      <c r="L1012" s="27" t="s">
        <v>2354</v>
      </c>
      <c r="M1012" s="3">
        <v>910</v>
      </c>
      <c r="N1012" s="28" t="s">
        <v>2515</v>
      </c>
      <c r="O1012" s="3">
        <v>0</v>
      </c>
      <c r="P1012" s="3"/>
      <c r="Q1012" s="3" t="s">
        <v>601</v>
      </c>
      <c r="R1012" s="3" t="s">
        <v>2412</v>
      </c>
      <c r="S1012" s="3" t="str">
        <f t="shared" si="50"/>
        <v>910031</v>
      </c>
      <c r="T1012" s="3">
        <v>1</v>
      </c>
      <c r="U1012" s="3">
        <v>0</v>
      </c>
      <c r="V1012" s="3">
        <v>1</v>
      </c>
      <c r="W1012" s="7"/>
      <c r="X1012" s="27" t="s">
        <v>2335</v>
      </c>
      <c r="Y1012" s="27" t="s">
        <v>2366</v>
      </c>
    </row>
    <row r="1013" spans="1:25" x14ac:dyDescent="0.15">
      <c r="A1013" s="4">
        <v>910032</v>
      </c>
      <c r="B1013" s="27" t="s">
        <v>2336</v>
      </c>
      <c r="C1013" s="3">
        <v>0</v>
      </c>
      <c r="D1013" s="3">
        <v>0</v>
      </c>
      <c r="E1013" s="3">
        <v>0</v>
      </c>
      <c r="F1013" s="3">
        <v>0</v>
      </c>
      <c r="G1013" s="3">
        <v>0</v>
      </c>
      <c r="H1013" s="3">
        <v>0</v>
      </c>
      <c r="I1013" s="3">
        <v>0</v>
      </c>
      <c r="J1013" s="4">
        <v>372</v>
      </c>
      <c r="K1013" s="3">
        <v>9</v>
      </c>
      <c r="L1013" s="27" t="s">
        <v>2354</v>
      </c>
      <c r="M1013" s="3">
        <v>910</v>
      </c>
      <c r="N1013" s="28" t="s">
        <v>2515</v>
      </c>
      <c r="O1013" s="3">
        <v>0</v>
      </c>
      <c r="P1013" s="3"/>
      <c r="Q1013" s="3" t="s">
        <v>601</v>
      </c>
      <c r="R1013" s="3" t="s">
        <v>2413</v>
      </c>
      <c r="S1013" s="3" t="str">
        <f t="shared" si="50"/>
        <v>910032</v>
      </c>
      <c r="T1013" s="3">
        <v>1</v>
      </c>
      <c r="U1013" s="3">
        <v>0</v>
      </c>
      <c r="V1013" s="3">
        <v>1</v>
      </c>
      <c r="W1013" s="7"/>
      <c r="X1013" s="27" t="s">
        <v>2336</v>
      </c>
      <c r="Y1013" s="27" t="s">
        <v>2367</v>
      </c>
    </row>
    <row r="1014" spans="1:25" x14ac:dyDescent="0.15">
      <c r="A1014" s="4">
        <v>910033</v>
      </c>
      <c r="B1014" s="27" t="s">
        <v>2341</v>
      </c>
      <c r="C1014" s="3">
        <v>0</v>
      </c>
      <c r="D1014" s="3">
        <v>0</v>
      </c>
      <c r="E1014" s="3">
        <v>0</v>
      </c>
      <c r="F1014" s="3">
        <v>0</v>
      </c>
      <c r="G1014" s="3">
        <v>0</v>
      </c>
      <c r="H1014" s="3">
        <v>0</v>
      </c>
      <c r="I1014" s="3">
        <v>0</v>
      </c>
      <c r="J1014" s="4">
        <v>373</v>
      </c>
      <c r="K1014" s="3">
        <v>9</v>
      </c>
      <c r="L1014" s="27" t="s">
        <v>2354</v>
      </c>
      <c r="M1014" s="3">
        <v>910</v>
      </c>
      <c r="N1014" s="28" t="s">
        <v>2515</v>
      </c>
      <c r="O1014" s="3">
        <v>0</v>
      </c>
      <c r="P1014" s="3"/>
      <c r="Q1014" s="3" t="s">
        <v>601</v>
      </c>
      <c r="R1014" s="3" t="s">
        <v>2414</v>
      </c>
      <c r="S1014" s="3" t="str">
        <f t="shared" si="50"/>
        <v>910033</v>
      </c>
      <c r="T1014" s="3">
        <v>1</v>
      </c>
      <c r="U1014" s="3">
        <v>0</v>
      </c>
      <c r="V1014" s="3">
        <v>1</v>
      </c>
      <c r="W1014" s="7"/>
      <c r="X1014" s="27" t="s">
        <v>2341</v>
      </c>
      <c r="Y1014" s="27" t="s">
        <v>2368</v>
      </c>
    </row>
    <row r="1015" spans="1:25" x14ac:dyDescent="0.15">
      <c r="A1015" s="4">
        <v>910034</v>
      </c>
      <c r="B1015" s="27" t="s">
        <v>2342</v>
      </c>
      <c r="C1015" s="3">
        <v>0</v>
      </c>
      <c r="D1015" s="3">
        <v>0</v>
      </c>
      <c r="E1015" s="3">
        <v>0</v>
      </c>
      <c r="F1015" s="3">
        <v>0</v>
      </c>
      <c r="G1015" s="3">
        <v>0</v>
      </c>
      <c r="H1015" s="3">
        <v>0</v>
      </c>
      <c r="I1015" s="3">
        <v>0</v>
      </c>
      <c r="J1015" s="4">
        <v>374</v>
      </c>
      <c r="K1015" s="3">
        <v>9</v>
      </c>
      <c r="L1015" s="27" t="s">
        <v>2354</v>
      </c>
      <c r="M1015" s="3">
        <v>910</v>
      </c>
      <c r="N1015" s="28" t="s">
        <v>2515</v>
      </c>
      <c r="O1015" s="3">
        <v>0</v>
      </c>
      <c r="P1015" s="3"/>
      <c r="Q1015" s="3" t="s">
        <v>601</v>
      </c>
      <c r="R1015" s="3" t="s">
        <v>2415</v>
      </c>
      <c r="S1015" s="3" t="str">
        <f t="shared" si="50"/>
        <v>910034</v>
      </c>
      <c r="T1015" s="3">
        <v>1</v>
      </c>
      <c r="U1015" s="3">
        <v>0</v>
      </c>
      <c r="V1015" s="3">
        <v>1</v>
      </c>
      <c r="W1015" s="7"/>
      <c r="X1015" s="27" t="s">
        <v>2342</v>
      </c>
      <c r="Y1015" s="27" t="s">
        <v>2369</v>
      </c>
    </row>
    <row r="1016" spans="1:25" x14ac:dyDescent="0.15">
      <c r="A1016" s="4">
        <v>910035</v>
      </c>
      <c r="B1016" s="27" t="s">
        <v>2343</v>
      </c>
      <c r="C1016" s="3">
        <v>0</v>
      </c>
      <c r="D1016" s="3">
        <v>0</v>
      </c>
      <c r="E1016" s="3">
        <v>0</v>
      </c>
      <c r="F1016" s="3">
        <v>0</v>
      </c>
      <c r="G1016" s="3">
        <v>0</v>
      </c>
      <c r="H1016" s="3">
        <v>0</v>
      </c>
      <c r="I1016" s="3">
        <v>0</v>
      </c>
      <c r="J1016" s="4">
        <v>376</v>
      </c>
      <c r="K1016" s="3">
        <v>9</v>
      </c>
      <c r="L1016" s="27" t="s">
        <v>2354</v>
      </c>
      <c r="M1016" s="3">
        <v>910</v>
      </c>
      <c r="N1016" s="28" t="s">
        <v>2515</v>
      </c>
      <c r="O1016" s="3">
        <v>0</v>
      </c>
      <c r="P1016" s="3"/>
      <c r="Q1016" s="3" t="s">
        <v>601</v>
      </c>
      <c r="R1016" s="3" t="s">
        <v>2416</v>
      </c>
      <c r="S1016" s="3" t="str">
        <f t="shared" si="50"/>
        <v>910035</v>
      </c>
      <c r="T1016" s="3">
        <v>1</v>
      </c>
      <c r="U1016" s="3">
        <v>0</v>
      </c>
      <c r="V1016" s="3">
        <v>1</v>
      </c>
      <c r="W1016" s="7"/>
      <c r="X1016" s="27" t="s">
        <v>2343</v>
      </c>
      <c r="Y1016" s="27" t="s">
        <v>2370</v>
      </c>
    </row>
    <row r="1017" spans="1:25" x14ac:dyDescent="0.15">
      <c r="A1017" s="4">
        <v>910036</v>
      </c>
      <c r="B1017" s="27" t="s">
        <v>2344</v>
      </c>
      <c r="C1017" s="3">
        <v>0</v>
      </c>
      <c r="D1017" s="3">
        <v>0</v>
      </c>
      <c r="E1017" s="3">
        <v>0</v>
      </c>
      <c r="F1017" s="3">
        <v>0</v>
      </c>
      <c r="G1017" s="3">
        <v>0</v>
      </c>
      <c r="H1017" s="3">
        <v>0</v>
      </c>
      <c r="I1017" s="3">
        <v>0</v>
      </c>
      <c r="J1017" s="4">
        <v>377</v>
      </c>
      <c r="K1017" s="3">
        <v>9</v>
      </c>
      <c r="L1017" s="27" t="s">
        <v>2354</v>
      </c>
      <c r="M1017" s="3">
        <v>910</v>
      </c>
      <c r="N1017" s="28" t="s">
        <v>2515</v>
      </c>
      <c r="O1017" s="3">
        <v>0</v>
      </c>
      <c r="P1017" s="3"/>
      <c r="Q1017" s="3" t="s">
        <v>601</v>
      </c>
      <c r="R1017" s="3" t="s">
        <v>2417</v>
      </c>
      <c r="S1017" s="3" t="str">
        <f t="shared" si="50"/>
        <v>910036</v>
      </c>
      <c r="T1017" s="3">
        <v>1</v>
      </c>
      <c r="U1017" s="3">
        <v>0</v>
      </c>
      <c r="V1017" s="3">
        <v>1</v>
      </c>
      <c r="W1017" s="7"/>
      <c r="X1017" s="27" t="s">
        <v>2344</v>
      </c>
      <c r="Y1017" s="27" t="s">
        <v>2371</v>
      </c>
    </row>
    <row r="1018" spans="1:25" x14ac:dyDescent="0.15">
      <c r="A1018" s="4">
        <v>910037</v>
      </c>
      <c r="B1018" s="27" t="s">
        <v>2345</v>
      </c>
      <c r="C1018" s="3">
        <v>0</v>
      </c>
      <c r="D1018" s="3">
        <v>0</v>
      </c>
      <c r="E1018" s="3">
        <v>0</v>
      </c>
      <c r="F1018" s="3">
        <v>0</v>
      </c>
      <c r="G1018" s="3">
        <v>0</v>
      </c>
      <c r="H1018" s="3">
        <v>0</v>
      </c>
      <c r="I1018" s="3">
        <v>0</v>
      </c>
      <c r="J1018" s="4">
        <v>378</v>
      </c>
      <c r="K1018" s="3">
        <v>9</v>
      </c>
      <c r="L1018" s="27" t="s">
        <v>2354</v>
      </c>
      <c r="M1018" s="3">
        <v>910</v>
      </c>
      <c r="N1018" s="28" t="s">
        <v>2515</v>
      </c>
      <c r="O1018" s="3">
        <v>0</v>
      </c>
      <c r="P1018" s="3"/>
      <c r="Q1018" s="3" t="s">
        <v>601</v>
      </c>
      <c r="R1018" s="3" t="s">
        <v>2418</v>
      </c>
      <c r="S1018" s="3" t="str">
        <f t="shared" si="50"/>
        <v>910037</v>
      </c>
      <c r="T1018" s="3">
        <v>1</v>
      </c>
      <c r="U1018" s="3">
        <v>0</v>
      </c>
      <c r="V1018" s="3">
        <v>1</v>
      </c>
      <c r="W1018" s="7"/>
      <c r="X1018" s="27" t="s">
        <v>2345</v>
      </c>
      <c r="Y1018" s="27" t="s">
        <v>2372</v>
      </c>
    </row>
    <row r="1019" spans="1:25" x14ac:dyDescent="0.15">
      <c r="A1019" s="4">
        <v>910038</v>
      </c>
      <c r="B1019" s="27" t="s">
        <v>2346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0</v>
      </c>
      <c r="J1019" s="4">
        <v>379</v>
      </c>
      <c r="K1019" s="3">
        <v>9</v>
      </c>
      <c r="L1019" s="27" t="s">
        <v>2354</v>
      </c>
      <c r="M1019" s="3">
        <v>910</v>
      </c>
      <c r="N1019" s="28" t="s">
        <v>2515</v>
      </c>
      <c r="O1019" s="3">
        <v>0</v>
      </c>
      <c r="P1019" s="3"/>
      <c r="Q1019" s="3" t="s">
        <v>601</v>
      </c>
      <c r="R1019" s="3" t="s">
        <v>2419</v>
      </c>
      <c r="S1019" s="3" t="str">
        <f t="shared" si="50"/>
        <v>910038</v>
      </c>
      <c r="T1019" s="3">
        <v>1</v>
      </c>
      <c r="U1019" s="3">
        <v>0</v>
      </c>
      <c r="V1019" s="3">
        <v>1</v>
      </c>
      <c r="W1019" s="7"/>
      <c r="X1019" s="27" t="s">
        <v>2346</v>
      </c>
      <c r="Y1019" s="27" t="s">
        <v>2373</v>
      </c>
    </row>
    <row r="1020" spans="1:25" x14ac:dyDescent="0.15">
      <c r="A1020" s="4">
        <v>910039</v>
      </c>
      <c r="B1020" s="27" t="s">
        <v>2347</v>
      </c>
      <c r="C1020" s="3">
        <v>0</v>
      </c>
      <c r="D1020" s="3">
        <v>0</v>
      </c>
      <c r="E1020" s="3">
        <v>0</v>
      </c>
      <c r="F1020" s="3">
        <v>0</v>
      </c>
      <c r="G1020" s="3">
        <v>0</v>
      </c>
      <c r="H1020" s="3">
        <v>0</v>
      </c>
      <c r="I1020" s="3">
        <v>0</v>
      </c>
      <c r="J1020" s="4">
        <v>381</v>
      </c>
      <c r="K1020" s="3">
        <v>9</v>
      </c>
      <c r="L1020" s="27" t="s">
        <v>2354</v>
      </c>
      <c r="M1020" s="3">
        <v>910</v>
      </c>
      <c r="N1020" s="28" t="s">
        <v>2515</v>
      </c>
      <c r="O1020" s="3">
        <v>0</v>
      </c>
      <c r="P1020" s="3"/>
      <c r="Q1020" s="3" t="s">
        <v>601</v>
      </c>
      <c r="R1020" s="3" t="s">
        <v>2420</v>
      </c>
      <c r="S1020" s="3" t="str">
        <f t="shared" si="50"/>
        <v>910039</v>
      </c>
      <c r="T1020" s="3">
        <v>1</v>
      </c>
      <c r="U1020" s="3">
        <v>0</v>
      </c>
      <c r="V1020" s="3">
        <v>1</v>
      </c>
      <c r="W1020" s="7"/>
      <c r="X1020" s="27" t="s">
        <v>2347</v>
      </c>
      <c r="Y1020" s="27" t="s">
        <v>2374</v>
      </c>
    </row>
    <row r="1021" spans="1:25" x14ac:dyDescent="0.15">
      <c r="A1021" s="4">
        <v>910040</v>
      </c>
      <c r="B1021" s="27" t="s">
        <v>2348</v>
      </c>
      <c r="C1021" s="3">
        <v>0</v>
      </c>
      <c r="D1021" s="3">
        <v>0</v>
      </c>
      <c r="E1021" s="3">
        <v>0</v>
      </c>
      <c r="F1021" s="3">
        <v>0</v>
      </c>
      <c r="G1021" s="3">
        <v>0</v>
      </c>
      <c r="H1021" s="3">
        <v>0</v>
      </c>
      <c r="I1021" s="3">
        <v>0</v>
      </c>
      <c r="J1021" s="4">
        <v>382</v>
      </c>
      <c r="K1021" s="3">
        <v>9</v>
      </c>
      <c r="L1021" s="27" t="s">
        <v>2354</v>
      </c>
      <c r="M1021" s="3">
        <v>910</v>
      </c>
      <c r="N1021" s="28" t="s">
        <v>2515</v>
      </c>
      <c r="O1021" s="3">
        <v>0</v>
      </c>
      <c r="P1021" s="3"/>
      <c r="Q1021" s="3" t="s">
        <v>601</v>
      </c>
      <c r="R1021" s="3" t="s">
        <v>2421</v>
      </c>
      <c r="S1021" s="3" t="str">
        <f t="shared" si="50"/>
        <v>910040</v>
      </c>
      <c r="T1021" s="3">
        <v>1</v>
      </c>
      <c r="U1021" s="3">
        <v>0</v>
      </c>
      <c r="V1021" s="3">
        <v>1</v>
      </c>
      <c r="W1021" s="7"/>
      <c r="X1021" s="27" t="s">
        <v>2348</v>
      </c>
      <c r="Y1021" s="27" t="s">
        <v>2375</v>
      </c>
    </row>
    <row r="1022" spans="1:25" x14ac:dyDescent="0.15">
      <c r="A1022" s="4">
        <v>910041</v>
      </c>
      <c r="B1022" s="27" t="s">
        <v>2349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4">
        <v>383</v>
      </c>
      <c r="K1022" s="3">
        <v>9</v>
      </c>
      <c r="L1022" s="27" t="s">
        <v>2354</v>
      </c>
      <c r="M1022" s="3">
        <v>910</v>
      </c>
      <c r="N1022" s="28" t="s">
        <v>2515</v>
      </c>
      <c r="O1022" s="3">
        <v>0</v>
      </c>
      <c r="P1022" s="3"/>
      <c r="Q1022" s="3" t="s">
        <v>601</v>
      </c>
      <c r="R1022" s="3" t="s">
        <v>2422</v>
      </c>
      <c r="S1022" s="3" t="str">
        <f t="shared" si="50"/>
        <v>910041</v>
      </c>
      <c r="T1022" s="3">
        <v>1</v>
      </c>
      <c r="U1022" s="3">
        <v>0</v>
      </c>
      <c r="V1022" s="3">
        <v>1</v>
      </c>
      <c r="W1022" s="7"/>
      <c r="X1022" s="27" t="s">
        <v>2349</v>
      </c>
      <c r="Y1022" s="27" t="s">
        <v>2376</v>
      </c>
    </row>
    <row r="1023" spans="1:25" x14ac:dyDescent="0.15">
      <c r="A1023" s="4">
        <v>910042</v>
      </c>
      <c r="B1023" s="27" t="s">
        <v>2350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4">
        <v>384</v>
      </c>
      <c r="K1023" s="3">
        <v>9</v>
      </c>
      <c r="L1023" s="27" t="s">
        <v>2354</v>
      </c>
      <c r="M1023" s="3">
        <v>910</v>
      </c>
      <c r="N1023" s="28" t="s">
        <v>2515</v>
      </c>
      <c r="O1023" s="3">
        <v>0</v>
      </c>
      <c r="P1023" s="3"/>
      <c r="Q1023" s="3" t="s">
        <v>601</v>
      </c>
      <c r="R1023" s="3" t="s">
        <v>2423</v>
      </c>
      <c r="S1023" s="3" t="str">
        <f t="shared" si="50"/>
        <v>910042</v>
      </c>
      <c r="T1023" s="3">
        <v>1</v>
      </c>
      <c r="U1023" s="3">
        <v>0</v>
      </c>
      <c r="V1023" s="3">
        <v>1</v>
      </c>
      <c r="W1023" s="7"/>
      <c r="X1023" s="27" t="s">
        <v>2350</v>
      </c>
      <c r="Y1023" s="27" t="s">
        <v>2377</v>
      </c>
    </row>
    <row r="1024" spans="1:25" x14ac:dyDescent="0.15">
      <c r="A1024" s="4">
        <v>910043</v>
      </c>
      <c r="B1024" s="27" t="s">
        <v>2281</v>
      </c>
      <c r="C1024" s="3">
        <v>0</v>
      </c>
      <c r="D1024" s="3">
        <v>0</v>
      </c>
      <c r="E1024" s="3">
        <v>0</v>
      </c>
      <c r="F1024" s="3">
        <v>0</v>
      </c>
      <c r="G1024" s="3">
        <v>0</v>
      </c>
      <c r="H1024" s="3">
        <v>0</v>
      </c>
      <c r="I1024" s="3">
        <v>0</v>
      </c>
      <c r="J1024" s="4">
        <v>386</v>
      </c>
      <c r="K1024" s="3">
        <v>9</v>
      </c>
      <c r="L1024" s="27" t="s">
        <v>2354</v>
      </c>
      <c r="M1024" s="3">
        <v>910</v>
      </c>
      <c r="N1024" s="28" t="s">
        <v>2515</v>
      </c>
      <c r="O1024" s="3">
        <v>0</v>
      </c>
      <c r="P1024" s="3"/>
      <c r="Q1024" s="3" t="s">
        <v>601</v>
      </c>
      <c r="R1024" s="3" t="s">
        <v>2424</v>
      </c>
      <c r="S1024" s="3" t="str">
        <f t="shared" si="50"/>
        <v>910043</v>
      </c>
      <c r="T1024" s="3">
        <v>1</v>
      </c>
      <c r="U1024" s="3">
        <v>0</v>
      </c>
      <c r="V1024" s="3">
        <v>1</v>
      </c>
      <c r="W1024" s="7"/>
      <c r="X1024" s="27" t="s">
        <v>2281</v>
      </c>
      <c r="Y1024" s="27" t="s">
        <v>2378</v>
      </c>
    </row>
    <row r="1025" spans="1:25" x14ac:dyDescent="0.15">
      <c r="A1025" s="4">
        <v>910044</v>
      </c>
      <c r="B1025" s="27" t="s">
        <v>2352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4">
        <v>387</v>
      </c>
      <c r="K1025" s="3">
        <v>9</v>
      </c>
      <c r="L1025" s="27" t="s">
        <v>2354</v>
      </c>
      <c r="M1025" s="3">
        <v>910</v>
      </c>
      <c r="N1025" s="28" t="s">
        <v>2515</v>
      </c>
      <c r="O1025" s="3">
        <v>0</v>
      </c>
      <c r="P1025" s="3"/>
      <c r="Q1025" s="3" t="s">
        <v>601</v>
      </c>
      <c r="R1025" s="3" t="s">
        <v>2425</v>
      </c>
      <c r="S1025" s="3" t="str">
        <f t="shared" si="50"/>
        <v>910044</v>
      </c>
      <c r="T1025" s="3">
        <v>1</v>
      </c>
      <c r="U1025" s="3">
        <v>0</v>
      </c>
      <c r="V1025" s="3">
        <v>1</v>
      </c>
      <c r="W1025" s="7"/>
      <c r="X1025" s="27" t="s">
        <v>2352</v>
      </c>
      <c r="Y1025" s="27" t="s">
        <v>2379</v>
      </c>
    </row>
    <row r="1026" spans="1:25" x14ac:dyDescent="0.15">
      <c r="A1026" s="4">
        <v>910045</v>
      </c>
      <c r="B1026" s="27" t="s">
        <v>2353</v>
      </c>
      <c r="C1026" s="3">
        <v>0</v>
      </c>
      <c r="D1026" s="3">
        <v>0</v>
      </c>
      <c r="E1026" s="3">
        <v>0</v>
      </c>
      <c r="F1026" s="3">
        <v>0</v>
      </c>
      <c r="G1026" s="3">
        <v>0</v>
      </c>
      <c r="H1026" s="3">
        <v>0</v>
      </c>
      <c r="I1026" s="3">
        <v>0</v>
      </c>
      <c r="J1026" s="4">
        <v>388</v>
      </c>
      <c r="K1026" s="3">
        <v>9</v>
      </c>
      <c r="L1026" s="27" t="s">
        <v>2354</v>
      </c>
      <c r="M1026" s="3">
        <v>910</v>
      </c>
      <c r="N1026" s="28" t="s">
        <v>2515</v>
      </c>
      <c r="O1026" s="3">
        <v>0</v>
      </c>
      <c r="P1026" s="3"/>
      <c r="Q1026" s="3" t="s">
        <v>601</v>
      </c>
      <c r="R1026" s="3" t="s">
        <v>2426</v>
      </c>
      <c r="S1026" s="3" t="str">
        <f t="shared" si="50"/>
        <v>910045</v>
      </c>
      <c r="T1026" s="3">
        <v>1</v>
      </c>
      <c r="U1026" s="3">
        <v>0</v>
      </c>
      <c r="V1026" s="3">
        <v>1</v>
      </c>
      <c r="W1026" s="7"/>
      <c r="X1026" s="27" t="s">
        <v>2353</v>
      </c>
      <c r="Y1026" s="27" t="s">
        <v>2380</v>
      </c>
    </row>
    <row r="1027" spans="1:25" x14ac:dyDescent="0.15">
      <c r="A1027" s="4">
        <v>910046</v>
      </c>
      <c r="B1027" s="27" t="s">
        <v>2146</v>
      </c>
      <c r="C1027" s="3">
        <v>0</v>
      </c>
      <c r="D1027" s="3">
        <v>0</v>
      </c>
      <c r="E1027" s="3">
        <v>0</v>
      </c>
      <c r="F1027" s="3">
        <v>0</v>
      </c>
      <c r="G1027" s="3">
        <v>0</v>
      </c>
      <c r="H1027" s="3">
        <v>0</v>
      </c>
      <c r="I1027" s="3">
        <v>0</v>
      </c>
      <c r="J1027" s="4">
        <v>389</v>
      </c>
      <c r="K1027" s="3">
        <v>9</v>
      </c>
      <c r="L1027" s="27" t="s">
        <v>2354</v>
      </c>
      <c r="M1027" s="3">
        <v>910</v>
      </c>
      <c r="N1027" s="28" t="s">
        <v>2516</v>
      </c>
      <c r="O1027" s="3">
        <v>0</v>
      </c>
      <c r="P1027" s="3"/>
      <c r="Q1027" s="3" t="s">
        <v>601</v>
      </c>
      <c r="R1027" s="3" t="s">
        <v>2427</v>
      </c>
      <c r="S1027" s="3" t="str">
        <f t="shared" si="50"/>
        <v>910046</v>
      </c>
      <c r="T1027" s="3">
        <v>1</v>
      </c>
      <c r="U1027" s="3">
        <v>0</v>
      </c>
      <c r="V1027" s="3">
        <v>1</v>
      </c>
      <c r="W1027" s="7"/>
      <c r="X1027" s="27" t="s">
        <v>2146</v>
      </c>
      <c r="Y1027" s="27" t="s">
        <v>2208</v>
      </c>
    </row>
    <row r="1028" spans="1:25" x14ac:dyDescent="0.15">
      <c r="A1028" s="4">
        <v>910047</v>
      </c>
      <c r="B1028" s="27" t="s">
        <v>2209</v>
      </c>
      <c r="C1028" s="3">
        <v>0</v>
      </c>
      <c r="D1028" s="3">
        <v>0</v>
      </c>
      <c r="E1028" s="3">
        <v>0</v>
      </c>
      <c r="F1028" s="3">
        <v>0</v>
      </c>
      <c r="G1028" s="3">
        <v>0</v>
      </c>
      <c r="H1028" s="3">
        <v>0</v>
      </c>
      <c r="I1028" s="3">
        <v>0</v>
      </c>
      <c r="J1028" s="4">
        <v>390</v>
      </c>
      <c r="K1028" s="3">
        <v>9</v>
      </c>
      <c r="L1028" s="27" t="s">
        <v>2354</v>
      </c>
      <c r="M1028" s="3">
        <v>910</v>
      </c>
      <c r="N1028" s="28" t="s">
        <v>2516</v>
      </c>
      <c r="O1028" s="3">
        <v>0</v>
      </c>
      <c r="P1028" s="3"/>
      <c r="Q1028" s="3" t="s">
        <v>601</v>
      </c>
      <c r="R1028" s="3" t="s">
        <v>2428</v>
      </c>
      <c r="S1028" s="3" t="str">
        <f t="shared" si="50"/>
        <v>910047</v>
      </c>
      <c r="T1028" s="3">
        <v>1</v>
      </c>
      <c r="U1028" s="3">
        <v>0</v>
      </c>
      <c r="V1028" s="3">
        <v>1</v>
      </c>
      <c r="W1028" s="7"/>
      <c r="X1028" s="27" t="s">
        <v>2209</v>
      </c>
      <c r="Y1028" s="27" t="s">
        <v>2210</v>
      </c>
    </row>
    <row r="1029" spans="1:25" x14ac:dyDescent="0.15">
      <c r="A1029" s="4">
        <v>910048</v>
      </c>
      <c r="B1029" s="27" t="s">
        <v>2211</v>
      </c>
      <c r="C1029" s="3">
        <v>0</v>
      </c>
      <c r="D1029" s="3">
        <v>0</v>
      </c>
      <c r="E1029" s="3">
        <v>0</v>
      </c>
      <c r="F1029" s="3">
        <v>0</v>
      </c>
      <c r="G1029" s="3">
        <v>0</v>
      </c>
      <c r="H1029" s="3">
        <v>0</v>
      </c>
      <c r="I1029" s="3">
        <v>0</v>
      </c>
      <c r="J1029" s="4">
        <v>391</v>
      </c>
      <c r="K1029" s="3">
        <v>9</v>
      </c>
      <c r="L1029" s="27" t="s">
        <v>2354</v>
      </c>
      <c r="M1029" s="3">
        <v>910</v>
      </c>
      <c r="N1029" s="28" t="s">
        <v>2516</v>
      </c>
      <c r="O1029" s="3">
        <v>0</v>
      </c>
      <c r="P1029" s="3"/>
      <c r="Q1029" s="3" t="s">
        <v>601</v>
      </c>
      <c r="R1029" s="3" t="s">
        <v>2429</v>
      </c>
      <c r="S1029" s="3" t="str">
        <f t="shared" si="50"/>
        <v>910048</v>
      </c>
      <c r="T1029" s="3">
        <v>1</v>
      </c>
      <c r="U1029" s="3">
        <v>0</v>
      </c>
      <c r="V1029" s="3">
        <v>1</v>
      </c>
      <c r="W1029" s="7"/>
      <c r="X1029" s="27" t="s">
        <v>2211</v>
      </c>
      <c r="Y1029" s="27" t="s">
        <v>2530</v>
      </c>
    </row>
    <row r="1030" spans="1:25" x14ac:dyDescent="0.15">
      <c r="A1030" s="4">
        <v>910049</v>
      </c>
      <c r="B1030" s="27" t="s">
        <v>2147</v>
      </c>
      <c r="C1030" s="3">
        <v>0</v>
      </c>
      <c r="D1030" s="3">
        <v>0</v>
      </c>
      <c r="E1030" s="3">
        <v>0</v>
      </c>
      <c r="F1030" s="3">
        <v>0</v>
      </c>
      <c r="G1030" s="3">
        <v>0</v>
      </c>
      <c r="H1030" s="3">
        <v>0</v>
      </c>
      <c r="I1030" s="3">
        <v>0</v>
      </c>
      <c r="J1030" s="4">
        <v>392</v>
      </c>
      <c r="K1030" s="3">
        <v>9</v>
      </c>
      <c r="L1030" s="27" t="s">
        <v>2354</v>
      </c>
      <c r="M1030" s="3">
        <v>910</v>
      </c>
      <c r="N1030" s="28" t="s">
        <v>2516</v>
      </c>
      <c r="O1030" s="3">
        <v>0</v>
      </c>
      <c r="P1030" s="3"/>
      <c r="Q1030" s="3" t="s">
        <v>601</v>
      </c>
      <c r="R1030" s="3" t="s">
        <v>2430</v>
      </c>
      <c r="S1030" s="3" t="str">
        <f t="shared" si="50"/>
        <v>910049</v>
      </c>
      <c r="T1030" s="3">
        <v>1</v>
      </c>
      <c r="U1030" s="3">
        <v>0</v>
      </c>
      <c r="V1030" s="3">
        <v>1</v>
      </c>
      <c r="W1030" s="7"/>
      <c r="X1030" s="27" t="s">
        <v>2147</v>
      </c>
      <c r="Y1030" s="27" t="s">
        <v>2212</v>
      </c>
    </row>
    <row r="1031" spans="1:25" x14ac:dyDescent="0.15">
      <c r="A1031" s="4">
        <v>910050</v>
      </c>
      <c r="B1031" s="27" t="s">
        <v>2213</v>
      </c>
      <c r="C1031" s="3">
        <v>0</v>
      </c>
      <c r="D1031" s="3">
        <v>0</v>
      </c>
      <c r="E1031" s="3">
        <v>0</v>
      </c>
      <c r="F1031" s="3">
        <v>0</v>
      </c>
      <c r="G1031" s="3">
        <v>0</v>
      </c>
      <c r="H1031" s="3">
        <v>0</v>
      </c>
      <c r="I1031" s="3">
        <v>0</v>
      </c>
      <c r="J1031" s="4">
        <v>393</v>
      </c>
      <c r="K1031" s="3">
        <v>9</v>
      </c>
      <c r="L1031" s="27" t="s">
        <v>2354</v>
      </c>
      <c r="M1031" s="3">
        <v>910</v>
      </c>
      <c r="N1031" s="28" t="s">
        <v>2516</v>
      </c>
      <c r="O1031" s="3">
        <v>0</v>
      </c>
      <c r="P1031" s="3"/>
      <c r="Q1031" s="3" t="s">
        <v>601</v>
      </c>
      <c r="R1031" s="3" t="s">
        <v>2431</v>
      </c>
      <c r="S1031" s="3" t="str">
        <f t="shared" si="50"/>
        <v>910050</v>
      </c>
      <c r="T1031" s="3">
        <v>1</v>
      </c>
      <c r="U1031" s="3">
        <v>0</v>
      </c>
      <c r="V1031" s="3">
        <v>1</v>
      </c>
      <c r="W1031" s="7"/>
      <c r="X1031" s="27" t="s">
        <v>2213</v>
      </c>
      <c r="Y1031" s="27" t="s">
        <v>2214</v>
      </c>
    </row>
    <row r="1032" spans="1:25" x14ac:dyDescent="0.15">
      <c r="A1032" s="4">
        <v>910051</v>
      </c>
      <c r="B1032" s="27" t="s">
        <v>2150</v>
      </c>
      <c r="C1032" s="3">
        <v>0</v>
      </c>
      <c r="D1032" s="3">
        <v>0</v>
      </c>
      <c r="E1032" s="3">
        <v>0</v>
      </c>
      <c r="F1032" s="3">
        <v>0</v>
      </c>
      <c r="G1032" s="3">
        <v>0</v>
      </c>
      <c r="H1032" s="3">
        <v>0</v>
      </c>
      <c r="I1032" s="3">
        <v>0</v>
      </c>
      <c r="J1032" s="4">
        <v>394</v>
      </c>
      <c r="K1032" s="3">
        <v>9</v>
      </c>
      <c r="L1032" s="27" t="s">
        <v>2354</v>
      </c>
      <c r="M1032" s="3">
        <v>910</v>
      </c>
      <c r="N1032" s="28" t="s">
        <v>2516</v>
      </c>
      <c r="O1032" s="3">
        <v>0</v>
      </c>
      <c r="P1032" s="3"/>
      <c r="Q1032" s="3" t="s">
        <v>601</v>
      </c>
      <c r="R1032" s="3" t="s">
        <v>2432</v>
      </c>
      <c r="S1032" s="3" t="str">
        <f t="shared" si="50"/>
        <v>910051</v>
      </c>
      <c r="T1032" s="3">
        <v>1</v>
      </c>
      <c r="U1032" s="3">
        <v>0</v>
      </c>
      <c r="V1032" s="3">
        <v>1</v>
      </c>
      <c r="W1032" s="7"/>
      <c r="X1032" s="27" t="s">
        <v>2150</v>
      </c>
      <c r="Y1032" s="27" t="s">
        <v>2215</v>
      </c>
    </row>
    <row r="1033" spans="1:25" x14ac:dyDescent="0.15">
      <c r="A1033" s="4">
        <v>910052</v>
      </c>
      <c r="B1033" s="27" t="s">
        <v>2216</v>
      </c>
      <c r="C1033" s="3">
        <v>0</v>
      </c>
      <c r="D1033" s="3">
        <v>0</v>
      </c>
      <c r="E1033" s="3">
        <v>0</v>
      </c>
      <c r="F1033" s="3">
        <v>0</v>
      </c>
      <c r="G1033" s="3">
        <v>0</v>
      </c>
      <c r="H1033" s="3">
        <v>0</v>
      </c>
      <c r="I1033" s="3">
        <v>0</v>
      </c>
      <c r="J1033" s="4">
        <v>395</v>
      </c>
      <c r="K1033" s="3">
        <v>9</v>
      </c>
      <c r="L1033" s="27" t="s">
        <v>2354</v>
      </c>
      <c r="M1033" s="3">
        <v>910</v>
      </c>
      <c r="N1033" s="28" t="s">
        <v>2516</v>
      </c>
      <c r="O1033" s="3">
        <v>0</v>
      </c>
      <c r="P1033" s="3"/>
      <c r="Q1033" s="3" t="s">
        <v>601</v>
      </c>
      <c r="R1033" s="3" t="s">
        <v>2433</v>
      </c>
      <c r="S1033" s="3" t="str">
        <f t="shared" si="50"/>
        <v>910052</v>
      </c>
      <c r="T1033" s="3">
        <v>1</v>
      </c>
      <c r="U1033" s="3">
        <v>0</v>
      </c>
      <c r="V1033" s="3">
        <v>1</v>
      </c>
      <c r="W1033" s="7"/>
      <c r="X1033" s="27" t="s">
        <v>2216</v>
      </c>
      <c r="Y1033" s="27" t="s">
        <v>2217</v>
      </c>
    </row>
    <row r="1034" spans="1:25" x14ac:dyDescent="0.15">
      <c r="A1034" s="4">
        <v>910053</v>
      </c>
      <c r="B1034" s="27" t="s">
        <v>2145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4">
        <v>396</v>
      </c>
      <c r="K1034" s="3">
        <v>9</v>
      </c>
      <c r="L1034" s="27" t="s">
        <v>2354</v>
      </c>
      <c r="M1034" s="3">
        <v>910</v>
      </c>
      <c r="N1034" s="28" t="s">
        <v>2516</v>
      </c>
      <c r="O1034" s="3">
        <v>0</v>
      </c>
      <c r="P1034" s="3"/>
      <c r="Q1034" s="3" t="s">
        <v>601</v>
      </c>
      <c r="R1034" s="3" t="s">
        <v>2434</v>
      </c>
      <c r="S1034" s="3" t="str">
        <f t="shared" si="50"/>
        <v>910053</v>
      </c>
      <c r="T1034" s="3">
        <v>1</v>
      </c>
      <c r="U1034" s="3">
        <v>0</v>
      </c>
      <c r="V1034" s="3">
        <v>1</v>
      </c>
      <c r="W1034" s="7"/>
      <c r="X1034" s="27" t="s">
        <v>2145</v>
      </c>
      <c r="Y1034" s="27" t="s">
        <v>2218</v>
      </c>
    </row>
    <row r="1035" spans="1:25" x14ac:dyDescent="0.15">
      <c r="A1035" s="4">
        <v>910054</v>
      </c>
      <c r="B1035" s="27" t="s">
        <v>2156</v>
      </c>
      <c r="C1035" s="3">
        <v>0</v>
      </c>
      <c r="D1035" s="3">
        <v>0</v>
      </c>
      <c r="E1035" s="3">
        <v>0</v>
      </c>
      <c r="F1035" s="3">
        <v>0</v>
      </c>
      <c r="G1035" s="3">
        <v>0</v>
      </c>
      <c r="H1035" s="3">
        <v>0</v>
      </c>
      <c r="I1035" s="3">
        <v>0</v>
      </c>
      <c r="J1035" s="4">
        <v>397</v>
      </c>
      <c r="K1035" s="3">
        <v>9</v>
      </c>
      <c r="L1035" s="27" t="s">
        <v>2354</v>
      </c>
      <c r="M1035" s="3">
        <v>910</v>
      </c>
      <c r="N1035" s="28" t="s">
        <v>2516</v>
      </c>
      <c r="O1035" s="3">
        <v>0</v>
      </c>
      <c r="P1035" s="3"/>
      <c r="Q1035" s="3" t="s">
        <v>601</v>
      </c>
      <c r="R1035" s="3" t="s">
        <v>2435</v>
      </c>
      <c r="S1035" s="3" t="str">
        <f t="shared" si="50"/>
        <v>910054</v>
      </c>
      <c r="T1035" s="3">
        <v>1</v>
      </c>
      <c r="U1035" s="3">
        <v>0</v>
      </c>
      <c r="V1035" s="3">
        <v>1</v>
      </c>
      <c r="W1035" s="7"/>
      <c r="X1035" s="27" t="s">
        <v>2156</v>
      </c>
      <c r="Y1035" s="27" t="s">
        <v>2219</v>
      </c>
    </row>
    <row r="1036" spans="1:25" x14ac:dyDescent="0.15">
      <c r="A1036" s="4">
        <v>910055</v>
      </c>
      <c r="B1036" s="27" t="s">
        <v>2144</v>
      </c>
      <c r="C1036" s="3">
        <v>0</v>
      </c>
      <c r="D1036" s="3">
        <v>0</v>
      </c>
      <c r="E1036" s="3">
        <v>0</v>
      </c>
      <c r="F1036" s="3">
        <v>0</v>
      </c>
      <c r="G1036" s="3">
        <v>0</v>
      </c>
      <c r="H1036" s="3">
        <v>0</v>
      </c>
      <c r="I1036" s="3">
        <v>0</v>
      </c>
      <c r="J1036" s="4">
        <v>398</v>
      </c>
      <c r="K1036" s="3">
        <v>9</v>
      </c>
      <c r="L1036" s="27" t="s">
        <v>2354</v>
      </c>
      <c r="M1036" s="3">
        <v>910</v>
      </c>
      <c r="N1036" s="28" t="s">
        <v>2516</v>
      </c>
      <c r="O1036" s="3">
        <v>0</v>
      </c>
      <c r="P1036" s="3"/>
      <c r="Q1036" s="3" t="s">
        <v>601</v>
      </c>
      <c r="R1036" s="3" t="s">
        <v>2436</v>
      </c>
      <c r="S1036" s="3" t="str">
        <f t="shared" si="50"/>
        <v>910055</v>
      </c>
      <c r="T1036" s="3">
        <v>1</v>
      </c>
      <c r="U1036" s="3">
        <v>0</v>
      </c>
      <c r="V1036" s="3">
        <v>1</v>
      </c>
      <c r="W1036" s="7"/>
      <c r="X1036" s="27" t="s">
        <v>2144</v>
      </c>
      <c r="Y1036" s="27" t="s">
        <v>2220</v>
      </c>
    </row>
    <row r="1037" spans="1:25" x14ac:dyDescent="0.15">
      <c r="A1037" s="4">
        <v>910056</v>
      </c>
      <c r="B1037" s="27" t="s">
        <v>2221</v>
      </c>
      <c r="C1037" s="3">
        <v>0</v>
      </c>
      <c r="D1037" s="3">
        <v>0</v>
      </c>
      <c r="E1037" s="3">
        <v>0</v>
      </c>
      <c r="F1037" s="3">
        <v>0</v>
      </c>
      <c r="G1037" s="3">
        <v>0</v>
      </c>
      <c r="H1037" s="3">
        <v>0</v>
      </c>
      <c r="I1037" s="3">
        <v>0</v>
      </c>
      <c r="J1037" s="4">
        <v>399</v>
      </c>
      <c r="K1037" s="3">
        <v>9</v>
      </c>
      <c r="L1037" s="27" t="s">
        <v>2354</v>
      </c>
      <c r="M1037" s="3">
        <v>910</v>
      </c>
      <c r="N1037" s="28" t="s">
        <v>2516</v>
      </c>
      <c r="O1037" s="3">
        <v>0</v>
      </c>
      <c r="P1037" s="3"/>
      <c r="Q1037" s="3" t="s">
        <v>601</v>
      </c>
      <c r="R1037" s="3" t="s">
        <v>2437</v>
      </c>
      <c r="S1037" s="3" t="str">
        <f t="shared" si="50"/>
        <v>910056</v>
      </c>
      <c r="T1037" s="3">
        <v>1</v>
      </c>
      <c r="U1037" s="3">
        <v>0</v>
      </c>
      <c r="V1037" s="3">
        <v>1</v>
      </c>
      <c r="W1037" s="7"/>
      <c r="X1037" s="27" t="s">
        <v>2221</v>
      </c>
      <c r="Y1037" s="27" t="s">
        <v>2222</v>
      </c>
    </row>
    <row r="1038" spans="1:25" x14ac:dyDescent="0.15">
      <c r="A1038" s="4">
        <v>910057</v>
      </c>
      <c r="B1038" s="27" t="s">
        <v>2223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4">
        <v>400</v>
      </c>
      <c r="K1038" s="3">
        <v>9</v>
      </c>
      <c r="L1038" s="27" t="s">
        <v>2354</v>
      </c>
      <c r="M1038" s="3">
        <v>910</v>
      </c>
      <c r="N1038" s="28" t="s">
        <v>2516</v>
      </c>
      <c r="O1038" s="3">
        <v>0</v>
      </c>
      <c r="P1038" s="3"/>
      <c r="Q1038" s="3" t="s">
        <v>601</v>
      </c>
      <c r="R1038" s="3" t="s">
        <v>2438</v>
      </c>
      <c r="S1038" s="3" t="str">
        <f t="shared" si="50"/>
        <v>910057</v>
      </c>
      <c r="T1038" s="3">
        <v>1</v>
      </c>
      <c r="U1038" s="3">
        <v>0</v>
      </c>
      <c r="V1038" s="3">
        <v>1</v>
      </c>
      <c r="W1038" s="7"/>
      <c r="X1038" s="27" t="s">
        <v>2223</v>
      </c>
      <c r="Y1038" s="27" t="s">
        <v>2224</v>
      </c>
    </row>
    <row r="1039" spans="1:25" x14ac:dyDescent="0.15">
      <c r="A1039" s="4">
        <v>910058</v>
      </c>
      <c r="B1039" s="27" t="s">
        <v>2143</v>
      </c>
      <c r="C1039" s="3">
        <v>0</v>
      </c>
      <c r="D1039" s="3">
        <v>0</v>
      </c>
      <c r="E1039" s="3">
        <v>0</v>
      </c>
      <c r="F1039" s="3">
        <v>0</v>
      </c>
      <c r="G1039" s="3">
        <v>0</v>
      </c>
      <c r="H1039" s="3">
        <v>0</v>
      </c>
      <c r="I1039" s="3">
        <v>0</v>
      </c>
      <c r="J1039" s="4">
        <v>401</v>
      </c>
      <c r="K1039" s="3">
        <v>9</v>
      </c>
      <c r="L1039" s="27" t="s">
        <v>2354</v>
      </c>
      <c r="M1039" s="3">
        <v>910</v>
      </c>
      <c r="N1039" s="28" t="s">
        <v>2516</v>
      </c>
      <c r="O1039" s="3">
        <v>0</v>
      </c>
      <c r="P1039" s="3"/>
      <c r="Q1039" s="3" t="s">
        <v>601</v>
      </c>
      <c r="R1039" s="3" t="s">
        <v>2439</v>
      </c>
      <c r="S1039" s="3" t="str">
        <f t="shared" si="50"/>
        <v>910058</v>
      </c>
      <c r="T1039" s="3">
        <v>1</v>
      </c>
      <c r="U1039" s="3">
        <v>0</v>
      </c>
      <c r="V1039" s="3">
        <v>1</v>
      </c>
      <c r="W1039" s="7"/>
      <c r="X1039" s="27" t="s">
        <v>2143</v>
      </c>
      <c r="Y1039" s="27" t="s">
        <v>2225</v>
      </c>
    </row>
    <row r="1040" spans="1:25" x14ac:dyDescent="0.15">
      <c r="A1040" s="4">
        <v>910059</v>
      </c>
      <c r="B1040" s="27" t="s">
        <v>2226</v>
      </c>
      <c r="C1040" s="3">
        <v>0</v>
      </c>
      <c r="D1040" s="3">
        <v>0</v>
      </c>
      <c r="E1040" s="3">
        <v>0</v>
      </c>
      <c r="F1040" s="3">
        <v>0</v>
      </c>
      <c r="G1040" s="3">
        <v>0</v>
      </c>
      <c r="H1040" s="3">
        <v>0</v>
      </c>
      <c r="I1040" s="3">
        <v>0</v>
      </c>
      <c r="J1040" s="4">
        <v>402</v>
      </c>
      <c r="K1040" s="3">
        <v>9</v>
      </c>
      <c r="L1040" s="27" t="s">
        <v>2354</v>
      </c>
      <c r="M1040" s="3">
        <v>910</v>
      </c>
      <c r="N1040" s="28" t="s">
        <v>2516</v>
      </c>
      <c r="O1040" s="3">
        <v>0</v>
      </c>
      <c r="P1040" s="3"/>
      <c r="Q1040" s="3" t="s">
        <v>601</v>
      </c>
      <c r="R1040" s="3" t="s">
        <v>2440</v>
      </c>
      <c r="S1040" s="3" t="str">
        <f t="shared" si="50"/>
        <v>910059</v>
      </c>
      <c r="T1040" s="3">
        <v>1</v>
      </c>
      <c r="U1040" s="3">
        <v>0</v>
      </c>
      <c r="V1040" s="3">
        <v>1</v>
      </c>
      <c r="W1040" s="7"/>
      <c r="X1040" s="27" t="s">
        <v>2226</v>
      </c>
      <c r="Y1040" s="27" t="s">
        <v>2227</v>
      </c>
    </row>
    <row r="1041" spans="1:25" x14ac:dyDescent="0.15">
      <c r="A1041" s="4">
        <v>910060</v>
      </c>
      <c r="B1041" s="27" t="s">
        <v>2228</v>
      </c>
      <c r="C1041" s="3">
        <v>0</v>
      </c>
      <c r="D1041" s="3">
        <v>0</v>
      </c>
      <c r="E1041" s="3">
        <v>0</v>
      </c>
      <c r="F1041" s="3">
        <v>0</v>
      </c>
      <c r="G1041" s="3">
        <v>0</v>
      </c>
      <c r="H1041" s="3">
        <v>0</v>
      </c>
      <c r="I1041" s="3">
        <v>0</v>
      </c>
      <c r="J1041" s="4">
        <v>403</v>
      </c>
      <c r="K1041" s="3">
        <v>9</v>
      </c>
      <c r="L1041" s="27" t="s">
        <v>2354</v>
      </c>
      <c r="M1041" s="3">
        <v>910</v>
      </c>
      <c r="N1041" s="28" t="s">
        <v>2516</v>
      </c>
      <c r="O1041" s="3">
        <v>0</v>
      </c>
      <c r="P1041" s="3"/>
      <c r="Q1041" s="3" t="s">
        <v>601</v>
      </c>
      <c r="R1041" s="3" t="s">
        <v>2441</v>
      </c>
      <c r="S1041" s="3" t="str">
        <f t="shared" si="50"/>
        <v>910060</v>
      </c>
      <c r="T1041" s="3">
        <v>1</v>
      </c>
      <c r="U1041" s="3">
        <v>0</v>
      </c>
      <c r="V1041" s="3">
        <v>1</v>
      </c>
      <c r="W1041" s="7"/>
      <c r="X1041" s="27" t="s">
        <v>2228</v>
      </c>
      <c r="Y1041" s="27" t="s">
        <v>2229</v>
      </c>
    </row>
    <row r="1042" spans="1:25" x14ac:dyDescent="0.15">
      <c r="A1042" s="4">
        <v>910061</v>
      </c>
      <c r="B1042" s="27" t="s">
        <v>2539</v>
      </c>
      <c r="C1042" s="3">
        <v>0</v>
      </c>
      <c r="D1042" s="3">
        <v>0</v>
      </c>
      <c r="E1042" s="3">
        <v>0</v>
      </c>
      <c r="F1042" s="3">
        <v>0</v>
      </c>
      <c r="G1042" s="3">
        <v>0</v>
      </c>
      <c r="H1042" s="3">
        <v>0</v>
      </c>
      <c r="I1042" s="3">
        <v>0</v>
      </c>
      <c r="J1042" s="4">
        <v>404</v>
      </c>
      <c r="K1042" s="3">
        <v>9</v>
      </c>
      <c r="L1042" s="27" t="s">
        <v>2354</v>
      </c>
      <c r="M1042" s="3">
        <v>910</v>
      </c>
      <c r="N1042" s="28" t="s">
        <v>2516</v>
      </c>
      <c r="O1042" s="3">
        <v>0</v>
      </c>
      <c r="P1042" s="3"/>
      <c r="Q1042" s="3" t="s">
        <v>601</v>
      </c>
      <c r="R1042" s="3" t="s">
        <v>2442</v>
      </c>
      <c r="S1042" s="3" t="str">
        <f t="shared" si="50"/>
        <v>910061</v>
      </c>
      <c r="T1042" s="3">
        <v>1</v>
      </c>
      <c r="U1042" s="3">
        <v>0</v>
      </c>
      <c r="V1042" s="3">
        <v>1</v>
      </c>
      <c r="W1042" s="7"/>
      <c r="X1042" s="27" t="s">
        <v>2539</v>
      </c>
      <c r="Y1042" s="27" t="s">
        <v>2541</v>
      </c>
    </row>
    <row r="1043" spans="1:25" x14ac:dyDescent="0.15">
      <c r="A1043" s="4">
        <v>910062</v>
      </c>
      <c r="B1043" s="27" t="s">
        <v>2274</v>
      </c>
      <c r="C1043" s="3">
        <v>0</v>
      </c>
      <c r="D1043" s="3">
        <v>0</v>
      </c>
      <c r="E1043" s="3">
        <v>0</v>
      </c>
      <c r="F1043" s="3">
        <v>0</v>
      </c>
      <c r="G1043" s="3">
        <v>0</v>
      </c>
      <c r="H1043" s="3">
        <v>0</v>
      </c>
      <c r="I1043" s="3">
        <v>0</v>
      </c>
      <c r="J1043" s="4">
        <v>405</v>
      </c>
      <c r="K1043" s="3">
        <v>9</v>
      </c>
      <c r="L1043" s="27" t="s">
        <v>2354</v>
      </c>
      <c r="M1043" s="3">
        <v>910</v>
      </c>
      <c r="N1043" s="28" t="s">
        <v>2516</v>
      </c>
      <c r="O1043" s="3">
        <v>0</v>
      </c>
      <c r="P1043" s="3"/>
      <c r="Q1043" s="3" t="s">
        <v>601</v>
      </c>
      <c r="R1043" s="3" t="s">
        <v>2443</v>
      </c>
      <c r="S1043" s="3" t="str">
        <f t="shared" si="50"/>
        <v>910062</v>
      </c>
      <c r="T1043" s="3">
        <v>1</v>
      </c>
      <c r="U1043" s="3">
        <v>0</v>
      </c>
      <c r="V1043" s="3">
        <v>1</v>
      </c>
      <c r="W1043" s="7"/>
      <c r="X1043" s="27" t="s">
        <v>2274</v>
      </c>
      <c r="Y1043" s="27" t="s">
        <v>2275</v>
      </c>
    </row>
    <row r="1044" spans="1:25" x14ac:dyDescent="0.15">
      <c r="A1044" s="4">
        <v>910063</v>
      </c>
      <c r="B1044" s="27" t="s">
        <v>2142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4">
        <v>406</v>
      </c>
      <c r="K1044" s="3">
        <v>9</v>
      </c>
      <c r="L1044" s="27" t="s">
        <v>2354</v>
      </c>
      <c r="M1044" s="3">
        <v>910</v>
      </c>
      <c r="N1044" s="28" t="s">
        <v>2516</v>
      </c>
      <c r="O1044" s="3">
        <v>0</v>
      </c>
      <c r="P1044" s="3"/>
      <c r="Q1044" s="3" t="s">
        <v>601</v>
      </c>
      <c r="R1044" s="3" t="s">
        <v>2444</v>
      </c>
      <c r="S1044" s="3" t="str">
        <f t="shared" si="50"/>
        <v>910063</v>
      </c>
      <c r="T1044" s="3">
        <v>1</v>
      </c>
      <c r="U1044" s="3">
        <v>0</v>
      </c>
      <c r="V1044" s="3">
        <v>1</v>
      </c>
      <c r="W1044" s="7"/>
      <c r="X1044" s="27" t="s">
        <v>2142</v>
      </c>
      <c r="Y1044" s="27" t="s">
        <v>2230</v>
      </c>
    </row>
    <row r="1045" spans="1:25" x14ac:dyDescent="0.15">
      <c r="A1045" s="4">
        <v>910064</v>
      </c>
      <c r="B1045" s="27" t="s">
        <v>2231</v>
      </c>
      <c r="C1045" s="3">
        <v>0</v>
      </c>
      <c r="D1045" s="3">
        <v>0</v>
      </c>
      <c r="E1045" s="3">
        <v>0</v>
      </c>
      <c r="F1045" s="3">
        <v>0</v>
      </c>
      <c r="G1045" s="3">
        <v>0</v>
      </c>
      <c r="H1045" s="3">
        <v>0</v>
      </c>
      <c r="I1045" s="3">
        <v>0</v>
      </c>
      <c r="J1045" s="4">
        <v>407</v>
      </c>
      <c r="K1045" s="3">
        <v>9</v>
      </c>
      <c r="L1045" s="27" t="s">
        <v>2354</v>
      </c>
      <c r="M1045" s="3">
        <v>910</v>
      </c>
      <c r="N1045" s="28" t="s">
        <v>2516</v>
      </c>
      <c r="O1045" s="3">
        <v>0</v>
      </c>
      <c r="P1045" s="3"/>
      <c r="Q1045" s="3" t="s">
        <v>601</v>
      </c>
      <c r="R1045" s="3" t="s">
        <v>2445</v>
      </c>
      <c r="S1045" s="3" t="str">
        <f t="shared" si="50"/>
        <v>910064</v>
      </c>
      <c r="T1045" s="3">
        <v>1</v>
      </c>
      <c r="U1045" s="3">
        <v>0</v>
      </c>
      <c r="V1045" s="3">
        <v>1</v>
      </c>
      <c r="W1045" s="7"/>
      <c r="X1045" s="27" t="s">
        <v>2231</v>
      </c>
      <c r="Y1045" s="27" t="s">
        <v>2232</v>
      </c>
    </row>
    <row r="1046" spans="1:25" x14ac:dyDescent="0.15">
      <c r="A1046" s="4">
        <v>910065</v>
      </c>
      <c r="B1046" s="27" t="s">
        <v>2233</v>
      </c>
      <c r="C1046" s="3">
        <v>0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4">
        <v>408</v>
      </c>
      <c r="K1046" s="3">
        <v>9</v>
      </c>
      <c r="L1046" s="27" t="s">
        <v>2354</v>
      </c>
      <c r="M1046" s="3">
        <v>910</v>
      </c>
      <c r="N1046" s="28" t="s">
        <v>2516</v>
      </c>
      <c r="O1046" s="3">
        <v>0</v>
      </c>
      <c r="P1046" s="3"/>
      <c r="Q1046" s="3" t="s">
        <v>601</v>
      </c>
      <c r="R1046" s="3" t="s">
        <v>2446</v>
      </c>
      <c r="S1046" s="3" t="str">
        <f t="shared" ref="S1046:S1109" si="51">CONCATENATE(A1046,"")</f>
        <v>910065</v>
      </c>
      <c r="T1046" s="3">
        <v>1</v>
      </c>
      <c r="U1046" s="3">
        <v>0</v>
      </c>
      <c r="V1046" s="3">
        <v>1</v>
      </c>
      <c r="W1046" s="7"/>
      <c r="X1046" s="27" t="s">
        <v>2233</v>
      </c>
      <c r="Y1046" s="27" t="s">
        <v>2234</v>
      </c>
    </row>
    <row r="1047" spans="1:25" x14ac:dyDescent="0.15">
      <c r="A1047" s="4">
        <v>910066</v>
      </c>
      <c r="B1047" s="27" t="s">
        <v>2154</v>
      </c>
      <c r="C1047" s="3">
        <v>0</v>
      </c>
      <c r="D1047" s="3">
        <v>0</v>
      </c>
      <c r="E1047" s="3">
        <v>0</v>
      </c>
      <c r="F1047" s="3">
        <v>0</v>
      </c>
      <c r="G1047" s="3">
        <v>0</v>
      </c>
      <c r="H1047" s="3">
        <v>0</v>
      </c>
      <c r="I1047" s="3">
        <v>0</v>
      </c>
      <c r="J1047" s="4">
        <v>409</v>
      </c>
      <c r="K1047" s="3">
        <v>9</v>
      </c>
      <c r="L1047" s="27" t="s">
        <v>2354</v>
      </c>
      <c r="M1047" s="3">
        <v>910</v>
      </c>
      <c r="N1047" s="28" t="s">
        <v>2516</v>
      </c>
      <c r="O1047" s="3">
        <v>0</v>
      </c>
      <c r="P1047" s="3"/>
      <c r="Q1047" s="3" t="s">
        <v>601</v>
      </c>
      <c r="R1047" s="3" t="s">
        <v>2447</v>
      </c>
      <c r="S1047" s="3" t="str">
        <f t="shared" si="51"/>
        <v>910066</v>
      </c>
      <c r="T1047" s="3">
        <v>1</v>
      </c>
      <c r="U1047" s="3">
        <v>0</v>
      </c>
      <c r="V1047" s="3">
        <v>1</v>
      </c>
      <c r="W1047" s="7"/>
      <c r="X1047" s="27" t="s">
        <v>2154</v>
      </c>
      <c r="Y1047" s="27" t="s">
        <v>2235</v>
      </c>
    </row>
    <row r="1048" spans="1:25" x14ac:dyDescent="0.15">
      <c r="A1048" s="4">
        <v>910067</v>
      </c>
      <c r="B1048" s="27" t="s">
        <v>2327</v>
      </c>
      <c r="C1048" s="3">
        <v>0</v>
      </c>
      <c r="D1048" s="3">
        <v>0</v>
      </c>
      <c r="E1048" s="3">
        <v>0</v>
      </c>
      <c r="F1048" s="3">
        <v>0</v>
      </c>
      <c r="G1048" s="3">
        <v>0</v>
      </c>
      <c r="H1048" s="3">
        <v>0</v>
      </c>
      <c r="I1048" s="3">
        <v>0</v>
      </c>
      <c r="J1048" s="4">
        <v>411</v>
      </c>
      <c r="K1048" s="3">
        <v>9</v>
      </c>
      <c r="L1048" s="27" t="s">
        <v>2354</v>
      </c>
      <c r="M1048" s="3">
        <v>910</v>
      </c>
      <c r="N1048" s="28" t="s">
        <v>2516</v>
      </c>
      <c r="O1048" s="3">
        <v>0</v>
      </c>
      <c r="P1048" s="3"/>
      <c r="Q1048" s="3" t="s">
        <v>601</v>
      </c>
      <c r="R1048" s="3" t="s">
        <v>2448</v>
      </c>
      <c r="S1048" s="3" t="str">
        <f t="shared" si="51"/>
        <v>910067</v>
      </c>
      <c r="T1048" s="3">
        <v>1</v>
      </c>
      <c r="U1048" s="3">
        <v>0</v>
      </c>
      <c r="V1048" s="3">
        <v>1</v>
      </c>
      <c r="W1048" s="7"/>
      <c r="X1048" s="27" t="s">
        <v>2327</v>
      </c>
      <c r="Y1048" s="27" t="s">
        <v>2328</v>
      </c>
    </row>
    <row r="1049" spans="1:25" x14ac:dyDescent="0.15">
      <c r="A1049" s="4">
        <v>910068</v>
      </c>
      <c r="B1049" s="27" t="s">
        <v>2329</v>
      </c>
      <c r="C1049" s="3">
        <v>0</v>
      </c>
      <c r="D1049" s="3">
        <v>0</v>
      </c>
      <c r="E1049" s="3">
        <v>0</v>
      </c>
      <c r="F1049" s="3">
        <v>0</v>
      </c>
      <c r="G1049" s="3">
        <v>0</v>
      </c>
      <c r="H1049" s="3">
        <v>0</v>
      </c>
      <c r="I1049" s="3">
        <v>0</v>
      </c>
      <c r="J1049" s="4">
        <v>412</v>
      </c>
      <c r="K1049" s="3">
        <v>9</v>
      </c>
      <c r="L1049" s="27" t="s">
        <v>2354</v>
      </c>
      <c r="M1049" s="3">
        <v>910</v>
      </c>
      <c r="N1049" s="28" t="s">
        <v>2516</v>
      </c>
      <c r="O1049" s="3">
        <v>0</v>
      </c>
      <c r="P1049" s="3"/>
      <c r="Q1049" s="3" t="s">
        <v>601</v>
      </c>
      <c r="R1049" s="3" t="s">
        <v>2449</v>
      </c>
      <c r="S1049" s="3" t="str">
        <f t="shared" si="51"/>
        <v>910068</v>
      </c>
      <c r="T1049" s="3">
        <v>1</v>
      </c>
      <c r="U1049" s="3">
        <v>0</v>
      </c>
      <c r="V1049" s="3">
        <v>1</v>
      </c>
      <c r="W1049" s="7"/>
      <c r="X1049" s="27" t="s">
        <v>2329</v>
      </c>
      <c r="Y1049" s="27" t="s">
        <v>2356</v>
      </c>
    </row>
    <row r="1050" spans="1:25" x14ac:dyDescent="0.15">
      <c r="A1050" s="4">
        <v>910069</v>
      </c>
      <c r="B1050" s="27" t="s">
        <v>2330</v>
      </c>
      <c r="C1050" s="3">
        <v>0</v>
      </c>
      <c r="D1050" s="3">
        <v>0</v>
      </c>
      <c r="E1050" s="3">
        <v>0</v>
      </c>
      <c r="F1050" s="3">
        <v>0</v>
      </c>
      <c r="G1050" s="3">
        <v>0</v>
      </c>
      <c r="H1050" s="3">
        <v>0</v>
      </c>
      <c r="I1050" s="3">
        <v>0</v>
      </c>
      <c r="J1050" s="4">
        <v>413</v>
      </c>
      <c r="K1050" s="3">
        <v>9</v>
      </c>
      <c r="L1050" s="27" t="s">
        <v>2354</v>
      </c>
      <c r="M1050" s="3">
        <v>910</v>
      </c>
      <c r="N1050" s="28" t="s">
        <v>2516</v>
      </c>
      <c r="O1050" s="3">
        <v>0</v>
      </c>
      <c r="P1050" s="3"/>
      <c r="Q1050" s="3" t="s">
        <v>601</v>
      </c>
      <c r="R1050" s="3" t="s">
        <v>2450</v>
      </c>
      <c r="S1050" s="3" t="str">
        <f t="shared" si="51"/>
        <v>910069</v>
      </c>
      <c r="T1050" s="3">
        <v>1</v>
      </c>
      <c r="U1050" s="3">
        <v>0</v>
      </c>
      <c r="V1050" s="3">
        <v>1</v>
      </c>
      <c r="W1050" s="7"/>
      <c r="X1050" s="27" t="s">
        <v>2330</v>
      </c>
      <c r="Y1050" s="27" t="s">
        <v>2357</v>
      </c>
    </row>
    <row r="1051" spans="1:25" x14ac:dyDescent="0.15">
      <c r="A1051" s="4">
        <v>910070</v>
      </c>
      <c r="B1051" s="27" t="s">
        <v>2331</v>
      </c>
      <c r="C1051" s="3">
        <v>0</v>
      </c>
      <c r="D1051" s="3">
        <v>0</v>
      </c>
      <c r="E1051" s="3">
        <v>0</v>
      </c>
      <c r="F1051" s="3">
        <v>0</v>
      </c>
      <c r="G1051" s="3">
        <v>0</v>
      </c>
      <c r="H1051" s="3">
        <v>0</v>
      </c>
      <c r="I1051" s="3">
        <v>0</v>
      </c>
      <c r="J1051" s="4">
        <v>414</v>
      </c>
      <c r="K1051" s="3">
        <v>9</v>
      </c>
      <c r="L1051" s="27" t="s">
        <v>2354</v>
      </c>
      <c r="M1051" s="3">
        <v>910</v>
      </c>
      <c r="N1051" s="28" t="s">
        <v>2516</v>
      </c>
      <c r="O1051" s="3">
        <v>0</v>
      </c>
      <c r="P1051" s="3"/>
      <c r="Q1051" s="3" t="s">
        <v>601</v>
      </c>
      <c r="R1051" s="3" t="s">
        <v>2451</v>
      </c>
      <c r="S1051" s="3" t="str">
        <f t="shared" si="51"/>
        <v>910070</v>
      </c>
      <c r="T1051" s="3">
        <v>1</v>
      </c>
      <c r="U1051" s="3">
        <v>0</v>
      </c>
      <c r="V1051" s="3">
        <v>1</v>
      </c>
      <c r="W1051" s="7"/>
      <c r="X1051" s="27" t="s">
        <v>2331</v>
      </c>
      <c r="Y1051" s="27" t="s">
        <v>2358</v>
      </c>
    </row>
    <row r="1052" spans="1:25" x14ac:dyDescent="0.15">
      <c r="A1052" s="4">
        <v>910071</v>
      </c>
      <c r="B1052" s="27" t="s">
        <v>2319</v>
      </c>
      <c r="C1052" s="3">
        <v>0</v>
      </c>
      <c r="D1052" s="3">
        <v>0</v>
      </c>
      <c r="E1052" s="3">
        <v>0</v>
      </c>
      <c r="F1052" s="3">
        <v>0</v>
      </c>
      <c r="G1052" s="3">
        <v>0</v>
      </c>
      <c r="H1052" s="3">
        <v>0</v>
      </c>
      <c r="I1052" s="3">
        <v>0</v>
      </c>
      <c r="J1052" s="4">
        <v>416</v>
      </c>
      <c r="K1052" s="3">
        <v>9</v>
      </c>
      <c r="L1052" s="27" t="s">
        <v>2354</v>
      </c>
      <c r="M1052" s="3">
        <v>910</v>
      </c>
      <c r="N1052" s="28" t="s">
        <v>2516</v>
      </c>
      <c r="O1052" s="3">
        <v>0</v>
      </c>
      <c r="P1052" s="3"/>
      <c r="Q1052" s="3" t="s">
        <v>601</v>
      </c>
      <c r="R1052" s="3" t="s">
        <v>2452</v>
      </c>
      <c r="S1052" s="3" t="str">
        <f t="shared" si="51"/>
        <v>910071</v>
      </c>
      <c r="T1052" s="3">
        <v>1</v>
      </c>
      <c r="U1052" s="3">
        <v>0</v>
      </c>
      <c r="V1052" s="3">
        <v>1</v>
      </c>
      <c r="W1052" s="7"/>
      <c r="X1052" s="27" t="s">
        <v>2319</v>
      </c>
      <c r="Y1052" s="27" t="s">
        <v>2320</v>
      </c>
    </row>
    <row r="1053" spans="1:25" x14ac:dyDescent="0.15">
      <c r="A1053" s="4">
        <v>910072</v>
      </c>
      <c r="B1053" s="27" t="s">
        <v>2206</v>
      </c>
      <c r="C1053" s="3">
        <v>0</v>
      </c>
      <c r="D1053" s="3">
        <v>0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4">
        <v>417</v>
      </c>
      <c r="K1053" s="3">
        <v>9</v>
      </c>
      <c r="L1053" s="27" t="s">
        <v>2354</v>
      </c>
      <c r="M1053" s="3">
        <v>910</v>
      </c>
      <c r="N1053" s="28" t="s">
        <v>2517</v>
      </c>
      <c r="O1053" s="3">
        <v>0</v>
      </c>
      <c r="P1053" s="3"/>
      <c r="Q1053" s="3" t="s">
        <v>601</v>
      </c>
      <c r="R1053" s="3" t="s">
        <v>2453</v>
      </c>
      <c r="S1053" s="3" t="str">
        <f t="shared" si="51"/>
        <v>910072</v>
      </c>
      <c r="T1053" s="3">
        <v>1</v>
      </c>
      <c r="U1053" s="3">
        <v>0</v>
      </c>
      <c r="V1053" s="3">
        <v>1</v>
      </c>
      <c r="W1053" s="7"/>
      <c r="X1053" s="27" t="s">
        <v>2206</v>
      </c>
      <c r="Y1053" s="27" t="s">
        <v>2207</v>
      </c>
    </row>
    <row r="1054" spans="1:25" x14ac:dyDescent="0.15">
      <c r="A1054" s="4">
        <v>910073</v>
      </c>
      <c r="B1054" s="27" t="s">
        <v>2236</v>
      </c>
      <c r="C1054" s="3">
        <v>0</v>
      </c>
      <c r="D1054" s="3">
        <v>0</v>
      </c>
      <c r="E1054" s="3">
        <v>0</v>
      </c>
      <c r="F1054" s="3">
        <v>0</v>
      </c>
      <c r="G1054" s="3">
        <v>0</v>
      </c>
      <c r="H1054" s="3">
        <v>0</v>
      </c>
      <c r="I1054" s="3">
        <v>0</v>
      </c>
      <c r="J1054" s="4">
        <v>418</v>
      </c>
      <c r="K1054" s="3">
        <v>9</v>
      </c>
      <c r="L1054" s="27" t="s">
        <v>2354</v>
      </c>
      <c r="M1054" s="3">
        <v>910</v>
      </c>
      <c r="N1054" s="28" t="s">
        <v>2517</v>
      </c>
      <c r="O1054" s="3">
        <v>0</v>
      </c>
      <c r="P1054" s="3"/>
      <c r="Q1054" s="3" t="s">
        <v>601</v>
      </c>
      <c r="R1054" s="3" t="s">
        <v>2454</v>
      </c>
      <c r="S1054" s="3" t="str">
        <f t="shared" si="51"/>
        <v>910073</v>
      </c>
      <c r="T1054" s="3">
        <v>1</v>
      </c>
      <c r="U1054" s="3">
        <v>0</v>
      </c>
      <c r="V1054" s="3">
        <v>1</v>
      </c>
      <c r="W1054" s="7"/>
      <c r="X1054" s="27" t="s">
        <v>2236</v>
      </c>
      <c r="Y1054" s="27" t="s">
        <v>2237</v>
      </c>
    </row>
    <row r="1055" spans="1:25" x14ac:dyDescent="0.15">
      <c r="A1055" s="4">
        <v>910074</v>
      </c>
      <c r="B1055" s="27" t="s">
        <v>2238</v>
      </c>
      <c r="C1055" s="3">
        <v>0</v>
      </c>
      <c r="D1055" s="3">
        <v>0</v>
      </c>
      <c r="E1055" s="3">
        <v>0</v>
      </c>
      <c r="F1055" s="3">
        <v>0</v>
      </c>
      <c r="G1055" s="3">
        <v>0</v>
      </c>
      <c r="H1055" s="3">
        <v>0</v>
      </c>
      <c r="I1055" s="3">
        <v>0</v>
      </c>
      <c r="J1055" s="4">
        <v>419</v>
      </c>
      <c r="K1055" s="3">
        <v>9</v>
      </c>
      <c r="L1055" s="27" t="s">
        <v>2354</v>
      </c>
      <c r="M1055" s="3">
        <v>910</v>
      </c>
      <c r="N1055" s="28" t="s">
        <v>2517</v>
      </c>
      <c r="O1055" s="3">
        <v>0</v>
      </c>
      <c r="P1055" s="3"/>
      <c r="Q1055" s="3" t="s">
        <v>601</v>
      </c>
      <c r="R1055" s="3" t="s">
        <v>2455</v>
      </c>
      <c r="S1055" s="3" t="str">
        <f t="shared" si="51"/>
        <v>910074</v>
      </c>
      <c r="T1055" s="3">
        <v>1</v>
      </c>
      <c r="U1055" s="3">
        <v>0</v>
      </c>
      <c r="V1055" s="3">
        <v>1</v>
      </c>
      <c r="W1055" s="7"/>
      <c r="X1055" s="27" t="s">
        <v>2238</v>
      </c>
      <c r="Y1055" s="27" t="s">
        <v>2239</v>
      </c>
    </row>
    <row r="1056" spans="1:25" x14ac:dyDescent="0.15">
      <c r="A1056" s="4">
        <v>910075</v>
      </c>
      <c r="B1056" s="27" t="s">
        <v>2240</v>
      </c>
      <c r="C1056" s="3">
        <v>0</v>
      </c>
      <c r="D1056" s="3">
        <v>0</v>
      </c>
      <c r="E1056" s="3">
        <v>0</v>
      </c>
      <c r="F1056" s="3">
        <v>0</v>
      </c>
      <c r="G1056" s="3">
        <v>0</v>
      </c>
      <c r="H1056" s="3">
        <v>0</v>
      </c>
      <c r="I1056" s="3">
        <v>0</v>
      </c>
      <c r="J1056" s="4">
        <v>420</v>
      </c>
      <c r="K1056" s="3">
        <v>9</v>
      </c>
      <c r="L1056" s="27" t="s">
        <v>2354</v>
      </c>
      <c r="M1056" s="3">
        <v>910</v>
      </c>
      <c r="N1056" s="28" t="s">
        <v>2517</v>
      </c>
      <c r="O1056" s="3">
        <v>0</v>
      </c>
      <c r="P1056" s="3"/>
      <c r="Q1056" s="3" t="s">
        <v>601</v>
      </c>
      <c r="R1056" s="3" t="s">
        <v>2456</v>
      </c>
      <c r="S1056" s="3" t="str">
        <f t="shared" si="51"/>
        <v>910075</v>
      </c>
      <c r="T1056" s="3">
        <v>1</v>
      </c>
      <c r="U1056" s="3">
        <v>0</v>
      </c>
      <c r="V1056" s="3">
        <v>1</v>
      </c>
      <c r="W1056" s="7"/>
      <c r="X1056" s="27" t="s">
        <v>2240</v>
      </c>
      <c r="Y1056" s="27" t="s">
        <v>2241</v>
      </c>
    </row>
    <row r="1057" spans="1:25" x14ac:dyDescent="0.15">
      <c r="A1057" s="4">
        <v>910076</v>
      </c>
      <c r="B1057" s="27" t="s">
        <v>2242</v>
      </c>
      <c r="C1057" s="3">
        <v>0</v>
      </c>
      <c r="D1057" s="3">
        <v>0</v>
      </c>
      <c r="E1057" s="3">
        <v>0</v>
      </c>
      <c r="F1057" s="3">
        <v>0</v>
      </c>
      <c r="G1057" s="3">
        <v>0</v>
      </c>
      <c r="H1057" s="3">
        <v>0</v>
      </c>
      <c r="I1057" s="3">
        <v>0</v>
      </c>
      <c r="J1057" s="4">
        <v>421</v>
      </c>
      <c r="K1057" s="3">
        <v>9</v>
      </c>
      <c r="L1057" s="27" t="s">
        <v>2354</v>
      </c>
      <c r="M1057" s="3">
        <v>910</v>
      </c>
      <c r="N1057" s="28" t="s">
        <v>2517</v>
      </c>
      <c r="O1057" s="3">
        <v>0</v>
      </c>
      <c r="P1057" s="3"/>
      <c r="Q1057" s="3" t="s">
        <v>601</v>
      </c>
      <c r="R1057" s="3" t="s">
        <v>2457</v>
      </c>
      <c r="S1057" s="3" t="str">
        <f t="shared" si="51"/>
        <v>910076</v>
      </c>
      <c r="T1057" s="3">
        <v>1</v>
      </c>
      <c r="U1057" s="3">
        <v>0</v>
      </c>
      <c r="V1057" s="3">
        <v>1</v>
      </c>
      <c r="W1057" s="7"/>
      <c r="X1057" s="27" t="s">
        <v>2242</v>
      </c>
      <c r="Y1057" s="27" t="s">
        <v>2243</v>
      </c>
    </row>
    <row r="1058" spans="1:25" x14ac:dyDescent="0.15">
      <c r="A1058" s="4">
        <v>910077</v>
      </c>
      <c r="B1058" s="27" t="s">
        <v>2245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4">
        <v>422</v>
      </c>
      <c r="K1058" s="3">
        <v>9</v>
      </c>
      <c r="L1058" s="27" t="s">
        <v>2354</v>
      </c>
      <c r="M1058" s="3">
        <v>910</v>
      </c>
      <c r="N1058" s="28" t="s">
        <v>2517</v>
      </c>
      <c r="O1058" s="3">
        <v>0</v>
      </c>
      <c r="P1058" s="3"/>
      <c r="Q1058" s="3" t="s">
        <v>601</v>
      </c>
      <c r="R1058" s="3" t="s">
        <v>2458</v>
      </c>
      <c r="S1058" s="3" t="str">
        <f t="shared" si="51"/>
        <v>910077</v>
      </c>
      <c r="T1058" s="3">
        <v>1</v>
      </c>
      <c r="U1058" s="3">
        <v>0</v>
      </c>
      <c r="V1058" s="3">
        <v>1</v>
      </c>
      <c r="W1058" s="7"/>
      <c r="X1058" s="27" t="s">
        <v>2245</v>
      </c>
      <c r="Y1058" s="27" t="s">
        <v>2244</v>
      </c>
    </row>
    <row r="1059" spans="1:25" x14ac:dyDescent="0.15">
      <c r="A1059" s="4">
        <v>910078</v>
      </c>
      <c r="B1059" s="27" t="s">
        <v>2246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4">
        <v>423</v>
      </c>
      <c r="K1059" s="3">
        <v>9</v>
      </c>
      <c r="L1059" s="27" t="s">
        <v>2354</v>
      </c>
      <c r="M1059" s="3">
        <v>910</v>
      </c>
      <c r="N1059" s="28" t="s">
        <v>2517</v>
      </c>
      <c r="O1059" s="3">
        <v>0</v>
      </c>
      <c r="P1059" s="3"/>
      <c r="Q1059" s="3" t="s">
        <v>601</v>
      </c>
      <c r="R1059" s="3" t="s">
        <v>2459</v>
      </c>
      <c r="S1059" s="3" t="str">
        <f t="shared" si="51"/>
        <v>910078</v>
      </c>
      <c r="T1059" s="3">
        <v>1</v>
      </c>
      <c r="U1059" s="3">
        <v>0</v>
      </c>
      <c r="V1059" s="3">
        <v>1</v>
      </c>
      <c r="W1059" s="7"/>
      <c r="X1059" s="27" t="s">
        <v>2246</v>
      </c>
      <c r="Y1059" s="27" t="s">
        <v>2247</v>
      </c>
    </row>
    <row r="1060" spans="1:25" x14ac:dyDescent="0.15">
      <c r="A1060" s="4">
        <v>910079</v>
      </c>
      <c r="B1060" s="27" t="s">
        <v>2148</v>
      </c>
      <c r="C1060" s="3">
        <v>0</v>
      </c>
      <c r="D1060" s="3">
        <v>0</v>
      </c>
      <c r="E1060" s="3">
        <v>0</v>
      </c>
      <c r="F1060" s="3">
        <v>0</v>
      </c>
      <c r="G1060" s="3">
        <v>0</v>
      </c>
      <c r="H1060" s="3">
        <v>0</v>
      </c>
      <c r="I1060" s="3">
        <v>0</v>
      </c>
      <c r="J1060" s="4">
        <v>424</v>
      </c>
      <c r="K1060" s="3">
        <v>9</v>
      </c>
      <c r="L1060" s="27" t="s">
        <v>2354</v>
      </c>
      <c r="M1060" s="3">
        <v>910</v>
      </c>
      <c r="N1060" s="28" t="s">
        <v>2517</v>
      </c>
      <c r="O1060" s="3">
        <v>0</v>
      </c>
      <c r="P1060" s="3"/>
      <c r="Q1060" s="3" t="s">
        <v>601</v>
      </c>
      <c r="R1060" s="3" t="s">
        <v>2460</v>
      </c>
      <c r="S1060" s="3" t="str">
        <f t="shared" si="51"/>
        <v>910079</v>
      </c>
      <c r="T1060" s="3">
        <v>1</v>
      </c>
      <c r="U1060" s="3">
        <v>0</v>
      </c>
      <c r="V1060" s="3">
        <v>1</v>
      </c>
      <c r="W1060" s="7"/>
      <c r="X1060" s="27" t="s">
        <v>2148</v>
      </c>
      <c r="Y1060" s="27" t="s">
        <v>2248</v>
      </c>
    </row>
    <row r="1061" spans="1:25" x14ac:dyDescent="0.15">
      <c r="A1061" s="4">
        <v>910080</v>
      </c>
      <c r="B1061" s="27" t="s">
        <v>2249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4">
        <v>425</v>
      </c>
      <c r="K1061" s="3">
        <v>9</v>
      </c>
      <c r="L1061" s="27" t="s">
        <v>2354</v>
      </c>
      <c r="M1061" s="3">
        <v>910</v>
      </c>
      <c r="N1061" s="28" t="s">
        <v>2517</v>
      </c>
      <c r="O1061" s="3">
        <v>0</v>
      </c>
      <c r="P1061" s="3"/>
      <c r="Q1061" s="3" t="s">
        <v>601</v>
      </c>
      <c r="R1061" s="3" t="s">
        <v>2461</v>
      </c>
      <c r="S1061" s="3" t="str">
        <f t="shared" si="51"/>
        <v>910080</v>
      </c>
      <c r="T1061" s="3">
        <v>1</v>
      </c>
      <c r="U1061" s="3">
        <v>0</v>
      </c>
      <c r="V1061" s="3">
        <v>1</v>
      </c>
      <c r="W1061" s="7"/>
      <c r="X1061" s="27" t="s">
        <v>2249</v>
      </c>
      <c r="Y1061" s="27" t="s">
        <v>2250</v>
      </c>
    </row>
    <row r="1062" spans="1:25" x14ac:dyDescent="0.15">
      <c r="A1062" s="4">
        <v>910081</v>
      </c>
      <c r="B1062" s="27" t="s">
        <v>2253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4">
        <v>426</v>
      </c>
      <c r="K1062" s="3">
        <v>9</v>
      </c>
      <c r="L1062" s="27" t="s">
        <v>2354</v>
      </c>
      <c r="M1062" s="3">
        <v>910</v>
      </c>
      <c r="N1062" s="28" t="s">
        <v>2517</v>
      </c>
      <c r="O1062" s="3">
        <v>0</v>
      </c>
      <c r="P1062" s="3"/>
      <c r="Q1062" s="3" t="s">
        <v>601</v>
      </c>
      <c r="R1062" s="3" t="s">
        <v>2462</v>
      </c>
      <c r="S1062" s="3" t="str">
        <f t="shared" si="51"/>
        <v>910081</v>
      </c>
      <c r="T1062" s="3">
        <v>1</v>
      </c>
      <c r="U1062" s="3">
        <v>0</v>
      </c>
      <c r="V1062" s="3">
        <v>1</v>
      </c>
      <c r="W1062" s="7"/>
      <c r="X1062" s="27" t="s">
        <v>2253</v>
      </c>
      <c r="Y1062" s="3" t="s">
        <v>2251</v>
      </c>
    </row>
    <row r="1063" spans="1:25" x14ac:dyDescent="0.15">
      <c r="A1063" s="4">
        <v>910082</v>
      </c>
      <c r="B1063" s="27" t="s">
        <v>2254</v>
      </c>
      <c r="C1063" s="3">
        <v>0</v>
      </c>
      <c r="D1063" s="3">
        <v>0</v>
      </c>
      <c r="E1063" s="3">
        <v>0</v>
      </c>
      <c r="F1063" s="3">
        <v>0</v>
      </c>
      <c r="G1063" s="3">
        <v>0</v>
      </c>
      <c r="H1063" s="3">
        <v>0</v>
      </c>
      <c r="I1063" s="3">
        <v>0</v>
      </c>
      <c r="J1063" s="4">
        <v>427</v>
      </c>
      <c r="K1063" s="3">
        <v>9</v>
      </c>
      <c r="L1063" s="27" t="s">
        <v>2354</v>
      </c>
      <c r="M1063" s="3">
        <v>910</v>
      </c>
      <c r="N1063" s="28" t="s">
        <v>2517</v>
      </c>
      <c r="O1063" s="3">
        <v>0</v>
      </c>
      <c r="P1063" s="3"/>
      <c r="Q1063" s="3" t="s">
        <v>601</v>
      </c>
      <c r="R1063" s="3" t="s">
        <v>2463</v>
      </c>
      <c r="S1063" s="3" t="str">
        <f t="shared" si="51"/>
        <v>910082</v>
      </c>
      <c r="T1063" s="3">
        <v>1</v>
      </c>
      <c r="U1063" s="3">
        <v>0</v>
      </c>
      <c r="V1063" s="3">
        <v>1</v>
      </c>
      <c r="W1063" s="7"/>
      <c r="X1063" s="27" t="s">
        <v>2254</v>
      </c>
      <c r="Y1063" s="27" t="s">
        <v>2252</v>
      </c>
    </row>
    <row r="1064" spans="1:25" x14ac:dyDescent="0.15">
      <c r="A1064" s="4">
        <v>910083</v>
      </c>
      <c r="B1064" s="27" t="s">
        <v>2151</v>
      </c>
      <c r="C1064" s="3">
        <v>0</v>
      </c>
      <c r="D1064" s="3">
        <v>0</v>
      </c>
      <c r="E1064" s="3">
        <v>0</v>
      </c>
      <c r="F1064" s="3">
        <v>0</v>
      </c>
      <c r="G1064" s="3">
        <v>0</v>
      </c>
      <c r="H1064" s="3">
        <v>0</v>
      </c>
      <c r="I1064" s="3">
        <v>0</v>
      </c>
      <c r="J1064" s="4">
        <v>428</v>
      </c>
      <c r="K1064" s="3">
        <v>9</v>
      </c>
      <c r="L1064" s="27" t="s">
        <v>2354</v>
      </c>
      <c r="M1064" s="3">
        <v>910</v>
      </c>
      <c r="N1064" s="28" t="s">
        <v>2517</v>
      </c>
      <c r="O1064" s="3">
        <v>0</v>
      </c>
      <c r="P1064" s="3"/>
      <c r="Q1064" s="3" t="s">
        <v>601</v>
      </c>
      <c r="R1064" s="3" t="s">
        <v>2464</v>
      </c>
      <c r="S1064" s="3" t="str">
        <f t="shared" si="51"/>
        <v>910083</v>
      </c>
      <c r="T1064" s="3">
        <v>1</v>
      </c>
      <c r="U1064" s="3">
        <v>0</v>
      </c>
      <c r="V1064" s="3">
        <v>1</v>
      </c>
      <c r="W1064" s="7"/>
      <c r="X1064" s="27" t="s">
        <v>2151</v>
      </c>
      <c r="Y1064" s="27" t="s">
        <v>2255</v>
      </c>
    </row>
    <row r="1065" spans="1:25" x14ac:dyDescent="0.15">
      <c r="A1065" s="4">
        <v>910084</v>
      </c>
      <c r="B1065" s="27" t="s">
        <v>2257</v>
      </c>
      <c r="C1065" s="3">
        <v>0</v>
      </c>
      <c r="D1065" s="3">
        <v>0</v>
      </c>
      <c r="E1065" s="3">
        <v>0</v>
      </c>
      <c r="F1065" s="3">
        <v>0</v>
      </c>
      <c r="G1065" s="3">
        <v>0</v>
      </c>
      <c r="H1065" s="3">
        <v>0</v>
      </c>
      <c r="I1065" s="3">
        <v>0</v>
      </c>
      <c r="J1065" s="4">
        <v>429</v>
      </c>
      <c r="K1065" s="3">
        <v>9</v>
      </c>
      <c r="L1065" s="27" t="s">
        <v>2354</v>
      </c>
      <c r="M1065" s="3">
        <v>910</v>
      </c>
      <c r="N1065" s="28" t="s">
        <v>2517</v>
      </c>
      <c r="O1065" s="3">
        <v>0</v>
      </c>
      <c r="P1065" s="3"/>
      <c r="Q1065" s="3" t="s">
        <v>601</v>
      </c>
      <c r="R1065" s="3" t="s">
        <v>2465</v>
      </c>
      <c r="S1065" s="3" t="str">
        <f t="shared" si="51"/>
        <v>910084</v>
      </c>
      <c r="T1065" s="3">
        <v>1</v>
      </c>
      <c r="U1065" s="3">
        <v>0</v>
      </c>
      <c r="V1065" s="3">
        <v>1</v>
      </c>
      <c r="W1065" s="7"/>
      <c r="X1065" s="27" t="s">
        <v>2257</v>
      </c>
      <c r="Y1065" s="27" t="s">
        <v>2256</v>
      </c>
    </row>
    <row r="1066" spans="1:25" x14ac:dyDescent="0.15">
      <c r="A1066" s="4">
        <v>910085</v>
      </c>
      <c r="B1066" s="27" t="s">
        <v>2259</v>
      </c>
      <c r="C1066" s="3">
        <v>0</v>
      </c>
      <c r="D1066" s="3">
        <v>0</v>
      </c>
      <c r="E1066" s="3">
        <v>0</v>
      </c>
      <c r="F1066" s="3">
        <v>0</v>
      </c>
      <c r="G1066" s="3">
        <v>0</v>
      </c>
      <c r="H1066" s="3">
        <v>0</v>
      </c>
      <c r="I1066" s="3">
        <v>0</v>
      </c>
      <c r="J1066" s="4">
        <v>430</v>
      </c>
      <c r="K1066" s="3">
        <v>9</v>
      </c>
      <c r="L1066" s="27" t="s">
        <v>2354</v>
      </c>
      <c r="M1066" s="3">
        <v>910</v>
      </c>
      <c r="N1066" s="28" t="s">
        <v>2517</v>
      </c>
      <c r="O1066" s="3">
        <v>0</v>
      </c>
      <c r="P1066" s="3"/>
      <c r="Q1066" s="3" t="s">
        <v>601</v>
      </c>
      <c r="R1066" s="3" t="s">
        <v>2466</v>
      </c>
      <c r="S1066" s="3" t="str">
        <f t="shared" si="51"/>
        <v>910085</v>
      </c>
      <c r="T1066" s="3">
        <v>1</v>
      </c>
      <c r="U1066" s="3">
        <v>0</v>
      </c>
      <c r="V1066" s="3">
        <v>1</v>
      </c>
      <c r="W1066" s="7"/>
      <c r="X1066" s="27" t="s">
        <v>2259</v>
      </c>
      <c r="Y1066" s="27" t="s">
        <v>2258</v>
      </c>
    </row>
    <row r="1067" spans="1:25" x14ac:dyDescent="0.15">
      <c r="A1067" s="4">
        <v>910086</v>
      </c>
      <c r="B1067" s="27" t="s">
        <v>2157</v>
      </c>
      <c r="C1067" s="3">
        <v>0</v>
      </c>
      <c r="D1067" s="3">
        <v>0</v>
      </c>
      <c r="E1067" s="3">
        <v>0</v>
      </c>
      <c r="F1067" s="3">
        <v>0</v>
      </c>
      <c r="G1067" s="3">
        <v>0</v>
      </c>
      <c r="H1067" s="3">
        <v>0</v>
      </c>
      <c r="I1067" s="3">
        <v>0</v>
      </c>
      <c r="J1067" s="4">
        <v>432</v>
      </c>
      <c r="K1067" s="3">
        <v>9</v>
      </c>
      <c r="L1067" s="27" t="s">
        <v>2354</v>
      </c>
      <c r="M1067" s="3">
        <v>910</v>
      </c>
      <c r="N1067" s="28" t="s">
        <v>2517</v>
      </c>
      <c r="O1067" s="3">
        <v>0</v>
      </c>
      <c r="P1067" s="3"/>
      <c r="Q1067" s="3" t="s">
        <v>601</v>
      </c>
      <c r="R1067" s="3" t="s">
        <v>2467</v>
      </c>
      <c r="S1067" s="3" t="str">
        <f t="shared" si="51"/>
        <v>910086</v>
      </c>
      <c r="T1067" s="3">
        <v>1</v>
      </c>
      <c r="U1067" s="3">
        <v>0</v>
      </c>
      <c r="V1067" s="3">
        <v>1</v>
      </c>
      <c r="W1067" s="7"/>
      <c r="X1067" s="27" t="s">
        <v>2157</v>
      </c>
      <c r="Y1067" s="27" t="s">
        <v>2260</v>
      </c>
    </row>
    <row r="1068" spans="1:25" x14ac:dyDescent="0.15">
      <c r="A1068" s="4">
        <v>910087</v>
      </c>
      <c r="B1068" s="27" t="s">
        <v>2262</v>
      </c>
      <c r="C1068" s="3">
        <v>0</v>
      </c>
      <c r="D1068" s="3">
        <v>0</v>
      </c>
      <c r="E1068" s="3">
        <v>0</v>
      </c>
      <c r="F1068" s="3">
        <v>0</v>
      </c>
      <c r="G1068" s="3">
        <v>0</v>
      </c>
      <c r="H1068" s="3">
        <v>0</v>
      </c>
      <c r="I1068" s="3">
        <v>0</v>
      </c>
      <c r="J1068" s="4">
        <v>433</v>
      </c>
      <c r="K1068" s="3">
        <v>9</v>
      </c>
      <c r="L1068" s="27" t="s">
        <v>2354</v>
      </c>
      <c r="M1068" s="3">
        <v>910</v>
      </c>
      <c r="N1068" s="28" t="s">
        <v>2517</v>
      </c>
      <c r="O1068" s="3">
        <v>0</v>
      </c>
      <c r="P1068" s="3"/>
      <c r="Q1068" s="3" t="s">
        <v>601</v>
      </c>
      <c r="R1068" s="3" t="s">
        <v>2468</v>
      </c>
      <c r="S1068" s="3" t="str">
        <f t="shared" si="51"/>
        <v>910087</v>
      </c>
      <c r="T1068" s="3">
        <v>1</v>
      </c>
      <c r="U1068" s="3">
        <v>0</v>
      </c>
      <c r="V1068" s="3">
        <v>1</v>
      </c>
      <c r="W1068" s="7"/>
      <c r="X1068" s="27" t="s">
        <v>2262</v>
      </c>
      <c r="Y1068" s="27" t="s">
        <v>2261</v>
      </c>
    </row>
    <row r="1069" spans="1:25" x14ac:dyDescent="0.15">
      <c r="A1069" s="4">
        <v>910088</v>
      </c>
      <c r="B1069" s="27" t="s">
        <v>2264</v>
      </c>
      <c r="C1069" s="3">
        <v>0</v>
      </c>
      <c r="D1069" s="3">
        <v>0</v>
      </c>
      <c r="E1069" s="3">
        <v>0</v>
      </c>
      <c r="F1069" s="3">
        <v>0</v>
      </c>
      <c r="G1069" s="3">
        <v>0</v>
      </c>
      <c r="H1069" s="3">
        <v>0</v>
      </c>
      <c r="I1069" s="3">
        <v>0</v>
      </c>
      <c r="J1069" s="4">
        <v>434</v>
      </c>
      <c r="K1069" s="3">
        <v>9</v>
      </c>
      <c r="L1069" s="27" t="s">
        <v>2354</v>
      </c>
      <c r="M1069" s="3">
        <v>910</v>
      </c>
      <c r="N1069" s="28" t="s">
        <v>2517</v>
      </c>
      <c r="O1069" s="3">
        <v>0</v>
      </c>
      <c r="P1069" s="3"/>
      <c r="Q1069" s="3" t="s">
        <v>601</v>
      </c>
      <c r="R1069" s="3" t="s">
        <v>2469</v>
      </c>
      <c r="S1069" s="3" t="str">
        <f t="shared" si="51"/>
        <v>910088</v>
      </c>
      <c r="T1069" s="3">
        <v>1</v>
      </c>
      <c r="U1069" s="3">
        <v>0</v>
      </c>
      <c r="V1069" s="3">
        <v>1</v>
      </c>
      <c r="W1069" s="7"/>
      <c r="X1069" s="27" t="s">
        <v>2264</v>
      </c>
      <c r="Y1069" s="27" t="s">
        <v>2263</v>
      </c>
    </row>
    <row r="1070" spans="1:25" x14ac:dyDescent="0.15">
      <c r="A1070" s="4">
        <v>910089</v>
      </c>
      <c r="B1070" s="27" t="s">
        <v>2158</v>
      </c>
      <c r="C1070" s="3">
        <v>0</v>
      </c>
      <c r="D1070" s="3">
        <v>0</v>
      </c>
      <c r="E1070" s="3">
        <v>0</v>
      </c>
      <c r="F1070" s="3">
        <v>0</v>
      </c>
      <c r="G1070" s="3">
        <v>0</v>
      </c>
      <c r="H1070" s="3">
        <v>0</v>
      </c>
      <c r="I1070" s="3">
        <v>0</v>
      </c>
      <c r="J1070" s="4">
        <v>435</v>
      </c>
      <c r="K1070" s="3">
        <v>9</v>
      </c>
      <c r="L1070" s="27" t="s">
        <v>2354</v>
      </c>
      <c r="M1070" s="3">
        <v>910</v>
      </c>
      <c r="N1070" s="28" t="s">
        <v>2517</v>
      </c>
      <c r="O1070" s="3">
        <v>0</v>
      </c>
      <c r="P1070" s="3"/>
      <c r="Q1070" s="3" t="s">
        <v>601</v>
      </c>
      <c r="R1070" s="3" t="s">
        <v>2470</v>
      </c>
      <c r="S1070" s="3" t="str">
        <f t="shared" si="51"/>
        <v>910089</v>
      </c>
      <c r="T1070" s="3">
        <v>1</v>
      </c>
      <c r="U1070" s="3">
        <v>0</v>
      </c>
      <c r="V1070" s="3">
        <v>1</v>
      </c>
      <c r="W1070" s="7"/>
      <c r="X1070" s="27" t="s">
        <v>2158</v>
      </c>
      <c r="Y1070" s="27" t="s">
        <v>2265</v>
      </c>
    </row>
    <row r="1071" spans="1:25" x14ac:dyDescent="0.15">
      <c r="A1071" s="4">
        <v>910090</v>
      </c>
      <c r="B1071" s="27" t="s">
        <v>2266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4">
        <v>436</v>
      </c>
      <c r="K1071" s="3">
        <v>9</v>
      </c>
      <c r="L1071" s="27" t="s">
        <v>2354</v>
      </c>
      <c r="M1071" s="3">
        <v>910</v>
      </c>
      <c r="N1071" s="28" t="s">
        <v>2517</v>
      </c>
      <c r="O1071" s="3">
        <v>0</v>
      </c>
      <c r="P1071" s="3"/>
      <c r="Q1071" s="3" t="s">
        <v>601</v>
      </c>
      <c r="R1071" s="3" t="s">
        <v>2471</v>
      </c>
      <c r="S1071" s="3" t="str">
        <f t="shared" si="51"/>
        <v>910090</v>
      </c>
      <c r="T1071" s="3">
        <v>1</v>
      </c>
      <c r="U1071" s="3">
        <v>0</v>
      </c>
      <c r="V1071" s="3">
        <v>1</v>
      </c>
      <c r="W1071" s="7"/>
      <c r="X1071" s="27" t="s">
        <v>2266</v>
      </c>
      <c r="Y1071" s="27" t="s">
        <v>2267</v>
      </c>
    </row>
    <row r="1072" spans="1:25" x14ac:dyDescent="0.15">
      <c r="A1072" s="4">
        <v>910091</v>
      </c>
      <c r="B1072" s="27" t="s">
        <v>2268</v>
      </c>
      <c r="C1072" s="3">
        <v>0</v>
      </c>
      <c r="D1072" s="3">
        <v>0</v>
      </c>
      <c r="E1072" s="3">
        <v>0</v>
      </c>
      <c r="F1072" s="3">
        <v>0</v>
      </c>
      <c r="G1072" s="3">
        <v>0</v>
      </c>
      <c r="H1072" s="3">
        <v>0</v>
      </c>
      <c r="I1072" s="3">
        <v>0</v>
      </c>
      <c r="J1072" s="4">
        <v>437</v>
      </c>
      <c r="K1072" s="3">
        <v>9</v>
      </c>
      <c r="L1072" s="27" t="s">
        <v>2354</v>
      </c>
      <c r="M1072" s="3">
        <v>910</v>
      </c>
      <c r="N1072" s="28" t="s">
        <v>2517</v>
      </c>
      <c r="O1072" s="3">
        <v>0</v>
      </c>
      <c r="P1072" s="3"/>
      <c r="Q1072" s="3" t="s">
        <v>601</v>
      </c>
      <c r="R1072" s="3" t="s">
        <v>2472</v>
      </c>
      <c r="S1072" s="3" t="str">
        <f t="shared" si="51"/>
        <v>910091</v>
      </c>
      <c r="T1072" s="3">
        <v>1</v>
      </c>
      <c r="U1072" s="3">
        <v>0</v>
      </c>
      <c r="V1072" s="3">
        <v>1</v>
      </c>
      <c r="W1072" s="7"/>
      <c r="X1072" s="27" t="s">
        <v>2268</v>
      </c>
      <c r="Y1072" s="27" t="s">
        <v>2269</v>
      </c>
    </row>
    <row r="1073" spans="1:25" x14ac:dyDescent="0.15">
      <c r="A1073" s="4">
        <v>910092</v>
      </c>
      <c r="B1073" s="27" t="s">
        <v>2270</v>
      </c>
      <c r="C1073" s="3">
        <v>0</v>
      </c>
      <c r="D1073" s="3">
        <v>0</v>
      </c>
      <c r="E1073" s="3">
        <v>0</v>
      </c>
      <c r="F1073" s="3">
        <v>0</v>
      </c>
      <c r="G1073" s="3">
        <v>0</v>
      </c>
      <c r="H1073" s="3">
        <v>0</v>
      </c>
      <c r="I1073" s="3">
        <v>0</v>
      </c>
      <c r="J1073" s="4">
        <v>438</v>
      </c>
      <c r="K1073" s="3">
        <v>9</v>
      </c>
      <c r="L1073" s="27" t="s">
        <v>2354</v>
      </c>
      <c r="M1073" s="3">
        <v>910</v>
      </c>
      <c r="N1073" s="28" t="s">
        <v>2517</v>
      </c>
      <c r="O1073" s="3">
        <v>0</v>
      </c>
      <c r="P1073" s="3"/>
      <c r="Q1073" s="3" t="s">
        <v>601</v>
      </c>
      <c r="R1073" s="3" t="s">
        <v>2473</v>
      </c>
      <c r="S1073" s="3" t="str">
        <f t="shared" si="51"/>
        <v>910092</v>
      </c>
      <c r="T1073" s="3">
        <v>1</v>
      </c>
      <c r="U1073" s="3">
        <v>0</v>
      </c>
      <c r="V1073" s="3">
        <v>1</v>
      </c>
      <c r="W1073" s="7"/>
      <c r="X1073" s="27" t="s">
        <v>2270</v>
      </c>
      <c r="Y1073" s="27" t="s">
        <v>2271</v>
      </c>
    </row>
    <row r="1074" spans="1:25" x14ac:dyDescent="0.15">
      <c r="A1074" s="4">
        <v>910093</v>
      </c>
      <c r="B1074" s="27" t="s">
        <v>2273</v>
      </c>
      <c r="C1074" s="3">
        <v>0</v>
      </c>
      <c r="D1074" s="3">
        <v>0</v>
      </c>
      <c r="E1074" s="3">
        <v>0</v>
      </c>
      <c r="F1074" s="3">
        <v>0</v>
      </c>
      <c r="G1074" s="3">
        <v>0</v>
      </c>
      <c r="H1074" s="3">
        <v>0</v>
      </c>
      <c r="I1074" s="3">
        <v>0</v>
      </c>
      <c r="J1074" s="4">
        <v>439</v>
      </c>
      <c r="K1074" s="3">
        <v>9</v>
      </c>
      <c r="L1074" s="27" t="s">
        <v>2354</v>
      </c>
      <c r="M1074" s="3">
        <v>910</v>
      </c>
      <c r="N1074" s="28" t="s">
        <v>2517</v>
      </c>
      <c r="O1074" s="3">
        <v>0</v>
      </c>
      <c r="P1074" s="3"/>
      <c r="Q1074" s="3" t="s">
        <v>601</v>
      </c>
      <c r="R1074" s="3" t="s">
        <v>2474</v>
      </c>
      <c r="S1074" s="3" t="str">
        <f t="shared" si="51"/>
        <v>910093</v>
      </c>
      <c r="T1074" s="3">
        <v>1</v>
      </c>
      <c r="U1074" s="3">
        <v>0</v>
      </c>
      <c r="V1074" s="3">
        <v>1</v>
      </c>
      <c r="W1074" s="7"/>
      <c r="X1074" s="27" t="s">
        <v>2273</v>
      </c>
      <c r="Y1074" s="27" t="s">
        <v>2272</v>
      </c>
    </row>
    <row r="1075" spans="1:25" x14ac:dyDescent="0.15">
      <c r="A1075" s="4">
        <v>910094</v>
      </c>
      <c r="B1075" s="27" t="s">
        <v>2276</v>
      </c>
      <c r="C1075" s="3">
        <v>0</v>
      </c>
      <c r="D1075" s="3">
        <v>0</v>
      </c>
      <c r="E1075" s="3">
        <v>0</v>
      </c>
      <c r="F1075" s="3">
        <v>0</v>
      </c>
      <c r="G1075" s="3">
        <v>0</v>
      </c>
      <c r="H1075" s="3">
        <v>0</v>
      </c>
      <c r="I1075" s="3">
        <v>0</v>
      </c>
      <c r="J1075" s="4">
        <v>440</v>
      </c>
      <c r="K1075" s="3">
        <v>9</v>
      </c>
      <c r="L1075" s="27" t="s">
        <v>2354</v>
      </c>
      <c r="M1075" s="3">
        <v>910</v>
      </c>
      <c r="N1075" s="28" t="s">
        <v>2518</v>
      </c>
      <c r="O1075" s="3">
        <v>0</v>
      </c>
      <c r="P1075" s="3"/>
      <c r="Q1075" s="3" t="s">
        <v>601</v>
      </c>
      <c r="R1075" s="3" t="s">
        <v>2475</v>
      </c>
      <c r="S1075" s="3" t="str">
        <f t="shared" si="51"/>
        <v>910094</v>
      </c>
      <c r="T1075" s="3">
        <v>1</v>
      </c>
      <c r="U1075" s="3">
        <v>0</v>
      </c>
      <c r="V1075" s="3">
        <v>1</v>
      </c>
      <c r="W1075" s="7"/>
      <c r="X1075" s="27" t="s">
        <v>2276</v>
      </c>
      <c r="Y1075" s="27" t="s">
        <v>2277</v>
      </c>
    </row>
    <row r="1076" spans="1:25" x14ac:dyDescent="0.15">
      <c r="A1076" s="4">
        <v>910095</v>
      </c>
      <c r="B1076" s="27" t="s">
        <v>2159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4">
        <v>441</v>
      </c>
      <c r="K1076" s="3">
        <v>9</v>
      </c>
      <c r="L1076" s="27" t="s">
        <v>2354</v>
      </c>
      <c r="M1076" s="3">
        <v>910</v>
      </c>
      <c r="N1076" s="28" t="s">
        <v>2518</v>
      </c>
      <c r="O1076" s="3">
        <v>0</v>
      </c>
      <c r="P1076" s="3"/>
      <c r="Q1076" s="3" t="s">
        <v>601</v>
      </c>
      <c r="R1076" s="3" t="s">
        <v>2476</v>
      </c>
      <c r="S1076" s="3" t="str">
        <f t="shared" si="51"/>
        <v>910095</v>
      </c>
      <c r="T1076" s="3">
        <v>1</v>
      </c>
      <c r="U1076" s="3">
        <v>0</v>
      </c>
      <c r="V1076" s="3">
        <v>1</v>
      </c>
      <c r="W1076" s="7"/>
      <c r="X1076" s="27" t="s">
        <v>2159</v>
      </c>
      <c r="Y1076" s="27" t="s">
        <v>2278</v>
      </c>
    </row>
    <row r="1077" spans="1:25" x14ac:dyDescent="0.15">
      <c r="A1077" s="4">
        <v>910096</v>
      </c>
      <c r="B1077" s="27" t="s">
        <v>2279</v>
      </c>
      <c r="C1077" s="3">
        <v>0</v>
      </c>
      <c r="D1077" s="3">
        <v>0</v>
      </c>
      <c r="E1077" s="3">
        <v>0</v>
      </c>
      <c r="F1077" s="3">
        <v>0</v>
      </c>
      <c r="G1077" s="3">
        <v>0</v>
      </c>
      <c r="H1077" s="3">
        <v>0</v>
      </c>
      <c r="I1077" s="3">
        <v>0</v>
      </c>
      <c r="J1077" s="4">
        <v>442</v>
      </c>
      <c r="K1077" s="3">
        <v>9</v>
      </c>
      <c r="L1077" s="27" t="s">
        <v>2354</v>
      </c>
      <c r="M1077" s="3">
        <v>910</v>
      </c>
      <c r="N1077" s="28" t="s">
        <v>2518</v>
      </c>
      <c r="O1077" s="3">
        <v>0</v>
      </c>
      <c r="P1077" s="3"/>
      <c r="Q1077" s="3" t="s">
        <v>601</v>
      </c>
      <c r="R1077" s="3" t="s">
        <v>2477</v>
      </c>
      <c r="S1077" s="3" t="str">
        <f t="shared" si="51"/>
        <v>910096</v>
      </c>
      <c r="T1077" s="3">
        <v>1</v>
      </c>
      <c r="U1077" s="3">
        <v>0</v>
      </c>
      <c r="V1077" s="3">
        <v>1</v>
      </c>
      <c r="W1077" s="7"/>
      <c r="X1077" s="27" t="s">
        <v>2279</v>
      </c>
      <c r="Y1077" s="27" t="s">
        <v>2280</v>
      </c>
    </row>
    <row r="1078" spans="1:25" x14ac:dyDescent="0.15">
      <c r="A1078" s="4">
        <v>910097</v>
      </c>
      <c r="B1078" s="27" t="s">
        <v>2282</v>
      </c>
      <c r="C1078" s="3">
        <v>0</v>
      </c>
      <c r="D1078" s="3">
        <v>0</v>
      </c>
      <c r="E1078" s="3">
        <v>0</v>
      </c>
      <c r="F1078" s="3">
        <v>0</v>
      </c>
      <c r="G1078" s="3">
        <v>0</v>
      </c>
      <c r="H1078" s="3">
        <v>0</v>
      </c>
      <c r="I1078" s="3">
        <v>0</v>
      </c>
      <c r="J1078" s="4">
        <v>444</v>
      </c>
      <c r="K1078" s="3">
        <v>9</v>
      </c>
      <c r="L1078" s="27" t="s">
        <v>2354</v>
      </c>
      <c r="M1078" s="3">
        <v>910</v>
      </c>
      <c r="N1078" s="28" t="s">
        <v>2518</v>
      </c>
      <c r="O1078" s="3">
        <v>0</v>
      </c>
      <c r="P1078" s="3"/>
      <c r="Q1078" s="3" t="s">
        <v>601</v>
      </c>
      <c r="R1078" s="3" t="s">
        <v>2478</v>
      </c>
      <c r="S1078" s="3" t="str">
        <f t="shared" si="51"/>
        <v>910097</v>
      </c>
      <c r="T1078" s="3">
        <v>1</v>
      </c>
      <c r="U1078" s="3">
        <v>0</v>
      </c>
      <c r="V1078" s="3">
        <v>1</v>
      </c>
      <c r="W1078" s="7"/>
      <c r="X1078" s="27" t="s">
        <v>2282</v>
      </c>
      <c r="Y1078" s="27" t="s">
        <v>2283</v>
      </c>
    </row>
    <row r="1079" spans="1:25" x14ac:dyDescent="0.15">
      <c r="A1079" s="4">
        <v>910098</v>
      </c>
      <c r="B1079" s="27" t="s">
        <v>2284</v>
      </c>
      <c r="C1079" s="3">
        <v>0</v>
      </c>
      <c r="D1079" s="3">
        <v>0</v>
      </c>
      <c r="E1079" s="3">
        <v>0</v>
      </c>
      <c r="F1079" s="3">
        <v>0</v>
      </c>
      <c r="G1079" s="3">
        <v>0</v>
      </c>
      <c r="H1079" s="3">
        <v>0</v>
      </c>
      <c r="I1079" s="3">
        <v>0</v>
      </c>
      <c r="J1079" s="4">
        <v>445</v>
      </c>
      <c r="K1079" s="3">
        <v>9</v>
      </c>
      <c r="L1079" s="27" t="s">
        <v>2354</v>
      </c>
      <c r="M1079" s="3">
        <v>910</v>
      </c>
      <c r="N1079" s="28" t="s">
        <v>2518</v>
      </c>
      <c r="O1079" s="3">
        <v>0</v>
      </c>
      <c r="P1079" s="3"/>
      <c r="Q1079" s="3" t="s">
        <v>601</v>
      </c>
      <c r="R1079" s="3" t="s">
        <v>2479</v>
      </c>
      <c r="S1079" s="3" t="str">
        <f t="shared" si="51"/>
        <v>910098</v>
      </c>
      <c r="T1079" s="3">
        <v>1</v>
      </c>
      <c r="U1079" s="3">
        <v>0</v>
      </c>
      <c r="V1079" s="3">
        <v>1</v>
      </c>
      <c r="W1079" s="7"/>
      <c r="X1079" s="27" t="s">
        <v>2284</v>
      </c>
      <c r="Y1079" s="45" t="s">
        <v>2285</v>
      </c>
    </row>
    <row r="1080" spans="1:25" x14ac:dyDescent="0.15">
      <c r="A1080" s="4">
        <v>910099</v>
      </c>
      <c r="B1080" s="27" t="s">
        <v>2286</v>
      </c>
      <c r="C1080" s="3">
        <v>0</v>
      </c>
      <c r="D1080" s="3">
        <v>0</v>
      </c>
      <c r="E1080" s="3">
        <v>0</v>
      </c>
      <c r="F1080" s="3">
        <v>0</v>
      </c>
      <c r="G1080" s="3">
        <v>0</v>
      </c>
      <c r="H1080" s="3">
        <v>0</v>
      </c>
      <c r="I1080" s="3">
        <v>0</v>
      </c>
      <c r="J1080" s="4">
        <v>446</v>
      </c>
      <c r="K1080" s="3">
        <v>9</v>
      </c>
      <c r="L1080" s="27" t="s">
        <v>2354</v>
      </c>
      <c r="M1080" s="3">
        <v>910</v>
      </c>
      <c r="N1080" s="28" t="s">
        <v>2518</v>
      </c>
      <c r="O1080" s="3">
        <v>0</v>
      </c>
      <c r="P1080" s="3"/>
      <c r="Q1080" s="3" t="s">
        <v>601</v>
      </c>
      <c r="R1080" s="3" t="s">
        <v>2480</v>
      </c>
      <c r="S1080" s="3" t="str">
        <f t="shared" si="51"/>
        <v>910099</v>
      </c>
      <c r="T1080" s="3">
        <v>1</v>
      </c>
      <c r="U1080" s="3">
        <v>0</v>
      </c>
      <c r="V1080" s="3">
        <v>1</v>
      </c>
      <c r="W1080" s="7"/>
      <c r="X1080" s="27" t="s">
        <v>2286</v>
      </c>
      <c r="Y1080" s="27" t="s">
        <v>2287</v>
      </c>
    </row>
    <row r="1081" spans="1:25" x14ac:dyDescent="0.15">
      <c r="A1081" s="4">
        <v>910100</v>
      </c>
      <c r="B1081" s="27" t="s">
        <v>2288</v>
      </c>
      <c r="C1081" s="3">
        <v>0</v>
      </c>
      <c r="D1081" s="3">
        <v>0</v>
      </c>
      <c r="E1081" s="3">
        <v>0</v>
      </c>
      <c r="F1081" s="3">
        <v>0</v>
      </c>
      <c r="G1081" s="3">
        <v>0</v>
      </c>
      <c r="H1081" s="3">
        <v>0</v>
      </c>
      <c r="I1081" s="3">
        <v>0</v>
      </c>
      <c r="J1081" s="4">
        <v>447</v>
      </c>
      <c r="K1081" s="3">
        <v>9</v>
      </c>
      <c r="L1081" s="27" t="s">
        <v>2354</v>
      </c>
      <c r="M1081" s="3">
        <v>910</v>
      </c>
      <c r="N1081" s="28" t="s">
        <v>2518</v>
      </c>
      <c r="O1081" s="3">
        <v>0</v>
      </c>
      <c r="P1081" s="3"/>
      <c r="Q1081" s="3" t="s">
        <v>601</v>
      </c>
      <c r="R1081" s="3" t="s">
        <v>2481</v>
      </c>
      <c r="S1081" s="3" t="str">
        <f t="shared" si="51"/>
        <v>910100</v>
      </c>
      <c r="T1081" s="3">
        <v>1</v>
      </c>
      <c r="U1081" s="3">
        <v>0</v>
      </c>
      <c r="V1081" s="3">
        <v>1</v>
      </c>
      <c r="W1081" s="7"/>
      <c r="X1081" s="27" t="s">
        <v>2288</v>
      </c>
      <c r="Y1081" s="27" t="s">
        <v>2289</v>
      </c>
    </row>
    <row r="1082" spans="1:25" x14ac:dyDescent="0.15">
      <c r="A1082" s="4">
        <v>910101</v>
      </c>
      <c r="B1082" s="27" t="s">
        <v>2290</v>
      </c>
      <c r="C1082" s="3">
        <v>0</v>
      </c>
      <c r="D1082" s="3">
        <v>0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4">
        <v>448</v>
      </c>
      <c r="K1082" s="3">
        <v>9</v>
      </c>
      <c r="L1082" s="27" t="s">
        <v>2354</v>
      </c>
      <c r="M1082" s="3">
        <v>910</v>
      </c>
      <c r="N1082" s="28" t="s">
        <v>2518</v>
      </c>
      <c r="O1082" s="3">
        <v>0</v>
      </c>
      <c r="P1082" s="3"/>
      <c r="Q1082" s="3" t="s">
        <v>601</v>
      </c>
      <c r="R1082" s="3" t="s">
        <v>2482</v>
      </c>
      <c r="S1082" s="3" t="str">
        <f t="shared" si="51"/>
        <v>910101</v>
      </c>
      <c r="T1082" s="3">
        <v>1</v>
      </c>
      <c r="U1082" s="3">
        <v>0</v>
      </c>
      <c r="V1082" s="3">
        <v>1</v>
      </c>
      <c r="W1082" s="7"/>
      <c r="X1082" s="27" t="s">
        <v>2290</v>
      </c>
      <c r="Y1082" s="27" t="s">
        <v>2291</v>
      </c>
    </row>
    <row r="1083" spans="1:25" x14ac:dyDescent="0.15">
      <c r="A1083" s="4">
        <v>910102</v>
      </c>
      <c r="B1083" s="27" t="s">
        <v>2292</v>
      </c>
      <c r="C1083" s="3">
        <v>0</v>
      </c>
      <c r="D1083" s="3">
        <v>0</v>
      </c>
      <c r="E1083" s="3">
        <v>0</v>
      </c>
      <c r="F1083" s="3">
        <v>0</v>
      </c>
      <c r="G1083" s="3">
        <v>0</v>
      </c>
      <c r="H1083" s="3">
        <v>0</v>
      </c>
      <c r="I1083" s="3">
        <v>0</v>
      </c>
      <c r="J1083" s="4">
        <v>449</v>
      </c>
      <c r="K1083" s="3">
        <v>9</v>
      </c>
      <c r="L1083" s="27" t="s">
        <v>2354</v>
      </c>
      <c r="M1083" s="3">
        <v>910</v>
      </c>
      <c r="N1083" s="28" t="s">
        <v>2518</v>
      </c>
      <c r="O1083" s="3">
        <v>0</v>
      </c>
      <c r="P1083" s="3"/>
      <c r="Q1083" s="3" t="s">
        <v>601</v>
      </c>
      <c r="R1083" s="3" t="s">
        <v>2483</v>
      </c>
      <c r="S1083" s="3" t="str">
        <f t="shared" si="51"/>
        <v>910102</v>
      </c>
      <c r="T1083" s="3">
        <v>1</v>
      </c>
      <c r="U1083" s="3">
        <v>0</v>
      </c>
      <c r="V1083" s="3">
        <v>1</v>
      </c>
      <c r="W1083" s="7"/>
      <c r="X1083" s="27" t="s">
        <v>2292</v>
      </c>
      <c r="Y1083" s="27" t="s">
        <v>2293</v>
      </c>
    </row>
    <row r="1084" spans="1:25" x14ac:dyDescent="0.15">
      <c r="A1084" s="4">
        <v>910103</v>
      </c>
      <c r="B1084" s="27" t="s">
        <v>2294</v>
      </c>
      <c r="C1084" s="3">
        <v>0</v>
      </c>
      <c r="D1084" s="3">
        <v>0</v>
      </c>
      <c r="E1084" s="3">
        <v>0</v>
      </c>
      <c r="F1084" s="3">
        <v>0</v>
      </c>
      <c r="G1084" s="3">
        <v>0</v>
      </c>
      <c r="H1084" s="3">
        <v>0</v>
      </c>
      <c r="I1084" s="3">
        <v>0</v>
      </c>
      <c r="J1084" s="4">
        <v>450</v>
      </c>
      <c r="K1084" s="3">
        <v>9</v>
      </c>
      <c r="L1084" s="27" t="s">
        <v>2354</v>
      </c>
      <c r="M1084" s="3">
        <v>910</v>
      </c>
      <c r="N1084" s="28" t="s">
        <v>2518</v>
      </c>
      <c r="O1084" s="3">
        <v>0</v>
      </c>
      <c r="P1084" s="3"/>
      <c r="Q1084" s="3" t="s">
        <v>601</v>
      </c>
      <c r="R1084" s="3" t="s">
        <v>2484</v>
      </c>
      <c r="S1084" s="3" t="str">
        <f t="shared" si="51"/>
        <v>910103</v>
      </c>
      <c r="T1084" s="3">
        <v>1</v>
      </c>
      <c r="U1084" s="3">
        <v>0</v>
      </c>
      <c r="V1084" s="3">
        <v>1</v>
      </c>
      <c r="W1084" s="7"/>
      <c r="X1084" s="27" t="s">
        <v>2294</v>
      </c>
      <c r="Y1084" s="27" t="s">
        <v>2295</v>
      </c>
    </row>
    <row r="1085" spans="1:25" x14ac:dyDescent="0.15">
      <c r="A1085" s="4">
        <v>910104</v>
      </c>
      <c r="B1085" s="27" t="s">
        <v>2296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4">
        <v>451</v>
      </c>
      <c r="K1085" s="3">
        <v>9</v>
      </c>
      <c r="L1085" s="27" t="s">
        <v>2354</v>
      </c>
      <c r="M1085" s="3">
        <v>910</v>
      </c>
      <c r="N1085" s="28" t="s">
        <v>2518</v>
      </c>
      <c r="O1085" s="3">
        <v>0</v>
      </c>
      <c r="P1085" s="3"/>
      <c r="Q1085" s="3" t="s">
        <v>601</v>
      </c>
      <c r="R1085" s="3" t="s">
        <v>2485</v>
      </c>
      <c r="S1085" s="3" t="str">
        <f t="shared" si="51"/>
        <v>910104</v>
      </c>
      <c r="T1085" s="3">
        <v>1</v>
      </c>
      <c r="U1085" s="3">
        <v>0</v>
      </c>
      <c r="V1085" s="3">
        <v>1</v>
      </c>
      <c r="W1085" s="7"/>
      <c r="X1085" s="27" t="s">
        <v>2296</v>
      </c>
      <c r="Y1085" s="27" t="s">
        <v>2297</v>
      </c>
    </row>
    <row r="1086" spans="1:25" x14ac:dyDescent="0.15">
      <c r="A1086" s="4">
        <v>910105</v>
      </c>
      <c r="B1086" s="27" t="s">
        <v>2298</v>
      </c>
      <c r="C1086" s="3">
        <v>0</v>
      </c>
      <c r="D1086" s="3">
        <v>0</v>
      </c>
      <c r="E1086" s="3">
        <v>0</v>
      </c>
      <c r="F1086" s="3">
        <v>0</v>
      </c>
      <c r="G1086" s="3">
        <v>0</v>
      </c>
      <c r="H1086" s="3">
        <v>0</v>
      </c>
      <c r="I1086" s="3">
        <v>0</v>
      </c>
      <c r="J1086" s="4">
        <v>452</v>
      </c>
      <c r="K1086" s="3">
        <v>9</v>
      </c>
      <c r="L1086" s="27" t="s">
        <v>2354</v>
      </c>
      <c r="M1086" s="3">
        <v>910</v>
      </c>
      <c r="N1086" s="28" t="s">
        <v>2518</v>
      </c>
      <c r="O1086" s="3">
        <v>0</v>
      </c>
      <c r="P1086" s="3"/>
      <c r="Q1086" s="3" t="s">
        <v>601</v>
      </c>
      <c r="R1086" s="3" t="s">
        <v>2486</v>
      </c>
      <c r="S1086" s="3" t="str">
        <f t="shared" si="51"/>
        <v>910105</v>
      </c>
      <c r="T1086" s="3">
        <v>1</v>
      </c>
      <c r="U1086" s="3">
        <v>0</v>
      </c>
      <c r="V1086" s="3">
        <v>1</v>
      </c>
      <c r="W1086" s="7"/>
      <c r="X1086" s="27" t="s">
        <v>2298</v>
      </c>
      <c r="Y1086" s="27" t="s">
        <v>2299</v>
      </c>
    </row>
    <row r="1087" spans="1:25" x14ac:dyDescent="0.15">
      <c r="A1087" s="4">
        <v>910106</v>
      </c>
      <c r="B1087" s="27" t="s">
        <v>2300</v>
      </c>
      <c r="C1087" s="3">
        <v>0</v>
      </c>
      <c r="D1087" s="3">
        <v>0</v>
      </c>
      <c r="E1087" s="3">
        <v>0</v>
      </c>
      <c r="F1087" s="3">
        <v>0</v>
      </c>
      <c r="G1087" s="3">
        <v>0</v>
      </c>
      <c r="H1087" s="3">
        <v>0</v>
      </c>
      <c r="I1087" s="3">
        <v>0</v>
      </c>
      <c r="J1087" s="4">
        <v>453</v>
      </c>
      <c r="K1087" s="3">
        <v>9</v>
      </c>
      <c r="L1087" s="27" t="s">
        <v>2354</v>
      </c>
      <c r="M1087" s="3">
        <v>910</v>
      </c>
      <c r="N1087" s="28" t="s">
        <v>2518</v>
      </c>
      <c r="O1087" s="3">
        <v>0</v>
      </c>
      <c r="P1087" s="3"/>
      <c r="Q1087" s="3" t="s">
        <v>601</v>
      </c>
      <c r="R1087" s="3" t="s">
        <v>2487</v>
      </c>
      <c r="S1087" s="3" t="str">
        <f t="shared" si="51"/>
        <v>910106</v>
      </c>
      <c r="T1087" s="3">
        <v>1</v>
      </c>
      <c r="U1087" s="3">
        <v>0</v>
      </c>
      <c r="V1087" s="3">
        <v>1</v>
      </c>
      <c r="W1087" s="7"/>
      <c r="X1087" s="27" t="s">
        <v>2300</v>
      </c>
      <c r="Y1087" s="27" t="s">
        <v>2301</v>
      </c>
    </row>
    <row r="1088" spans="1:25" x14ac:dyDescent="0.15">
      <c r="A1088" s="4">
        <v>910107</v>
      </c>
      <c r="B1088" s="27" t="s">
        <v>2160</v>
      </c>
      <c r="C1088" s="3">
        <v>0</v>
      </c>
      <c r="D1088" s="3">
        <v>0</v>
      </c>
      <c r="E1088" s="3">
        <v>0</v>
      </c>
      <c r="F1088" s="3">
        <v>0</v>
      </c>
      <c r="G1088" s="3">
        <v>0</v>
      </c>
      <c r="H1088" s="3">
        <v>0</v>
      </c>
      <c r="I1088" s="3">
        <v>0</v>
      </c>
      <c r="J1088" s="4">
        <v>454</v>
      </c>
      <c r="K1088" s="3">
        <v>9</v>
      </c>
      <c r="L1088" s="27" t="s">
        <v>2354</v>
      </c>
      <c r="M1088" s="3">
        <v>910</v>
      </c>
      <c r="N1088" s="28" t="s">
        <v>2518</v>
      </c>
      <c r="O1088" s="3">
        <v>0</v>
      </c>
      <c r="P1088" s="3"/>
      <c r="Q1088" s="3" t="s">
        <v>601</v>
      </c>
      <c r="R1088" s="3" t="s">
        <v>2488</v>
      </c>
      <c r="S1088" s="3" t="str">
        <f t="shared" si="51"/>
        <v>910107</v>
      </c>
      <c r="T1088" s="3">
        <v>1</v>
      </c>
      <c r="U1088" s="3">
        <v>0</v>
      </c>
      <c r="V1088" s="3">
        <v>1</v>
      </c>
      <c r="W1088" s="7"/>
      <c r="X1088" s="27" t="s">
        <v>2160</v>
      </c>
      <c r="Y1088" s="27" t="s">
        <v>2302</v>
      </c>
    </row>
    <row r="1089" spans="1:25" x14ac:dyDescent="0.15">
      <c r="A1089" s="4">
        <v>910108</v>
      </c>
      <c r="B1089" s="27" t="s">
        <v>2303</v>
      </c>
      <c r="C1089" s="3">
        <v>0</v>
      </c>
      <c r="D1089" s="3">
        <v>0</v>
      </c>
      <c r="E1089" s="3">
        <v>0</v>
      </c>
      <c r="F1089" s="3">
        <v>0</v>
      </c>
      <c r="G1089" s="3">
        <v>0</v>
      </c>
      <c r="H1089" s="3">
        <v>0</v>
      </c>
      <c r="I1089" s="3">
        <v>0</v>
      </c>
      <c r="J1089" s="4">
        <v>456</v>
      </c>
      <c r="K1089" s="3">
        <v>9</v>
      </c>
      <c r="L1089" s="27" t="s">
        <v>2354</v>
      </c>
      <c r="M1089" s="3">
        <v>910</v>
      </c>
      <c r="N1089" s="28" t="s">
        <v>2518</v>
      </c>
      <c r="O1089" s="3">
        <v>0</v>
      </c>
      <c r="P1089" s="3"/>
      <c r="Q1089" s="3" t="s">
        <v>601</v>
      </c>
      <c r="R1089" s="3" t="s">
        <v>2489</v>
      </c>
      <c r="S1089" s="3" t="str">
        <f t="shared" si="51"/>
        <v>910108</v>
      </c>
      <c r="T1089" s="3">
        <v>1</v>
      </c>
      <c r="U1089" s="3">
        <v>0</v>
      </c>
      <c r="V1089" s="3">
        <v>1</v>
      </c>
      <c r="W1089" s="7"/>
      <c r="X1089" s="27" t="s">
        <v>2303</v>
      </c>
      <c r="Y1089" s="27" t="s">
        <v>2304</v>
      </c>
    </row>
    <row r="1090" spans="1:25" x14ac:dyDescent="0.15">
      <c r="A1090" s="4">
        <v>910109</v>
      </c>
      <c r="B1090" s="27" t="s">
        <v>2305</v>
      </c>
      <c r="C1090" s="3">
        <v>0</v>
      </c>
      <c r="D1090" s="3">
        <v>0</v>
      </c>
      <c r="E1090" s="3">
        <v>0</v>
      </c>
      <c r="F1090" s="3">
        <v>0</v>
      </c>
      <c r="G1090" s="3">
        <v>0</v>
      </c>
      <c r="H1090" s="3">
        <v>0</v>
      </c>
      <c r="I1090" s="3">
        <v>0</v>
      </c>
      <c r="J1090" s="4">
        <v>458</v>
      </c>
      <c r="K1090" s="3">
        <v>9</v>
      </c>
      <c r="L1090" s="27" t="s">
        <v>2354</v>
      </c>
      <c r="M1090" s="3">
        <v>910</v>
      </c>
      <c r="N1090" s="28" t="s">
        <v>2518</v>
      </c>
      <c r="O1090" s="3">
        <v>0</v>
      </c>
      <c r="P1090" s="3"/>
      <c r="Q1090" s="3" t="s">
        <v>601</v>
      </c>
      <c r="R1090" s="3" t="s">
        <v>2490</v>
      </c>
      <c r="S1090" s="3" t="str">
        <f t="shared" si="51"/>
        <v>910109</v>
      </c>
      <c r="T1090" s="3">
        <v>1</v>
      </c>
      <c r="U1090" s="3">
        <v>0</v>
      </c>
      <c r="V1090" s="3">
        <v>1</v>
      </c>
      <c r="W1090" s="7"/>
      <c r="X1090" s="27" t="s">
        <v>2305</v>
      </c>
      <c r="Y1090" s="27" t="s">
        <v>2306</v>
      </c>
    </row>
    <row r="1091" spans="1:25" x14ac:dyDescent="0.15">
      <c r="A1091" s="4">
        <v>910110</v>
      </c>
      <c r="B1091" s="27" t="s">
        <v>2149</v>
      </c>
      <c r="C1091" s="3">
        <v>0</v>
      </c>
      <c r="D1091" s="3">
        <v>0</v>
      </c>
      <c r="E1091" s="3">
        <v>0</v>
      </c>
      <c r="F1091" s="3">
        <v>0</v>
      </c>
      <c r="G1091" s="3">
        <v>0</v>
      </c>
      <c r="H1091" s="3">
        <v>0</v>
      </c>
      <c r="I1091" s="3">
        <v>0</v>
      </c>
      <c r="J1091" s="4">
        <v>459</v>
      </c>
      <c r="K1091" s="3">
        <v>9</v>
      </c>
      <c r="L1091" s="27" t="s">
        <v>2354</v>
      </c>
      <c r="M1091" s="3">
        <v>910</v>
      </c>
      <c r="N1091" s="28" t="s">
        <v>2518</v>
      </c>
      <c r="O1091" s="3">
        <v>0</v>
      </c>
      <c r="P1091" s="3"/>
      <c r="Q1091" s="3" t="s">
        <v>601</v>
      </c>
      <c r="R1091" s="3" t="s">
        <v>2491</v>
      </c>
      <c r="S1091" s="3" t="str">
        <f t="shared" si="51"/>
        <v>910110</v>
      </c>
      <c r="T1091" s="3">
        <v>1</v>
      </c>
      <c r="U1091" s="3">
        <v>0</v>
      </c>
      <c r="V1091" s="3">
        <v>1</v>
      </c>
      <c r="W1091" s="7"/>
      <c r="X1091" s="27" t="s">
        <v>2149</v>
      </c>
      <c r="Y1091" s="27" t="s">
        <v>2308</v>
      </c>
    </row>
    <row r="1092" spans="1:25" x14ac:dyDescent="0.15">
      <c r="A1092" s="4">
        <v>910111</v>
      </c>
      <c r="B1092" s="27" t="s">
        <v>2307</v>
      </c>
      <c r="C1092" s="3">
        <v>0</v>
      </c>
      <c r="D1092" s="3">
        <v>0</v>
      </c>
      <c r="E1092" s="3">
        <v>0</v>
      </c>
      <c r="F1092" s="3">
        <v>0</v>
      </c>
      <c r="G1092" s="3">
        <v>0</v>
      </c>
      <c r="H1092" s="3">
        <v>0</v>
      </c>
      <c r="I1092" s="3">
        <v>0</v>
      </c>
      <c r="J1092" s="4">
        <v>460</v>
      </c>
      <c r="K1092" s="3">
        <v>9</v>
      </c>
      <c r="L1092" s="27" t="s">
        <v>2354</v>
      </c>
      <c r="M1092" s="3">
        <v>910</v>
      </c>
      <c r="N1092" s="28" t="s">
        <v>2518</v>
      </c>
      <c r="O1092" s="3">
        <v>0</v>
      </c>
      <c r="P1092" s="3"/>
      <c r="Q1092" s="3" t="s">
        <v>601</v>
      </c>
      <c r="R1092" s="3" t="s">
        <v>2492</v>
      </c>
      <c r="S1092" s="3" t="str">
        <f t="shared" si="51"/>
        <v>910111</v>
      </c>
      <c r="T1092" s="3">
        <v>1</v>
      </c>
      <c r="U1092" s="3">
        <v>0</v>
      </c>
      <c r="V1092" s="3">
        <v>1</v>
      </c>
      <c r="W1092" s="7"/>
      <c r="X1092" s="27" t="s">
        <v>2307</v>
      </c>
      <c r="Y1092" s="27" t="s">
        <v>2309</v>
      </c>
    </row>
    <row r="1093" spans="1:25" x14ac:dyDescent="0.15">
      <c r="A1093" s="4">
        <v>910112</v>
      </c>
      <c r="B1093" s="27" t="s">
        <v>2310</v>
      </c>
      <c r="C1093" s="3">
        <v>0</v>
      </c>
      <c r="D1093" s="3">
        <v>0</v>
      </c>
      <c r="E1093" s="3">
        <v>0</v>
      </c>
      <c r="F1093" s="3">
        <v>0</v>
      </c>
      <c r="G1093" s="3">
        <v>0</v>
      </c>
      <c r="H1093" s="3">
        <v>0</v>
      </c>
      <c r="I1093" s="3">
        <v>0</v>
      </c>
      <c r="J1093" s="4">
        <v>461</v>
      </c>
      <c r="K1093" s="3">
        <v>9</v>
      </c>
      <c r="L1093" s="27" t="s">
        <v>2354</v>
      </c>
      <c r="M1093" s="3">
        <v>910</v>
      </c>
      <c r="N1093" s="28" t="s">
        <v>2518</v>
      </c>
      <c r="O1093" s="3">
        <v>0</v>
      </c>
      <c r="P1093" s="3"/>
      <c r="Q1093" s="3" t="s">
        <v>601</v>
      </c>
      <c r="R1093" s="3" t="s">
        <v>2493</v>
      </c>
      <c r="S1093" s="3" t="str">
        <f t="shared" si="51"/>
        <v>910112</v>
      </c>
      <c r="T1093" s="3">
        <v>1</v>
      </c>
      <c r="U1093" s="3">
        <v>0</v>
      </c>
      <c r="V1093" s="3">
        <v>1</v>
      </c>
      <c r="W1093" s="7"/>
      <c r="X1093" s="27" t="s">
        <v>2310</v>
      </c>
      <c r="Y1093" s="27" t="s">
        <v>2311</v>
      </c>
    </row>
    <row r="1094" spans="1:25" x14ac:dyDescent="0.15">
      <c r="A1094" s="4">
        <v>910113</v>
      </c>
      <c r="B1094" s="27" t="s">
        <v>2312</v>
      </c>
      <c r="C1094" s="3">
        <v>0</v>
      </c>
      <c r="D1094" s="3">
        <v>0</v>
      </c>
      <c r="E1094" s="3">
        <v>0</v>
      </c>
      <c r="F1094" s="3">
        <v>0</v>
      </c>
      <c r="G1094" s="3">
        <v>0</v>
      </c>
      <c r="H1094" s="3">
        <v>0</v>
      </c>
      <c r="I1094" s="3">
        <v>0</v>
      </c>
      <c r="J1094" s="4">
        <v>462</v>
      </c>
      <c r="K1094" s="3">
        <v>9</v>
      </c>
      <c r="L1094" s="27" t="s">
        <v>2354</v>
      </c>
      <c r="M1094" s="3">
        <v>910</v>
      </c>
      <c r="N1094" s="28" t="s">
        <v>2518</v>
      </c>
      <c r="O1094" s="3">
        <v>0</v>
      </c>
      <c r="P1094" s="3"/>
      <c r="Q1094" s="3" t="s">
        <v>601</v>
      </c>
      <c r="R1094" s="3" t="s">
        <v>2494</v>
      </c>
      <c r="S1094" s="3" t="str">
        <f t="shared" si="51"/>
        <v>910113</v>
      </c>
      <c r="T1094" s="3">
        <v>1</v>
      </c>
      <c r="U1094" s="3">
        <v>0</v>
      </c>
      <c r="V1094" s="3">
        <v>1</v>
      </c>
      <c r="W1094" s="7"/>
      <c r="X1094" s="27" t="s">
        <v>2312</v>
      </c>
      <c r="Y1094" s="27" t="s">
        <v>2316</v>
      </c>
    </row>
    <row r="1095" spans="1:25" x14ac:dyDescent="0.15">
      <c r="A1095" s="4">
        <v>910114</v>
      </c>
      <c r="B1095" s="27" t="s">
        <v>2313</v>
      </c>
      <c r="C1095" s="3">
        <v>0</v>
      </c>
      <c r="D1095" s="3">
        <v>0</v>
      </c>
      <c r="E1095" s="3">
        <v>0</v>
      </c>
      <c r="F1095" s="3">
        <v>0</v>
      </c>
      <c r="G1095" s="3">
        <v>0</v>
      </c>
      <c r="H1095" s="3">
        <v>0</v>
      </c>
      <c r="I1095" s="3">
        <v>0</v>
      </c>
      <c r="J1095" s="4">
        <v>463</v>
      </c>
      <c r="K1095" s="3">
        <v>9</v>
      </c>
      <c r="L1095" s="27" t="s">
        <v>2354</v>
      </c>
      <c r="M1095" s="3">
        <v>910</v>
      </c>
      <c r="N1095" s="28" t="s">
        <v>2518</v>
      </c>
      <c r="O1095" s="3">
        <v>0</v>
      </c>
      <c r="P1095" s="3"/>
      <c r="Q1095" s="3" t="s">
        <v>601</v>
      </c>
      <c r="R1095" s="3" t="s">
        <v>2495</v>
      </c>
      <c r="S1095" s="3" t="str">
        <f t="shared" si="51"/>
        <v>910114</v>
      </c>
      <c r="T1095" s="3">
        <v>1</v>
      </c>
      <c r="U1095" s="3">
        <v>0</v>
      </c>
      <c r="V1095" s="3">
        <v>1</v>
      </c>
      <c r="W1095" s="7"/>
      <c r="X1095" s="27" t="s">
        <v>2313</v>
      </c>
      <c r="Y1095" s="27" t="s">
        <v>2317</v>
      </c>
    </row>
    <row r="1096" spans="1:25" x14ac:dyDescent="0.15">
      <c r="A1096" s="4">
        <v>910115</v>
      </c>
      <c r="B1096" s="27" t="s">
        <v>2314</v>
      </c>
      <c r="C1096" s="3">
        <v>0</v>
      </c>
      <c r="D1096" s="3">
        <v>0</v>
      </c>
      <c r="E1096" s="3">
        <v>0</v>
      </c>
      <c r="F1096" s="3">
        <v>0</v>
      </c>
      <c r="G1096" s="3">
        <v>0</v>
      </c>
      <c r="H1096" s="3">
        <v>0</v>
      </c>
      <c r="I1096" s="3">
        <v>0</v>
      </c>
      <c r="J1096" s="4">
        <v>464</v>
      </c>
      <c r="K1096" s="3">
        <v>9</v>
      </c>
      <c r="L1096" s="27" t="s">
        <v>2354</v>
      </c>
      <c r="M1096" s="3">
        <v>910</v>
      </c>
      <c r="N1096" s="28" t="s">
        <v>2518</v>
      </c>
      <c r="O1096" s="3">
        <v>0</v>
      </c>
      <c r="P1096" s="3"/>
      <c r="Q1096" s="3" t="s">
        <v>601</v>
      </c>
      <c r="R1096" s="3" t="s">
        <v>2496</v>
      </c>
      <c r="S1096" s="3" t="str">
        <f t="shared" si="51"/>
        <v>910115</v>
      </c>
      <c r="T1096" s="3">
        <v>1</v>
      </c>
      <c r="U1096" s="3">
        <v>0</v>
      </c>
      <c r="V1096" s="3">
        <v>1</v>
      </c>
      <c r="W1096" s="7"/>
      <c r="X1096" s="27" t="s">
        <v>2314</v>
      </c>
      <c r="Y1096" s="27" t="s">
        <v>2531</v>
      </c>
    </row>
    <row r="1097" spans="1:25" x14ac:dyDescent="0.15">
      <c r="A1097" s="4">
        <v>910116</v>
      </c>
      <c r="B1097" s="27" t="s">
        <v>2315</v>
      </c>
      <c r="C1097" s="3">
        <v>0</v>
      </c>
      <c r="D1097" s="3">
        <v>0</v>
      </c>
      <c r="E1097" s="3">
        <v>0</v>
      </c>
      <c r="F1097" s="3">
        <v>0</v>
      </c>
      <c r="G1097" s="3">
        <v>0</v>
      </c>
      <c r="H1097" s="3">
        <v>0</v>
      </c>
      <c r="I1097" s="3">
        <v>0</v>
      </c>
      <c r="J1097" s="4">
        <v>465</v>
      </c>
      <c r="K1097" s="3">
        <v>9</v>
      </c>
      <c r="L1097" s="27" t="s">
        <v>2354</v>
      </c>
      <c r="M1097" s="3">
        <v>910</v>
      </c>
      <c r="N1097" s="28" t="s">
        <v>2518</v>
      </c>
      <c r="O1097" s="3">
        <v>0</v>
      </c>
      <c r="P1097" s="3"/>
      <c r="Q1097" s="3" t="s">
        <v>601</v>
      </c>
      <c r="R1097" s="3" t="s">
        <v>2497</v>
      </c>
      <c r="S1097" s="3" t="str">
        <f t="shared" si="51"/>
        <v>910116</v>
      </c>
      <c r="T1097" s="3">
        <v>1</v>
      </c>
      <c r="U1097" s="3">
        <v>0</v>
      </c>
      <c r="V1097" s="3">
        <v>1</v>
      </c>
      <c r="W1097" s="7"/>
      <c r="X1097" s="27" t="s">
        <v>2315</v>
      </c>
      <c r="Y1097" s="27" t="s">
        <v>2318</v>
      </c>
    </row>
    <row r="1098" spans="1:25" x14ac:dyDescent="0.15">
      <c r="A1098" s="4">
        <v>910117</v>
      </c>
      <c r="B1098" s="27" t="s">
        <v>2332</v>
      </c>
      <c r="C1098" s="3">
        <v>0</v>
      </c>
      <c r="D1098" s="3">
        <v>0</v>
      </c>
      <c r="E1098" s="3">
        <v>0</v>
      </c>
      <c r="F1098" s="3">
        <v>0</v>
      </c>
      <c r="G1098" s="3">
        <v>0</v>
      </c>
      <c r="H1098" s="3">
        <v>0</v>
      </c>
      <c r="I1098" s="3">
        <v>0</v>
      </c>
      <c r="J1098" s="4">
        <v>467</v>
      </c>
      <c r="K1098" s="3">
        <v>9</v>
      </c>
      <c r="L1098" s="27" t="s">
        <v>2354</v>
      </c>
      <c r="M1098" s="3">
        <v>910</v>
      </c>
      <c r="N1098" s="28" t="s">
        <v>2518</v>
      </c>
      <c r="O1098" s="3">
        <v>0</v>
      </c>
      <c r="P1098" s="3"/>
      <c r="Q1098" s="3" t="s">
        <v>601</v>
      </c>
      <c r="R1098" s="3" t="s">
        <v>2498</v>
      </c>
      <c r="S1098" s="3" t="str">
        <f t="shared" si="51"/>
        <v>910117</v>
      </c>
      <c r="T1098" s="3">
        <v>1</v>
      </c>
      <c r="U1098" s="3">
        <v>0</v>
      </c>
      <c r="V1098" s="3">
        <v>1</v>
      </c>
      <c r="W1098" s="7"/>
      <c r="X1098" s="27" t="s">
        <v>2332</v>
      </c>
      <c r="Y1098" s="27" t="s">
        <v>2359</v>
      </c>
    </row>
    <row r="1099" spans="1:25" x14ac:dyDescent="0.15">
      <c r="A1099" s="4">
        <v>910118</v>
      </c>
      <c r="B1099" s="27" t="s">
        <v>2333</v>
      </c>
      <c r="C1099" s="3">
        <v>0</v>
      </c>
      <c r="D1099" s="3">
        <v>0</v>
      </c>
      <c r="E1099" s="3">
        <v>0</v>
      </c>
      <c r="F1099" s="3">
        <v>0</v>
      </c>
      <c r="G1099" s="3">
        <v>0</v>
      </c>
      <c r="H1099" s="3">
        <v>0</v>
      </c>
      <c r="I1099" s="3">
        <v>0</v>
      </c>
      <c r="J1099" s="4">
        <v>472</v>
      </c>
      <c r="K1099" s="3">
        <v>9</v>
      </c>
      <c r="L1099" s="27" t="s">
        <v>2354</v>
      </c>
      <c r="M1099" s="3">
        <v>910</v>
      </c>
      <c r="N1099" s="28" t="s">
        <v>2518</v>
      </c>
      <c r="O1099" s="3">
        <v>0</v>
      </c>
      <c r="P1099" s="3"/>
      <c r="Q1099" s="3" t="s">
        <v>601</v>
      </c>
      <c r="R1099" s="3" t="s">
        <v>2499</v>
      </c>
      <c r="S1099" s="3" t="str">
        <f t="shared" si="51"/>
        <v>910118</v>
      </c>
      <c r="T1099" s="3">
        <v>1</v>
      </c>
      <c r="U1099" s="3">
        <v>0</v>
      </c>
      <c r="V1099" s="3">
        <v>1</v>
      </c>
      <c r="W1099" s="7"/>
      <c r="X1099" s="27" t="s">
        <v>2333</v>
      </c>
      <c r="Y1099" s="27" t="s">
        <v>2360</v>
      </c>
    </row>
    <row r="1100" spans="1:25" x14ac:dyDescent="0.15">
      <c r="A1100" s="4">
        <v>910119</v>
      </c>
      <c r="B1100" s="27" t="s">
        <v>2337</v>
      </c>
      <c r="C1100" s="3">
        <v>0</v>
      </c>
      <c r="D1100" s="3">
        <v>0</v>
      </c>
      <c r="E1100" s="3">
        <v>0</v>
      </c>
      <c r="F1100" s="3">
        <v>0</v>
      </c>
      <c r="G1100" s="3">
        <v>0</v>
      </c>
      <c r="H1100" s="3">
        <v>0</v>
      </c>
      <c r="I1100" s="3">
        <v>0</v>
      </c>
      <c r="J1100" s="4">
        <v>475</v>
      </c>
      <c r="K1100" s="3">
        <v>9</v>
      </c>
      <c r="L1100" s="27" t="s">
        <v>2354</v>
      </c>
      <c r="M1100" s="3">
        <v>910</v>
      </c>
      <c r="N1100" s="28" t="s">
        <v>2518</v>
      </c>
      <c r="O1100" s="3">
        <v>0</v>
      </c>
      <c r="P1100" s="3"/>
      <c r="Q1100" s="3" t="s">
        <v>601</v>
      </c>
      <c r="R1100" s="3" t="s">
        <v>2500</v>
      </c>
      <c r="S1100" s="3" t="str">
        <f t="shared" si="51"/>
        <v>910119</v>
      </c>
      <c r="T1100" s="3">
        <v>1</v>
      </c>
      <c r="U1100" s="3">
        <v>0</v>
      </c>
      <c r="V1100" s="3">
        <v>1</v>
      </c>
      <c r="W1100" s="7"/>
      <c r="X1100" s="27" t="s">
        <v>2337</v>
      </c>
      <c r="Y1100" s="27" t="s">
        <v>2361</v>
      </c>
    </row>
    <row r="1101" spans="1:25" x14ac:dyDescent="0.15">
      <c r="A1101" s="4">
        <v>910120</v>
      </c>
      <c r="B1101" s="27" t="s">
        <v>2338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0</v>
      </c>
      <c r="I1101" s="3">
        <v>0</v>
      </c>
      <c r="J1101" s="4">
        <v>477</v>
      </c>
      <c r="K1101" s="3">
        <v>9</v>
      </c>
      <c r="L1101" s="27" t="s">
        <v>2354</v>
      </c>
      <c r="M1101" s="3">
        <v>910</v>
      </c>
      <c r="N1101" s="28" t="s">
        <v>2518</v>
      </c>
      <c r="O1101" s="3">
        <v>0</v>
      </c>
      <c r="P1101" s="3"/>
      <c r="Q1101" s="3" t="s">
        <v>601</v>
      </c>
      <c r="R1101" s="3" t="s">
        <v>2501</v>
      </c>
      <c r="S1101" s="3" t="str">
        <f t="shared" si="51"/>
        <v>910120</v>
      </c>
      <c r="T1101" s="3">
        <v>1</v>
      </c>
      <c r="U1101" s="3">
        <v>0</v>
      </c>
      <c r="V1101" s="3">
        <v>1</v>
      </c>
      <c r="W1101" s="7"/>
      <c r="X1101" s="27" t="s">
        <v>2338</v>
      </c>
      <c r="Y1101" s="27" t="s">
        <v>2362</v>
      </c>
    </row>
    <row r="1102" spans="1:25" x14ac:dyDescent="0.15">
      <c r="A1102" s="4">
        <v>910121</v>
      </c>
      <c r="B1102" s="27" t="s">
        <v>2339</v>
      </c>
      <c r="C1102" s="3">
        <v>0</v>
      </c>
      <c r="D1102" s="3">
        <v>0</v>
      </c>
      <c r="E1102" s="3">
        <v>0</v>
      </c>
      <c r="F1102" s="3">
        <v>0</v>
      </c>
      <c r="G1102" s="3">
        <v>0</v>
      </c>
      <c r="H1102" s="3">
        <v>0</v>
      </c>
      <c r="I1102" s="3">
        <v>0</v>
      </c>
      <c r="J1102" s="4">
        <v>479</v>
      </c>
      <c r="K1102" s="3">
        <v>9</v>
      </c>
      <c r="L1102" s="27" t="s">
        <v>2354</v>
      </c>
      <c r="M1102" s="3">
        <v>910</v>
      </c>
      <c r="N1102" s="28" t="s">
        <v>2518</v>
      </c>
      <c r="O1102" s="3">
        <v>0</v>
      </c>
      <c r="P1102" s="3"/>
      <c r="Q1102" s="3" t="s">
        <v>601</v>
      </c>
      <c r="R1102" s="3" t="s">
        <v>2502</v>
      </c>
      <c r="S1102" s="3" t="str">
        <f t="shared" si="51"/>
        <v>910121</v>
      </c>
      <c r="T1102" s="3">
        <v>1</v>
      </c>
      <c r="U1102" s="3">
        <v>0</v>
      </c>
      <c r="V1102" s="3">
        <v>1</v>
      </c>
      <c r="W1102" s="7"/>
      <c r="X1102" s="27" t="s">
        <v>2339</v>
      </c>
      <c r="Y1102" s="27" t="s">
        <v>2363</v>
      </c>
    </row>
    <row r="1103" spans="1:25" x14ac:dyDescent="0.15">
      <c r="A1103" s="4">
        <v>910122</v>
      </c>
      <c r="B1103" s="27" t="s">
        <v>2340</v>
      </c>
      <c r="C1103" s="3">
        <v>0</v>
      </c>
      <c r="D1103" s="3">
        <v>0</v>
      </c>
      <c r="E1103" s="3">
        <v>0</v>
      </c>
      <c r="F1103" s="3">
        <v>0</v>
      </c>
      <c r="G1103" s="3">
        <v>0</v>
      </c>
      <c r="H1103" s="3">
        <v>0</v>
      </c>
      <c r="I1103" s="3">
        <v>0</v>
      </c>
      <c r="J1103" s="4">
        <v>480</v>
      </c>
      <c r="K1103" s="3">
        <v>9</v>
      </c>
      <c r="L1103" s="27" t="s">
        <v>2354</v>
      </c>
      <c r="M1103" s="3">
        <v>910</v>
      </c>
      <c r="N1103" s="28" t="s">
        <v>2518</v>
      </c>
      <c r="O1103" s="3">
        <v>0</v>
      </c>
      <c r="P1103" s="3"/>
      <c r="Q1103" s="3" t="s">
        <v>601</v>
      </c>
      <c r="R1103" s="3" t="s">
        <v>2503</v>
      </c>
      <c r="S1103" s="3" t="str">
        <f t="shared" si="51"/>
        <v>910122</v>
      </c>
      <c r="T1103" s="3">
        <v>1</v>
      </c>
      <c r="U1103" s="3">
        <v>0</v>
      </c>
      <c r="V1103" s="3">
        <v>1</v>
      </c>
      <c r="W1103" s="7"/>
      <c r="X1103" s="27" t="s">
        <v>2340</v>
      </c>
      <c r="Y1103" s="27" t="s">
        <v>2364</v>
      </c>
    </row>
    <row r="1104" spans="1:25" x14ac:dyDescent="0.15">
      <c r="A1104" s="4">
        <v>910123</v>
      </c>
      <c r="B1104" s="27" t="s">
        <v>2321</v>
      </c>
      <c r="C1104" s="3">
        <v>0</v>
      </c>
      <c r="D1104" s="3">
        <v>0</v>
      </c>
      <c r="E1104" s="3">
        <v>0</v>
      </c>
      <c r="F1104" s="3">
        <v>0</v>
      </c>
      <c r="G1104" s="3">
        <v>0</v>
      </c>
      <c r="H1104" s="3">
        <v>0</v>
      </c>
      <c r="I1104" s="3">
        <v>0</v>
      </c>
      <c r="J1104" s="4">
        <v>481</v>
      </c>
      <c r="K1104" s="3">
        <v>9</v>
      </c>
      <c r="L1104" s="27" t="s">
        <v>2354</v>
      </c>
      <c r="M1104" s="3">
        <v>910</v>
      </c>
      <c r="N1104" s="28" t="s">
        <v>2518</v>
      </c>
      <c r="O1104" s="3">
        <v>0</v>
      </c>
      <c r="P1104" s="3"/>
      <c r="Q1104" s="3" t="s">
        <v>601</v>
      </c>
      <c r="R1104" s="3" t="s">
        <v>2504</v>
      </c>
      <c r="S1104" s="3" t="str">
        <f t="shared" si="51"/>
        <v>910123</v>
      </c>
      <c r="T1104" s="3">
        <v>1</v>
      </c>
      <c r="U1104" s="3">
        <v>0</v>
      </c>
      <c r="V1104" s="3">
        <v>1</v>
      </c>
      <c r="W1104" s="7"/>
      <c r="X1104" s="27" t="s">
        <v>2321</v>
      </c>
      <c r="Y1104" s="27" t="s">
        <v>2322</v>
      </c>
    </row>
    <row r="1105" spans="1:25" x14ac:dyDescent="0.15">
      <c r="A1105" s="4">
        <v>910124</v>
      </c>
      <c r="B1105" s="27" t="s">
        <v>2323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4">
        <v>482</v>
      </c>
      <c r="K1105" s="3">
        <v>9</v>
      </c>
      <c r="L1105" s="27" t="s">
        <v>2354</v>
      </c>
      <c r="M1105" s="3">
        <v>910</v>
      </c>
      <c r="N1105" s="28" t="s">
        <v>2518</v>
      </c>
      <c r="O1105" s="3">
        <v>0</v>
      </c>
      <c r="P1105" s="3"/>
      <c r="Q1105" s="3" t="s">
        <v>601</v>
      </c>
      <c r="R1105" s="3" t="s">
        <v>2505</v>
      </c>
      <c r="S1105" s="3" t="str">
        <f t="shared" si="51"/>
        <v>910124</v>
      </c>
      <c r="T1105" s="3">
        <v>1</v>
      </c>
      <c r="U1105" s="3">
        <v>0</v>
      </c>
      <c r="V1105" s="3">
        <v>1</v>
      </c>
      <c r="W1105" s="7"/>
      <c r="X1105" s="27" t="s">
        <v>2323</v>
      </c>
      <c r="Y1105" s="27" t="s">
        <v>2325</v>
      </c>
    </row>
    <row r="1106" spans="1:25" x14ac:dyDescent="0.15">
      <c r="A1106" s="4">
        <v>910125</v>
      </c>
      <c r="B1106" s="27" t="s">
        <v>2324</v>
      </c>
      <c r="C1106" s="3">
        <v>0</v>
      </c>
      <c r="D1106" s="3">
        <v>0</v>
      </c>
      <c r="E1106" s="3">
        <v>0</v>
      </c>
      <c r="F1106" s="3">
        <v>0</v>
      </c>
      <c r="G1106" s="3">
        <v>0</v>
      </c>
      <c r="H1106" s="3">
        <v>0</v>
      </c>
      <c r="I1106" s="3">
        <v>0</v>
      </c>
      <c r="J1106" s="4">
        <v>483</v>
      </c>
      <c r="K1106" s="3">
        <v>9</v>
      </c>
      <c r="L1106" s="27" t="s">
        <v>2354</v>
      </c>
      <c r="M1106" s="3">
        <v>910</v>
      </c>
      <c r="N1106" s="28" t="s">
        <v>2518</v>
      </c>
      <c r="O1106" s="3">
        <v>0</v>
      </c>
      <c r="P1106" s="3"/>
      <c r="Q1106" s="3" t="s">
        <v>601</v>
      </c>
      <c r="R1106" s="3" t="s">
        <v>2506</v>
      </c>
      <c r="S1106" s="3" t="str">
        <f t="shared" si="51"/>
        <v>910125</v>
      </c>
      <c r="T1106" s="3">
        <v>1</v>
      </c>
      <c r="U1106" s="3">
        <v>0</v>
      </c>
      <c r="V1106" s="3">
        <v>1</v>
      </c>
      <c r="W1106" s="7"/>
      <c r="X1106" s="27" t="s">
        <v>2324</v>
      </c>
      <c r="Y1106" s="27" t="s">
        <v>2326</v>
      </c>
    </row>
    <row r="1107" spans="1:25" x14ac:dyDescent="0.15">
      <c r="A1107" s="4">
        <v>910126</v>
      </c>
      <c r="B1107" s="27" t="s">
        <v>2532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4">
        <v>484</v>
      </c>
      <c r="K1107" s="3">
        <v>9</v>
      </c>
      <c r="L1107" s="27" t="s">
        <v>2354</v>
      </c>
      <c r="M1107" s="3">
        <v>910</v>
      </c>
      <c r="N1107" s="28" t="s">
        <v>2518</v>
      </c>
      <c r="O1107" s="3">
        <v>0</v>
      </c>
      <c r="P1107" s="3"/>
      <c r="Q1107" s="3" t="s">
        <v>601</v>
      </c>
      <c r="R1107" s="3" t="s">
        <v>2507</v>
      </c>
      <c r="S1107" s="3" t="str">
        <f t="shared" si="51"/>
        <v>910126</v>
      </c>
      <c r="T1107" s="3">
        <v>1</v>
      </c>
      <c r="U1107" s="3">
        <v>0</v>
      </c>
      <c r="V1107" s="3">
        <v>1</v>
      </c>
      <c r="W1107" s="7"/>
      <c r="X1107" s="27" t="s">
        <v>2532</v>
      </c>
      <c r="Y1107" s="27" t="s">
        <v>2542</v>
      </c>
    </row>
    <row r="1108" spans="1:25" x14ac:dyDescent="0.15">
      <c r="A1108" s="4">
        <v>910127</v>
      </c>
      <c r="B1108" s="27" t="s">
        <v>2533</v>
      </c>
      <c r="C1108" s="3">
        <v>0</v>
      </c>
      <c r="D1108" s="3">
        <v>0</v>
      </c>
      <c r="E1108" s="3">
        <v>0</v>
      </c>
      <c r="F1108" s="3">
        <v>0</v>
      </c>
      <c r="G1108" s="3">
        <v>0</v>
      </c>
      <c r="H1108" s="3">
        <v>0</v>
      </c>
      <c r="I1108" s="3">
        <v>0</v>
      </c>
      <c r="J1108" s="4">
        <v>485</v>
      </c>
      <c r="K1108" s="3">
        <v>9</v>
      </c>
      <c r="L1108" s="27" t="s">
        <v>2354</v>
      </c>
      <c r="M1108" s="3">
        <v>910</v>
      </c>
      <c r="N1108" s="28" t="s">
        <v>2518</v>
      </c>
      <c r="O1108" s="3">
        <v>0</v>
      </c>
      <c r="P1108" s="3"/>
      <c r="Q1108" s="3" t="s">
        <v>601</v>
      </c>
      <c r="R1108" s="3" t="s">
        <v>2508</v>
      </c>
      <c r="S1108" s="3" t="str">
        <f t="shared" si="51"/>
        <v>910127</v>
      </c>
      <c r="T1108" s="3">
        <v>1</v>
      </c>
      <c r="U1108" s="3">
        <v>0</v>
      </c>
      <c r="V1108" s="3">
        <v>1</v>
      </c>
      <c r="W1108" s="7"/>
      <c r="X1108" s="27" t="s">
        <v>2533</v>
      </c>
      <c r="Y1108" s="27" t="s">
        <v>2543</v>
      </c>
    </row>
    <row r="1109" spans="1:25" x14ac:dyDescent="0.15">
      <c r="A1109" s="4">
        <v>910128</v>
      </c>
      <c r="B1109" s="27" t="s">
        <v>2534</v>
      </c>
      <c r="C1109" s="3">
        <v>0</v>
      </c>
      <c r="D1109" s="3">
        <v>0</v>
      </c>
      <c r="E1109" s="3">
        <v>0</v>
      </c>
      <c r="F1109" s="3">
        <v>0</v>
      </c>
      <c r="G1109" s="3">
        <v>0</v>
      </c>
      <c r="H1109" s="3">
        <v>0</v>
      </c>
      <c r="I1109" s="3">
        <v>0</v>
      </c>
      <c r="J1109" s="4">
        <v>486</v>
      </c>
      <c r="K1109" s="3">
        <v>9</v>
      </c>
      <c r="L1109" s="27" t="s">
        <v>2354</v>
      </c>
      <c r="M1109" s="3">
        <v>910</v>
      </c>
      <c r="N1109" s="28" t="s">
        <v>2518</v>
      </c>
      <c r="O1109" s="3">
        <v>0</v>
      </c>
      <c r="P1109" s="3"/>
      <c r="Q1109" s="3" t="s">
        <v>601</v>
      </c>
      <c r="R1109" s="3" t="s">
        <v>2509</v>
      </c>
      <c r="S1109" s="3" t="str">
        <f t="shared" si="51"/>
        <v>910128</v>
      </c>
      <c r="T1109" s="3">
        <v>1</v>
      </c>
      <c r="U1109" s="3">
        <v>0</v>
      </c>
      <c r="V1109" s="3">
        <v>1</v>
      </c>
      <c r="W1109" s="7"/>
      <c r="X1109" s="27" t="s">
        <v>2534</v>
      </c>
      <c r="Y1109" s="27" t="s">
        <v>2544</v>
      </c>
    </row>
    <row r="1110" spans="1:25" x14ac:dyDescent="0.15">
      <c r="A1110" s="4">
        <v>910129</v>
      </c>
      <c r="B1110" s="27" t="s">
        <v>2535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4">
        <v>487</v>
      </c>
      <c r="K1110" s="3">
        <v>9</v>
      </c>
      <c r="L1110" s="27" t="s">
        <v>2354</v>
      </c>
      <c r="M1110" s="3">
        <v>910</v>
      </c>
      <c r="N1110" s="28" t="s">
        <v>2518</v>
      </c>
      <c r="O1110" s="3">
        <v>0</v>
      </c>
      <c r="P1110" s="3"/>
      <c r="Q1110" s="3" t="s">
        <v>601</v>
      </c>
      <c r="R1110" s="3" t="s">
        <v>2510</v>
      </c>
      <c r="S1110" s="3" t="str">
        <f t="shared" ref="S1110:S1174" si="52">CONCATENATE(A1110,"")</f>
        <v>910129</v>
      </c>
      <c r="T1110" s="3">
        <v>1</v>
      </c>
      <c r="U1110" s="3">
        <v>0</v>
      </c>
      <c r="V1110" s="3">
        <v>1</v>
      </c>
      <c r="W1110" s="7"/>
      <c r="X1110" s="27" t="s">
        <v>2535</v>
      </c>
      <c r="Y1110" s="27" t="s">
        <v>2545</v>
      </c>
    </row>
    <row r="1111" spans="1:25" x14ac:dyDescent="0.15">
      <c r="A1111" s="4">
        <v>910130</v>
      </c>
      <c r="B1111" s="27" t="s">
        <v>2536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4">
        <v>488</v>
      </c>
      <c r="K1111" s="3">
        <v>9</v>
      </c>
      <c r="L1111" s="27" t="s">
        <v>2354</v>
      </c>
      <c r="M1111" s="3">
        <v>910</v>
      </c>
      <c r="N1111" s="28" t="s">
        <v>2518</v>
      </c>
      <c r="O1111" s="3">
        <v>0</v>
      </c>
      <c r="P1111" s="3"/>
      <c r="Q1111" s="3" t="s">
        <v>601</v>
      </c>
      <c r="R1111" s="3" t="s">
        <v>2511</v>
      </c>
      <c r="S1111" s="3" t="str">
        <f t="shared" si="52"/>
        <v>910130</v>
      </c>
      <c r="T1111" s="3">
        <v>1</v>
      </c>
      <c r="U1111" s="3">
        <v>0</v>
      </c>
      <c r="V1111" s="3">
        <v>1</v>
      </c>
      <c r="W1111" s="7"/>
      <c r="X1111" s="27" t="s">
        <v>2536</v>
      </c>
      <c r="Y1111" s="27" t="s">
        <v>2546</v>
      </c>
    </row>
    <row r="1112" spans="1:25" x14ac:dyDescent="0.15">
      <c r="A1112" s="4">
        <v>910131</v>
      </c>
      <c r="B1112" s="27" t="s">
        <v>2540</v>
      </c>
      <c r="C1112" s="3">
        <v>0</v>
      </c>
      <c r="D1112" s="3">
        <v>0</v>
      </c>
      <c r="E1112" s="3">
        <v>0</v>
      </c>
      <c r="F1112" s="3">
        <v>0</v>
      </c>
      <c r="G1112" s="3">
        <v>0</v>
      </c>
      <c r="H1112" s="3">
        <v>0</v>
      </c>
      <c r="I1112" s="3">
        <v>0</v>
      </c>
      <c r="J1112" s="4">
        <v>490</v>
      </c>
      <c r="K1112" s="3">
        <v>9</v>
      </c>
      <c r="L1112" s="27" t="s">
        <v>2354</v>
      </c>
      <c r="M1112" s="3">
        <v>910</v>
      </c>
      <c r="N1112" s="28" t="s">
        <v>2518</v>
      </c>
      <c r="O1112" s="3">
        <v>0</v>
      </c>
      <c r="P1112" s="3"/>
      <c r="Q1112" s="3" t="s">
        <v>601</v>
      </c>
      <c r="R1112" s="3" t="s">
        <v>2512</v>
      </c>
      <c r="S1112" s="3" t="str">
        <f t="shared" si="52"/>
        <v>910131</v>
      </c>
      <c r="T1112" s="3">
        <v>1</v>
      </c>
      <c r="U1112" s="3">
        <v>0</v>
      </c>
      <c r="V1112" s="3">
        <v>1</v>
      </c>
      <c r="W1112" s="7"/>
      <c r="X1112" s="27" t="s">
        <v>2540</v>
      </c>
      <c r="Y1112" s="27" t="s">
        <v>2547</v>
      </c>
    </row>
    <row r="1113" spans="1:25" x14ac:dyDescent="0.15">
      <c r="A1113" s="4">
        <v>910132</v>
      </c>
      <c r="B1113" s="27" t="s">
        <v>2537</v>
      </c>
      <c r="C1113" s="3">
        <v>0</v>
      </c>
      <c r="D1113" s="3">
        <v>0</v>
      </c>
      <c r="E1113" s="3">
        <v>0</v>
      </c>
      <c r="F1113" s="3">
        <v>0</v>
      </c>
      <c r="G1113" s="3">
        <v>0</v>
      </c>
      <c r="H1113" s="3">
        <v>0</v>
      </c>
      <c r="I1113" s="3">
        <v>0</v>
      </c>
      <c r="J1113" s="4">
        <v>491</v>
      </c>
      <c r="K1113" s="3">
        <v>9</v>
      </c>
      <c r="L1113" s="27" t="s">
        <v>2354</v>
      </c>
      <c r="M1113" s="3">
        <v>910</v>
      </c>
      <c r="N1113" s="28" t="s">
        <v>2518</v>
      </c>
      <c r="O1113" s="3">
        <v>0</v>
      </c>
      <c r="P1113" s="3"/>
      <c r="Q1113" s="3" t="s">
        <v>601</v>
      </c>
      <c r="R1113" s="3" t="s">
        <v>2513</v>
      </c>
      <c r="S1113" s="3" t="str">
        <f t="shared" si="52"/>
        <v>910132</v>
      </c>
      <c r="T1113" s="3">
        <v>1</v>
      </c>
      <c r="U1113" s="3">
        <v>0</v>
      </c>
      <c r="V1113" s="3">
        <v>1</v>
      </c>
      <c r="W1113" s="7"/>
      <c r="X1113" s="27" t="s">
        <v>2537</v>
      </c>
      <c r="Y1113" s="27" t="s">
        <v>2548</v>
      </c>
    </row>
    <row r="1114" spans="1:25" x14ac:dyDescent="0.15">
      <c r="A1114" s="4">
        <v>910133</v>
      </c>
      <c r="B1114" s="27" t="s">
        <v>2538</v>
      </c>
      <c r="C1114" s="3">
        <v>0</v>
      </c>
      <c r="D1114" s="3">
        <v>0</v>
      </c>
      <c r="E1114" s="3">
        <v>0</v>
      </c>
      <c r="F1114" s="3">
        <v>0</v>
      </c>
      <c r="G1114" s="3">
        <v>0</v>
      </c>
      <c r="H1114" s="3">
        <v>0</v>
      </c>
      <c r="I1114" s="3">
        <v>0</v>
      </c>
      <c r="J1114" s="4">
        <v>492</v>
      </c>
      <c r="K1114" s="3">
        <v>9</v>
      </c>
      <c r="L1114" s="27" t="s">
        <v>2354</v>
      </c>
      <c r="M1114" s="3">
        <v>910</v>
      </c>
      <c r="N1114" s="28" t="s">
        <v>2518</v>
      </c>
      <c r="O1114" s="3">
        <v>0</v>
      </c>
      <c r="P1114" s="3"/>
      <c r="Q1114" s="3" t="s">
        <v>601</v>
      </c>
      <c r="R1114" s="3" t="s">
        <v>2514</v>
      </c>
      <c r="S1114" s="3" t="str">
        <f t="shared" si="52"/>
        <v>910133</v>
      </c>
      <c r="T1114" s="3">
        <v>1</v>
      </c>
      <c r="U1114" s="3">
        <v>0</v>
      </c>
      <c r="V1114" s="3">
        <v>1</v>
      </c>
      <c r="W1114" s="7"/>
      <c r="X1114" s="27" t="s">
        <v>2538</v>
      </c>
      <c r="Y1114" s="27" t="s">
        <v>2549</v>
      </c>
    </row>
    <row r="1115" spans="1:25" x14ac:dyDescent="0.15">
      <c r="A1115" s="3">
        <v>903101</v>
      </c>
      <c r="B1115" s="28" t="s">
        <v>1944</v>
      </c>
      <c r="C1115" s="3">
        <v>0</v>
      </c>
      <c r="D1115" s="3">
        <v>0</v>
      </c>
      <c r="E1115" s="3">
        <v>0</v>
      </c>
      <c r="F1115" s="3">
        <v>0</v>
      </c>
      <c r="G1115" s="3">
        <v>0</v>
      </c>
      <c r="H1115" s="3">
        <v>0</v>
      </c>
      <c r="I1115" s="3">
        <v>0</v>
      </c>
      <c r="J1115" s="4">
        <v>363</v>
      </c>
      <c r="K1115" s="3">
        <v>9</v>
      </c>
      <c r="L1115" s="3" t="s">
        <v>625</v>
      </c>
      <c r="M1115" s="3">
        <v>903</v>
      </c>
      <c r="N1115" s="4" t="s">
        <v>680</v>
      </c>
      <c r="O1115" s="3">
        <v>0</v>
      </c>
      <c r="P1115" s="3"/>
      <c r="Q1115" s="3" t="str">
        <f t="shared" ref="Q1115:Q1147" si="53">CONCATENATE(A1115)</f>
        <v>903101</v>
      </c>
      <c r="R1115" s="3" t="str">
        <f t="shared" ref="R1115:R1147" si="54">CONCATENATE("ui_",A1115,"")</f>
        <v>ui_903101</v>
      </c>
      <c r="S1115" s="3" t="str">
        <f t="shared" si="52"/>
        <v>903101</v>
      </c>
      <c r="T1115" s="3">
        <v>1</v>
      </c>
      <c r="U1115" s="3">
        <v>0</v>
      </c>
      <c r="V1115" s="3">
        <v>1</v>
      </c>
      <c r="W1115" s="7"/>
      <c r="X1115" s="3" t="s">
        <v>679</v>
      </c>
      <c r="Y1115" s="27" t="s">
        <v>3604</v>
      </c>
    </row>
    <row r="1116" spans="1:25" ht="54" x14ac:dyDescent="0.15">
      <c r="A1116" s="3">
        <v>903102</v>
      </c>
      <c r="B1116" s="4" t="s">
        <v>681</v>
      </c>
      <c r="C1116" s="3">
        <v>0</v>
      </c>
      <c r="D1116" s="3">
        <v>0</v>
      </c>
      <c r="E1116" s="3">
        <v>0</v>
      </c>
      <c r="F1116" s="3">
        <v>0</v>
      </c>
      <c r="G1116" s="3">
        <v>0</v>
      </c>
      <c r="H1116" s="3">
        <v>0</v>
      </c>
      <c r="I1116" s="3">
        <v>0</v>
      </c>
      <c r="J1116" s="4">
        <v>364</v>
      </c>
      <c r="K1116" s="3">
        <v>9</v>
      </c>
      <c r="L1116" s="3" t="s">
        <v>625</v>
      </c>
      <c r="M1116" s="3">
        <v>903</v>
      </c>
      <c r="N1116" s="4" t="s">
        <v>680</v>
      </c>
      <c r="O1116" s="3">
        <v>0</v>
      </c>
      <c r="P1116" s="3"/>
      <c r="Q1116" s="3" t="str">
        <f t="shared" si="53"/>
        <v>903102</v>
      </c>
      <c r="R1116" s="3" t="str">
        <f t="shared" si="54"/>
        <v>ui_903102</v>
      </c>
      <c r="S1116" s="3" t="str">
        <f t="shared" si="52"/>
        <v>903102</v>
      </c>
      <c r="T1116" s="3">
        <v>1</v>
      </c>
      <c r="U1116" s="3">
        <v>0</v>
      </c>
      <c r="V1116" s="3">
        <v>1</v>
      </c>
      <c r="W1116" s="7"/>
      <c r="X1116" s="3" t="s">
        <v>681</v>
      </c>
      <c r="Y1116" s="32" t="s">
        <v>3605</v>
      </c>
    </row>
    <row r="1117" spans="1:25" x14ac:dyDescent="0.15">
      <c r="A1117" s="3">
        <v>903103</v>
      </c>
      <c r="B1117" s="4" t="s">
        <v>682</v>
      </c>
      <c r="C1117" s="3">
        <v>0</v>
      </c>
      <c r="D1117" s="3">
        <v>0</v>
      </c>
      <c r="E1117" s="3">
        <v>0</v>
      </c>
      <c r="F1117" s="3">
        <v>0</v>
      </c>
      <c r="G1117" s="3">
        <v>0</v>
      </c>
      <c r="H1117" s="3">
        <v>0</v>
      </c>
      <c r="I1117" s="3">
        <v>0</v>
      </c>
      <c r="J1117" s="4">
        <v>365</v>
      </c>
      <c r="K1117" s="3">
        <v>9</v>
      </c>
      <c r="L1117" s="3" t="s">
        <v>625</v>
      </c>
      <c r="M1117" s="3">
        <v>903</v>
      </c>
      <c r="N1117" s="4" t="s">
        <v>680</v>
      </c>
      <c r="O1117" s="3">
        <v>0</v>
      </c>
      <c r="P1117" s="3"/>
      <c r="Q1117" s="3" t="str">
        <f t="shared" si="53"/>
        <v>903103</v>
      </c>
      <c r="R1117" s="3" t="str">
        <f t="shared" si="54"/>
        <v>ui_903103</v>
      </c>
      <c r="S1117" s="3" t="str">
        <f t="shared" si="52"/>
        <v>903103</v>
      </c>
      <c r="T1117" s="3">
        <v>1</v>
      </c>
      <c r="U1117" s="3">
        <v>0</v>
      </c>
      <c r="V1117" s="3">
        <v>1</v>
      </c>
      <c r="W1117" s="7"/>
      <c r="X1117" s="3" t="s">
        <v>682</v>
      </c>
      <c r="Y1117" s="27" t="s">
        <v>3606</v>
      </c>
    </row>
    <row r="1118" spans="1:25" x14ac:dyDescent="0.15">
      <c r="A1118" s="3">
        <v>903201</v>
      </c>
      <c r="B1118" s="3" t="s">
        <v>683</v>
      </c>
      <c r="C1118" s="3">
        <v>0</v>
      </c>
      <c r="D1118" s="3">
        <v>0</v>
      </c>
      <c r="E1118" s="3">
        <v>0</v>
      </c>
      <c r="F1118" s="3">
        <v>0</v>
      </c>
      <c r="G1118" s="3">
        <v>0</v>
      </c>
      <c r="H1118" s="3">
        <v>0</v>
      </c>
      <c r="I1118" s="3">
        <v>0</v>
      </c>
      <c r="J1118" s="4">
        <v>366</v>
      </c>
      <c r="K1118" s="3">
        <v>9</v>
      </c>
      <c r="L1118" s="3" t="s">
        <v>625</v>
      </c>
      <c r="M1118" s="3">
        <v>903</v>
      </c>
      <c r="N1118" s="4" t="s">
        <v>680</v>
      </c>
      <c r="O1118" s="3">
        <v>0</v>
      </c>
      <c r="P1118" s="3"/>
      <c r="Q1118" s="3" t="str">
        <f t="shared" si="53"/>
        <v>903201</v>
      </c>
      <c r="R1118" s="3" t="str">
        <f t="shared" si="54"/>
        <v>ui_903201</v>
      </c>
      <c r="S1118" s="3" t="str">
        <f t="shared" si="52"/>
        <v>903201</v>
      </c>
      <c r="T1118" s="3">
        <v>1</v>
      </c>
      <c r="U1118" s="3">
        <v>0</v>
      </c>
      <c r="V1118" s="3">
        <v>1</v>
      </c>
      <c r="W1118" s="7"/>
      <c r="X1118" s="3" t="s">
        <v>683</v>
      </c>
      <c r="Y1118" s="27" t="s">
        <v>3607</v>
      </c>
    </row>
    <row r="1119" spans="1:25" x14ac:dyDescent="0.15">
      <c r="A1119" s="3">
        <v>903202</v>
      </c>
      <c r="B1119" s="3" t="s">
        <v>684</v>
      </c>
      <c r="C1119" s="3">
        <v>0</v>
      </c>
      <c r="D1119" s="3">
        <v>0</v>
      </c>
      <c r="E1119" s="3">
        <v>0</v>
      </c>
      <c r="F1119" s="3">
        <v>0</v>
      </c>
      <c r="G1119" s="3">
        <v>0</v>
      </c>
      <c r="H1119" s="3">
        <v>0</v>
      </c>
      <c r="I1119" s="3">
        <v>0</v>
      </c>
      <c r="J1119" s="4">
        <v>367</v>
      </c>
      <c r="K1119" s="3">
        <v>9</v>
      </c>
      <c r="L1119" s="3" t="s">
        <v>625</v>
      </c>
      <c r="M1119" s="3">
        <v>903</v>
      </c>
      <c r="N1119" s="4" t="s">
        <v>680</v>
      </c>
      <c r="O1119" s="3">
        <v>0</v>
      </c>
      <c r="P1119" s="3"/>
      <c r="Q1119" s="3" t="str">
        <f t="shared" si="53"/>
        <v>903202</v>
      </c>
      <c r="R1119" s="3" t="str">
        <f t="shared" si="54"/>
        <v>ui_903202</v>
      </c>
      <c r="S1119" s="3" t="str">
        <f t="shared" si="52"/>
        <v>903202</v>
      </c>
      <c r="T1119" s="3">
        <v>1</v>
      </c>
      <c r="U1119" s="3">
        <v>0</v>
      </c>
      <c r="V1119" s="3">
        <v>1</v>
      </c>
      <c r="W1119" s="7"/>
      <c r="X1119" s="3" t="s">
        <v>684</v>
      </c>
      <c r="Y1119" s="27" t="s">
        <v>3608</v>
      </c>
    </row>
    <row r="1120" spans="1:25" ht="40.5" x14ac:dyDescent="0.15">
      <c r="A1120" s="3">
        <v>903203</v>
      </c>
      <c r="B1120" s="3" t="s">
        <v>685</v>
      </c>
      <c r="C1120" s="3">
        <v>0</v>
      </c>
      <c r="D1120" s="3">
        <v>0</v>
      </c>
      <c r="E1120" s="3">
        <v>0</v>
      </c>
      <c r="F1120" s="3">
        <v>0</v>
      </c>
      <c r="G1120" s="3">
        <v>0</v>
      </c>
      <c r="H1120" s="3">
        <v>0</v>
      </c>
      <c r="I1120" s="3">
        <v>0</v>
      </c>
      <c r="J1120" s="4">
        <v>368</v>
      </c>
      <c r="K1120" s="3">
        <v>9</v>
      </c>
      <c r="L1120" s="3" t="s">
        <v>625</v>
      </c>
      <c r="M1120" s="3">
        <v>903</v>
      </c>
      <c r="N1120" s="4" t="s">
        <v>680</v>
      </c>
      <c r="O1120" s="3">
        <v>0</v>
      </c>
      <c r="P1120" s="3"/>
      <c r="Q1120" s="3" t="str">
        <f t="shared" si="53"/>
        <v>903203</v>
      </c>
      <c r="R1120" s="3" t="str">
        <f t="shared" si="54"/>
        <v>ui_903203</v>
      </c>
      <c r="S1120" s="3" t="str">
        <f t="shared" si="52"/>
        <v>903203</v>
      </c>
      <c r="T1120" s="3">
        <v>1</v>
      </c>
      <c r="U1120" s="3">
        <v>0</v>
      </c>
      <c r="V1120" s="3">
        <v>1</v>
      </c>
      <c r="W1120" s="7"/>
      <c r="X1120" s="3" t="s">
        <v>685</v>
      </c>
      <c r="Y1120" s="32" t="s">
        <v>3609</v>
      </c>
    </row>
    <row r="1121" spans="1:25" x14ac:dyDescent="0.15">
      <c r="A1121" s="3">
        <v>903401</v>
      </c>
      <c r="B1121" s="3" t="s">
        <v>686</v>
      </c>
      <c r="C1121" s="3">
        <v>0</v>
      </c>
      <c r="D1121" s="3">
        <v>0</v>
      </c>
      <c r="E1121" s="3">
        <v>0</v>
      </c>
      <c r="F1121" s="3">
        <v>0</v>
      </c>
      <c r="G1121" s="3">
        <v>0</v>
      </c>
      <c r="H1121" s="3">
        <v>0</v>
      </c>
      <c r="I1121" s="3">
        <v>0</v>
      </c>
      <c r="J1121" s="4">
        <v>369</v>
      </c>
      <c r="K1121" s="3">
        <v>9</v>
      </c>
      <c r="L1121" s="3" t="s">
        <v>625</v>
      </c>
      <c r="M1121" s="3">
        <v>903</v>
      </c>
      <c r="N1121" s="4" t="s">
        <v>680</v>
      </c>
      <c r="O1121" s="3">
        <v>0</v>
      </c>
      <c r="P1121" s="3"/>
      <c r="Q1121" s="3" t="str">
        <f t="shared" si="53"/>
        <v>903401</v>
      </c>
      <c r="R1121" s="3" t="str">
        <f t="shared" si="54"/>
        <v>ui_903401</v>
      </c>
      <c r="S1121" s="3" t="str">
        <f t="shared" si="52"/>
        <v>903401</v>
      </c>
      <c r="T1121" s="3">
        <v>1</v>
      </c>
      <c r="U1121" s="3">
        <v>0</v>
      </c>
      <c r="V1121" s="3">
        <v>1</v>
      </c>
      <c r="W1121" s="7"/>
      <c r="X1121" s="3" t="s">
        <v>686</v>
      </c>
      <c r="Y1121" s="27" t="s">
        <v>3610</v>
      </c>
    </row>
    <row r="1122" spans="1:25" ht="40.5" x14ac:dyDescent="0.15">
      <c r="A1122" s="3">
        <v>903402</v>
      </c>
      <c r="B1122" s="3" t="s">
        <v>687</v>
      </c>
      <c r="C1122" s="3">
        <v>0</v>
      </c>
      <c r="D1122" s="3">
        <v>0</v>
      </c>
      <c r="E1122" s="3">
        <v>0</v>
      </c>
      <c r="F1122" s="3">
        <v>0</v>
      </c>
      <c r="G1122" s="3">
        <v>0</v>
      </c>
      <c r="H1122" s="3">
        <v>0</v>
      </c>
      <c r="I1122" s="3">
        <v>0</v>
      </c>
      <c r="J1122" s="4">
        <v>370</v>
      </c>
      <c r="K1122" s="3">
        <v>9</v>
      </c>
      <c r="L1122" s="3" t="s">
        <v>625</v>
      </c>
      <c r="M1122" s="3">
        <v>903</v>
      </c>
      <c r="N1122" s="4" t="s">
        <v>680</v>
      </c>
      <c r="O1122" s="3">
        <v>0</v>
      </c>
      <c r="P1122" s="3"/>
      <c r="Q1122" s="3" t="str">
        <f t="shared" si="53"/>
        <v>903402</v>
      </c>
      <c r="R1122" s="3" t="str">
        <f t="shared" si="54"/>
        <v>ui_903402</v>
      </c>
      <c r="S1122" s="3" t="str">
        <f t="shared" si="52"/>
        <v>903402</v>
      </c>
      <c r="T1122" s="3">
        <v>1</v>
      </c>
      <c r="U1122" s="3">
        <v>0</v>
      </c>
      <c r="V1122" s="3">
        <v>1</v>
      </c>
      <c r="W1122" s="7"/>
      <c r="X1122" s="3" t="s">
        <v>687</v>
      </c>
      <c r="Y1122" s="32" t="s">
        <v>3611</v>
      </c>
    </row>
    <row r="1123" spans="1:25" x14ac:dyDescent="0.15">
      <c r="A1123" s="3">
        <v>903403</v>
      </c>
      <c r="B1123" s="3" t="s">
        <v>688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4">
        <v>371</v>
      </c>
      <c r="K1123" s="3">
        <v>9</v>
      </c>
      <c r="L1123" s="3" t="s">
        <v>625</v>
      </c>
      <c r="M1123" s="3">
        <v>903</v>
      </c>
      <c r="N1123" s="4" t="s">
        <v>680</v>
      </c>
      <c r="O1123" s="3">
        <v>0</v>
      </c>
      <c r="P1123" s="3"/>
      <c r="Q1123" s="3" t="str">
        <f t="shared" si="53"/>
        <v>903403</v>
      </c>
      <c r="R1123" s="3" t="str">
        <f t="shared" si="54"/>
        <v>ui_903403</v>
      </c>
      <c r="S1123" s="3" t="str">
        <f t="shared" si="52"/>
        <v>903403</v>
      </c>
      <c r="T1123" s="3">
        <v>1</v>
      </c>
      <c r="U1123" s="3">
        <v>0</v>
      </c>
      <c r="V1123" s="3">
        <v>1</v>
      </c>
      <c r="W1123" s="7"/>
      <c r="X1123" s="3" t="s">
        <v>688</v>
      </c>
      <c r="Y1123" s="27" t="s">
        <v>3612</v>
      </c>
    </row>
    <row r="1124" spans="1:25" ht="283.5" x14ac:dyDescent="0.15">
      <c r="A1124" s="3">
        <v>903501</v>
      </c>
      <c r="B1124" s="27" t="s">
        <v>3415</v>
      </c>
      <c r="C1124" s="3">
        <v>0</v>
      </c>
      <c r="D1124" s="3">
        <v>0</v>
      </c>
      <c r="E1124" s="3">
        <v>0</v>
      </c>
      <c r="F1124" s="3">
        <v>0</v>
      </c>
      <c r="G1124" s="3">
        <v>0</v>
      </c>
      <c r="H1124" s="3">
        <v>0</v>
      </c>
      <c r="I1124" s="3">
        <v>0</v>
      </c>
      <c r="J1124" s="4">
        <v>372</v>
      </c>
      <c r="K1124" s="3">
        <v>9</v>
      </c>
      <c r="L1124" s="3" t="s">
        <v>625</v>
      </c>
      <c r="M1124" s="3">
        <v>903</v>
      </c>
      <c r="N1124" s="4" t="s">
        <v>680</v>
      </c>
      <c r="O1124" s="3">
        <v>0</v>
      </c>
      <c r="P1124" s="3"/>
      <c r="Q1124" s="3" t="str">
        <f t="shared" ref="Q1124" si="55">CONCATENATE(A1124)</f>
        <v>903501</v>
      </c>
      <c r="R1124" s="3" t="str">
        <f t="shared" ref="R1124" si="56">CONCATENATE("ui_",A1124,"")</f>
        <v>ui_903501</v>
      </c>
      <c r="S1124" s="3" t="str">
        <f t="shared" ref="S1124" si="57">CONCATENATE(A1124,"")</f>
        <v>903501</v>
      </c>
      <c r="T1124" s="3">
        <v>1</v>
      </c>
      <c r="U1124" s="3">
        <v>0</v>
      </c>
      <c r="V1124" s="3">
        <v>1</v>
      </c>
      <c r="W1124" s="7"/>
      <c r="X1124" s="27" t="s">
        <v>3415</v>
      </c>
      <c r="Y1124" s="32" t="s">
        <v>3613</v>
      </c>
    </row>
    <row r="1125" spans="1:25" x14ac:dyDescent="0.15">
      <c r="A1125" s="3">
        <v>903901</v>
      </c>
      <c r="B1125" s="3" t="s">
        <v>689</v>
      </c>
      <c r="C1125" s="3">
        <v>0</v>
      </c>
      <c r="D1125" s="3">
        <v>0</v>
      </c>
      <c r="E1125" s="3">
        <v>0</v>
      </c>
      <c r="F1125" s="3">
        <v>0</v>
      </c>
      <c r="G1125" s="3">
        <v>0</v>
      </c>
      <c r="H1125" s="3">
        <v>0</v>
      </c>
      <c r="I1125" s="3">
        <v>0</v>
      </c>
      <c r="J1125" s="4">
        <v>372</v>
      </c>
      <c r="K1125" s="3">
        <v>9</v>
      </c>
      <c r="L1125" s="3" t="s">
        <v>625</v>
      </c>
      <c r="M1125" s="3">
        <v>903</v>
      </c>
      <c r="N1125" s="4" t="s">
        <v>680</v>
      </c>
      <c r="O1125" s="3">
        <v>0</v>
      </c>
      <c r="P1125" s="3"/>
      <c r="Q1125" s="3" t="str">
        <f t="shared" si="53"/>
        <v>903901</v>
      </c>
      <c r="R1125" s="3" t="str">
        <f t="shared" si="54"/>
        <v>ui_903901</v>
      </c>
      <c r="S1125" s="3" t="str">
        <f t="shared" si="52"/>
        <v>903901</v>
      </c>
      <c r="T1125" s="3">
        <v>1</v>
      </c>
      <c r="U1125" s="3">
        <v>0</v>
      </c>
      <c r="V1125" s="3">
        <v>1</v>
      </c>
      <c r="W1125" s="7"/>
      <c r="X1125" s="3" t="s">
        <v>689</v>
      </c>
      <c r="Y1125" s="3" t="s">
        <v>252</v>
      </c>
    </row>
    <row r="1126" spans="1:25" x14ac:dyDescent="0.15">
      <c r="A1126" s="3">
        <v>903902</v>
      </c>
      <c r="B1126" s="3" t="s">
        <v>690</v>
      </c>
      <c r="C1126" s="3">
        <v>0</v>
      </c>
      <c r="D1126" s="3">
        <v>0</v>
      </c>
      <c r="E1126" s="3">
        <v>0</v>
      </c>
      <c r="F1126" s="3">
        <v>0</v>
      </c>
      <c r="G1126" s="3">
        <v>0</v>
      </c>
      <c r="H1126" s="3">
        <v>0</v>
      </c>
      <c r="I1126" s="3">
        <v>0</v>
      </c>
      <c r="J1126" s="4">
        <v>373</v>
      </c>
      <c r="K1126" s="3">
        <v>9</v>
      </c>
      <c r="L1126" s="3" t="s">
        <v>625</v>
      </c>
      <c r="M1126" s="3">
        <v>903</v>
      </c>
      <c r="N1126" s="4" t="s">
        <v>680</v>
      </c>
      <c r="O1126" s="3">
        <v>0</v>
      </c>
      <c r="P1126" s="3"/>
      <c r="Q1126" s="3" t="str">
        <f t="shared" si="53"/>
        <v>903902</v>
      </c>
      <c r="R1126" s="3" t="str">
        <f t="shared" si="54"/>
        <v>ui_903902</v>
      </c>
      <c r="S1126" s="3" t="str">
        <f t="shared" si="52"/>
        <v>903902</v>
      </c>
      <c r="T1126" s="3">
        <v>1</v>
      </c>
      <c r="U1126" s="3">
        <v>0</v>
      </c>
      <c r="V1126" s="3">
        <v>1</v>
      </c>
      <c r="W1126" s="7"/>
      <c r="X1126" s="3" t="s">
        <v>690</v>
      </c>
      <c r="Y1126" s="3" t="s">
        <v>252</v>
      </c>
    </row>
    <row r="1127" spans="1:25" x14ac:dyDescent="0.15">
      <c r="A1127" s="3">
        <v>903903</v>
      </c>
      <c r="B1127" s="3" t="s">
        <v>691</v>
      </c>
      <c r="C1127" s="3">
        <v>0</v>
      </c>
      <c r="D1127" s="3">
        <v>0</v>
      </c>
      <c r="E1127" s="3">
        <v>0</v>
      </c>
      <c r="F1127" s="3">
        <v>0</v>
      </c>
      <c r="G1127" s="3">
        <v>0</v>
      </c>
      <c r="H1127" s="3">
        <v>0</v>
      </c>
      <c r="I1127" s="3">
        <v>0</v>
      </c>
      <c r="J1127" s="4">
        <v>374</v>
      </c>
      <c r="K1127" s="3">
        <v>9</v>
      </c>
      <c r="L1127" s="3" t="s">
        <v>625</v>
      </c>
      <c r="M1127" s="3">
        <v>903</v>
      </c>
      <c r="N1127" s="4" t="s">
        <v>680</v>
      </c>
      <c r="O1127" s="3">
        <v>0</v>
      </c>
      <c r="P1127" s="3"/>
      <c r="Q1127" s="3" t="str">
        <f t="shared" si="53"/>
        <v>903903</v>
      </c>
      <c r="R1127" s="3" t="str">
        <f t="shared" si="54"/>
        <v>ui_903903</v>
      </c>
      <c r="S1127" s="3" t="str">
        <f t="shared" si="52"/>
        <v>903903</v>
      </c>
      <c r="T1127" s="3">
        <v>1</v>
      </c>
      <c r="U1127" s="3">
        <v>0</v>
      </c>
      <c r="V1127" s="3">
        <v>1</v>
      </c>
      <c r="W1127" s="7"/>
      <c r="X1127" s="3" t="s">
        <v>691</v>
      </c>
      <c r="Y1127" s="3" t="s">
        <v>252</v>
      </c>
    </row>
    <row r="1128" spans="1:25" x14ac:dyDescent="0.15">
      <c r="A1128" s="3">
        <v>903904</v>
      </c>
      <c r="B1128" s="3" t="s">
        <v>692</v>
      </c>
      <c r="C1128" s="3">
        <v>0</v>
      </c>
      <c r="D1128" s="3">
        <v>0</v>
      </c>
      <c r="E1128" s="3">
        <v>0</v>
      </c>
      <c r="F1128" s="3">
        <v>0</v>
      </c>
      <c r="G1128" s="3">
        <v>0</v>
      </c>
      <c r="H1128" s="3">
        <v>0</v>
      </c>
      <c r="I1128" s="3">
        <v>0</v>
      </c>
      <c r="J1128" s="4">
        <v>375</v>
      </c>
      <c r="K1128" s="3">
        <v>9</v>
      </c>
      <c r="L1128" s="3" t="s">
        <v>625</v>
      </c>
      <c r="M1128" s="3">
        <v>903</v>
      </c>
      <c r="N1128" s="4" t="s">
        <v>680</v>
      </c>
      <c r="O1128" s="3">
        <v>0</v>
      </c>
      <c r="P1128" s="3"/>
      <c r="Q1128" s="3" t="str">
        <f t="shared" si="53"/>
        <v>903904</v>
      </c>
      <c r="R1128" s="3" t="str">
        <f t="shared" si="54"/>
        <v>ui_903904</v>
      </c>
      <c r="S1128" s="3" t="str">
        <f t="shared" si="52"/>
        <v>903904</v>
      </c>
      <c r="T1128" s="3">
        <v>1</v>
      </c>
      <c r="U1128" s="3">
        <v>0</v>
      </c>
      <c r="V1128" s="3">
        <v>1</v>
      </c>
      <c r="W1128" s="7"/>
      <c r="X1128" s="3" t="s">
        <v>692</v>
      </c>
      <c r="Y1128" s="3" t="s">
        <v>252</v>
      </c>
    </row>
    <row r="1129" spans="1:25" x14ac:dyDescent="0.15">
      <c r="A1129" s="3">
        <v>903905</v>
      </c>
      <c r="B1129" s="3" t="s">
        <v>693</v>
      </c>
      <c r="C1129" s="3">
        <v>0</v>
      </c>
      <c r="D1129" s="3">
        <v>0</v>
      </c>
      <c r="E1129" s="3">
        <v>0</v>
      </c>
      <c r="F1129" s="3">
        <v>0</v>
      </c>
      <c r="G1129" s="3">
        <v>0</v>
      </c>
      <c r="H1129" s="3">
        <v>0</v>
      </c>
      <c r="I1129" s="3">
        <v>0</v>
      </c>
      <c r="J1129" s="4">
        <v>376</v>
      </c>
      <c r="K1129" s="3">
        <v>9</v>
      </c>
      <c r="L1129" s="3" t="s">
        <v>625</v>
      </c>
      <c r="M1129" s="3">
        <v>903</v>
      </c>
      <c r="N1129" s="4" t="s">
        <v>680</v>
      </c>
      <c r="O1129" s="3">
        <v>0</v>
      </c>
      <c r="P1129" s="3"/>
      <c r="Q1129" s="3" t="str">
        <f t="shared" si="53"/>
        <v>903905</v>
      </c>
      <c r="R1129" s="3" t="str">
        <f t="shared" si="54"/>
        <v>ui_903905</v>
      </c>
      <c r="S1129" s="3" t="str">
        <f t="shared" si="52"/>
        <v>903905</v>
      </c>
      <c r="T1129" s="3">
        <v>1</v>
      </c>
      <c r="U1129" s="3">
        <v>0</v>
      </c>
      <c r="V1129" s="3">
        <v>1</v>
      </c>
      <c r="W1129" s="7"/>
      <c r="X1129" s="3" t="s">
        <v>693</v>
      </c>
      <c r="Y1129" s="3" t="s">
        <v>252</v>
      </c>
    </row>
    <row r="1130" spans="1:25" x14ac:dyDescent="0.15">
      <c r="A1130" s="3">
        <v>903906</v>
      </c>
      <c r="B1130" s="3" t="s">
        <v>694</v>
      </c>
      <c r="C1130" s="3">
        <v>0</v>
      </c>
      <c r="D1130" s="3">
        <v>0</v>
      </c>
      <c r="E1130" s="3">
        <v>0</v>
      </c>
      <c r="F1130" s="3">
        <v>0</v>
      </c>
      <c r="G1130" s="3">
        <v>0</v>
      </c>
      <c r="H1130" s="3">
        <v>0</v>
      </c>
      <c r="I1130" s="3">
        <v>0</v>
      </c>
      <c r="J1130" s="4">
        <v>377</v>
      </c>
      <c r="K1130" s="3">
        <v>9</v>
      </c>
      <c r="L1130" s="3" t="s">
        <v>625</v>
      </c>
      <c r="M1130" s="3">
        <v>903</v>
      </c>
      <c r="N1130" s="4" t="s">
        <v>680</v>
      </c>
      <c r="O1130" s="3">
        <v>0</v>
      </c>
      <c r="P1130" s="3"/>
      <c r="Q1130" s="3" t="str">
        <f t="shared" si="53"/>
        <v>903906</v>
      </c>
      <c r="R1130" s="3" t="str">
        <f t="shared" si="54"/>
        <v>ui_903906</v>
      </c>
      <c r="S1130" s="3" t="str">
        <f t="shared" si="52"/>
        <v>903906</v>
      </c>
      <c r="T1130" s="3">
        <v>1</v>
      </c>
      <c r="U1130" s="3">
        <v>0</v>
      </c>
      <c r="V1130" s="3">
        <v>1</v>
      </c>
      <c r="W1130" s="7"/>
      <c r="X1130" s="3" t="s">
        <v>694</v>
      </c>
      <c r="Y1130" s="3" t="s">
        <v>252</v>
      </c>
    </row>
    <row r="1131" spans="1:25" x14ac:dyDescent="0.15">
      <c r="A1131" s="3">
        <v>903907</v>
      </c>
      <c r="B1131" s="3" t="s">
        <v>695</v>
      </c>
      <c r="C1131" s="3">
        <v>0</v>
      </c>
      <c r="D1131" s="3">
        <v>0</v>
      </c>
      <c r="E1131" s="3">
        <v>0</v>
      </c>
      <c r="F1131" s="3">
        <v>0</v>
      </c>
      <c r="G1131" s="3">
        <v>0</v>
      </c>
      <c r="H1131" s="3">
        <v>0</v>
      </c>
      <c r="I1131" s="3">
        <v>0</v>
      </c>
      <c r="J1131" s="4">
        <v>378</v>
      </c>
      <c r="K1131" s="3">
        <v>9</v>
      </c>
      <c r="L1131" s="3" t="s">
        <v>625</v>
      </c>
      <c r="M1131" s="3">
        <v>903</v>
      </c>
      <c r="N1131" s="4" t="s">
        <v>680</v>
      </c>
      <c r="O1131" s="3">
        <v>0</v>
      </c>
      <c r="P1131" s="3"/>
      <c r="Q1131" s="3" t="str">
        <f t="shared" si="53"/>
        <v>903907</v>
      </c>
      <c r="R1131" s="3" t="str">
        <f t="shared" si="54"/>
        <v>ui_903907</v>
      </c>
      <c r="S1131" s="3" t="str">
        <f t="shared" si="52"/>
        <v>903907</v>
      </c>
      <c r="T1131" s="3">
        <v>1</v>
      </c>
      <c r="U1131" s="3">
        <v>0</v>
      </c>
      <c r="V1131" s="3">
        <v>1</v>
      </c>
      <c r="W1131" s="7"/>
      <c r="X1131" s="3" t="s">
        <v>695</v>
      </c>
      <c r="Y1131" s="3" t="s">
        <v>252</v>
      </c>
    </row>
    <row r="1132" spans="1:25" x14ac:dyDescent="0.15">
      <c r="A1132" s="3">
        <v>903908</v>
      </c>
      <c r="B1132" s="3" t="s">
        <v>696</v>
      </c>
      <c r="C1132" s="3">
        <v>0</v>
      </c>
      <c r="D1132" s="3">
        <v>0</v>
      </c>
      <c r="E1132" s="3">
        <v>0</v>
      </c>
      <c r="F1132" s="3">
        <v>0</v>
      </c>
      <c r="G1132" s="3">
        <v>0</v>
      </c>
      <c r="H1132" s="3">
        <v>0</v>
      </c>
      <c r="I1132" s="3">
        <v>0</v>
      </c>
      <c r="J1132" s="4">
        <v>379</v>
      </c>
      <c r="K1132" s="3">
        <v>9</v>
      </c>
      <c r="L1132" s="3" t="s">
        <v>625</v>
      </c>
      <c r="M1132" s="3">
        <v>903</v>
      </c>
      <c r="N1132" s="4" t="s">
        <v>680</v>
      </c>
      <c r="O1132" s="3">
        <v>0</v>
      </c>
      <c r="P1132" s="3"/>
      <c r="Q1132" s="3" t="str">
        <f t="shared" si="53"/>
        <v>903908</v>
      </c>
      <c r="R1132" s="3" t="str">
        <f t="shared" si="54"/>
        <v>ui_903908</v>
      </c>
      <c r="S1132" s="3" t="str">
        <f t="shared" si="52"/>
        <v>903908</v>
      </c>
      <c r="T1132" s="3">
        <v>1</v>
      </c>
      <c r="U1132" s="3">
        <v>0</v>
      </c>
      <c r="V1132" s="3">
        <v>1</v>
      </c>
      <c r="W1132" s="7"/>
      <c r="X1132" s="3" t="s">
        <v>696</v>
      </c>
      <c r="Y1132" s="3" t="s">
        <v>252</v>
      </c>
    </row>
    <row r="1133" spans="1:25" x14ac:dyDescent="0.15">
      <c r="A1133" s="3">
        <v>903909</v>
      </c>
      <c r="B1133" s="3" t="s">
        <v>697</v>
      </c>
      <c r="C1133" s="3">
        <v>0</v>
      </c>
      <c r="D1133" s="3">
        <v>0</v>
      </c>
      <c r="E1133" s="3">
        <v>0</v>
      </c>
      <c r="F1133" s="3">
        <v>0</v>
      </c>
      <c r="G1133" s="3">
        <v>0</v>
      </c>
      <c r="H1133" s="3">
        <v>0</v>
      </c>
      <c r="I1133" s="3">
        <v>0</v>
      </c>
      <c r="J1133" s="4">
        <v>380</v>
      </c>
      <c r="K1133" s="3">
        <v>9</v>
      </c>
      <c r="L1133" s="3" t="s">
        <v>625</v>
      </c>
      <c r="M1133" s="3">
        <v>903</v>
      </c>
      <c r="N1133" s="4" t="s">
        <v>680</v>
      </c>
      <c r="O1133" s="3">
        <v>0</v>
      </c>
      <c r="P1133" s="3"/>
      <c r="Q1133" s="3" t="str">
        <f t="shared" si="53"/>
        <v>903909</v>
      </c>
      <c r="R1133" s="3" t="str">
        <f t="shared" si="54"/>
        <v>ui_903909</v>
      </c>
      <c r="S1133" s="3" t="str">
        <f t="shared" si="52"/>
        <v>903909</v>
      </c>
      <c r="T1133" s="3">
        <v>1</v>
      </c>
      <c r="U1133" s="3">
        <v>0</v>
      </c>
      <c r="V1133" s="3">
        <v>1</v>
      </c>
      <c r="W1133" s="7"/>
      <c r="X1133" s="3" t="s">
        <v>697</v>
      </c>
      <c r="Y1133" s="3" t="s">
        <v>252</v>
      </c>
    </row>
    <row r="1134" spans="1:25" x14ac:dyDescent="0.15">
      <c r="A1134" s="3">
        <v>903910</v>
      </c>
      <c r="B1134" s="3" t="s">
        <v>698</v>
      </c>
      <c r="C1134" s="3">
        <v>0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4">
        <v>381</v>
      </c>
      <c r="K1134" s="3">
        <v>9</v>
      </c>
      <c r="L1134" s="3" t="s">
        <v>625</v>
      </c>
      <c r="M1134" s="3">
        <v>903</v>
      </c>
      <c r="N1134" s="4" t="s">
        <v>680</v>
      </c>
      <c r="O1134" s="3">
        <v>0</v>
      </c>
      <c r="P1134" s="3"/>
      <c r="Q1134" s="3" t="str">
        <f t="shared" si="53"/>
        <v>903910</v>
      </c>
      <c r="R1134" s="3" t="str">
        <f t="shared" si="54"/>
        <v>ui_903910</v>
      </c>
      <c r="S1134" s="3" t="str">
        <f t="shared" si="52"/>
        <v>903910</v>
      </c>
      <c r="T1134" s="3">
        <v>1</v>
      </c>
      <c r="U1134" s="3">
        <v>0</v>
      </c>
      <c r="V1134" s="3">
        <v>1</v>
      </c>
      <c r="W1134" s="7"/>
      <c r="X1134" s="3" t="s">
        <v>698</v>
      </c>
      <c r="Y1134" s="3" t="s">
        <v>252</v>
      </c>
    </row>
    <row r="1135" spans="1:25" x14ac:dyDescent="0.15">
      <c r="A1135" s="3">
        <v>903911</v>
      </c>
      <c r="B1135" s="3" t="s">
        <v>699</v>
      </c>
      <c r="C1135" s="3">
        <v>0</v>
      </c>
      <c r="D1135" s="3">
        <v>0</v>
      </c>
      <c r="E1135" s="3">
        <v>0</v>
      </c>
      <c r="F1135" s="3">
        <v>0</v>
      </c>
      <c r="G1135" s="3">
        <v>0</v>
      </c>
      <c r="H1135" s="3">
        <v>0</v>
      </c>
      <c r="I1135" s="3">
        <v>0</v>
      </c>
      <c r="J1135" s="4">
        <v>382</v>
      </c>
      <c r="K1135" s="3">
        <v>9</v>
      </c>
      <c r="L1135" s="3" t="s">
        <v>625</v>
      </c>
      <c r="M1135" s="3">
        <v>903</v>
      </c>
      <c r="N1135" s="4" t="s">
        <v>680</v>
      </c>
      <c r="O1135" s="3">
        <v>0</v>
      </c>
      <c r="P1135" s="3"/>
      <c r="Q1135" s="3" t="str">
        <f t="shared" si="53"/>
        <v>903911</v>
      </c>
      <c r="R1135" s="3" t="str">
        <f t="shared" si="54"/>
        <v>ui_903911</v>
      </c>
      <c r="S1135" s="3" t="str">
        <f t="shared" si="52"/>
        <v>903911</v>
      </c>
      <c r="T1135" s="3">
        <v>1</v>
      </c>
      <c r="U1135" s="3">
        <v>0</v>
      </c>
      <c r="V1135" s="3">
        <v>1</v>
      </c>
      <c r="W1135" s="7"/>
      <c r="X1135" s="3" t="s">
        <v>699</v>
      </c>
      <c r="Y1135" s="3"/>
    </row>
    <row r="1136" spans="1:25" x14ac:dyDescent="0.15">
      <c r="A1136" s="3">
        <v>903912</v>
      </c>
      <c r="B1136" s="3" t="s">
        <v>700</v>
      </c>
      <c r="C1136" s="3">
        <v>0</v>
      </c>
      <c r="D1136" s="3">
        <v>0</v>
      </c>
      <c r="E1136" s="3">
        <v>0</v>
      </c>
      <c r="F1136" s="3">
        <v>0</v>
      </c>
      <c r="G1136" s="3">
        <v>0</v>
      </c>
      <c r="H1136" s="3">
        <v>0</v>
      </c>
      <c r="I1136" s="3">
        <v>0</v>
      </c>
      <c r="J1136" s="4">
        <v>383</v>
      </c>
      <c r="K1136" s="3">
        <v>9</v>
      </c>
      <c r="L1136" s="3" t="s">
        <v>625</v>
      </c>
      <c r="M1136" s="3">
        <v>903</v>
      </c>
      <c r="N1136" s="4" t="s">
        <v>680</v>
      </c>
      <c r="O1136" s="3">
        <v>0</v>
      </c>
      <c r="P1136" s="3"/>
      <c r="Q1136" s="3" t="str">
        <f t="shared" si="53"/>
        <v>903912</v>
      </c>
      <c r="R1136" s="3" t="str">
        <f t="shared" si="54"/>
        <v>ui_903912</v>
      </c>
      <c r="S1136" s="3" t="str">
        <f t="shared" si="52"/>
        <v>903912</v>
      </c>
      <c r="T1136" s="3">
        <v>1</v>
      </c>
      <c r="U1136" s="3">
        <v>0</v>
      </c>
      <c r="V1136" s="3">
        <v>1</v>
      </c>
      <c r="W1136" s="7"/>
      <c r="X1136" s="3" t="s">
        <v>700</v>
      </c>
      <c r="Y1136" s="3"/>
    </row>
    <row r="1137" spans="1:25" x14ac:dyDescent="0.15">
      <c r="A1137" s="3">
        <v>903913</v>
      </c>
      <c r="B1137" s="3" t="s">
        <v>701</v>
      </c>
      <c r="C1137" s="3">
        <v>0</v>
      </c>
      <c r="D1137" s="3">
        <v>0</v>
      </c>
      <c r="E1137" s="3">
        <v>0</v>
      </c>
      <c r="F1137" s="3">
        <v>0</v>
      </c>
      <c r="G1137" s="3">
        <v>0</v>
      </c>
      <c r="H1137" s="3">
        <v>0</v>
      </c>
      <c r="I1137" s="3">
        <v>0</v>
      </c>
      <c r="J1137" s="4">
        <v>384</v>
      </c>
      <c r="K1137" s="3">
        <v>9</v>
      </c>
      <c r="L1137" s="3" t="s">
        <v>625</v>
      </c>
      <c r="M1137" s="3">
        <v>903</v>
      </c>
      <c r="N1137" s="4" t="s">
        <v>680</v>
      </c>
      <c r="O1137" s="3">
        <v>0</v>
      </c>
      <c r="P1137" s="3"/>
      <c r="Q1137" s="3" t="str">
        <f t="shared" si="53"/>
        <v>903913</v>
      </c>
      <c r="R1137" s="3" t="str">
        <f t="shared" si="54"/>
        <v>ui_903913</v>
      </c>
      <c r="S1137" s="3" t="str">
        <f t="shared" si="52"/>
        <v>903913</v>
      </c>
      <c r="T1137" s="3">
        <v>1</v>
      </c>
      <c r="U1137" s="3">
        <v>0</v>
      </c>
      <c r="V1137" s="3">
        <v>1</v>
      </c>
      <c r="W1137" s="7"/>
      <c r="X1137" s="27" t="s">
        <v>1599</v>
      </c>
      <c r="Y1137" s="27" t="s">
        <v>1600</v>
      </c>
    </row>
    <row r="1138" spans="1:25" x14ac:dyDescent="0.15">
      <c r="A1138" s="3">
        <v>903914</v>
      </c>
      <c r="B1138" s="3" t="s">
        <v>702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4">
        <v>385</v>
      </c>
      <c r="K1138" s="3">
        <v>9</v>
      </c>
      <c r="L1138" s="3" t="s">
        <v>625</v>
      </c>
      <c r="M1138" s="3">
        <v>903</v>
      </c>
      <c r="N1138" s="4" t="s">
        <v>680</v>
      </c>
      <c r="O1138" s="3">
        <v>0</v>
      </c>
      <c r="P1138" s="3"/>
      <c r="Q1138" s="3" t="str">
        <f t="shared" si="53"/>
        <v>903914</v>
      </c>
      <c r="R1138" s="3" t="str">
        <f t="shared" si="54"/>
        <v>ui_903914</v>
      </c>
      <c r="S1138" s="3" t="str">
        <f t="shared" si="52"/>
        <v>903914</v>
      </c>
      <c r="T1138" s="3">
        <v>1</v>
      </c>
      <c r="U1138" s="3">
        <v>0</v>
      </c>
      <c r="V1138" s="3">
        <v>1</v>
      </c>
      <c r="W1138" s="7"/>
      <c r="X1138" s="3" t="s">
        <v>702</v>
      </c>
      <c r="Y1138" s="27" t="s">
        <v>1603</v>
      </c>
    </row>
    <row r="1139" spans="1:25" x14ac:dyDescent="0.15">
      <c r="A1139" s="3">
        <v>903915</v>
      </c>
      <c r="B1139" s="3" t="s">
        <v>703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4">
        <v>386</v>
      </c>
      <c r="K1139" s="3">
        <v>9</v>
      </c>
      <c r="L1139" s="3" t="s">
        <v>625</v>
      </c>
      <c r="M1139" s="3">
        <v>903</v>
      </c>
      <c r="N1139" s="4" t="s">
        <v>680</v>
      </c>
      <c r="O1139" s="3">
        <v>0</v>
      </c>
      <c r="P1139" s="3"/>
      <c r="Q1139" s="3" t="str">
        <f t="shared" si="53"/>
        <v>903915</v>
      </c>
      <c r="R1139" s="3" t="str">
        <f t="shared" si="54"/>
        <v>ui_903915</v>
      </c>
      <c r="S1139" s="3" t="str">
        <f t="shared" si="52"/>
        <v>903915</v>
      </c>
      <c r="T1139" s="3">
        <v>1</v>
      </c>
      <c r="U1139" s="3">
        <v>0</v>
      </c>
      <c r="V1139" s="3">
        <v>1</v>
      </c>
      <c r="W1139" s="7"/>
      <c r="X1139" s="3" t="s">
        <v>703</v>
      </c>
      <c r="Y1139" s="27" t="s">
        <v>1601</v>
      </c>
    </row>
    <row r="1140" spans="1:25" x14ac:dyDescent="0.15">
      <c r="A1140" s="3">
        <v>903916</v>
      </c>
      <c r="B1140" s="3" t="s">
        <v>704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4">
        <v>387</v>
      </c>
      <c r="K1140" s="3">
        <v>9</v>
      </c>
      <c r="L1140" s="3" t="s">
        <v>625</v>
      </c>
      <c r="M1140" s="3">
        <v>903</v>
      </c>
      <c r="N1140" s="4" t="s">
        <v>680</v>
      </c>
      <c r="O1140" s="3">
        <v>0</v>
      </c>
      <c r="P1140" s="3"/>
      <c r="Q1140" s="3" t="str">
        <f t="shared" si="53"/>
        <v>903916</v>
      </c>
      <c r="R1140" s="3" t="str">
        <f t="shared" si="54"/>
        <v>ui_903916</v>
      </c>
      <c r="S1140" s="3" t="str">
        <f t="shared" si="52"/>
        <v>903916</v>
      </c>
      <c r="T1140" s="3">
        <v>1</v>
      </c>
      <c r="U1140" s="3">
        <v>0</v>
      </c>
      <c r="V1140" s="3">
        <v>1</v>
      </c>
      <c r="W1140" s="7"/>
      <c r="X1140" s="3" t="s">
        <v>704</v>
      </c>
      <c r="Y1140" s="27" t="s">
        <v>1602</v>
      </c>
    </row>
    <row r="1141" spans="1:25" x14ac:dyDescent="0.15">
      <c r="A1141" s="3">
        <v>903917</v>
      </c>
      <c r="B1141" s="27" t="s">
        <v>1846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4">
        <v>387</v>
      </c>
      <c r="K1141" s="3">
        <v>9</v>
      </c>
      <c r="L1141" s="3" t="s">
        <v>625</v>
      </c>
      <c r="M1141" s="3">
        <v>903</v>
      </c>
      <c r="N1141" s="4" t="s">
        <v>680</v>
      </c>
      <c r="O1141" s="3">
        <v>0</v>
      </c>
      <c r="P1141" s="3"/>
      <c r="Q1141" s="3" t="str">
        <f t="shared" si="53"/>
        <v>903917</v>
      </c>
      <c r="R1141" s="3" t="str">
        <f t="shared" si="54"/>
        <v>ui_903917</v>
      </c>
      <c r="S1141" s="3" t="str">
        <f t="shared" si="52"/>
        <v>903917</v>
      </c>
      <c r="T1141" s="3">
        <v>1</v>
      </c>
      <c r="U1141" s="3">
        <v>0</v>
      </c>
      <c r="V1141" s="3">
        <v>1</v>
      </c>
      <c r="W1141" s="7"/>
      <c r="X1141" s="27" t="s">
        <v>1846</v>
      </c>
      <c r="Y1141" s="27"/>
    </row>
    <row r="1142" spans="1:25" x14ac:dyDescent="0.15">
      <c r="A1142" s="3">
        <v>903918</v>
      </c>
      <c r="B1142" s="27" t="s">
        <v>1849</v>
      </c>
      <c r="C1142" s="3">
        <v>0</v>
      </c>
      <c r="D1142" s="3">
        <v>0</v>
      </c>
      <c r="E1142" s="3">
        <v>0</v>
      </c>
      <c r="F1142" s="3">
        <v>0</v>
      </c>
      <c r="G1142" s="3">
        <v>0</v>
      </c>
      <c r="H1142" s="3">
        <v>0</v>
      </c>
      <c r="I1142" s="3">
        <v>0</v>
      </c>
      <c r="J1142" s="4">
        <v>387</v>
      </c>
      <c r="K1142" s="3">
        <v>9</v>
      </c>
      <c r="L1142" s="3" t="s">
        <v>625</v>
      </c>
      <c r="M1142" s="3">
        <v>903</v>
      </c>
      <c r="N1142" s="4" t="s">
        <v>680</v>
      </c>
      <c r="O1142" s="3">
        <v>0</v>
      </c>
      <c r="P1142" s="3"/>
      <c r="Q1142" s="3" t="str">
        <f t="shared" si="53"/>
        <v>903918</v>
      </c>
      <c r="R1142" s="3" t="str">
        <f t="shared" si="54"/>
        <v>ui_903918</v>
      </c>
      <c r="S1142" s="3" t="str">
        <f t="shared" si="52"/>
        <v>903918</v>
      </c>
      <c r="T1142" s="3">
        <v>1</v>
      </c>
      <c r="U1142" s="3">
        <v>0</v>
      </c>
      <c r="V1142" s="3">
        <v>1</v>
      </c>
      <c r="W1142" s="7"/>
      <c r="X1142" s="27" t="s">
        <v>1849</v>
      </c>
      <c r="Y1142" s="27"/>
    </row>
    <row r="1143" spans="1:25" x14ac:dyDescent="0.15">
      <c r="A1143" s="3">
        <v>903919</v>
      </c>
      <c r="B1143" s="27" t="s">
        <v>2575</v>
      </c>
      <c r="C1143" s="3">
        <v>0</v>
      </c>
      <c r="D1143" s="3">
        <v>0</v>
      </c>
      <c r="E1143" s="3">
        <v>0</v>
      </c>
      <c r="F1143" s="3">
        <v>0</v>
      </c>
      <c r="G1143" s="3">
        <v>0</v>
      </c>
      <c r="H1143" s="3">
        <v>0</v>
      </c>
      <c r="I1143" s="3">
        <v>0</v>
      </c>
      <c r="J1143" s="4">
        <v>380</v>
      </c>
      <c r="K1143" s="3">
        <v>9</v>
      </c>
      <c r="L1143" s="3" t="s">
        <v>625</v>
      </c>
      <c r="M1143" s="3">
        <v>903</v>
      </c>
      <c r="N1143" s="4" t="s">
        <v>680</v>
      </c>
      <c r="O1143" s="3">
        <v>0</v>
      </c>
      <c r="P1143" s="3"/>
      <c r="Q1143" s="3" t="str">
        <f t="shared" si="53"/>
        <v>903919</v>
      </c>
      <c r="R1143" s="3" t="str">
        <f t="shared" si="54"/>
        <v>ui_903919</v>
      </c>
      <c r="S1143" s="3" t="str">
        <f t="shared" si="52"/>
        <v>903919</v>
      </c>
      <c r="T1143" s="3">
        <v>1</v>
      </c>
      <c r="U1143" s="3">
        <v>0</v>
      </c>
      <c r="V1143" s="3">
        <v>1</v>
      </c>
      <c r="W1143" s="7"/>
      <c r="X1143" s="3" t="s">
        <v>2574</v>
      </c>
      <c r="Y1143" s="3" t="s">
        <v>252</v>
      </c>
    </row>
    <row r="1144" spans="1:25" x14ac:dyDescent="0.15">
      <c r="A1144" s="3">
        <v>903920</v>
      </c>
      <c r="B1144" s="44" t="s">
        <v>3298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4">
        <v>380</v>
      </c>
      <c r="K1144" s="3">
        <v>9</v>
      </c>
      <c r="L1144" s="3" t="s">
        <v>625</v>
      </c>
      <c r="M1144" s="3">
        <v>903</v>
      </c>
      <c r="N1144" s="27" t="s">
        <v>3235</v>
      </c>
      <c r="O1144" s="3">
        <v>0</v>
      </c>
      <c r="P1144" s="3"/>
      <c r="Q1144" s="3" t="str">
        <f t="shared" si="53"/>
        <v>903920</v>
      </c>
      <c r="R1144" s="3" t="str">
        <f t="shared" si="54"/>
        <v>ui_903920</v>
      </c>
      <c r="S1144" s="3" t="str">
        <f t="shared" si="52"/>
        <v>903920</v>
      </c>
      <c r="T1144" s="3">
        <v>1</v>
      </c>
      <c r="U1144" s="3">
        <v>0</v>
      </c>
      <c r="V1144" s="3">
        <v>1</v>
      </c>
      <c r="W1144" s="7"/>
      <c r="X1144" s="44" t="s">
        <v>3298</v>
      </c>
      <c r="Y1144" s="27" t="s">
        <v>3377</v>
      </c>
    </row>
    <row r="1145" spans="1:25" x14ac:dyDescent="0.15">
      <c r="A1145" s="3">
        <v>903921</v>
      </c>
      <c r="B1145" s="44" t="s">
        <v>3299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4">
        <v>380</v>
      </c>
      <c r="K1145" s="3">
        <v>9</v>
      </c>
      <c r="L1145" s="3" t="s">
        <v>625</v>
      </c>
      <c r="M1145" s="3">
        <v>903</v>
      </c>
      <c r="N1145" s="27" t="s">
        <v>3235</v>
      </c>
      <c r="O1145" s="3">
        <v>0</v>
      </c>
      <c r="P1145" s="3"/>
      <c r="Q1145" s="3" t="str">
        <f t="shared" si="53"/>
        <v>903921</v>
      </c>
      <c r="R1145" s="3" t="str">
        <f t="shared" si="54"/>
        <v>ui_903921</v>
      </c>
      <c r="S1145" s="3" t="str">
        <f t="shared" si="52"/>
        <v>903921</v>
      </c>
      <c r="T1145" s="3">
        <v>1</v>
      </c>
      <c r="U1145" s="3">
        <v>0</v>
      </c>
      <c r="V1145" s="3">
        <v>1</v>
      </c>
      <c r="W1145" s="7"/>
      <c r="X1145" s="44" t="s">
        <v>3299</v>
      </c>
      <c r="Y1145" s="27" t="s">
        <v>3378</v>
      </c>
    </row>
    <row r="1146" spans="1:25" x14ac:dyDescent="0.15">
      <c r="A1146" s="3">
        <v>903922</v>
      </c>
      <c r="B1146" s="44" t="s">
        <v>3300</v>
      </c>
      <c r="C1146" s="3">
        <v>0</v>
      </c>
      <c r="D1146" s="3">
        <v>0</v>
      </c>
      <c r="E1146" s="3">
        <v>0</v>
      </c>
      <c r="F1146" s="3">
        <v>0</v>
      </c>
      <c r="G1146" s="3">
        <v>0</v>
      </c>
      <c r="H1146" s="3">
        <v>0</v>
      </c>
      <c r="I1146" s="3">
        <v>0</v>
      </c>
      <c r="J1146" s="4">
        <v>380</v>
      </c>
      <c r="K1146" s="3">
        <v>9</v>
      </c>
      <c r="L1146" s="3" t="s">
        <v>625</v>
      </c>
      <c r="M1146" s="3">
        <v>903</v>
      </c>
      <c r="N1146" s="27" t="s">
        <v>3235</v>
      </c>
      <c r="O1146" s="3">
        <v>0</v>
      </c>
      <c r="P1146" s="3"/>
      <c r="Q1146" s="3" t="str">
        <f t="shared" si="53"/>
        <v>903922</v>
      </c>
      <c r="R1146" s="3" t="str">
        <f t="shared" si="54"/>
        <v>ui_903922</v>
      </c>
      <c r="S1146" s="3" t="str">
        <f t="shared" si="52"/>
        <v>903922</v>
      </c>
      <c r="T1146" s="3">
        <v>1</v>
      </c>
      <c r="U1146" s="3">
        <v>0</v>
      </c>
      <c r="V1146" s="3">
        <v>1</v>
      </c>
      <c r="W1146" s="7"/>
      <c r="X1146" s="44" t="s">
        <v>3300</v>
      </c>
      <c r="Y1146" s="27" t="s">
        <v>3379</v>
      </c>
    </row>
    <row r="1147" spans="1:25" x14ac:dyDescent="0.15">
      <c r="A1147" s="3">
        <v>903923</v>
      </c>
      <c r="B1147" s="44" t="s">
        <v>3301</v>
      </c>
      <c r="C1147" s="3">
        <v>0</v>
      </c>
      <c r="D1147" s="3">
        <v>0</v>
      </c>
      <c r="E1147" s="3">
        <v>0</v>
      </c>
      <c r="F1147" s="3">
        <v>0</v>
      </c>
      <c r="G1147" s="3">
        <v>0</v>
      </c>
      <c r="H1147" s="3">
        <v>0</v>
      </c>
      <c r="I1147" s="3">
        <v>0</v>
      </c>
      <c r="J1147" s="4">
        <v>380</v>
      </c>
      <c r="K1147" s="3">
        <v>9</v>
      </c>
      <c r="L1147" s="3" t="s">
        <v>625</v>
      </c>
      <c r="M1147" s="3">
        <v>903</v>
      </c>
      <c r="N1147" s="27" t="s">
        <v>3235</v>
      </c>
      <c r="O1147" s="3">
        <v>0</v>
      </c>
      <c r="P1147" s="3"/>
      <c r="Q1147" s="3" t="str">
        <f t="shared" si="53"/>
        <v>903923</v>
      </c>
      <c r="R1147" s="3" t="str">
        <f t="shared" si="54"/>
        <v>ui_903923</v>
      </c>
      <c r="S1147" s="3" t="str">
        <f t="shared" si="52"/>
        <v>903923</v>
      </c>
      <c r="T1147" s="3">
        <v>1</v>
      </c>
      <c r="U1147" s="3">
        <v>0</v>
      </c>
      <c r="V1147" s="3">
        <v>1</v>
      </c>
      <c r="W1147" s="7"/>
      <c r="X1147" s="44" t="s">
        <v>3301</v>
      </c>
      <c r="Y1147" s="27" t="s">
        <v>3380</v>
      </c>
    </row>
    <row r="1148" spans="1:25" x14ac:dyDescent="0.15">
      <c r="A1148" s="3">
        <v>903924</v>
      </c>
      <c r="B1148" s="44" t="s">
        <v>3302</v>
      </c>
      <c r="C1148" s="3">
        <v>0</v>
      </c>
      <c r="D1148" s="3">
        <v>0</v>
      </c>
      <c r="E1148" s="3">
        <v>0</v>
      </c>
      <c r="F1148" s="3">
        <v>0</v>
      </c>
      <c r="G1148" s="3">
        <v>0</v>
      </c>
      <c r="H1148" s="3">
        <v>0</v>
      </c>
      <c r="I1148" s="3">
        <v>0</v>
      </c>
      <c r="J1148" s="4">
        <v>380</v>
      </c>
      <c r="K1148" s="3">
        <v>9</v>
      </c>
      <c r="L1148" s="3" t="s">
        <v>625</v>
      </c>
      <c r="M1148" s="3">
        <v>903</v>
      </c>
      <c r="N1148" s="27" t="s">
        <v>3235</v>
      </c>
      <c r="O1148" s="3">
        <v>0</v>
      </c>
      <c r="P1148" s="3"/>
      <c r="Q1148" s="3" t="str">
        <f t="shared" ref="Q1148:Q1179" si="58">CONCATENATE(A1148)</f>
        <v>903924</v>
      </c>
      <c r="R1148" s="3" t="str">
        <f t="shared" ref="R1148:R1179" si="59">CONCATENATE("ui_",A1148,"")</f>
        <v>ui_903924</v>
      </c>
      <c r="S1148" s="3" t="str">
        <f t="shared" si="52"/>
        <v>903924</v>
      </c>
      <c r="T1148" s="3">
        <v>1</v>
      </c>
      <c r="U1148" s="3">
        <v>0</v>
      </c>
      <c r="V1148" s="3">
        <v>1</v>
      </c>
      <c r="W1148" s="7"/>
      <c r="X1148" s="44" t="s">
        <v>3302</v>
      </c>
      <c r="Y1148" s="27" t="s">
        <v>3381</v>
      </c>
    </row>
    <row r="1149" spans="1:25" x14ac:dyDescent="0.15">
      <c r="A1149" s="3">
        <v>903925</v>
      </c>
      <c r="B1149" s="44" t="s">
        <v>3303</v>
      </c>
      <c r="C1149" s="3">
        <v>0</v>
      </c>
      <c r="D1149" s="3">
        <v>0</v>
      </c>
      <c r="E1149" s="3">
        <v>0</v>
      </c>
      <c r="F1149" s="3">
        <v>0</v>
      </c>
      <c r="G1149" s="3">
        <v>0</v>
      </c>
      <c r="H1149" s="3">
        <v>0</v>
      </c>
      <c r="I1149" s="3">
        <v>0</v>
      </c>
      <c r="J1149" s="4">
        <v>380</v>
      </c>
      <c r="K1149" s="3">
        <v>9</v>
      </c>
      <c r="L1149" s="3" t="s">
        <v>625</v>
      </c>
      <c r="M1149" s="3">
        <v>903</v>
      </c>
      <c r="N1149" s="27" t="s">
        <v>3235</v>
      </c>
      <c r="O1149" s="3">
        <v>0</v>
      </c>
      <c r="P1149" s="3"/>
      <c r="Q1149" s="3" t="str">
        <f t="shared" si="58"/>
        <v>903925</v>
      </c>
      <c r="R1149" s="3" t="str">
        <f t="shared" si="59"/>
        <v>ui_903925</v>
      </c>
      <c r="S1149" s="3" t="str">
        <f t="shared" si="52"/>
        <v>903925</v>
      </c>
      <c r="T1149" s="3">
        <v>1</v>
      </c>
      <c r="U1149" s="3">
        <v>0</v>
      </c>
      <c r="V1149" s="3">
        <v>1</v>
      </c>
      <c r="W1149" s="7"/>
      <c r="X1149" s="44" t="s">
        <v>3303</v>
      </c>
      <c r="Y1149" s="27" t="s">
        <v>3382</v>
      </c>
    </row>
    <row r="1150" spans="1:25" x14ac:dyDescent="0.15">
      <c r="A1150" s="3">
        <v>903926</v>
      </c>
      <c r="B1150" s="44" t="s">
        <v>3304</v>
      </c>
      <c r="C1150" s="3">
        <v>0</v>
      </c>
      <c r="D1150" s="3">
        <v>0</v>
      </c>
      <c r="E1150" s="3">
        <v>0</v>
      </c>
      <c r="F1150" s="3">
        <v>0</v>
      </c>
      <c r="G1150" s="3">
        <v>0</v>
      </c>
      <c r="H1150" s="3">
        <v>0</v>
      </c>
      <c r="I1150" s="3">
        <v>0</v>
      </c>
      <c r="J1150" s="4">
        <v>380</v>
      </c>
      <c r="K1150" s="3">
        <v>9</v>
      </c>
      <c r="L1150" s="3" t="s">
        <v>625</v>
      </c>
      <c r="M1150" s="3">
        <v>903</v>
      </c>
      <c r="N1150" s="27" t="s">
        <v>3235</v>
      </c>
      <c r="O1150" s="3">
        <v>0</v>
      </c>
      <c r="P1150" s="3"/>
      <c r="Q1150" s="3" t="str">
        <f t="shared" si="58"/>
        <v>903926</v>
      </c>
      <c r="R1150" s="3" t="str">
        <f t="shared" si="59"/>
        <v>ui_903926</v>
      </c>
      <c r="S1150" s="3" t="str">
        <f t="shared" si="52"/>
        <v>903926</v>
      </c>
      <c r="T1150" s="3">
        <v>1</v>
      </c>
      <c r="U1150" s="3">
        <v>0</v>
      </c>
      <c r="V1150" s="3">
        <v>1</v>
      </c>
      <c r="W1150" s="7"/>
      <c r="X1150" s="44" t="s">
        <v>3304</v>
      </c>
      <c r="Y1150" s="27" t="s">
        <v>3383</v>
      </c>
    </row>
    <row r="1151" spans="1:25" x14ac:dyDescent="0.15">
      <c r="A1151" s="3">
        <v>903927</v>
      </c>
      <c r="B1151" s="44" t="s">
        <v>3305</v>
      </c>
      <c r="C1151" s="3">
        <v>0</v>
      </c>
      <c r="D1151" s="3">
        <v>0</v>
      </c>
      <c r="E1151" s="3">
        <v>0</v>
      </c>
      <c r="F1151" s="3">
        <v>0</v>
      </c>
      <c r="G1151" s="3">
        <v>0</v>
      </c>
      <c r="H1151" s="3">
        <v>0</v>
      </c>
      <c r="I1151" s="3">
        <v>0</v>
      </c>
      <c r="J1151" s="4">
        <v>380</v>
      </c>
      <c r="K1151" s="3">
        <v>9</v>
      </c>
      <c r="L1151" s="3" t="s">
        <v>625</v>
      </c>
      <c r="M1151" s="3">
        <v>903</v>
      </c>
      <c r="N1151" s="27" t="s">
        <v>3235</v>
      </c>
      <c r="O1151" s="3">
        <v>0</v>
      </c>
      <c r="P1151" s="3"/>
      <c r="Q1151" s="3" t="str">
        <f t="shared" si="58"/>
        <v>903927</v>
      </c>
      <c r="R1151" s="3" t="str">
        <f t="shared" si="59"/>
        <v>ui_903927</v>
      </c>
      <c r="S1151" s="3" t="str">
        <f t="shared" si="52"/>
        <v>903927</v>
      </c>
      <c r="T1151" s="3">
        <v>1</v>
      </c>
      <c r="U1151" s="3">
        <v>0</v>
      </c>
      <c r="V1151" s="3">
        <v>1</v>
      </c>
      <c r="W1151" s="7"/>
      <c r="X1151" s="44" t="s">
        <v>3305</v>
      </c>
      <c r="Y1151" s="27" t="s">
        <v>3340</v>
      </c>
    </row>
    <row r="1152" spans="1:25" x14ac:dyDescent="0.15">
      <c r="A1152" s="3">
        <v>903928</v>
      </c>
      <c r="B1152" s="44" t="s">
        <v>3306</v>
      </c>
      <c r="C1152" s="3">
        <v>0</v>
      </c>
      <c r="D1152" s="3">
        <v>0</v>
      </c>
      <c r="E1152" s="3">
        <v>0</v>
      </c>
      <c r="F1152" s="3">
        <v>0</v>
      </c>
      <c r="G1152" s="3">
        <v>0</v>
      </c>
      <c r="H1152" s="3">
        <v>0</v>
      </c>
      <c r="I1152" s="3">
        <v>0</v>
      </c>
      <c r="J1152" s="4">
        <v>380</v>
      </c>
      <c r="K1152" s="3">
        <v>9</v>
      </c>
      <c r="L1152" s="3" t="s">
        <v>625</v>
      </c>
      <c r="M1152" s="3">
        <v>903</v>
      </c>
      <c r="N1152" s="27" t="s">
        <v>3235</v>
      </c>
      <c r="O1152" s="3">
        <v>0</v>
      </c>
      <c r="P1152" s="3"/>
      <c r="Q1152" s="3" t="str">
        <f t="shared" si="58"/>
        <v>903928</v>
      </c>
      <c r="R1152" s="3" t="str">
        <f t="shared" si="59"/>
        <v>ui_903928</v>
      </c>
      <c r="S1152" s="3" t="str">
        <f t="shared" si="52"/>
        <v>903928</v>
      </c>
      <c r="T1152" s="3">
        <v>1</v>
      </c>
      <c r="U1152" s="3">
        <v>0</v>
      </c>
      <c r="V1152" s="3">
        <v>1</v>
      </c>
      <c r="W1152" s="7"/>
      <c r="X1152" s="44" t="s">
        <v>3306</v>
      </c>
      <c r="Y1152" s="27" t="s">
        <v>3341</v>
      </c>
    </row>
    <row r="1153" spans="1:25" x14ac:dyDescent="0.15">
      <c r="A1153" s="3">
        <v>903929</v>
      </c>
      <c r="B1153" s="44" t="s">
        <v>3307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4">
        <v>380</v>
      </c>
      <c r="K1153" s="3">
        <v>9</v>
      </c>
      <c r="L1153" s="3" t="s">
        <v>625</v>
      </c>
      <c r="M1153" s="3">
        <v>903</v>
      </c>
      <c r="N1153" s="27" t="s">
        <v>3235</v>
      </c>
      <c r="O1153" s="3">
        <v>0</v>
      </c>
      <c r="P1153" s="3"/>
      <c r="Q1153" s="3" t="str">
        <f t="shared" si="58"/>
        <v>903929</v>
      </c>
      <c r="R1153" s="3" t="str">
        <f t="shared" si="59"/>
        <v>ui_903929</v>
      </c>
      <c r="S1153" s="3" t="str">
        <f t="shared" si="52"/>
        <v>903929</v>
      </c>
      <c r="T1153" s="3">
        <v>1</v>
      </c>
      <c r="U1153" s="3">
        <v>0</v>
      </c>
      <c r="V1153" s="3">
        <v>1</v>
      </c>
      <c r="W1153" s="7"/>
      <c r="X1153" s="44" t="s">
        <v>3307</v>
      </c>
      <c r="Y1153" s="27" t="s">
        <v>3384</v>
      </c>
    </row>
    <row r="1154" spans="1:25" x14ac:dyDescent="0.15">
      <c r="A1154" s="3">
        <v>903930</v>
      </c>
      <c r="B1154" s="44" t="s">
        <v>3308</v>
      </c>
      <c r="C1154" s="3">
        <v>0</v>
      </c>
      <c r="D1154" s="3">
        <v>0</v>
      </c>
      <c r="E1154" s="3">
        <v>0</v>
      </c>
      <c r="F1154" s="3">
        <v>0</v>
      </c>
      <c r="G1154" s="3">
        <v>0</v>
      </c>
      <c r="H1154" s="3">
        <v>0</v>
      </c>
      <c r="I1154" s="3">
        <v>0</v>
      </c>
      <c r="J1154" s="4">
        <v>380</v>
      </c>
      <c r="K1154" s="3">
        <v>9</v>
      </c>
      <c r="L1154" s="3" t="s">
        <v>625</v>
      </c>
      <c r="M1154" s="3">
        <v>903</v>
      </c>
      <c r="N1154" s="27" t="s">
        <v>3235</v>
      </c>
      <c r="O1154" s="3">
        <v>0</v>
      </c>
      <c r="P1154" s="3"/>
      <c r="Q1154" s="3" t="str">
        <f t="shared" si="58"/>
        <v>903930</v>
      </c>
      <c r="R1154" s="3" t="str">
        <f t="shared" si="59"/>
        <v>ui_903930</v>
      </c>
      <c r="S1154" s="3" t="str">
        <f t="shared" si="52"/>
        <v>903930</v>
      </c>
      <c r="T1154" s="3">
        <v>1</v>
      </c>
      <c r="U1154" s="3">
        <v>0</v>
      </c>
      <c r="V1154" s="3">
        <v>1</v>
      </c>
      <c r="W1154" s="7"/>
      <c r="X1154" s="44" t="s">
        <v>3308</v>
      </c>
      <c r="Y1154" s="27" t="s">
        <v>3385</v>
      </c>
    </row>
    <row r="1155" spans="1:25" x14ac:dyDescent="0.15">
      <c r="A1155" s="3">
        <v>903931</v>
      </c>
      <c r="B1155" s="44" t="s">
        <v>3309</v>
      </c>
      <c r="C1155" s="3">
        <v>0</v>
      </c>
      <c r="D1155" s="3">
        <v>0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4">
        <v>380</v>
      </c>
      <c r="K1155" s="3">
        <v>9</v>
      </c>
      <c r="L1155" s="3" t="s">
        <v>625</v>
      </c>
      <c r="M1155" s="3">
        <v>903</v>
      </c>
      <c r="N1155" s="27" t="s">
        <v>3235</v>
      </c>
      <c r="O1155" s="3">
        <v>0</v>
      </c>
      <c r="P1155" s="3"/>
      <c r="Q1155" s="3" t="str">
        <f t="shared" si="58"/>
        <v>903931</v>
      </c>
      <c r="R1155" s="3" t="str">
        <f t="shared" si="59"/>
        <v>ui_903931</v>
      </c>
      <c r="S1155" s="3" t="str">
        <f t="shared" si="52"/>
        <v>903931</v>
      </c>
      <c r="T1155" s="3">
        <v>1</v>
      </c>
      <c r="U1155" s="3">
        <v>0</v>
      </c>
      <c r="V1155" s="3">
        <v>1</v>
      </c>
      <c r="W1155" s="7"/>
      <c r="X1155" s="44" t="s">
        <v>3309</v>
      </c>
      <c r="Y1155" s="27" t="s">
        <v>3386</v>
      </c>
    </row>
    <row r="1156" spans="1:25" x14ac:dyDescent="0.15">
      <c r="A1156" s="3">
        <v>903932</v>
      </c>
      <c r="B1156" s="44" t="s">
        <v>3310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4">
        <v>380</v>
      </c>
      <c r="K1156" s="3">
        <v>9</v>
      </c>
      <c r="L1156" s="3" t="s">
        <v>625</v>
      </c>
      <c r="M1156" s="3">
        <v>903</v>
      </c>
      <c r="N1156" s="27" t="s">
        <v>3235</v>
      </c>
      <c r="O1156" s="3">
        <v>0</v>
      </c>
      <c r="P1156" s="3"/>
      <c r="Q1156" s="3" t="str">
        <f t="shared" si="58"/>
        <v>903932</v>
      </c>
      <c r="R1156" s="3" t="str">
        <f t="shared" si="59"/>
        <v>ui_903932</v>
      </c>
      <c r="S1156" s="3" t="str">
        <f t="shared" si="52"/>
        <v>903932</v>
      </c>
      <c r="T1156" s="3">
        <v>1</v>
      </c>
      <c r="U1156" s="3">
        <v>0</v>
      </c>
      <c r="V1156" s="3">
        <v>1</v>
      </c>
      <c r="W1156" s="7"/>
      <c r="X1156" s="55" t="s">
        <v>3373</v>
      </c>
      <c r="Y1156" s="27" t="s">
        <v>3387</v>
      </c>
    </row>
    <row r="1157" spans="1:25" x14ac:dyDescent="0.15">
      <c r="A1157" s="3">
        <v>903933</v>
      </c>
      <c r="B1157" s="44" t="s">
        <v>3311</v>
      </c>
      <c r="C1157" s="3">
        <v>0</v>
      </c>
      <c r="D1157" s="3">
        <v>0</v>
      </c>
      <c r="E1157" s="3">
        <v>0</v>
      </c>
      <c r="F1157" s="3">
        <v>0</v>
      </c>
      <c r="G1157" s="3">
        <v>0</v>
      </c>
      <c r="H1157" s="3">
        <v>0</v>
      </c>
      <c r="I1157" s="3">
        <v>0</v>
      </c>
      <c r="J1157" s="4">
        <v>380</v>
      </c>
      <c r="K1157" s="3">
        <v>9</v>
      </c>
      <c r="L1157" s="3" t="s">
        <v>625</v>
      </c>
      <c r="M1157" s="3">
        <v>903</v>
      </c>
      <c r="N1157" s="27" t="s">
        <v>3235</v>
      </c>
      <c r="O1157" s="3">
        <v>0</v>
      </c>
      <c r="P1157" s="3"/>
      <c r="Q1157" s="3" t="str">
        <f t="shared" si="58"/>
        <v>903933</v>
      </c>
      <c r="R1157" s="3" t="str">
        <f t="shared" si="59"/>
        <v>ui_903933</v>
      </c>
      <c r="S1157" s="3" t="str">
        <f t="shared" si="52"/>
        <v>903933</v>
      </c>
      <c r="T1157" s="3">
        <v>1</v>
      </c>
      <c r="U1157" s="3">
        <v>0</v>
      </c>
      <c r="V1157" s="3">
        <v>1</v>
      </c>
      <c r="W1157" s="7"/>
      <c r="X1157" s="44" t="s">
        <v>3311</v>
      </c>
      <c r="Y1157" s="27" t="s">
        <v>3374</v>
      </c>
    </row>
    <row r="1158" spans="1:25" x14ac:dyDescent="0.15">
      <c r="A1158" s="3">
        <v>903934</v>
      </c>
      <c r="B1158" s="44" t="s">
        <v>3312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4">
        <v>380</v>
      </c>
      <c r="K1158" s="3">
        <v>9</v>
      </c>
      <c r="L1158" s="3" t="s">
        <v>625</v>
      </c>
      <c r="M1158" s="3">
        <v>903</v>
      </c>
      <c r="N1158" s="27" t="s">
        <v>3235</v>
      </c>
      <c r="O1158" s="3">
        <v>0</v>
      </c>
      <c r="P1158" s="3"/>
      <c r="Q1158" s="3" t="str">
        <f t="shared" si="58"/>
        <v>903934</v>
      </c>
      <c r="R1158" s="3" t="str">
        <f t="shared" si="59"/>
        <v>ui_903934</v>
      </c>
      <c r="S1158" s="3" t="str">
        <f t="shared" si="52"/>
        <v>903934</v>
      </c>
      <c r="T1158" s="3">
        <v>1</v>
      </c>
      <c r="U1158" s="3">
        <v>0</v>
      </c>
      <c r="V1158" s="3">
        <v>1</v>
      </c>
      <c r="W1158" s="7"/>
      <c r="X1158" s="44" t="s">
        <v>3312</v>
      </c>
      <c r="Y1158" s="27" t="s">
        <v>3388</v>
      </c>
    </row>
    <row r="1159" spans="1:25" x14ac:dyDescent="0.15">
      <c r="A1159" s="3">
        <v>903935</v>
      </c>
      <c r="B1159" s="44" t="s">
        <v>3313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0</v>
      </c>
      <c r="J1159" s="4">
        <v>380</v>
      </c>
      <c r="K1159" s="3">
        <v>9</v>
      </c>
      <c r="L1159" s="3" t="s">
        <v>625</v>
      </c>
      <c r="M1159" s="3">
        <v>903</v>
      </c>
      <c r="N1159" s="27" t="s">
        <v>3235</v>
      </c>
      <c r="O1159" s="3">
        <v>0</v>
      </c>
      <c r="P1159" s="3"/>
      <c r="Q1159" s="3" t="str">
        <f t="shared" si="58"/>
        <v>903935</v>
      </c>
      <c r="R1159" s="3" t="str">
        <f t="shared" si="59"/>
        <v>ui_903935</v>
      </c>
      <c r="S1159" s="3" t="str">
        <f t="shared" si="52"/>
        <v>903935</v>
      </c>
      <c r="T1159" s="3">
        <v>1</v>
      </c>
      <c r="U1159" s="3">
        <v>0</v>
      </c>
      <c r="V1159" s="3">
        <v>1</v>
      </c>
      <c r="W1159" s="7"/>
      <c r="X1159" s="44" t="s">
        <v>3313</v>
      </c>
      <c r="Y1159" s="27" t="s">
        <v>3376</v>
      </c>
    </row>
    <row r="1160" spans="1:25" x14ac:dyDescent="0.15">
      <c r="A1160" s="3">
        <v>903936</v>
      </c>
      <c r="B1160" s="44" t="s">
        <v>3314</v>
      </c>
      <c r="C1160" s="3">
        <v>0</v>
      </c>
      <c r="D1160" s="3">
        <v>0</v>
      </c>
      <c r="E1160" s="3">
        <v>0</v>
      </c>
      <c r="F1160" s="3">
        <v>0</v>
      </c>
      <c r="G1160" s="3">
        <v>0</v>
      </c>
      <c r="H1160" s="3">
        <v>0</v>
      </c>
      <c r="I1160" s="3">
        <v>0</v>
      </c>
      <c r="J1160" s="4">
        <v>380</v>
      </c>
      <c r="K1160" s="3">
        <v>9</v>
      </c>
      <c r="L1160" s="3" t="s">
        <v>625</v>
      </c>
      <c r="M1160" s="3">
        <v>903</v>
      </c>
      <c r="N1160" s="27" t="s">
        <v>3235</v>
      </c>
      <c r="O1160" s="3">
        <v>0</v>
      </c>
      <c r="P1160" s="3"/>
      <c r="Q1160" s="3" t="str">
        <f t="shared" si="58"/>
        <v>903936</v>
      </c>
      <c r="R1160" s="3" t="str">
        <f t="shared" si="59"/>
        <v>ui_903936</v>
      </c>
      <c r="S1160" s="3" t="str">
        <f t="shared" si="52"/>
        <v>903936</v>
      </c>
      <c r="T1160" s="3">
        <v>1</v>
      </c>
      <c r="U1160" s="3">
        <v>0</v>
      </c>
      <c r="V1160" s="3">
        <v>1</v>
      </c>
      <c r="W1160" s="7"/>
      <c r="X1160" s="44" t="s">
        <v>3314</v>
      </c>
      <c r="Y1160" s="27" t="s">
        <v>3375</v>
      </c>
    </row>
    <row r="1161" spans="1:25" x14ac:dyDescent="0.15">
      <c r="A1161" s="3">
        <v>903937</v>
      </c>
      <c r="B1161" s="44" t="s">
        <v>3315</v>
      </c>
      <c r="C1161" s="3">
        <v>0</v>
      </c>
      <c r="D1161" s="3">
        <v>0</v>
      </c>
      <c r="E1161" s="3">
        <v>0</v>
      </c>
      <c r="F1161" s="3">
        <v>0</v>
      </c>
      <c r="G1161" s="3">
        <v>0</v>
      </c>
      <c r="H1161" s="3">
        <v>0</v>
      </c>
      <c r="I1161" s="3">
        <v>0</v>
      </c>
      <c r="J1161" s="4">
        <v>380</v>
      </c>
      <c r="K1161" s="3">
        <v>9</v>
      </c>
      <c r="L1161" s="3" t="s">
        <v>625</v>
      </c>
      <c r="M1161" s="3">
        <v>903</v>
      </c>
      <c r="N1161" s="27" t="s">
        <v>3235</v>
      </c>
      <c r="O1161" s="3">
        <v>0</v>
      </c>
      <c r="P1161" s="3"/>
      <c r="Q1161" s="3" t="str">
        <f t="shared" si="58"/>
        <v>903937</v>
      </c>
      <c r="R1161" s="3" t="str">
        <f t="shared" si="59"/>
        <v>ui_903937</v>
      </c>
      <c r="S1161" s="3" t="str">
        <f t="shared" si="52"/>
        <v>903937</v>
      </c>
      <c r="T1161" s="3">
        <v>1</v>
      </c>
      <c r="U1161" s="3">
        <v>0</v>
      </c>
      <c r="V1161" s="3">
        <v>1</v>
      </c>
      <c r="W1161" s="7"/>
      <c r="X1161" s="44" t="s">
        <v>3315</v>
      </c>
      <c r="Y1161" s="27" t="s">
        <v>3389</v>
      </c>
    </row>
    <row r="1162" spans="1:25" x14ac:dyDescent="0.15">
      <c r="A1162" s="3">
        <v>903938</v>
      </c>
      <c r="B1162" s="44" t="s">
        <v>3316</v>
      </c>
      <c r="C1162" s="3">
        <v>0</v>
      </c>
      <c r="D1162" s="3">
        <v>0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4">
        <v>380</v>
      </c>
      <c r="K1162" s="3">
        <v>9</v>
      </c>
      <c r="L1162" s="3" t="s">
        <v>625</v>
      </c>
      <c r="M1162" s="3">
        <v>903</v>
      </c>
      <c r="N1162" s="27" t="s">
        <v>3235</v>
      </c>
      <c r="O1162" s="3">
        <v>0</v>
      </c>
      <c r="P1162" s="3"/>
      <c r="Q1162" s="3" t="str">
        <f t="shared" si="58"/>
        <v>903938</v>
      </c>
      <c r="R1162" s="3" t="str">
        <f t="shared" si="59"/>
        <v>ui_903938</v>
      </c>
      <c r="S1162" s="3" t="str">
        <f t="shared" si="52"/>
        <v>903938</v>
      </c>
      <c r="T1162" s="3">
        <v>1</v>
      </c>
      <c r="U1162" s="3">
        <v>0</v>
      </c>
      <c r="V1162" s="3">
        <v>1</v>
      </c>
      <c r="W1162" s="7"/>
      <c r="X1162" s="44" t="s">
        <v>3316</v>
      </c>
      <c r="Y1162" s="27" t="s">
        <v>3390</v>
      </c>
    </row>
    <row r="1163" spans="1:25" x14ac:dyDescent="0.15">
      <c r="A1163" s="3">
        <v>903939</v>
      </c>
      <c r="B1163" s="55" t="s">
        <v>3354</v>
      </c>
      <c r="C1163" s="3">
        <v>0</v>
      </c>
      <c r="D1163" s="3">
        <v>0</v>
      </c>
      <c r="E1163" s="3">
        <v>0</v>
      </c>
      <c r="F1163" s="3">
        <v>0</v>
      </c>
      <c r="G1163" s="3">
        <v>0</v>
      </c>
      <c r="H1163" s="3">
        <v>0</v>
      </c>
      <c r="I1163" s="3">
        <v>0</v>
      </c>
      <c r="J1163" s="4">
        <v>380</v>
      </c>
      <c r="K1163" s="3">
        <v>9</v>
      </c>
      <c r="L1163" s="3" t="s">
        <v>625</v>
      </c>
      <c r="M1163" s="3">
        <v>903</v>
      </c>
      <c r="N1163" s="27" t="s">
        <v>3235</v>
      </c>
      <c r="O1163" s="3">
        <v>0</v>
      </c>
      <c r="P1163" s="3"/>
      <c r="Q1163" s="3" t="str">
        <f t="shared" si="58"/>
        <v>903939</v>
      </c>
      <c r="R1163" s="3" t="str">
        <f t="shared" si="59"/>
        <v>ui_903939</v>
      </c>
      <c r="S1163" s="3" t="str">
        <f t="shared" si="52"/>
        <v>903939</v>
      </c>
      <c r="T1163" s="3">
        <v>1</v>
      </c>
      <c r="U1163" s="3">
        <v>0</v>
      </c>
      <c r="V1163" s="3">
        <v>1</v>
      </c>
      <c r="W1163" s="7"/>
      <c r="X1163" s="55" t="s">
        <v>3354</v>
      </c>
      <c r="Y1163" s="46" t="s">
        <v>3355</v>
      </c>
    </row>
    <row r="1164" spans="1:25" x14ac:dyDescent="0.15">
      <c r="A1164" s="3">
        <v>903940</v>
      </c>
      <c r="B1164" s="44" t="s">
        <v>3317</v>
      </c>
      <c r="C1164" s="3">
        <v>0</v>
      </c>
      <c r="D1164" s="3">
        <v>0</v>
      </c>
      <c r="E1164" s="3">
        <v>0</v>
      </c>
      <c r="F1164" s="3">
        <v>0</v>
      </c>
      <c r="G1164" s="3">
        <v>0</v>
      </c>
      <c r="H1164" s="3">
        <v>0</v>
      </c>
      <c r="I1164" s="3">
        <v>0</v>
      </c>
      <c r="J1164" s="4">
        <v>380</v>
      </c>
      <c r="K1164" s="3">
        <v>9</v>
      </c>
      <c r="L1164" s="3" t="s">
        <v>625</v>
      </c>
      <c r="M1164" s="3">
        <v>903</v>
      </c>
      <c r="N1164" s="27" t="s">
        <v>3235</v>
      </c>
      <c r="O1164" s="3">
        <v>0</v>
      </c>
      <c r="P1164" s="3"/>
      <c r="Q1164" s="3" t="str">
        <f t="shared" si="58"/>
        <v>903940</v>
      </c>
      <c r="R1164" s="3" t="str">
        <f t="shared" si="59"/>
        <v>ui_903940</v>
      </c>
      <c r="S1164" s="3" t="str">
        <f t="shared" si="52"/>
        <v>903940</v>
      </c>
      <c r="T1164" s="3">
        <v>1</v>
      </c>
      <c r="U1164" s="3">
        <v>0</v>
      </c>
      <c r="V1164" s="3">
        <v>1</v>
      </c>
      <c r="W1164" s="7"/>
      <c r="X1164" s="44" t="s">
        <v>3317</v>
      </c>
      <c r="Y1164" s="27" t="s">
        <v>3391</v>
      </c>
    </row>
    <row r="1165" spans="1:25" x14ac:dyDescent="0.15">
      <c r="A1165" s="3">
        <v>903941</v>
      </c>
      <c r="B1165" s="44" t="s">
        <v>3318</v>
      </c>
      <c r="C1165" s="3">
        <v>0</v>
      </c>
      <c r="D1165" s="3">
        <v>0</v>
      </c>
      <c r="E1165" s="3">
        <v>0</v>
      </c>
      <c r="F1165" s="3">
        <v>0</v>
      </c>
      <c r="G1165" s="3">
        <v>0</v>
      </c>
      <c r="H1165" s="3">
        <v>0</v>
      </c>
      <c r="I1165" s="3">
        <v>0</v>
      </c>
      <c r="J1165" s="4">
        <v>380</v>
      </c>
      <c r="K1165" s="3">
        <v>9</v>
      </c>
      <c r="L1165" s="3" t="s">
        <v>625</v>
      </c>
      <c r="M1165" s="3">
        <v>903</v>
      </c>
      <c r="N1165" s="27" t="s">
        <v>3235</v>
      </c>
      <c r="O1165" s="3">
        <v>0</v>
      </c>
      <c r="P1165" s="3"/>
      <c r="Q1165" s="3" t="str">
        <f t="shared" si="58"/>
        <v>903941</v>
      </c>
      <c r="R1165" s="3" t="str">
        <f t="shared" si="59"/>
        <v>ui_903941</v>
      </c>
      <c r="S1165" s="3" t="str">
        <f t="shared" si="52"/>
        <v>903941</v>
      </c>
      <c r="T1165" s="3">
        <v>1</v>
      </c>
      <c r="U1165" s="3">
        <v>0</v>
      </c>
      <c r="V1165" s="3">
        <v>1</v>
      </c>
      <c r="W1165" s="7"/>
      <c r="X1165" s="44" t="s">
        <v>3318</v>
      </c>
      <c r="Y1165" s="27" t="s">
        <v>3392</v>
      </c>
    </row>
    <row r="1166" spans="1:25" x14ac:dyDescent="0.15">
      <c r="A1166" s="3">
        <v>903942</v>
      </c>
      <c r="B1166" s="55" t="s">
        <v>3369</v>
      </c>
      <c r="C1166" s="3">
        <v>0</v>
      </c>
      <c r="D1166" s="3">
        <v>0</v>
      </c>
      <c r="E1166" s="3">
        <v>0</v>
      </c>
      <c r="F1166" s="3">
        <v>0</v>
      </c>
      <c r="G1166" s="3">
        <v>0</v>
      </c>
      <c r="H1166" s="3">
        <v>0</v>
      </c>
      <c r="I1166" s="3">
        <v>0</v>
      </c>
      <c r="J1166" s="4">
        <v>380</v>
      </c>
      <c r="K1166" s="3">
        <v>9</v>
      </c>
      <c r="L1166" s="3" t="s">
        <v>625</v>
      </c>
      <c r="M1166" s="3">
        <v>903</v>
      </c>
      <c r="N1166" s="27" t="s">
        <v>3235</v>
      </c>
      <c r="O1166" s="3">
        <v>0</v>
      </c>
      <c r="P1166" s="3"/>
      <c r="Q1166" s="3" t="str">
        <f t="shared" si="58"/>
        <v>903942</v>
      </c>
      <c r="R1166" s="3" t="str">
        <f t="shared" si="59"/>
        <v>ui_903942</v>
      </c>
      <c r="S1166" s="3" t="str">
        <f t="shared" si="52"/>
        <v>903942</v>
      </c>
      <c r="T1166" s="3">
        <v>1</v>
      </c>
      <c r="U1166" s="3">
        <v>0</v>
      </c>
      <c r="V1166" s="3">
        <v>1</v>
      </c>
      <c r="W1166" s="7"/>
      <c r="X1166" s="55" t="s">
        <v>3370</v>
      </c>
      <c r="Y1166" s="27" t="s">
        <v>3393</v>
      </c>
    </row>
    <row r="1167" spans="1:25" x14ac:dyDescent="0.15">
      <c r="A1167" s="3">
        <v>903943</v>
      </c>
      <c r="B1167" s="44" t="s">
        <v>3319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4">
        <v>380</v>
      </c>
      <c r="K1167" s="3">
        <v>9</v>
      </c>
      <c r="L1167" s="3" t="s">
        <v>625</v>
      </c>
      <c r="M1167" s="3">
        <v>903</v>
      </c>
      <c r="N1167" s="27" t="s">
        <v>3235</v>
      </c>
      <c r="O1167" s="3">
        <v>0</v>
      </c>
      <c r="P1167" s="3"/>
      <c r="Q1167" s="3" t="str">
        <f t="shared" si="58"/>
        <v>903943</v>
      </c>
      <c r="R1167" s="3" t="str">
        <f t="shared" si="59"/>
        <v>ui_903943</v>
      </c>
      <c r="S1167" s="3" t="str">
        <f t="shared" si="52"/>
        <v>903943</v>
      </c>
      <c r="T1167" s="3">
        <v>1</v>
      </c>
      <c r="U1167" s="3">
        <v>0</v>
      </c>
      <c r="V1167" s="3">
        <v>1</v>
      </c>
      <c r="W1167" s="7"/>
      <c r="X1167" s="44" t="s">
        <v>3319</v>
      </c>
      <c r="Y1167" s="27" t="s">
        <v>3394</v>
      </c>
    </row>
    <row r="1168" spans="1:25" x14ac:dyDescent="0.15">
      <c r="A1168" s="3">
        <v>903944</v>
      </c>
      <c r="B1168" s="44" t="s">
        <v>3320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4">
        <v>380</v>
      </c>
      <c r="K1168" s="3">
        <v>9</v>
      </c>
      <c r="L1168" s="3" t="s">
        <v>625</v>
      </c>
      <c r="M1168" s="3">
        <v>903</v>
      </c>
      <c r="N1168" s="27" t="s">
        <v>3235</v>
      </c>
      <c r="O1168" s="3">
        <v>0</v>
      </c>
      <c r="P1168" s="3"/>
      <c r="Q1168" s="3" t="str">
        <f t="shared" si="58"/>
        <v>903944</v>
      </c>
      <c r="R1168" s="3" t="str">
        <f t="shared" si="59"/>
        <v>ui_903944</v>
      </c>
      <c r="S1168" s="3" t="str">
        <f t="shared" si="52"/>
        <v>903944</v>
      </c>
      <c r="T1168" s="3">
        <v>1</v>
      </c>
      <c r="U1168" s="3">
        <v>0</v>
      </c>
      <c r="V1168" s="3">
        <v>1</v>
      </c>
      <c r="W1168" s="7"/>
      <c r="X1168" s="44" t="s">
        <v>3320</v>
      </c>
      <c r="Y1168" s="27" t="s">
        <v>3395</v>
      </c>
    </row>
    <row r="1169" spans="1:25" x14ac:dyDescent="0.15">
      <c r="A1169" s="3">
        <v>903945</v>
      </c>
      <c r="B1169" s="44" t="s">
        <v>3321</v>
      </c>
      <c r="C1169" s="3">
        <v>0</v>
      </c>
      <c r="D1169" s="3">
        <v>0</v>
      </c>
      <c r="E1169" s="3">
        <v>0</v>
      </c>
      <c r="F1169" s="3">
        <v>0</v>
      </c>
      <c r="G1169" s="3">
        <v>0</v>
      </c>
      <c r="H1169" s="3">
        <v>0</v>
      </c>
      <c r="I1169" s="3">
        <v>0</v>
      </c>
      <c r="J1169" s="4">
        <v>380</v>
      </c>
      <c r="K1169" s="3">
        <v>9</v>
      </c>
      <c r="L1169" s="3" t="s">
        <v>625</v>
      </c>
      <c r="M1169" s="3">
        <v>903</v>
      </c>
      <c r="N1169" s="27" t="s">
        <v>3235</v>
      </c>
      <c r="O1169" s="3">
        <v>0</v>
      </c>
      <c r="P1169" s="3"/>
      <c r="Q1169" s="3" t="str">
        <f t="shared" si="58"/>
        <v>903945</v>
      </c>
      <c r="R1169" s="3" t="str">
        <f t="shared" si="59"/>
        <v>ui_903945</v>
      </c>
      <c r="S1169" s="3" t="str">
        <f t="shared" si="52"/>
        <v>903945</v>
      </c>
      <c r="T1169" s="3">
        <v>1</v>
      </c>
      <c r="U1169" s="3">
        <v>0</v>
      </c>
      <c r="V1169" s="3">
        <v>1</v>
      </c>
      <c r="W1169" s="7"/>
      <c r="X1169" s="44" t="s">
        <v>3321</v>
      </c>
      <c r="Y1169" s="27" t="s">
        <v>3396</v>
      </c>
    </row>
    <row r="1170" spans="1:25" x14ac:dyDescent="0.15">
      <c r="A1170" s="3">
        <v>903946</v>
      </c>
      <c r="B1170" s="44" t="s">
        <v>3322</v>
      </c>
      <c r="C1170" s="3">
        <v>0</v>
      </c>
      <c r="D1170" s="3">
        <v>0</v>
      </c>
      <c r="E1170" s="3">
        <v>0</v>
      </c>
      <c r="F1170" s="3">
        <v>0</v>
      </c>
      <c r="G1170" s="3">
        <v>0</v>
      </c>
      <c r="H1170" s="3">
        <v>0</v>
      </c>
      <c r="I1170" s="3">
        <v>0</v>
      </c>
      <c r="J1170" s="4">
        <v>380</v>
      </c>
      <c r="K1170" s="3">
        <v>9</v>
      </c>
      <c r="L1170" s="3" t="s">
        <v>625</v>
      </c>
      <c r="M1170" s="3">
        <v>903</v>
      </c>
      <c r="N1170" s="27" t="s">
        <v>3235</v>
      </c>
      <c r="O1170" s="3">
        <v>0</v>
      </c>
      <c r="P1170" s="3"/>
      <c r="Q1170" s="3" t="str">
        <f t="shared" si="58"/>
        <v>903946</v>
      </c>
      <c r="R1170" s="3" t="str">
        <f t="shared" si="59"/>
        <v>ui_903946</v>
      </c>
      <c r="S1170" s="3" t="str">
        <f t="shared" si="52"/>
        <v>903946</v>
      </c>
      <c r="T1170" s="3">
        <v>1</v>
      </c>
      <c r="U1170" s="3">
        <v>0</v>
      </c>
      <c r="V1170" s="3">
        <v>1</v>
      </c>
      <c r="W1170" s="7"/>
      <c r="X1170" s="44" t="s">
        <v>3322</v>
      </c>
      <c r="Y1170" s="27" t="s">
        <v>3397</v>
      </c>
    </row>
    <row r="1171" spans="1:25" x14ac:dyDescent="0.15">
      <c r="A1171" s="3">
        <v>903947</v>
      </c>
      <c r="B1171" s="44" t="s">
        <v>3323</v>
      </c>
      <c r="C1171" s="3">
        <v>0</v>
      </c>
      <c r="D1171" s="3">
        <v>0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4">
        <v>380</v>
      </c>
      <c r="K1171" s="3">
        <v>9</v>
      </c>
      <c r="L1171" s="3" t="s">
        <v>625</v>
      </c>
      <c r="M1171" s="3">
        <v>903</v>
      </c>
      <c r="N1171" s="27" t="s">
        <v>3235</v>
      </c>
      <c r="O1171" s="3">
        <v>0</v>
      </c>
      <c r="P1171" s="3"/>
      <c r="Q1171" s="3" t="str">
        <f t="shared" si="58"/>
        <v>903947</v>
      </c>
      <c r="R1171" s="3" t="str">
        <f t="shared" si="59"/>
        <v>ui_903947</v>
      </c>
      <c r="S1171" s="3" t="str">
        <f t="shared" si="52"/>
        <v>903947</v>
      </c>
      <c r="T1171" s="3">
        <v>1</v>
      </c>
      <c r="U1171" s="3">
        <v>0</v>
      </c>
      <c r="V1171" s="3">
        <v>1</v>
      </c>
      <c r="W1171" s="7"/>
      <c r="X1171" s="44" t="s">
        <v>3323</v>
      </c>
      <c r="Y1171" s="27" t="s">
        <v>3398</v>
      </c>
    </row>
    <row r="1172" spans="1:25" x14ac:dyDescent="0.15">
      <c r="A1172" s="3">
        <v>903948</v>
      </c>
      <c r="B1172" s="44" t="s">
        <v>3324</v>
      </c>
      <c r="C1172" s="3">
        <v>0</v>
      </c>
      <c r="D1172" s="3">
        <v>0</v>
      </c>
      <c r="E1172" s="3">
        <v>0</v>
      </c>
      <c r="F1172" s="3">
        <v>0</v>
      </c>
      <c r="G1172" s="3">
        <v>0</v>
      </c>
      <c r="H1172" s="3">
        <v>0</v>
      </c>
      <c r="I1172" s="3">
        <v>0</v>
      </c>
      <c r="J1172" s="4">
        <v>380</v>
      </c>
      <c r="K1172" s="3">
        <v>9</v>
      </c>
      <c r="L1172" s="3" t="s">
        <v>625</v>
      </c>
      <c r="M1172" s="3">
        <v>903</v>
      </c>
      <c r="N1172" s="27" t="s">
        <v>3235</v>
      </c>
      <c r="O1172" s="3">
        <v>0</v>
      </c>
      <c r="P1172" s="3"/>
      <c r="Q1172" s="3" t="str">
        <f t="shared" si="58"/>
        <v>903948</v>
      </c>
      <c r="R1172" s="3" t="str">
        <f t="shared" si="59"/>
        <v>ui_903948</v>
      </c>
      <c r="S1172" s="3" t="str">
        <f t="shared" si="52"/>
        <v>903948</v>
      </c>
      <c r="T1172" s="3">
        <v>1</v>
      </c>
      <c r="U1172" s="3">
        <v>0</v>
      </c>
      <c r="V1172" s="3">
        <v>1</v>
      </c>
      <c r="W1172" s="7"/>
      <c r="X1172" s="44" t="s">
        <v>3324</v>
      </c>
      <c r="Y1172" s="27" t="s">
        <v>3402</v>
      </c>
    </row>
    <row r="1173" spans="1:25" x14ac:dyDescent="0.15">
      <c r="A1173" s="3">
        <v>903949</v>
      </c>
      <c r="B1173" s="44" t="s">
        <v>3325</v>
      </c>
      <c r="C1173" s="3">
        <v>0</v>
      </c>
      <c r="D1173" s="3">
        <v>0</v>
      </c>
      <c r="E1173" s="3">
        <v>0</v>
      </c>
      <c r="F1173" s="3">
        <v>0</v>
      </c>
      <c r="G1173" s="3">
        <v>0</v>
      </c>
      <c r="H1173" s="3">
        <v>0</v>
      </c>
      <c r="I1173" s="3">
        <v>0</v>
      </c>
      <c r="J1173" s="4">
        <v>380</v>
      </c>
      <c r="K1173" s="3">
        <v>9</v>
      </c>
      <c r="L1173" s="3" t="s">
        <v>625</v>
      </c>
      <c r="M1173" s="3">
        <v>903</v>
      </c>
      <c r="N1173" s="27" t="s">
        <v>3235</v>
      </c>
      <c r="O1173" s="3">
        <v>0</v>
      </c>
      <c r="P1173" s="3"/>
      <c r="Q1173" s="3" t="str">
        <f t="shared" si="58"/>
        <v>903949</v>
      </c>
      <c r="R1173" s="3" t="str">
        <f t="shared" si="59"/>
        <v>ui_903949</v>
      </c>
      <c r="S1173" s="3" t="str">
        <f t="shared" si="52"/>
        <v>903949</v>
      </c>
      <c r="T1173" s="3">
        <v>1</v>
      </c>
      <c r="U1173" s="3">
        <v>0</v>
      </c>
      <c r="V1173" s="3">
        <v>1</v>
      </c>
      <c r="W1173" s="7"/>
      <c r="X1173" s="44" t="s">
        <v>3325</v>
      </c>
      <c r="Y1173" s="27" t="s">
        <v>3401</v>
      </c>
    </row>
    <row r="1174" spans="1:25" x14ac:dyDescent="0.15">
      <c r="A1174" s="3">
        <v>903950</v>
      </c>
      <c r="B1174" s="44" t="s">
        <v>3326</v>
      </c>
      <c r="C1174" s="3">
        <v>0</v>
      </c>
      <c r="D1174" s="3">
        <v>0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4">
        <v>380</v>
      </c>
      <c r="K1174" s="3">
        <v>9</v>
      </c>
      <c r="L1174" s="3" t="s">
        <v>625</v>
      </c>
      <c r="M1174" s="3">
        <v>903</v>
      </c>
      <c r="N1174" s="27" t="s">
        <v>3235</v>
      </c>
      <c r="O1174" s="3">
        <v>0</v>
      </c>
      <c r="P1174" s="3"/>
      <c r="Q1174" s="3" t="str">
        <f t="shared" si="58"/>
        <v>903950</v>
      </c>
      <c r="R1174" s="3" t="str">
        <f t="shared" si="59"/>
        <v>ui_903950</v>
      </c>
      <c r="S1174" s="3" t="str">
        <f t="shared" si="52"/>
        <v>903950</v>
      </c>
      <c r="T1174" s="3">
        <v>1</v>
      </c>
      <c r="U1174" s="3">
        <v>0</v>
      </c>
      <c r="V1174" s="3">
        <v>1</v>
      </c>
      <c r="W1174" s="7"/>
      <c r="X1174" s="44" t="s">
        <v>3326</v>
      </c>
      <c r="Y1174" s="27" t="s">
        <v>3399</v>
      </c>
    </row>
    <row r="1175" spans="1:25" x14ac:dyDescent="0.15">
      <c r="A1175" s="3">
        <v>903951</v>
      </c>
      <c r="B1175" s="44" t="s">
        <v>3327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4">
        <v>380</v>
      </c>
      <c r="K1175" s="3">
        <v>9</v>
      </c>
      <c r="L1175" s="3" t="s">
        <v>625</v>
      </c>
      <c r="M1175" s="3">
        <v>903</v>
      </c>
      <c r="N1175" s="27" t="s">
        <v>3235</v>
      </c>
      <c r="O1175" s="3">
        <v>0</v>
      </c>
      <c r="P1175" s="3"/>
      <c r="Q1175" s="3" t="str">
        <f t="shared" si="58"/>
        <v>903951</v>
      </c>
      <c r="R1175" s="3" t="str">
        <f t="shared" si="59"/>
        <v>ui_903951</v>
      </c>
      <c r="S1175" s="3" t="str">
        <f t="shared" ref="S1175:S1197" si="60">CONCATENATE(A1175,"")</f>
        <v>903951</v>
      </c>
      <c r="T1175" s="3">
        <v>1</v>
      </c>
      <c r="U1175" s="3">
        <v>0</v>
      </c>
      <c r="V1175" s="3">
        <v>1</v>
      </c>
      <c r="W1175" s="7"/>
      <c r="X1175" s="44" t="s">
        <v>3327</v>
      </c>
      <c r="Y1175" s="27" t="s">
        <v>3400</v>
      </c>
    </row>
    <row r="1176" spans="1:25" x14ac:dyDescent="0.15">
      <c r="A1176" s="3">
        <v>904001</v>
      </c>
      <c r="B1176" s="3" t="s">
        <v>705</v>
      </c>
      <c r="C1176" s="3">
        <v>0</v>
      </c>
      <c r="D1176" s="3">
        <v>0</v>
      </c>
      <c r="E1176" s="3">
        <v>0</v>
      </c>
      <c r="F1176" s="3">
        <v>0</v>
      </c>
      <c r="G1176" s="3">
        <v>0</v>
      </c>
      <c r="H1176" s="3">
        <v>0</v>
      </c>
      <c r="I1176" s="3">
        <v>0</v>
      </c>
      <c r="J1176" s="4">
        <v>388</v>
      </c>
      <c r="K1176" s="3">
        <v>9</v>
      </c>
      <c r="L1176" s="3" t="s">
        <v>625</v>
      </c>
      <c r="M1176" s="3">
        <v>904</v>
      </c>
      <c r="N1176" s="4" t="s">
        <v>706</v>
      </c>
      <c r="O1176" s="3">
        <v>0</v>
      </c>
      <c r="P1176" s="3"/>
      <c r="Q1176" s="3" t="str">
        <f t="shared" si="58"/>
        <v>904001</v>
      </c>
      <c r="R1176" s="3" t="str">
        <f t="shared" si="59"/>
        <v>ui_904001</v>
      </c>
      <c r="S1176" s="3" t="str">
        <f t="shared" si="60"/>
        <v>904001</v>
      </c>
      <c r="T1176" s="3">
        <v>1</v>
      </c>
      <c r="U1176" s="3">
        <v>0</v>
      </c>
      <c r="V1176" s="3">
        <v>1</v>
      </c>
      <c r="W1176" s="7"/>
      <c r="X1176" s="3" t="str">
        <f t="shared" ref="X1176:X1186" si="61">B1176</f>
        <v>求同存异，天下大同</v>
      </c>
      <c r="Y1176" s="3" t="s">
        <v>2614</v>
      </c>
    </row>
    <row r="1177" spans="1:25" x14ac:dyDescent="0.15">
      <c r="A1177" s="3">
        <v>904002</v>
      </c>
      <c r="B1177" s="3" t="s">
        <v>707</v>
      </c>
      <c r="C1177" s="3">
        <v>0</v>
      </c>
      <c r="D1177" s="3">
        <v>0</v>
      </c>
      <c r="E1177" s="3">
        <v>0</v>
      </c>
      <c r="F1177" s="3">
        <v>0</v>
      </c>
      <c r="G1177" s="3">
        <v>0</v>
      </c>
      <c r="H1177" s="3">
        <v>0</v>
      </c>
      <c r="I1177" s="3">
        <v>0</v>
      </c>
      <c r="J1177" s="4">
        <v>389</v>
      </c>
      <c r="K1177" s="3">
        <v>9</v>
      </c>
      <c r="L1177" s="3" t="s">
        <v>625</v>
      </c>
      <c r="M1177" s="3">
        <v>904</v>
      </c>
      <c r="N1177" s="4" t="s">
        <v>706</v>
      </c>
      <c r="O1177" s="3">
        <v>0</v>
      </c>
      <c r="P1177" s="3"/>
      <c r="Q1177" s="3" t="str">
        <f t="shared" si="58"/>
        <v>904002</v>
      </c>
      <c r="R1177" s="3" t="str">
        <f t="shared" si="59"/>
        <v>ui_904002</v>
      </c>
      <c r="S1177" s="3" t="str">
        <f t="shared" si="60"/>
        <v>904002</v>
      </c>
      <c r="T1177" s="3">
        <v>1</v>
      </c>
      <c r="U1177" s="3">
        <v>0</v>
      </c>
      <c r="V1177" s="3">
        <v>1</v>
      </c>
      <c r="W1177" s="7"/>
      <c r="X1177" s="3" t="str">
        <f t="shared" si="61"/>
        <v>顺我者昌，逆我者亡</v>
      </c>
      <c r="Y1177" s="3" t="s">
        <v>2615</v>
      </c>
    </row>
    <row r="1178" spans="1:25" x14ac:dyDescent="0.15">
      <c r="A1178" s="3">
        <v>904003</v>
      </c>
      <c r="B1178" s="3" t="s">
        <v>708</v>
      </c>
      <c r="C1178" s="3">
        <v>0</v>
      </c>
      <c r="D1178" s="3">
        <v>0</v>
      </c>
      <c r="E1178" s="3">
        <v>0</v>
      </c>
      <c r="F1178" s="3">
        <v>0</v>
      </c>
      <c r="G1178" s="3">
        <v>0</v>
      </c>
      <c r="H1178" s="3">
        <v>0</v>
      </c>
      <c r="I1178" s="3">
        <v>0</v>
      </c>
      <c r="J1178" s="4">
        <v>390</v>
      </c>
      <c r="K1178" s="3">
        <v>9</v>
      </c>
      <c r="L1178" s="3" t="s">
        <v>625</v>
      </c>
      <c r="M1178" s="3">
        <v>904</v>
      </c>
      <c r="N1178" s="4" t="s">
        <v>706</v>
      </c>
      <c r="O1178" s="3">
        <v>0</v>
      </c>
      <c r="P1178" s="3"/>
      <c r="Q1178" s="3" t="str">
        <f t="shared" si="58"/>
        <v>904003</v>
      </c>
      <c r="R1178" s="3" t="str">
        <f t="shared" si="59"/>
        <v>ui_904003</v>
      </c>
      <c r="S1178" s="3" t="str">
        <f t="shared" si="60"/>
        <v>904003</v>
      </c>
      <c r="T1178" s="3">
        <v>1</v>
      </c>
      <c r="U1178" s="3">
        <v>0</v>
      </c>
      <c r="V1178" s="3">
        <v>1</v>
      </c>
      <c r="W1178" s="7"/>
      <c r="X1178" s="3" t="str">
        <f t="shared" si="61"/>
        <v>吾即为法，利即是义</v>
      </c>
      <c r="Y1178" s="3" t="s">
        <v>2616</v>
      </c>
    </row>
    <row r="1179" spans="1:25" x14ac:dyDescent="0.15">
      <c r="A1179" s="3">
        <v>905001</v>
      </c>
      <c r="B1179" s="3" t="s">
        <v>709</v>
      </c>
      <c r="C1179" s="3">
        <v>0</v>
      </c>
      <c r="D1179" s="3">
        <v>0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4">
        <v>391</v>
      </c>
      <c r="K1179" s="3">
        <v>9</v>
      </c>
      <c r="L1179" s="3" t="s">
        <v>625</v>
      </c>
      <c r="M1179" s="3">
        <v>905</v>
      </c>
      <c r="N1179" s="4" t="s">
        <v>710</v>
      </c>
      <c r="O1179" s="3">
        <v>0</v>
      </c>
      <c r="P1179" s="3"/>
      <c r="Q1179" s="3" t="str">
        <f t="shared" si="58"/>
        <v>905001</v>
      </c>
      <c r="R1179" s="3" t="str">
        <f t="shared" si="59"/>
        <v>ui_905001</v>
      </c>
      <c r="S1179" s="3" t="str">
        <f t="shared" si="60"/>
        <v>905001</v>
      </c>
      <c r="T1179" s="3">
        <v>1</v>
      </c>
      <c r="U1179" s="3">
        <v>0</v>
      </c>
      <c r="V1179" s="3">
        <v>1</v>
      </c>
      <c r="W1179" s="7"/>
      <c r="X1179" s="3" t="str">
        <f t="shared" si="61"/>
        <v>受命于天，君敬臣忠</v>
      </c>
      <c r="Y1179" s="3" t="s">
        <v>711</v>
      </c>
    </row>
    <row r="1180" spans="1:25" x14ac:dyDescent="0.15">
      <c r="A1180" s="3">
        <v>905002</v>
      </c>
      <c r="B1180" s="3" t="s">
        <v>712</v>
      </c>
      <c r="C1180" s="3">
        <v>0</v>
      </c>
      <c r="D1180" s="3">
        <v>0</v>
      </c>
      <c r="E1180" s="3">
        <v>0</v>
      </c>
      <c r="F1180" s="3">
        <v>0</v>
      </c>
      <c r="G1180" s="3">
        <v>0</v>
      </c>
      <c r="H1180" s="3">
        <v>0</v>
      </c>
      <c r="I1180" s="3">
        <v>0</v>
      </c>
      <c r="J1180" s="4">
        <v>392</v>
      </c>
      <c r="K1180" s="3">
        <v>9</v>
      </c>
      <c r="L1180" s="3" t="s">
        <v>625</v>
      </c>
      <c r="M1180" s="3">
        <v>905</v>
      </c>
      <c r="N1180" s="4" t="s">
        <v>710</v>
      </c>
      <c r="O1180" s="3">
        <v>0</v>
      </c>
      <c r="P1180" s="3"/>
      <c r="Q1180" s="3" t="str">
        <f t="shared" ref="Q1180:Q1197" si="62">CONCATENATE(A1180)</f>
        <v>905002</v>
      </c>
      <c r="R1180" s="3" t="str">
        <f t="shared" ref="R1180:R1213" si="63">CONCATENATE("ui_",A1180,"")</f>
        <v>ui_905002</v>
      </c>
      <c r="S1180" s="3" t="str">
        <f t="shared" si="60"/>
        <v>905002</v>
      </c>
      <c r="T1180" s="3">
        <v>1</v>
      </c>
      <c r="U1180" s="3">
        <v>0</v>
      </c>
      <c r="V1180" s="3">
        <v>1</v>
      </c>
      <c r="W1180" s="7"/>
      <c r="X1180" s="3" t="str">
        <f t="shared" si="61"/>
        <v>乱世天下，能者居之</v>
      </c>
      <c r="Y1180" s="3" t="s">
        <v>713</v>
      </c>
    </row>
    <row r="1181" spans="1:25" x14ac:dyDescent="0.15">
      <c r="A1181" s="3">
        <v>905003</v>
      </c>
      <c r="B1181" s="3" t="s">
        <v>714</v>
      </c>
      <c r="C1181" s="3">
        <v>0</v>
      </c>
      <c r="D1181" s="3">
        <v>0</v>
      </c>
      <c r="E1181" s="3">
        <v>0</v>
      </c>
      <c r="F1181" s="3">
        <v>0</v>
      </c>
      <c r="G1181" s="3">
        <v>0</v>
      </c>
      <c r="H1181" s="3">
        <v>0</v>
      </c>
      <c r="I1181" s="3">
        <v>0</v>
      </c>
      <c r="J1181" s="4">
        <v>393</v>
      </c>
      <c r="K1181" s="3">
        <v>9</v>
      </c>
      <c r="L1181" s="3" t="s">
        <v>625</v>
      </c>
      <c r="M1181" s="3">
        <v>905</v>
      </c>
      <c r="N1181" s="4" t="s">
        <v>710</v>
      </c>
      <c r="O1181" s="3">
        <v>0</v>
      </c>
      <c r="P1181" s="3"/>
      <c r="Q1181" s="3" t="str">
        <f t="shared" si="62"/>
        <v>905003</v>
      </c>
      <c r="R1181" s="3" t="str">
        <f t="shared" si="63"/>
        <v>ui_905003</v>
      </c>
      <c r="S1181" s="3" t="str">
        <f t="shared" si="60"/>
        <v>905003</v>
      </c>
      <c r="T1181" s="3">
        <v>1</v>
      </c>
      <c r="U1181" s="3">
        <v>0</v>
      </c>
      <c r="V1181" s="3">
        <v>1</v>
      </c>
      <c r="W1181" s="7"/>
      <c r="X1181" s="3" t="str">
        <f t="shared" si="61"/>
        <v>君权神授，契约永存</v>
      </c>
      <c r="Y1181" s="3" t="s">
        <v>715</v>
      </c>
    </row>
    <row r="1182" spans="1:25" x14ac:dyDescent="0.15">
      <c r="A1182" s="3">
        <v>906001</v>
      </c>
      <c r="B1182" s="3" t="s">
        <v>1945</v>
      </c>
      <c r="C1182" s="3">
        <v>0</v>
      </c>
      <c r="D1182" s="3">
        <v>0</v>
      </c>
      <c r="E1182" s="3">
        <v>0</v>
      </c>
      <c r="F1182" s="3">
        <v>0</v>
      </c>
      <c r="G1182" s="3">
        <v>0</v>
      </c>
      <c r="H1182" s="3">
        <v>0</v>
      </c>
      <c r="I1182" s="3">
        <v>0</v>
      </c>
      <c r="J1182" s="4">
        <v>393</v>
      </c>
      <c r="K1182" s="3">
        <v>9</v>
      </c>
      <c r="L1182" s="3" t="s">
        <v>625</v>
      </c>
      <c r="M1182" s="3">
        <v>906</v>
      </c>
      <c r="N1182" s="27" t="s">
        <v>1969</v>
      </c>
      <c r="O1182" s="3">
        <v>0</v>
      </c>
      <c r="P1182" s="3"/>
      <c r="Q1182" s="3" t="str">
        <f t="shared" si="62"/>
        <v>906001</v>
      </c>
      <c r="R1182" s="3" t="str">
        <f t="shared" si="63"/>
        <v>ui_906001</v>
      </c>
      <c r="S1182" s="3" t="str">
        <f t="shared" si="60"/>
        <v>906001</v>
      </c>
      <c r="T1182" s="3">
        <v>1</v>
      </c>
      <c r="U1182" s="3">
        <v>0</v>
      </c>
      <c r="V1182" s="3">
        <v>1</v>
      </c>
      <c r="W1182" s="7"/>
      <c r="X1182" s="3" t="str">
        <f t="shared" si="61"/>
        <v>一呼百应</v>
      </c>
      <c r="Y1182" s="27" t="s">
        <v>1955</v>
      </c>
    </row>
    <row r="1183" spans="1:25" x14ac:dyDescent="0.15">
      <c r="A1183" s="3">
        <v>906002</v>
      </c>
      <c r="B1183" s="3" t="s">
        <v>1949</v>
      </c>
      <c r="C1183" s="3">
        <v>0</v>
      </c>
      <c r="D1183" s="3">
        <v>0</v>
      </c>
      <c r="E1183" s="3">
        <v>0</v>
      </c>
      <c r="F1183" s="3">
        <v>0</v>
      </c>
      <c r="G1183" s="3">
        <v>0</v>
      </c>
      <c r="H1183" s="3">
        <v>0</v>
      </c>
      <c r="I1183" s="3">
        <v>0</v>
      </c>
      <c r="J1183" s="4">
        <v>393</v>
      </c>
      <c r="K1183" s="3">
        <v>9</v>
      </c>
      <c r="L1183" s="3" t="s">
        <v>625</v>
      </c>
      <c r="M1183" s="3">
        <v>906</v>
      </c>
      <c r="N1183" s="27" t="s">
        <v>1969</v>
      </c>
      <c r="O1183" s="3">
        <v>0</v>
      </c>
      <c r="P1183" s="3"/>
      <c r="Q1183" s="3" t="str">
        <f t="shared" si="62"/>
        <v>906002</v>
      </c>
      <c r="R1183" s="3" t="str">
        <f t="shared" si="63"/>
        <v>ui_906002</v>
      </c>
      <c r="S1183" s="3" t="str">
        <f t="shared" si="60"/>
        <v>906002</v>
      </c>
      <c r="T1183" s="3">
        <v>1</v>
      </c>
      <c r="U1183" s="3">
        <v>0</v>
      </c>
      <c r="V1183" s="3">
        <v>1</v>
      </c>
      <c r="W1183" s="7"/>
      <c r="X1183" s="3" t="str">
        <f t="shared" si="61"/>
        <v>精灵之友</v>
      </c>
      <c r="Y1183" s="27" t="s">
        <v>1965</v>
      </c>
    </row>
    <row r="1184" spans="1:25" x14ac:dyDescent="0.15">
      <c r="A1184" s="3">
        <v>906003</v>
      </c>
      <c r="B1184" s="3" t="s">
        <v>1951</v>
      </c>
      <c r="C1184" s="3">
        <v>0</v>
      </c>
      <c r="D1184" s="3">
        <v>0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4">
        <v>393</v>
      </c>
      <c r="K1184" s="3">
        <v>9</v>
      </c>
      <c r="L1184" s="3" t="s">
        <v>625</v>
      </c>
      <c r="M1184" s="3">
        <v>906</v>
      </c>
      <c r="N1184" s="27" t="s">
        <v>1969</v>
      </c>
      <c r="O1184" s="3">
        <v>0</v>
      </c>
      <c r="P1184" s="3"/>
      <c r="Q1184" s="3" t="str">
        <f t="shared" si="62"/>
        <v>906003</v>
      </c>
      <c r="R1184" s="3" t="str">
        <f t="shared" si="63"/>
        <v>ui_906003</v>
      </c>
      <c r="S1184" s="3" t="str">
        <f t="shared" si="60"/>
        <v>906003</v>
      </c>
      <c r="T1184" s="3">
        <v>1</v>
      </c>
      <c r="U1184" s="3">
        <v>0</v>
      </c>
      <c r="V1184" s="3">
        <v>1</v>
      </c>
      <c r="W1184" s="7"/>
      <c r="X1184" s="3" t="str">
        <f t="shared" si="61"/>
        <v>造山</v>
      </c>
      <c r="Y1184" s="3" t="s">
        <v>1950</v>
      </c>
    </row>
    <row r="1185" spans="1:25" x14ac:dyDescent="0.15">
      <c r="A1185" s="3">
        <v>906004</v>
      </c>
      <c r="B1185" s="3" t="s">
        <v>1948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0</v>
      </c>
      <c r="I1185" s="3">
        <v>0</v>
      </c>
      <c r="J1185" s="4">
        <v>393</v>
      </c>
      <c r="K1185" s="3">
        <v>9</v>
      </c>
      <c r="L1185" s="3" t="s">
        <v>625</v>
      </c>
      <c r="M1185" s="3">
        <v>906</v>
      </c>
      <c r="N1185" s="27" t="s">
        <v>1969</v>
      </c>
      <c r="O1185" s="3">
        <v>0</v>
      </c>
      <c r="P1185" s="3"/>
      <c r="Q1185" s="3" t="str">
        <f t="shared" si="62"/>
        <v>906004</v>
      </c>
      <c r="R1185" s="3" t="str">
        <f t="shared" si="63"/>
        <v>ui_906004</v>
      </c>
      <c r="S1185" s="3" t="str">
        <f t="shared" si="60"/>
        <v>906004</v>
      </c>
      <c r="T1185" s="3">
        <v>1</v>
      </c>
      <c r="U1185" s="3">
        <v>0</v>
      </c>
      <c r="V1185" s="3">
        <v>1</v>
      </c>
      <c r="W1185" s="7"/>
      <c r="X1185" s="3" t="str">
        <f t="shared" si="61"/>
        <v>净化瘟疫</v>
      </c>
      <c r="Y1185" s="27" t="s">
        <v>1952</v>
      </c>
    </row>
    <row r="1186" spans="1:25" x14ac:dyDescent="0.15">
      <c r="A1186" s="3">
        <v>906005</v>
      </c>
      <c r="B1186" s="3" t="s">
        <v>1946</v>
      </c>
      <c r="C1186" s="3">
        <v>0</v>
      </c>
      <c r="D1186" s="3">
        <v>0</v>
      </c>
      <c r="E1186" s="3">
        <v>0</v>
      </c>
      <c r="F1186" s="3">
        <v>0</v>
      </c>
      <c r="G1186" s="3">
        <v>0</v>
      </c>
      <c r="H1186" s="3">
        <v>0</v>
      </c>
      <c r="I1186" s="3">
        <v>0</v>
      </c>
      <c r="J1186" s="4">
        <v>393</v>
      </c>
      <c r="K1186" s="3">
        <v>9</v>
      </c>
      <c r="L1186" s="3" t="s">
        <v>625</v>
      </c>
      <c r="M1186" s="3">
        <v>906</v>
      </c>
      <c r="N1186" s="27" t="s">
        <v>1969</v>
      </c>
      <c r="O1186" s="3">
        <v>0</v>
      </c>
      <c r="P1186" s="3"/>
      <c r="Q1186" s="3" t="str">
        <f t="shared" si="62"/>
        <v>906005</v>
      </c>
      <c r="R1186" s="3" t="str">
        <f t="shared" si="63"/>
        <v>ui_906005</v>
      </c>
      <c r="S1186" s="3" t="str">
        <f t="shared" si="60"/>
        <v>906005</v>
      </c>
      <c r="T1186" s="3">
        <v>1</v>
      </c>
      <c r="U1186" s="3">
        <v>0</v>
      </c>
      <c r="V1186" s="3">
        <v>1</v>
      </c>
      <c r="W1186" s="7"/>
      <c r="X1186" s="3" t="str">
        <f t="shared" si="61"/>
        <v>斩妖除魔</v>
      </c>
      <c r="Y1186" s="27" t="s">
        <v>2633</v>
      </c>
    </row>
    <row r="1187" spans="1:25" x14ac:dyDescent="0.15">
      <c r="A1187" s="3">
        <v>906006</v>
      </c>
      <c r="B1187" s="27" t="s">
        <v>1958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4">
        <v>393</v>
      </c>
      <c r="K1187" s="3">
        <v>9</v>
      </c>
      <c r="L1187" s="3" t="s">
        <v>625</v>
      </c>
      <c r="M1187" s="3">
        <v>906</v>
      </c>
      <c r="N1187" s="27" t="s">
        <v>1969</v>
      </c>
      <c r="O1187" s="3">
        <v>0</v>
      </c>
      <c r="P1187" s="3"/>
      <c r="Q1187" s="3" t="str">
        <f t="shared" si="62"/>
        <v>906006</v>
      </c>
      <c r="R1187" s="3" t="str">
        <f t="shared" si="63"/>
        <v>ui_906006</v>
      </c>
      <c r="S1187" s="3" t="str">
        <f t="shared" si="60"/>
        <v>906006</v>
      </c>
      <c r="T1187" s="3">
        <v>1</v>
      </c>
      <c r="U1187" s="3">
        <v>0</v>
      </c>
      <c r="V1187" s="3">
        <v>1</v>
      </c>
      <c r="W1187" s="7"/>
      <c r="X1187" s="27" t="s">
        <v>1958</v>
      </c>
      <c r="Y1187" s="27" t="s">
        <v>2620</v>
      </c>
    </row>
    <row r="1188" spans="1:25" x14ac:dyDescent="0.15">
      <c r="A1188" s="3">
        <v>906007</v>
      </c>
      <c r="B1188" s="27" t="s">
        <v>1959</v>
      </c>
      <c r="C1188" s="3">
        <v>0</v>
      </c>
      <c r="D1188" s="3">
        <v>0</v>
      </c>
      <c r="E1188" s="3">
        <v>0</v>
      </c>
      <c r="F1188" s="3">
        <v>0</v>
      </c>
      <c r="G1188" s="3">
        <v>0</v>
      </c>
      <c r="H1188" s="3">
        <v>0</v>
      </c>
      <c r="I1188" s="3">
        <v>0</v>
      </c>
      <c r="J1188" s="4">
        <v>393</v>
      </c>
      <c r="K1188" s="3">
        <v>9</v>
      </c>
      <c r="L1188" s="3" t="s">
        <v>625</v>
      </c>
      <c r="M1188" s="3">
        <v>906</v>
      </c>
      <c r="N1188" s="27" t="s">
        <v>1969</v>
      </c>
      <c r="O1188" s="3">
        <v>0</v>
      </c>
      <c r="P1188" s="3"/>
      <c r="Q1188" s="3" t="str">
        <f t="shared" si="62"/>
        <v>906007</v>
      </c>
      <c r="R1188" s="3" t="str">
        <f t="shared" si="63"/>
        <v>ui_906007</v>
      </c>
      <c r="S1188" s="3" t="str">
        <f t="shared" si="60"/>
        <v>906007</v>
      </c>
      <c r="T1188" s="3">
        <v>1</v>
      </c>
      <c r="U1188" s="3">
        <v>0</v>
      </c>
      <c r="V1188" s="3">
        <v>1</v>
      </c>
      <c r="W1188" s="7"/>
      <c r="X1188" s="27" t="s">
        <v>1959</v>
      </c>
      <c r="Y1188" s="27" t="s">
        <v>2621</v>
      </c>
    </row>
    <row r="1189" spans="1:25" x14ac:dyDescent="0.15">
      <c r="A1189" s="3">
        <v>906008</v>
      </c>
      <c r="B1189" s="27" t="s">
        <v>1960</v>
      </c>
      <c r="C1189" s="3">
        <v>0</v>
      </c>
      <c r="D1189" s="3">
        <v>0</v>
      </c>
      <c r="E1189" s="3">
        <v>0</v>
      </c>
      <c r="F1189" s="3">
        <v>0</v>
      </c>
      <c r="G1189" s="3">
        <v>0</v>
      </c>
      <c r="H1189" s="3">
        <v>0</v>
      </c>
      <c r="I1189" s="3">
        <v>0</v>
      </c>
      <c r="J1189" s="4">
        <v>393</v>
      </c>
      <c r="K1189" s="3">
        <v>9</v>
      </c>
      <c r="L1189" s="3" t="s">
        <v>625</v>
      </c>
      <c r="M1189" s="3">
        <v>906</v>
      </c>
      <c r="N1189" s="27" t="s">
        <v>1969</v>
      </c>
      <c r="O1189" s="3">
        <v>0</v>
      </c>
      <c r="P1189" s="3"/>
      <c r="Q1189" s="3" t="str">
        <f t="shared" si="62"/>
        <v>906008</v>
      </c>
      <c r="R1189" s="3" t="str">
        <f t="shared" si="63"/>
        <v>ui_906008</v>
      </c>
      <c r="S1189" s="3" t="str">
        <f t="shared" si="60"/>
        <v>906008</v>
      </c>
      <c r="T1189" s="3">
        <v>1</v>
      </c>
      <c r="U1189" s="3">
        <v>0</v>
      </c>
      <c r="V1189" s="3">
        <v>1</v>
      </c>
      <c r="W1189" s="7"/>
      <c r="X1189" s="27" t="s">
        <v>1960</v>
      </c>
      <c r="Y1189" s="27" t="s">
        <v>2622</v>
      </c>
    </row>
    <row r="1190" spans="1:25" x14ac:dyDescent="0.15">
      <c r="A1190" s="3">
        <v>906009</v>
      </c>
      <c r="B1190" s="27" t="s">
        <v>1961</v>
      </c>
      <c r="C1190" s="3">
        <v>0</v>
      </c>
      <c r="D1190" s="3">
        <v>0</v>
      </c>
      <c r="E1190" s="3">
        <v>0</v>
      </c>
      <c r="F1190" s="3">
        <v>0</v>
      </c>
      <c r="G1190" s="3">
        <v>0</v>
      </c>
      <c r="H1190" s="3">
        <v>0</v>
      </c>
      <c r="I1190" s="3">
        <v>0</v>
      </c>
      <c r="J1190" s="4">
        <v>393</v>
      </c>
      <c r="K1190" s="3">
        <v>9</v>
      </c>
      <c r="L1190" s="3" t="s">
        <v>625</v>
      </c>
      <c r="M1190" s="3">
        <v>906</v>
      </c>
      <c r="N1190" s="27" t="s">
        <v>1969</v>
      </c>
      <c r="O1190" s="3">
        <v>0</v>
      </c>
      <c r="P1190" s="3"/>
      <c r="Q1190" s="3" t="str">
        <f t="shared" si="62"/>
        <v>906009</v>
      </c>
      <c r="R1190" s="3" t="str">
        <f t="shared" si="63"/>
        <v>ui_906009</v>
      </c>
      <c r="S1190" s="3" t="str">
        <f t="shared" si="60"/>
        <v>906009</v>
      </c>
      <c r="T1190" s="3">
        <v>1</v>
      </c>
      <c r="U1190" s="3">
        <v>0</v>
      </c>
      <c r="V1190" s="3">
        <v>1</v>
      </c>
      <c r="W1190" s="7"/>
      <c r="X1190" s="27" t="s">
        <v>1961</v>
      </c>
      <c r="Y1190" s="27" t="s">
        <v>2623</v>
      </c>
    </row>
    <row r="1191" spans="1:25" x14ac:dyDescent="0.15">
      <c r="A1191" s="3">
        <v>906010</v>
      </c>
      <c r="B1191" s="3" t="s">
        <v>1962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4">
        <v>393</v>
      </c>
      <c r="K1191" s="3">
        <v>9</v>
      </c>
      <c r="L1191" s="3" t="s">
        <v>625</v>
      </c>
      <c r="M1191" s="3">
        <v>906</v>
      </c>
      <c r="N1191" s="27" t="s">
        <v>1969</v>
      </c>
      <c r="O1191" s="3">
        <v>0</v>
      </c>
      <c r="P1191" s="3"/>
      <c r="Q1191" s="3" t="str">
        <f t="shared" si="62"/>
        <v>906010</v>
      </c>
      <c r="R1191" s="3" t="str">
        <f t="shared" si="63"/>
        <v>ui_906010</v>
      </c>
      <c r="S1191" s="3" t="str">
        <f t="shared" si="60"/>
        <v>906010</v>
      </c>
      <c r="T1191" s="3">
        <v>1</v>
      </c>
      <c r="U1191" s="3">
        <v>0</v>
      </c>
      <c r="V1191" s="3">
        <v>1</v>
      </c>
      <c r="W1191" s="7"/>
      <c r="X1191" s="3" t="str">
        <f>B1191</f>
        <v>魂飞魄散</v>
      </c>
      <c r="Y1191" s="27" t="s">
        <v>2634</v>
      </c>
    </row>
    <row r="1192" spans="1:25" x14ac:dyDescent="0.15">
      <c r="A1192" s="3">
        <v>906011</v>
      </c>
      <c r="B1192" s="3" t="s">
        <v>1947</v>
      </c>
      <c r="C1192" s="3">
        <v>0</v>
      </c>
      <c r="D1192" s="3">
        <v>0</v>
      </c>
      <c r="E1192" s="3">
        <v>0</v>
      </c>
      <c r="F1192" s="3">
        <v>0</v>
      </c>
      <c r="G1192" s="3">
        <v>0</v>
      </c>
      <c r="H1192" s="3">
        <v>0</v>
      </c>
      <c r="I1192" s="3">
        <v>0</v>
      </c>
      <c r="J1192" s="4">
        <v>393</v>
      </c>
      <c r="K1192" s="3">
        <v>9</v>
      </c>
      <c r="L1192" s="3" t="s">
        <v>625</v>
      </c>
      <c r="M1192" s="3">
        <v>906</v>
      </c>
      <c r="N1192" s="27" t="s">
        <v>1969</v>
      </c>
      <c r="O1192" s="3">
        <v>0</v>
      </c>
      <c r="P1192" s="3"/>
      <c r="Q1192" s="3" t="str">
        <f t="shared" si="62"/>
        <v>906011</v>
      </c>
      <c r="R1192" s="3" t="str">
        <f t="shared" si="63"/>
        <v>ui_906011</v>
      </c>
      <c r="S1192" s="3" t="str">
        <f t="shared" si="60"/>
        <v>906011</v>
      </c>
      <c r="T1192" s="3">
        <v>1</v>
      </c>
      <c r="U1192" s="3">
        <v>0</v>
      </c>
      <c r="V1192" s="3">
        <v>1</v>
      </c>
      <c r="W1192" s="7"/>
      <c r="X1192" s="3" t="str">
        <f>B1192</f>
        <v>日食</v>
      </c>
      <c r="Y1192" s="27" t="s">
        <v>1953</v>
      </c>
    </row>
    <row r="1193" spans="1:25" x14ac:dyDescent="0.15">
      <c r="A1193" s="3">
        <v>906012</v>
      </c>
      <c r="B1193" s="3" t="s">
        <v>1963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4">
        <v>393</v>
      </c>
      <c r="K1193" s="3">
        <v>9</v>
      </c>
      <c r="L1193" s="3" t="s">
        <v>625</v>
      </c>
      <c r="M1193" s="3">
        <v>906</v>
      </c>
      <c r="N1193" s="27" t="s">
        <v>1969</v>
      </c>
      <c r="O1193" s="3">
        <v>0</v>
      </c>
      <c r="P1193" s="3"/>
      <c r="Q1193" s="3" t="str">
        <f t="shared" si="62"/>
        <v>906012</v>
      </c>
      <c r="R1193" s="3" t="str">
        <f t="shared" si="63"/>
        <v>ui_906012</v>
      </c>
      <c r="S1193" s="3" t="str">
        <f t="shared" si="60"/>
        <v>906012</v>
      </c>
      <c r="T1193" s="3">
        <v>1</v>
      </c>
      <c r="U1193" s="3">
        <v>0</v>
      </c>
      <c r="V1193" s="3">
        <v>1</v>
      </c>
      <c r="W1193" s="7"/>
      <c r="X1193" s="3" t="str">
        <f>B1193</f>
        <v>干旱</v>
      </c>
      <c r="Y1193" s="27" t="s">
        <v>1954</v>
      </c>
    </row>
    <row r="1194" spans="1:25" x14ac:dyDescent="0.15">
      <c r="A1194" s="3">
        <v>906013</v>
      </c>
      <c r="B1194" s="41" t="s">
        <v>1967</v>
      </c>
      <c r="C1194" s="3">
        <v>0</v>
      </c>
      <c r="D1194" s="3">
        <v>0</v>
      </c>
      <c r="E1194" s="3">
        <v>0</v>
      </c>
      <c r="F1194" s="3">
        <v>0</v>
      </c>
      <c r="G1194" s="3">
        <v>0</v>
      </c>
      <c r="H1194" s="3">
        <v>0</v>
      </c>
      <c r="I1194" s="3">
        <v>0</v>
      </c>
      <c r="J1194" s="4">
        <v>393</v>
      </c>
      <c r="K1194" s="3">
        <v>9</v>
      </c>
      <c r="L1194" s="3" t="s">
        <v>625</v>
      </c>
      <c r="M1194" s="3">
        <v>906</v>
      </c>
      <c r="N1194" s="27" t="s">
        <v>1969</v>
      </c>
      <c r="O1194" s="3">
        <v>0</v>
      </c>
      <c r="P1194" s="3"/>
      <c r="Q1194" s="3" t="str">
        <f t="shared" si="62"/>
        <v>906013</v>
      </c>
      <c r="R1194" s="3" t="str">
        <f t="shared" si="63"/>
        <v>ui_906013</v>
      </c>
      <c r="S1194" s="3" t="str">
        <f t="shared" si="60"/>
        <v>906013</v>
      </c>
      <c r="T1194" s="3">
        <v>1</v>
      </c>
      <c r="U1194" s="3">
        <v>0</v>
      </c>
      <c r="V1194" s="3">
        <v>1</v>
      </c>
      <c r="W1194" s="7"/>
      <c r="X1194" s="3" t="str">
        <f>B1194</f>
        <v>结束日食</v>
      </c>
      <c r="Y1194" s="27" t="s">
        <v>1968</v>
      </c>
    </row>
    <row r="1195" spans="1:25" x14ac:dyDescent="0.15">
      <c r="A1195" s="3">
        <v>906014</v>
      </c>
      <c r="B1195" s="41" t="s">
        <v>2879</v>
      </c>
      <c r="C1195" s="3">
        <v>0</v>
      </c>
      <c r="D1195" s="3">
        <v>0</v>
      </c>
      <c r="E1195" s="3">
        <v>0</v>
      </c>
      <c r="F1195" s="3">
        <v>0</v>
      </c>
      <c r="G1195" s="3">
        <v>0</v>
      </c>
      <c r="H1195" s="3">
        <v>0</v>
      </c>
      <c r="I1195" s="3">
        <v>0</v>
      </c>
      <c r="J1195" s="4">
        <v>393</v>
      </c>
      <c r="K1195" s="3">
        <v>9</v>
      </c>
      <c r="L1195" s="3" t="s">
        <v>625</v>
      </c>
      <c r="M1195" s="3">
        <v>906</v>
      </c>
      <c r="N1195" s="27" t="s">
        <v>1969</v>
      </c>
      <c r="O1195" s="3">
        <v>0</v>
      </c>
      <c r="P1195" s="3"/>
      <c r="Q1195" s="3" t="str">
        <f t="shared" si="62"/>
        <v>906014</v>
      </c>
      <c r="R1195" s="3" t="str">
        <f t="shared" si="63"/>
        <v>ui_906014</v>
      </c>
      <c r="S1195" s="3" t="str">
        <f t="shared" si="60"/>
        <v>906014</v>
      </c>
      <c r="T1195" s="3">
        <v>1</v>
      </c>
      <c r="U1195" s="3">
        <v>0</v>
      </c>
      <c r="V1195" s="3">
        <v>1</v>
      </c>
      <c r="W1195" s="7"/>
      <c r="X1195" s="27" t="s">
        <v>2879</v>
      </c>
      <c r="Y1195" s="27" t="s">
        <v>2880</v>
      </c>
    </row>
    <row r="1196" spans="1:25" x14ac:dyDescent="0.15">
      <c r="A1196" s="3">
        <v>906015</v>
      </c>
      <c r="B1196" s="41" t="s">
        <v>3348</v>
      </c>
      <c r="C1196" s="3">
        <v>0</v>
      </c>
      <c r="D1196" s="3">
        <v>0</v>
      </c>
      <c r="E1196" s="3">
        <v>0</v>
      </c>
      <c r="F1196" s="3">
        <v>0</v>
      </c>
      <c r="G1196" s="3">
        <v>0</v>
      </c>
      <c r="H1196" s="3">
        <v>0</v>
      </c>
      <c r="I1196" s="3">
        <v>0</v>
      </c>
      <c r="J1196" s="4">
        <v>393</v>
      </c>
      <c r="K1196" s="3">
        <v>9</v>
      </c>
      <c r="L1196" s="3" t="s">
        <v>625</v>
      </c>
      <c r="M1196" s="3">
        <v>906</v>
      </c>
      <c r="N1196" s="27" t="s">
        <v>1969</v>
      </c>
      <c r="O1196" s="3">
        <v>0</v>
      </c>
      <c r="P1196" s="3"/>
      <c r="Q1196" s="3" t="str">
        <f t="shared" si="62"/>
        <v>906015</v>
      </c>
      <c r="R1196" s="3" t="str">
        <f t="shared" si="63"/>
        <v>ui_906015</v>
      </c>
      <c r="S1196" s="3" t="str">
        <f t="shared" si="60"/>
        <v>906015</v>
      </c>
      <c r="T1196" s="3">
        <v>1</v>
      </c>
      <c r="U1196" s="3">
        <v>0</v>
      </c>
      <c r="V1196" s="3">
        <v>1</v>
      </c>
      <c r="W1196" s="7"/>
      <c r="X1196" s="27" t="s">
        <v>3350</v>
      </c>
      <c r="Y1196" s="43" t="s">
        <v>3352</v>
      </c>
    </row>
    <row r="1197" spans="1:25" x14ac:dyDescent="0.15">
      <c r="A1197" s="3">
        <v>906016</v>
      </c>
      <c r="B1197" s="41" t="s">
        <v>3349</v>
      </c>
      <c r="C1197" s="3">
        <v>0</v>
      </c>
      <c r="D1197" s="3">
        <v>0</v>
      </c>
      <c r="E1197" s="3">
        <v>0</v>
      </c>
      <c r="F1197" s="3">
        <v>0</v>
      </c>
      <c r="G1197" s="3">
        <v>0</v>
      </c>
      <c r="H1197" s="3">
        <v>0</v>
      </c>
      <c r="I1197" s="3">
        <v>0</v>
      </c>
      <c r="J1197" s="4">
        <v>393</v>
      </c>
      <c r="K1197" s="3">
        <v>9</v>
      </c>
      <c r="L1197" s="3" t="s">
        <v>625</v>
      </c>
      <c r="M1197" s="3">
        <v>906</v>
      </c>
      <c r="N1197" s="27" t="s">
        <v>1969</v>
      </c>
      <c r="O1197" s="3">
        <v>0</v>
      </c>
      <c r="P1197" s="3"/>
      <c r="Q1197" s="3" t="str">
        <f t="shared" si="62"/>
        <v>906016</v>
      </c>
      <c r="R1197" s="3" t="str">
        <f t="shared" si="63"/>
        <v>ui_906016</v>
      </c>
      <c r="S1197" s="3" t="str">
        <f t="shared" si="60"/>
        <v>906016</v>
      </c>
      <c r="T1197" s="3">
        <v>1</v>
      </c>
      <c r="U1197" s="3">
        <v>0</v>
      </c>
      <c r="V1197" s="3">
        <v>1</v>
      </c>
      <c r="W1197" s="7"/>
      <c r="X1197" s="27" t="s">
        <v>3351</v>
      </c>
      <c r="Y1197" s="43" t="s">
        <v>3353</v>
      </c>
    </row>
    <row r="1198" spans="1:25" x14ac:dyDescent="0.15">
      <c r="A1198" s="3">
        <v>906017</v>
      </c>
      <c r="B1198" s="41" t="s">
        <v>3403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4">
        <v>393</v>
      </c>
      <c r="K1198" s="3">
        <v>9</v>
      </c>
      <c r="L1198" s="3" t="s">
        <v>625</v>
      </c>
      <c r="M1198" s="3">
        <v>906</v>
      </c>
      <c r="N1198" s="27" t="s">
        <v>1969</v>
      </c>
      <c r="O1198" s="3">
        <v>0</v>
      </c>
      <c r="P1198" s="3"/>
      <c r="Q1198" s="3" t="str">
        <f t="shared" ref="Q1198" si="64">CONCATENATE(A1198)</f>
        <v>906017</v>
      </c>
      <c r="R1198" s="3" t="str">
        <f t="shared" ref="R1198" si="65">CONCATENATE("ui_",A1198,"")</f>
        <v>ui_906017</v>
      </c>
      <c r="S1198" s="3" t="str">
        <f t="shared" ref="S1198" si="66">CONCATENATE(A1198,"")</f>
        <v>906017</v>
      </c>
      <c r="T1198" s="3">
        <v>1</v>
      </c>
      <c r="U1198" s="3">
        <v>0</v>
      </c>
      <c r="V1198" s="3">
        <v>1</v>
      </c>
      <c r="W1198" s="7"/>
      <c r="X1198" s="41" t="s">
        <v>3403</v>
      </c>
      <c r="Y1198" s="27" t="s">
        <v>3404</v>
      </c>
    </row>
    <row r="1199" spans="1:25" x14ac:dyDescent="0.15">
      <c r="A1199" s="3">
        <v>906018</v>
      </c>
      <c r="B1199" s="41" t="s">
        <v>3406</v>
      </c>
      <c r="C1199" s="3">
        <v>0</v>
      </c>
      <c r="D1199" s="3">
        <v>0</v>
      </c>
      <c r="E1199" s="3">
        <v>0</v>
      </c>
      <c r="F1199" s="3">
        <v>0</v>
      </c>
      <c r="G1199" s="3">
        <v>0</v>
      </c>
      <c r="H1199" s="3">
        <v>0</v>
      </c>
      <c r="I1199" s="3">
        <v>0</v>
      </c>
      <c r="J1199" s="4">
        <v>393</v>
      </c>
      <c r="K1199" s="3">
        <v>9</v>
      </c>
      <c r="L1199" s="3" t="s">
        <v>625</v>
      </c>
      <c r="M1199" s="3">
        <v>906</v>
      </c>
      <c r="N1199" s="27" t="s">
        <v>1969</v>
      </c>
      <c r="O1199" s="3">
        <v>0</v>
      </c>
      <c r="P1199" s="3"/>
      <c r="Q1199" s="3" t="str">
        <f t="shared" ref="Q1199" si="67">CONCATENATE(A1199)</f>
        <v>906018</v>
      </c>
      <c r="R1199" s="3" t="str">
        <f t="shared" ref="R1199" si="68">CONCATENATE("ui_",A1199,"")</f>
        <v>ui_906018</v>
      </c>
      <c r="S1199" s="3" t="str">
        <f t="shared" ref="S1199" si="69">CONCATENATE(A1199,"")</f>
        <v>906018</v>
      </c>
      <c r="T1199" s="3">
        <v>1</v>
      </c>
      <c r="U1199" s="3">
        <v>0</v>
      </c>
      <c r="V1199" s="3">
        <v>1</v>
      </c>
      <c r="W1199" s="7"/>
      <c r="X1199" s="41" t="s">
        <v>3406</v>
      </c>
      <c r="Y1199" s="27" t="s">
        <v>3405</v>
      </c>
    </row>
    <row r="1200" spans="1:25" x14ac:dyDescent="0.15">
      <c r="A1200" s="3">
        <v>907001</v>
      </c>
      <c r="B1200" s="27" t="s">
        <v>2087</v>
      </c>
      <c r="C1200" s="3">
        <v>0</v>
      </c>
      <c r="D1200" s="3">
        <v>0</v>
      </c>
      <c r="E1200" s="3">
        <v>0</v>
      </c>
      <c r="F1200" s="3">
        <v>0</v>
      </c>
      <c r="G1200" s="3">
        <v>0</v>
      </c>
      <c r="H1200" s="3">
        <v>0</v>
      </c>
      <c r="I1200" s="3">
        <v>0</v>
      </c>
      <c r="J1200" s="4">
        <v>393</v>
      </c>
      <c r="K1200" s="3">
        <v>9</v>
      </c>
      <c r="L1200" s="3" t="s">
        <v>625</v>
      </c>
      <c r="M1200" s="3">
        <v>907</v>
      </c>
      <c r="N1200" s="27" t="s">
        <v>2089</v>
      </c>
      <c r="O1200" s="3">
        <v>0</v>
      </c>
      <c r="P1200" s="3"/>
      <c r="Q1200" s="27" t="s">
        <v>2900</v>
      </c>
      <c r="R1200" s="3" t="str">
        <f t="shared" si="63"/>
        <v>ui_907001</v>
      </c>
      <c r="S1200" s="3" t="str">
        <f t="shared" ref="S1200:S1207" si="70">CONCATENATE("halo_",A1200)</f>
        <v>halo_907001</v>
      </c>
      <c r="T1200" s="3">
        <v>1</v>
      </c>
      <c r="U1200" s="3">
        <v>0</v>
      </c>
      <c r="V1200" s="3">
        <v>1</v>
      </c>
      <c r="W1200" s="7"/>
      <c r="X1200" s="3" t="s">
        <v>2087</v>
      </c>
      <c r="Y1200" s="27" t="s">
        <v>2524</v>
      </c>
    </row>
    <row r="1201" spans="1:25" x14ac:dyDescent="0.15">
      <c r="A1201" s="3">
        <v>907002</v>
      </c>
      <c r="B1201" s="3" t="s">
        <v>2090</v>
      </c>
      <c r="C1201" s="3">
        <v>0</v>
      </c>
      <c r="D1201" s="3">
        <v>0</v>
      </c>
      <c r="E1201" s="3">
        <v>0</v>
      </c>
      <c r="F1201" s="3">
        <v>0</v>
      </c>
      <c r="G1201" s="3">
        <v>0</v>
      </c>
      <c r="H1201" s="3">
        <v>0</v>
      </c>
      <c r="I1201" s="3">
        <v>0</v>
      </c>
      <c r="J1201" s="4">
        <v>393</v>
      </c>
      <c r="K1201" s="3">
        <v>9</v>
      </c>
      <c r="L1201" s="3" t="s">
        <v>625</v>
      </c>
      <c r="M1201" s="3">
        <v>907</v>
      </c>
      <c r="N1201" s="27" t="s">
        <v>2089</v>
      </c>
      <c r="O1201" s="3">
        <v>0</v>
      </c>
      <c r="P1201" s="3"/>
      <c r="Q1201" s="27" t="s">
        <v>2901</v>
      </c>
      <c r="R1201" s="3" t="str">
        <f t="shared" si="63"/>
        <v>ui_907002</v>
      </c>
      <c r="S1201" s="3" t="str">
        <f t="shared" si="70"/>
        <v>halo_907002</v>
      </c>
      <c r="T1201" s="3">
        <v>1</v>
      </c>
      <c r="U1201" s="3">
        <v>0</v>
      </c>
      <c r="V1201" s="3">
        <v>1</v>
      </c>
      <c r="W1201" s="7"/>
      <c r="X1201" s="3" t="s">
        <v>2090</v>
      </c>
      <c r="Y1201" s="27" t="s">
        <v>2136</v>
      </c>
    </row>
    <row r="1202" spans="1:25" x14ac:dyDescent="0.15">
      <c r="A1202" s="3">
        <v>907003</v>
      </c>
      <c r="B1202" s="3" t="s">
        <v>2131</v>
      </c>
      <c r="C1202" s="3">
        <v>0</v>
      </c>
      <c r="D1202" s="3">
        <v>0</v>
      </c>
      <c r="E1202" s="3">
        <v>0</v>
      </c>
      <c r="F1202" s="3">
        <v>0</v>
      </c>
      <c r="G1202" s="3">
        <v>0</v>
      </c>
      <c r="H1202" s="3">
        <v>0</v>
      </c>
      <c r="I1202" s="3">
        <v>0</v>
      </c>
      <c r="J1202" s="4">
        <v>393</v>
      </c>
      <c r="K1202" s="3">
        <v>9</v>
      </c>
      <c r="L1202" s="3" t="s">
        <v>625</v>
      </c>
      <c r="M1202" s="3">
        <v>907</v>
      </c>
      <c r="N1202" s="27" t="s">
        <v>2089</v>
      </c>
      <c r="O1202" s="3">
        <v>0</v>
      </c>
      <c r="P1202" s="3"/>
      <c r="Q1202" s="27" t="s">
        <v>2902</v>
      </c>
      <c r="R1202" s="3" t="str">
        <f t="shared" si="63"/>
        <v>ui_907003</v>
      </c>
      <c r="S1202" s="3" t="str">
        <f t="shared" si="70"/>
        <v>halo_907003</v>
      </c>
      <c r="T1202" s="3">
        <v>1</v>
      </c>
      <c r="U1202" s="3">
        <v>0</v>
      </c>
      <c r="V1202" s="3">
        <v>1</v>
      </c>
      <c r="W1202" s="7"/>
      <c r="X1202" s="3" t="s">
        <v>2131</v>
      </c>
      <c r="Y1202" s="27" t="s">
        <v>3289</v>
      </c>
    </row>
    <row r="1203" spans="1:25" x14ac:dyDescent="0.15">
      <c r="A1203" s="3">
        <v>907004</v>
      </c>
      <c r="B1203" s="3" t="s">
        <v>2132</v>
      </c>
      <c r="C1203" s="3">
        <v>0</v>
      </c>
      <c r="D1203" s="3">
        <v>0</v>
      </c>
      <c r="E1203" s="3">
        <v>0</v>
      </c>
      <c r="F1203" s="3">
        <v>0</v>
      </c>
      <c r="G1203" s="3">
        <v>0</v>
      </c>
      <c r="H1203" s="3">
        <v>0</v>
      </c>
      <c r="I1203" s="3">
        <v>0</v>
      </c>
      <c r="J1203" s="4">
        <v>393</v>
      </c>
      <c r="K1203" s="3">
        <v>9</v>
      </c>
      <c r="L1203" s="3" t="s">
        <v>625</v>
      </c>
      <c r="M1203" s="3">
        <v>907</v>
      </c>
      <c r="N1203" s="27" t="s">
        <v>2089</v>
      </c>
      <c r="O1203" s="3">
        <v>0</v>
      </c>
      <c r="P1203" s="3"/>
      <c r="Q1203" s="27" t="s">
        <v>2903</v>
      </c>
      <c r="R1203" s="3" t="str">
        <f t="shared" si="63"/>
        <v>ui_907004</v>
      </c>
      <c r="S1203" s="3" t="str">
        <f t="shared" si="70"/>
        <v>halo_907004</v>
      </c>
      <c r="T1203" s="3">
        <v>1</v>
      </c>
      <c r="U1203" s="3">
        <v>0</v>
      </c>
      <c r="V1203" s="3">
        <v>1</v>
      </c>
      <c r="W1203" s="7"/>
      <c r="X1203" s="3" t="s">
        <v>2132</v>
      </c>
      <c r="Y1203" s="27" t="s">
        <v>2137</v>
      </c>
    </row>
    <row r="1204" spans="1:25" x14ac:dyDescent="0.15">
      <c r="A1204" s="3">
        <v>907005</v>
      </c>
      <c r="B1204" s="3" t="s">
        <v>2088</v>
      </c>
      <c r="C1204" s="3">
        <v>0</v>
      </c>
      <c r="D1204" s="3">
        <v>0</v>
      </c>
      <c r="E1204" s="3">
        <v>0</v>
      </c>
      <c r="F1204" s="3">
        <v>0</v>
      </c>
      <c r="G1204" s="3">
        <v>0</v>
      </c>
      <c r="H1204" s="3">
        <v>0</v>
      </c>
      <c r="I1204" s="3">
        <v>0</v>
      </c>
      <c r="J1204" s="4">
        <v>393</v>
      </c>
      <c r="K1204" s="3">
        <v>9</v>
      </c>
      <c r="L1204" s="3" t="s">
        <v>625</v>
      </c>
      <c r="M1204" s="3">
        <v>907</v>
      </c>
      <c r="N1204" s="27" t="s">
        <v>2089</v>
      </c>
      <c r="O1204" s="3">
        <v>0</v>
      </c>
      <c r="P1204" s="3"/>
      <c r="Q1204" s="27" t="s">
        <v>2905</v>
      </c>
      <c r="R1204" s="3" t="str">
        <f t="shared" si="63"/>
        <v>ui_907005</v>
      </c>
      <c r="S1204" s="3" t="str">
        <f t="shared" si="70"/>
        <v>halo_907005</v>
      </c>
      <c r="T1204" s="3">
        <v>1</v>
      </c>
      <c r="U1204" s="3">
        <v>0</v>
      </c>
      <c r="V1204" s="3">
        <v>1</v>
      </c>
      <c r="W1204" s="7"/>
      <c r="X1204" s="3" t="s">
        <v>2088</v>
      </c>
      <c r="Y1204" s="27" t="s">
        <v>2138</v>
      </c>
    </row>
    <row r="1205" spans="1:25" x14ac:dyDescent="0.15">
      <c r="A1205" s="3">
        <v>907006</v>
      </c>
      <c r="B1205" s="3" t="s">
        <v>2133</v>
      </c>
      <c r="C1205" s="3">
        <v>0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0</v>
      </c>
      <c r="J1205" s="4">
        <v>393</v>
      </c>
      <c r="K1205" s="3">
        <v>9</v>
      </c>
      <c r="L1205" s="3" t="s">
        <v>625</v>
      </c>
      <c r="M1205" s="3">
        <v>907</v>
      </c>
      <c r="N1205" s="27" t="s">
        <v>2089</v>
      </c>
      <c r="O1205" s="3">
        <v>0</v>
      </c>
      <c r="P1205" s="3"/>
      <c r="Q1205" s="27" t="s">
        <v>2904</v>
      </c>
      <c r="R1205" s="3" t="str">
        <f t="shared" si="63"/>
        <v>ui_907006</v>
      </c>
      <c r="S1205" s="3" t="str">
        <f t="shared" si="70"/>
        <v>halo_907006</v>
      </c>
      <c r="T1205" s="3">
        <v>1</v>
      </c>
      <c r="U1205" s="3">
        <v>0</v>
      </c>
      <c r="V1205" s="3">
        <v>1</v>
      </c>
      <c r="W1205" s="7"/>
      <c r="X1205" s="3" t="s">
        <v>2133</v>
      </c>
      <c r="Y1205" s="27" t="s">
        <v>2140</v>
      </c>
    </row>
    <row r="1206" spans="1:25" x14ac:dyDescent="0.15">
      <c r="A1206" s="3">
        <v>907007</v>
      </c>
      <c r="B1206" s="3" t="s">
        <v>2134</v>
      </c>
      <c r="C1206" s="3">
        <v>0</v>
      </c>
      <c r="D1206" s="3">
        <v>0</v>
      </c>
      <c r="E1206" s="3">
        <v>0</v>
      </c>
      <c r="F1206" s="3">
        <v>0</v>
      </c>
      <c r="G1206" s="3">
        <v>0</v>
      </c>
      <c r="H1206" s="3">
        <v>0</v>
      </c>
      <c r="I1206" s="3">
        <v>0</v>
      </c>
      <c r="J1206" s="4">
        <v>393</v>
      </c>
      <c r="K1206" s="3">
        <v>9</v>
      </c>
      <c r="L1206" s="3" t="s">
        <v>625</v>
      </c>
      <c r="M1206" s="3">
        <v>907</v>
      </c>
      <c r="N1206" s="27" t="s">
        <v>2089</v>
      </c>
      <c r="O1206" s="3">
        <v>0</v>
      </c>
      <c r="P1206" s="3"/>
      <c r="Q1206" s="27" t="s">
        <v>2906</v>
      </c>
      <c r="R1206" s="3" t="str">
        <f t="shared" si="63"/>
        <v>ui_907007</v>
      </c>
      <c r="S1206" s="3" t="str">
        <f t="shared" si="70"/>
        <v>halo_907007</v>
      </c>
      <c r="T1206" s="3">
        <v>1</v>
      </c>
      <c r="U1206" s="3">
        <v>0</v>
      </c>
      <c r="V1206" s="3">
        <v>1</v>
      </c>
      <c r="W1206" s="7"/>
      <c r="X1206" s="3" t="s">
        <v>2134</v>
      </c>
      <c r="Y1206" s="27" t="s">
        <v>2141</v>
      </c>
    </row>
    <row r="1207" spans="1:25" x14ac:dyDescent="0.15">
      <c r="A1207" s="3">
        <v>907008</v>
      </c>
      <c r="B1207" s="27" t="s">
        <v>2135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4">
        <v>393</v>
      </c>
      <c r="K1207" s="3">
        <v>9</v>
      </c>
      <c r="L1207" s="3" t="s">
        <v>625</v>
      </c>
      <c r="M1207" s="3">
        <v>907</v>
      </c>
      <c r="N1207" s="27" t="s">
        <v>2089</v>
      </c>
      <c r="O1207" s="3">
        <v>0</v>
      </c>
      <c r="P1207" s="3"/>
      <c r="Q1207" s="27" t="s">
        <v>2907</v>
      </c>
      <c r="R1207" s="3" t="str">
        <f t="shared" si="63"/>
        <v>ui_907008</v>
      </c>
      <c r="S1207" s="3" t="str">
        <f t="shared" si="70"/>
        <v>halo_907008</v>
      </c>
      <c r="T1207" s="3">
        <v>1</v>
      </c>
      <c r="U1207" s="3">
        <v>0</v>
      </c>
      <c r="V1207" s="3">
        <v>1</v>
      </c>
      <c r="W1207" s="7"/>
      <c r="X1207" s="27" t="s">
        <v>2135</v>
      </c>
      <c r="Y1207" s="27" t="s">
        <v>2139</v>
      </c>
    </row>
    <row r="1208" spans="1:25" x14ac:dyDescent="0.15">
      <c r="A1208" s="3">
        <v>908001</v>
      </c>
      <c r="B1208" s="3" t="s">
        <v>2552</v>
      </c>
      <c r="C1208" s="3">
        <v>0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4">
        <v>394</v>
      </c>
      <c r="K1208" s="3">
        <v>9</v>
      </c>
      <c r="L1208" s="3" t="s">
        <v>625</v>
      </c>
      <c r="M1208" s="3">
        <v>908</v>
      </c>
      <c r="N1208" s="27" t="s">
        <v>2561</v>
      </c>
      <c r="O1208" s="3">
        <v>0</v>
      </c>
      <c r="P1208" s="3"/>
      <c r="Q1208" s="3" t="str">
        <f t="shared" ref="Q1208:Q1217" si="71">CONCATENATE(A1208)</f>
        <v>908001</v>
      </c>
      <c r="R1208" s="3" t="str">
        <f t="shared" si="63"/>
        <v>ui_908001</v>
      </c>
      <c r="S1208" s="3" t="str">
        <f t="shared" ref="S1208:S1221" si="72">CONCATENATE(A1208,"")</f>
        <v>908001</v>
      </c>
      <c r="T1208" s="3">
        <v>1</v>
      </c>
      <c r="U1208" s="3">
        <v>0</v>
      </c>
      <c r="V1208" s="3">
        <v>1</v>
      </c>
      <c r="W1208" s="7"/>
      <c r="X1208" s="3" t="s">
        <v>2552</v>
      </c>
      <c r="Y1208" s="3" t="s">
        <v>2569</v>
      </c>
    </row>
    <row r="1209" spans="1:25" x14ac:dyDescent="0.15">
      <c r="A1209" s="3">
        <v>908002</v>
      </c>
      <c r="B1209" s="3" t="s">
        <v>2553</v>
      </c>
      <c r="C1209" s="3">
        <v>0</v>
      </c>
      <c r="D1209" s="3">
        <v>0</v>
      </c>
      <c r="E1209" s="3">
        <v>0</v>
      </c>
      <c r="F1209" s="3">
        <v>0</v>
      </c>
      <c r="G1209" s="3">
        <v>0</v>
      </c>
      <c r="H1209" s="3">
        <v>0</v>
      </c>
      <c r="I1209" s="3">
        <v>0</v>
      </c>
      <c r="J1209" s="4">
        <v>395</v>
      </c>
      <c r="K1209" s="3">
        <v>9</v>
      </c>
      <c r="L1209" s="3" t="s">
        <v>625</v>
      </c>
      <c r="M1209" s="3">
        <v>908</v>
      </c>
      <c r="N1209" s="27" t="s">
        <v>2561</v>
      </c>
      <c r="O1209" s="3">
        <v>0</v>
      </c>
      <c r="P1209" s="3"/>
      <c r="Q1209" s="3" t="str">
        <f t="shared" si="71"/>
        <v>908002</v>
      </c>
      <c r="R1209" s="3" t="str">
        <f t="shared" si="63"/>
        <v>ui_908002</v>
      </c>
      <c r="S1209" s="3" t="str">
        <f t="shared" si="72"/>
        <v>908002</v>
      </c>
      <c r="T1209" s="3">
        <v>1</v>
      </c>
      <c r="U1209" s="3">
        <v>0</v>
      </c>
      <c r="V1209" s="3">
        <v>1</v>
      </c>
      <c r="W1209" s="7"/>
      <c r="X1209" s="3" t="s">
        <v>2553</v>
      </c>
      <c r="Y1209" s="3" t="s">
        <v>2562</v>
      </c>
    </row>
    <row r="1210" spans="1:25" x14ac:dyDescent="0.15">
      <c r="A1210" s="3">
        <v>908003</v>
      </c>
      <c r="B1210" s="3" t="s">
        <v>2554</v>
      </c>
      <c r="C1210" s="3">
        <v>0</v>
      </c>
      <c r="D1210" s="3">
        <v>0</v>
      </c>
      <c r="E1210" s="3">
        <v>0</v>
      </c>
      <c r="F1210" s="3">
        <v>0</v>
      </c>
      <c r="G1210" s="3">
        <v>0</v>
      </c>
      <c r="H1210" s="3">
        <v>0</v>
      </c>
      <c r="I1210" s="3">
        <v>0</v>
      </c>
      <c r="J1210" s="4">
        <v>396</v>
      </c>
      <c r="K1210" s="3">
        <v>9</v>
      </c>
      <c r="L1210" s="3" t="s">
        <v>625</v>
      </c>
      <c r="M1210" s="3">
        <v>908</v>
      </c>
      <c r="N1210" s="27" t="s">
        <v>2561</v>
      </c>
      <c r="O1210" s="3">
        <v>0</v>
      </c>
      <c r="P1210" s="3"/>
      <c r="Q1210" s="3" t="str">
        <f t="shared" si="71"/>
        <v>908003</v>
      </c>
      <c r="R1210" s="3" t="str">
        <f t="shared" si="63"/>
        <v>ui_908003</v>
      </c>
      <c r="S1210" s="3" t="str">
        <f t="shared" si="72"/>
        <v>908003</v>
      </c>
      <c r="T1210" s="3">
        <v>1</v>
      </c>
      <c r="U1210" s="3">
        <v>0</v>
      </c>
      <c r="V1210" s="3">
        <v>1</v>
      </c>
      <c r="W1210" s="7"/>
      <c r="X1210" s="3" t="s">
        <v>2554</v>
      </c>
      <c r="Y1210" s="3" t="s">
        <v>2563</v>
      </c>
    </row>
    <row r="1211" spans="1:25" x14ac:dyDescent="0.15">
      <c r="A1211" s="3">
        <v>908004</v>
      </c>
      <c r="B1211" s="3" t="s">
        <v>2555</v>
      </c>
      <c r="C1211" s="3">
        <v>0</v>
      </c>
      <c r="D1211" s="3">
        <v>0</v>
      </c>
      <c r="E1211" s="3">
        <v>0</v>
      </c>
      <c r="F1211" s="3">
        <v>0</v>
      </c>
      <c r="G1211" s="3">
        <v>0</v>
      </c>
      <c r="H1211" s="3">
        <v>0</v>
      </c>
      <c r="I1211" s="3">
        <v>0</v>
      </c>
      <c r="J1211" s="4">
        <v>397</v>
      </c>
      <c r="K1211" s="3">
        <v>9</v>
      </c>
      <c r="L1211" s="3" t="s">
        <v>625</v>
      </c>
      <c r="M1211" s="3">
        <v>908</v>
      </c>
      <c r="N1211" s="27" t="s">
        <v>2561</v>
      </c>
      <c r="O1211" s="3">
        <v>0</v>
      </c>
      <c r="P1211" s="3"/>
      <c r="Q1211" s="3" t="str">
        <f t="shared" si="71"/>
        <v>908004</v>
      </c>
      <c r="R1211" s="3" t="str">
        <f t="shared" si="63"/>
        <v>ui_908004</v>
      </c>
      <c r="S1211" s="3" t="str">
        <f t="shared" si="72"/>
        <v>908004</v>
      </c>
      <c r="T1211" s="3">
        <v>1</v>
      </c>
      <c r="U1211" s="3">
        <v>0</v>
      </c>
      <c r="V1211" s="3">
        <v>1</v>
      </c>
      <c r="W1211" s="7"/>
      <c r="X1211" s="3" t="s">
        <v>2555</v>
      </c>
      <c r="Y1211" s="27" t="s">
        <v>2567</v>
      </c>
    </row>
    <row r="1212" spans="1:25" x14ac:dyDescent="0.15">
      <c r="A1212" s="3">
        <v>908005</v>
      </c>
      <c r="B1212" s="3" t="s">
        <v>2556</v>
      </c>
      <c r="C1212" s="3">
        <v>0</v>
      </c>
      <c r="D1212" s="3">
        <v>0</v>
      </c>
      <c r="E1212" s="3">
        <v>0</v>
      </c>
      <c r="F1212" s="3">
        <v>0</v>
      </c>
      <c r="G1212" s="3">
        <v>0</v>
      </c>
      <c r="H1212" s="3">
        <v>0</v>
      </c>
      <c r="I1212" s="3">
        <v>0</v>
      </c>
      <c r="J1212" s="4">
        <v>398</v>
      </c>
      <c r="K1212" s="3">
        <v>9</v>
      </c>
      <c r="L1212" s="3" t="s">
        <v>625</v>
      </c>
      <c r="M1212" s="3">
        <v>908</v>
      </c>
      <c r="N1212" s="27" t="s">
        <v>2561</v>
      </c>
      <c r="O1212" s="3">
        <v>0</v>
      </c>
      <c r="P1212" s="3"/>
      <c r="Q1212" s="3" t="str">
        <f t="shared" si="71"/>
        <v>908005</v>
      </c>
      <c r="R1212" s="3" t="str">
        <f t="shared" si="63"/>
        <v>ui_908005</v>
      </c>
      <c r="S1212" s="3" t="str">
        <f t="shared" si="72"/>
        <v>908005</v>
      </c>
      <c r="T1212" s="3">
        <v>1</v>
      </c>
      <c r="U1212" s="3">
        <v>0</v>
      </c>
      <c r="V1212" s="3">
        <v>1</v>
      </c>
      <c r="W1212" s="7"/>
      <c r="X1212" s="3" t="s">
        <v>2556</v>
      </c>
      <c r="Y1212" s="3" t="s">
        <v>2568</v>
      </c>
    </row>
    <row r="1213" spans="1:25" x14ac:dyDescent="0.15">
      <c r="A1213" s="3">
        <v>908006</v>
      </c>
      <c r="B1213" s="3" t="s">
        <v>2557</v>
      </c>
      <c r="C1213" s="3">
        <v>0</v>
      </c>
      <c r="D1213" s="3">
        <v>0</v>
      </c>
      <c r="E1213" s="3">
        <v>0</v>
      </c>
      <c r="F1213" s="3">
        <v>0</v>
      </c>
      <c r="G1213" s="3">
        <v>0</v>
      </c>
      <c r="H1213" s="3">
        <v>0</v>
      </c>
      <c r="I1213" s="3">
        <v>0</v>
      </c>
      <c r="J1213" s="4">
        <v>399</v>
      </c>
      <c r="K1213" s="3">
        <v>9</v>
      </c>
      <c r="L1213" s="3" t="s">
        <v>625</v>
      </c>
      <c r="M1213" s="3">
        <v>908</v>
      </c>
      <c r="N1213" s="27" t="s">
        <v>2561</v>
      </c>
      <c r="O1213" s="3">
        <v>0</v>
      </c>
      <c r="P1213" s="3"/>
      <c r="Q1213" s="3" t="str">
        <f t="shared" si="71"/>
        <v>908006</v>
      </c>
      <c r="R1213" s="3" t="str">
        <f t="shared" si="63"/>
        <v>ui_908006</v>
      </c>
      <c r="S1213" s="3" t="str">
        <f t="shared" si="72"/>
        <v>908006</v>
      </c>
      <c r="T1213" s="3">
        <v>1</v>
      </c>
      <c r="U1213" s="3">
        <v>0</v>
      </c>
      <c r="V1213" s="3">
        <v>1</v>
      </c>
      <c r="W1213" s="7"/>
      <c r="X1213" s="3" t="s">
        <v>2557</v>
      </c>
      <c r="Y1213" s="3" t="s">
        <v>2566</v>
      </c>
    </row>
    <row r="1214" spans="1:25" x14ac:dyDescent="0.15">
      <c r="A1214" s="3">
        <v>908007</v>
      </c>
      <c r="B1214" s="3" t="s">
        <v>2558</v>
      </c>
      <c r="C1214" s="3">
        <v>0</v>
      </c>
      <c r="D1214" s="3">
        <v>0</v>
      </c>
      <c r="E1214" s="3">
        <v>0</v>
      </c>
      <c r="F1214" s="3">
        <v>0</v>
      </c>
      <c r="G1214" s="3">
        <v>0</v>
      </c>
      <c r="H1214" s="3">
        <v>0</v>
      </c>
      <c r="I1214" s="3">
        <v>0</v>
      </c>
      <c r="J1214" s="4">
        <v>400</v>
      </c>
      <c r="K1214" s="3">
        <v>9</v>
      </c>
      <c r="L1214" s="3" t="s">
        <v>625</v>
      </c>
      <c r="M1214" s="3">
        <v>908</v>
      </c>
      <c r="N1214" s="27" t="s">
        <v>2561</v>
      </c>
      <c r="O1214" s="3">
        <v>0</v>
      </c>
      <c r="P1214" s="3"/>
      <c r="Q1214" s="3" t="str">
        <f t="shared" si="71"/>
        <v>908007</v>
      </c>
      <c r="R1214" s="3" t="str">
        <f t="shared" ref="R1214:R1221" si="73">CONCATENATE("ui_",A1214,"")</f>
        <v>ui_908007</v>
      </c>
      <c r="S1214" s="3" t="str">
        <f t="shared" si="72"/>
        <v>908007</v>
      </c>
      <c r="T1214" s="3">
        <v>1</v>
      </c>
      <c r="U1214" s="3">
        <v>0</v>
      </c>
      <c r="V1214" s="3">
        <v>1</v>
      </c>
      <c r="W1214" s="7"/>
      <c r="X1214" s="3" t="s">
        <v>2558</v>
      </c>
      <c r="Y1214" s="3" t="s">
        <v>2564</v>
      </c>
    </row>
    <row r="1215" spans="1:25" x14ac:dyDescent="0.15">
      <c r="A1215" s="3">
        <v>908008</v>
      </c>
      <c r="B1215" s="3" t="s">
        <v>2559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4">
        <v>401</v>
      </c>
      <c r="K1215" s="3">
        <v>9</v>
      </c>
      <c r="L1215" s="3" t="s">
        <v>625</v>
      </c>
      <c r="M1215" s="3">
        <v>908</v>
      </c>
      <c r="N1215" s="27" t="s">
        <v>2561</v>
      </c>
      <c r="O1215" s="3">
        <v>0</v>
      </c>
      <c r="P1215" s="3"/>
      <c r="Q1215" s="3" t="str">
        <f t="shared" si="71"/>
        <v>908008</v>
      </c>
      <c r="R1215" s="3" t="str">
        <f t="shared" si="73"/>
        <v>ui_908008</v>
      </c>
      <c r="S1215" s="3" t="str">
        <f t="shared" si="72"/>
        <v>908008</v>
      </c>
      <c r="T1215" s="3">
        <v>1</v>
      </c>
      <c r="U1215" s="3">
        <v>0</v>
      </c>
      <c r="V1215" s="3">
        <v>1</v>
      </c>
      <c r="W1215" s="7"/>
      <c r="X1215" s="3" t="s">
        <v>2559</v>
      </c>
      <c r="Y1215" s="3" t="s">
        <v>2565</v>
      </c>
    </row>
    <row r="1216" spans="1:25" x14ac:dyDescent="0.15">
      <c r="A1216" s="3">
        <v>908009</v>
      </c>
      <c r="B1216" s="3" t="s">
        <v>2560</v>
      </c>
      <c r="C1216" s="3">
        <v>0</v>
      </c>
      <c r="D1216" s="3">
        <v>0</v>
      </c>
      <c r="E1216" s="3">
        <v>0</v>
      </c>
      <c r="F1216" s="3">
        <v>0</v>
      </c>
      <c r="G1216" s="3">
        <v>0</v>
      </c>
      <c r="H1216" s="3">
        <v>0</v>
      </c>
      <c r="I1216" s="3">
        <v>0</v>
      </c>
      <c r="J1216" s="4">
        <v>402</v>
      </c>
      <c r="K1216" s="3">
        <v>9</v>
      </c>
      <c r="L1216" s="3" t="s">
        <v>625</v>
      </c>
      <c r="M1216" s="3">
        <v>908</v>
      </c>
      <c r="N1216" s="27" t="s">
        <v>2561</v>
      </c>
      <c r="O1216" s="3">
        <v>0</v>
      </c>
      <c r="P1216" s="3"/>
      <c r="Q1216" s="3" t="str">
        <f t="shared" si="71"/>
        <v>908009</v>
      </c>
      <c r="R1216" s="3" t="str">
        <f t="shared" si="73"/>
        <v>ui_908009</v>
      </c>
      <c r="S1216" s="3" t="str">
        <f t="shared" si="72"/>
        <v>908009</v>
      </c>
      <c r="T1216" s="3">
        <v>1</v>
      </c>
      <c r="U1216" s="3">
        <v>0</v>
      </c>
      <c r="V1216" s="3">
        <v>1</v>
      </c>
      <c r="W1216" s="7"/>
      <c r="X1216" s="3" t="s">
        <v>2560</v>
      </c>
      <c r="Y1216" s="3" t="s">
        <v>2570</v>
      </c>
    </row>
    <row r="1217" spans="1:25" x14ac:dyDescent="0.15">
      <c r="A1217" s="3">
        <v>909001</v>
      </c>
      <c r="B1217" s="27" t="s">
        <v>2086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4">
        <v>394</v>
      </c>
      <c r="K1217" s="3">
        <v>9</v>
      </c>
      <c r="L1217" s="3" t="s">
        <v>625</v>
      </c>
      <c r="M1217" s="3">
        <v>909</v>
      </c>
      <c r="N1217" s="3" t="s">
        <v>625</v>
      </c>
      <c r="O1217" s="3">
        <v>0</v>
      </c>
      <c r="P1217" s="3"/>
      <c r="Q1217" s="3" t="str">
        <f t="shared" si="71"/>
        <v>909001</v>
      </c>
      <c r="R1217" s="3" t="str">
        <f t="shared" si="73"/>
        <v>ui_909001</v>
      </c>
      <c r="S1217" s="3" t="str">
        <f t="shared" si="72"/>
        <v>909001</v>
      </c>
      <c r="T1217" s="3">
        <v>0</v>
      </c>
      <c r="U1217" s="3">
        <v>0</v>
      </c>
      <c r="V1217" s="3">
        <v>1</v>
      </c>
      <c r="W1217" s="7"/>
      <c r="X1217" s="3" t="s">
        <v>716</v>
      </c>
      <c r="Y1217" s="3" t="s">
        <v>252</v>
      </c>
    </row>
    <row r="1218" spans="1:25" x14ac:dyDescent="0.15">
      <c r="A1218" s="3">
        <v>909002</v>
      </c>
      <c r="B1218" s="3" t="s">
        <v>689</v>
      </c>
      <c r="C1218" s="3">
        <v>0</v>
      </c>
      <c r="D1218" s="3">
        <v>0</v>
      </c>
      <c r="E1218" s="3">
        <v>0</v>
      </c>
      <c r="F1218" s="3">
        <v>0</v>
      </c>
      <c r="G1218" s="3">
        <v>0</v>
      </c>
      <c r="H1218" s="3">
        <v>0</v>
      </c>
      <c r="I1218" s="3">
        <v>0</v>
      </c>
      <c r="J1218" s="4">
        <v>395</v>
      </c>
      <c r="K1218" s="3">
        <v>9</v>
      </c>
      <c r="L1218" s="3" t="s">
        <v>625</v>
      </c>
      <c r="M1218" s="3">
        <v>909</v>
      </c>
      <c r="N1218" s="3" t="s">
        <v>625</v>
      </c>
      <c r="O1218" s="3">
        <v>0</v>
      </c>
      <c r="P1218" s="3"/>
      <c r="Q1218" s="3" t="s">
        <v>717</v>
      </c>
      <c r="R1218" s="3" t="str">
        <f t="shared" si="73"/>
        <v>ui_909002</v>
      </c>
      <c r="S1218" s="3" t="str">
        <f t="shared" si="72"/>
        <v>909002</v>
      </c>
      <c r="T1218" s="3">
        <v>0</v>
      </c>
      <c r="U1218" s="3">
        <v>0</v>
      </c>
      <c r="V1218" s="3">
        <v>1</v>
      </c>
      <c r="W1218" s="7"/>
      <c r="X1218" s="3" t="s">
        <v>689</v>
      </c>
      <c r="Y1218" s="3" t="s">
        <v>718</v>
      </c>
    </row>
    <row r="1219" spans="1:25" x14ac:dyDescent="0.15">
      <c r="A1219" s="3">
        <v>909003</v>
      </c>
      <c r="B1219" s="3" t="s">
        <v>719</v>
      </c>
      <c r="C1219" s="3">
        <v>0</v>
      </c>
      <c r="D1219" s="3">
        <v>0</v>
      </c>
      <c r="E1219" s="3">
        <v>0</v>
      </c>
      <c r="F1219" s="3">
        <v>0</v>
      </c>
      <c r="G1219" s="3">
        <v>0</v>
      </c>
      <c r="H1219" s="3">
        <v>0</v>
      </c>
      <c r="I1219" s="3">
        <v>0</v>
      </c>
      <c r="J1219" s="4">
        <v>396</v>
      </c>
      <c r="K1219" s="3">
        <v>9</v>
      </c>
      <c r="L1219" s="3" t="s">
        <v>625</v>
      </c>
      <c r="M1219" s="3">
        <v>909</v>
      </c>
      <c r="N1219" s="3" t="s">
        <v>625</v>
      </c>
      <c r="O1219" s="3">
        <v>0</v>
      </c>
      <c r="P1219" s="3"/>
      <c r="Q1219" s="3" t="s">
        <v>720</v>
      </c>
      <c r="R1219" s="3" t="str">
        <f t="shared" si="73"/>
        <v>ui_909003</v>
      </c>
      <c r="S1219" s="3" t="str">
        <f t="shared" si="72"/>
        <v>909003</v>
      </c>
      <c r="T1219" s="3">
        <v>1</v>
      </c>
      <c r="U1219" s="3">
        <v>0</v>
      </c>
      <c r="V1219" s="3">
        <v>1</v>
      </c>
      <c r="W1219" s="7"/>
      <c r="X1219" s="3" t="s">
        <v>719</v>
      </c>
      <c r="Y1219" s="3"/>
    </row>
    <row r="1220" spans="1:25" x14ac:dyDescent="0.15">
      <c r="A1220" s="3">
        <v>909004</v>
      </c>
      <c r="B1220" s="27" t="s">
        <v>1893</v>
      </c>
      <c r="C1220" s="3">
        <v>0</v>
      </c>
      <c r="D1220" s="3">
        <v>0</v>
      </c>
      <c r="E1220" s="3">
        <v>0</v>
      </c>
      <c r="F1220" s="3">
        <v>0</v>
      </c>
      <c r="G1220" s="3">
        <v>0</v>
      </c>
      <c r="H1220" s="3">
        <v>0</v>
      </c>
      <c r="I1220" s="3">
        <v>0</v>
      </c>
      <c r="J1220" s="4">
        <v>396</v>
      </c>
      <c r="K1220" s="3">
        <v>9</v>
      </c>
      <c r="L1220" s="3" t="s">
        <v>625</v>
      </c>
      <c r="M1220" s="3">
        <v>909</v>
      </c>
      <c r="N1220" s="3" t="s">
        <v>625</v>
      </c>
      <c r="O1220" s="3">
        <v>0</v>
      </c>
      <c r="P1220" s="3"/>
      <c r="Q1220" s="27" t="s">
        <v>1894</v>
      </c>
      <c r="R1220" s="3" t="str">
        <f t="shared" si="73"/>
        <v>ui_909004</v>
      </c>
      <c r="S1220" s="3" t="str">
        <f t="shared" si="72"/>
        <v>909004</v>
      </c>
      <c r="T1220" s="3">
        <v>1</v>
      </c>
      <c r="U1220" s="3">
        <v>0</v>
      </c>
      <c r="V1220" s="3">
        <v>1</v>
      </c>
      <c r="W1220" s="7"/>
      <c r="X1220" s="27" t="s">
        <v>1893</v>
      </c>
      <c r="Y1220" s="3"/>
    </row>
    <row r="1221" spans="1:25" x14ac:dyDescent="0.15">
      <c r="A1221" s="3">
        <v>909005</v>
      </c>
      <c r="B1221" s="27" t="s">
        <v>2522</v>
      </c>
      <c r="C1221" s="3">
        <v>0</v>
      </c>
      <c r="D1221" s="3">
        <v>0</v>
      </c>
      <c r="E1221" s="3">
        <v>0</v>
      </c>
      <c r="F1221" s="3">
        <v>0</v>
      </c>
      <c r="G1221" s="3">
        <v>0</v>
      </c>
      <c r="H1221" s="3">
        <v>0</v>
      </c>
      <c r="I1221" s="3">
        <v>0</v>
      </c>
      <c r="J1221" s="4">
        <v>396</v>
      </c>
      <c r="K1221" s="3">
        <v>9</v>
      </c>
      <c r="L1221" s="3" t="s">
        <v>625</v>
      </c>
      <c r="M1221" s="3">
        <v>909</v>
      </c>
      <c r="N1221" s="3" t="s">
        <v>625</v>
      </c>
      <c r="O1221" s="3">
        <v>0</v>
      </c>
      <c r="P1221" s="3"/>
      <c r="Q1221" s="3" t="s">
        <v>601</v>
      </c>
      <c r="R1221" s="3" t="str">
        <f t="shared" si="73"/>
        <v>ui_909005</v>
      </c>
      <c r="S1221" s="3" t="str">
        <f t="shared" si="72"/>
        <v>909005</v>
      </c>
      <c r="T1221" s="3">
        <v>1</v>
      </c>
      <c r="U1221" s="3">
        <v>0</v>
      </c>
      <c r="V1221" s="3">
        <v>1</v>
      </c>
      <c r="W1221" s="7"/>
      <c r="X1221" s="27" t="s">
        <v>2521</v>
      </c>
      <c r="Y1221" s="3" t="s">
        <v>2523</v>
      </c>
    </row>
    <row r="1222" spans="1:25" x14ac:dyDescent="0.15">
      <c r="A1222" s="3">
        <v>909006</v>
      </c>
      <c r="B1222" s="31" t="s">
        <v>2944</v>
      </c>
      <c r="C1222" s="3">
        <v>0</v>
      </c>
      <c r="D1222" s="3">
        <v>0</v>
      </c>
      <c r="E1222" s="3">
        <v>0</v>
      </c>
      <c r="F1222" s="3">
        <v>0</v>
      </c>
      <c r="G1222" s="3">
        <v>0</v>
      </c>
      <c r="H1222" s="3">
        <v>0</v>
      </c>
      <c r="I1222" s="3">
        <v>0</v>
      </c>
      <c r="J1222" s="4">
        <v>396</v>
      </c>
      <c r="K1222" s="3">
        <v>9</v>
      </c>
      <c r="L1222" s="3" t="s">
        <v>625</v>
      </c>
      <c r="M1222" s="3">
        <v>909</v>
      </c>
      <c r="N1222" s="3" t="s">
        <v>625</v>
      </c>
      <c r="O1222" s="3">
        <v>0</v>
      </c>
      <c r="P1222" s="3"/>
      <c r="Q1222" s="3" t="s">
        <v>601</v>
      </c>
      <c r="R1222" s="15" t="s">
        <v>2941</v>
      </c>
      <c r="S1222" s="15" t="s">
        <v>2942</v>
      </c>
      <c r="T1222" s="3">
        <v>1</v>
      </c>
      <c r="U1222" s="3">
        <v>0</v>
      </c>
      <c r="V1222" s="3">
        <v>1</v>
      </c>
      <c r="W1222" s="7"/>
      <c r="X1222" s="31" t="s">
        <v>2944</v>
      </c>
      <c r="Y1222" s="27" t="s">
        <v>2943</v>
      </c>
    </row>
  </sheetData>
  <phoneticPr fontId="6" type="noConversion"/>
  <conditionalFormatting sqref="G1:G2 I1:I2">
    <cfRule type="colorScale" priority="27">
      <colorScale>
        <cfvo type="min"/>
        <cfvo type="max"/>
        <color rgb="FFFCFCFF"/>
        <color rgb="FFF8696B"/>
      </colorScale>
    </cfRule>
  </conditionalFormatting>
  <conditionalFormatting sqref="G1:G2">
    <cfRule type="colorScale" priority="28">
      <colorScale>
        <cfvo type="min"/>
        <cfvo type="max"/>
        <color rgb="FFFCFCFF"/>
        <color rgb="FFF8696B"/>
      </colorScale>
    </cfRule>
  </conditionalFormatting>
  <conditionalFormatting sqref="G3:G60 I3:I60">
    <cfRule type="colorScale" priority="3565">
      <colorScale>
        <cfvo type="min"/>
        <cfvo type="max"/>
        <color rgb="FFFCFCFF"/>
        <color rgb="FFF8696B"/>
      </colorScale>
    </cfRule>
  </conditionalFormatting>
  <conditionalFormatting sqref="G3:G60">
    <cfRule type="colorScale" priority="3567">
      <colorScale>
        <cfvo type="min"/>
        <cfvo type="max"/>
        <color rgb="FFFCFCFF"/>
        <color rgb="FFF8696B"/>
      </colorScale>
    </cfRule>
  </conditionalFormatting>
  <conditionalFormatting sqref="G621:G640">
    <cfRule type="colorScale" priority="1">
      <colorScale>
        <cfvo type="min"/>
        <cfvo type="max"/>
        <color rgb="FFFCFCFF"/>
        <color rgb="FFF8696B"/>
      </colorScale>
    </cfRule>
  </conditionalFormatting>
  <conditionalFormatting sqref="G663:G684">
    <cfRule type="colorScale" priority="2581">
      <colorScale>
        <cfvo type="min"/>
        <cfvo type="max"/>
        <color rgb="FFFCFCFF"/>
        <color rgb="FFF8696B"/>
      </colorScale>
    </cfRule>
  </conditionalFormatting>
  <conditionalFormatting sqref="G919:G963">
    <cfRule type="colorScale" priority="31">
      <colorScale>
        <cfvo type="min"/>
        <cfvo type="max"/>
        <color rgb="FFFCFCFF"/>
        <color rgb="FFF8696B"/>
      </colorScale>
    </cfRule>
  </conditionalFormatting>
  <conditionalFormatting sqref="G964:G981 G685:G918 G61:G620 G641:G662">
    <cfRule type="colorScale" priority="38">
      <colorScale>
        <cfvo type="min"/>
        <cfvo type="max"/>
        <color rgb="FFFCFCFF"/>
        <color rgb="FFF8696B"/>
      </colorScale>
    </cfRule>
  </conditionalFormatting>
  <conditionalFormatting sqref="G982:G1114 I982:I1114">
    <cfRule type="colorScale" priority="3015">
      <colorScale>
        <cfvo type="min"/>
        <cfvo type="max"/>
        <color rgb="FFFCFCFF"/>
        <color rgb="FFF8696B"/>
      </colorScale>
    </cfRule>
  </conditionalFormatting>
  <conditionalFormatting sqref="G982:G1114">
    <cfRule type="colorScale" priority="3017">
      <colorScale>
        <cfvo type="min"/>
        <cfvo type="max"/>
        <color rgb="FFFCFCFF"/>
        <color rgb="FFF8696B"/>
      </colorScale>
    </cfRule>
    <cfRule type="colorScale" priority="3018">
      <colorScale>
        <cfvo type="min"/>
        <cfvo type="max"/>
        <color rgb="FFFCFCFF"/>
        <color rgb="FFF8696B"/>
      </colorScale>
    </cfRule>
  </conditionalFormatting>
  <conditionalFormatting sqref="G1144:H1175">
    <cfRule type="colorScale" priority="3881">
      <colorScale>
        <cfvo type="min"/>
        <cfvo type="max"/>
        <color rgb="FFFCFCFF"/>
        <color rgb="FFF8696B"/>
      </colorScale>
    </cfRule>
    <cfRule type="colorScale" priority="3882">
      <colorScale>
        <cfvo type="min"/>
        <cfvo type="max"/>
        <color rgb="FFFCFCFF"/>
        <color rgb="FFF8696B"/>
      </colorScale>
    </cfRule>
  </conditionalFormatting>
  <conditionalFormatting sqref="G1176:H1221 G1115:H1143">
    <cfRule type="colorScale" priority="15">
      <colorScale>
        <cfvo type="min"/>
        <cfvo type="max"/>
        <color rgb="FFFCFCFF"/>
        <color rgb="FFF8696B"/>
      </colorScale>
    </cfRule>
    <cfRule type="colorScale" priority="17">
      <colorScale>
        <cfvo type="min"/>
        <cfvo type="max"/>
        <color rgb="FFFCFCFF"/>
        <color rgb="FFF8696B"/>
      </colorScale>
    </cfRule>
  </conditionalFormatting>
  <conditionalFormatting sqref="G1222:H1222">
    <cfRule type="colorScale" priority="10">
      <colorScale>
        <cfvo type="min"/>
        <cfvo type="max"/>
        <color rgb="FFFCFCFF"/>
        <color rgb="FFF8696B"/>
      </colorScale>
    </cfRule>
    <cfRule type="colorScale" priority="12">
      <colorScale>
        <cfvo type="min"/>
        <cfvo type="max"/>
        <color rgb="FFFCFCFF"/>
        <color rgb="FFF8696B"/>
      </colorScale>
    </cfRule>
  </conditionalFormatting>
  <conditionalFormatting sqref="G1144:I1175">
    <cfRule type="colorScale" priority="3885">
      <colorScale>
        <cfvo type="min"/>
        <cfvo type="max"/>
        <color rgb="FFFCFCFF"/>
        <color rgb="FFF8696B"/>
      </colorScale>
    </cfRule>
  </conditionalFormatting>
  <conditionalFormatting sqref="G1176:I1221 G1115:I1143">
    <cfRule type="colorScale" priority="16">
      <colorScale>
        <cfvo type="min"/>
        <cfvo type="max"/>
        <color rgb="FFFCFCFF"/>
        <color rgb="FFF8696B"/>
      </colorScale>
    </cfRule>
  </conditionalFormatting>
  <conditionalFormatting sqref="G1222:I1222">
    <cfRule type="colorScale" priority="11">
      <colorScale>
        <cfvo type="min"/>
        <cfvo type="max"/>
        <color rgb="FFFCFCFF"/>
        <color rgb="FFF8696B"/>
      </colorScale>
    </cfRule>
  </conditionalFormatting>
  <conditionalFormatting sqref="H1115:H1222">
    <cfRule type="colorScale" priority="3887">
      <colorScale>
        <cfvo type="min"/>
        <cfvo type="max"/>
        <color rgb="FFFCFCFF"/>
        <color rgb="FFF8696B"/>
      </colorScale>
    </cfRule>
  </conditionalFormatting>
  <conditionalFormatting sqref="I1:I2">
    <cfRule type="colorScale" priority="29">
      <colorScale>
        <cfvo type="min"/>
        <cfvo type="max"/>
        <color rgb="FFFCFCFF"/>
        <color rgb="FFF8696B"/>
      </colorScale>
    </cfRule>
  </conditionalFormatting>
  <conditionalFormatting sqref="I3:I60">
    <cfRule type="colorScale" priority="3568">
      <colorScale>
        <cfvo type="min"/>
        <cfvo type="max"/>
        <color rgb="FFFCFCFF"/>
        <color rgb="FFF8696B"/>
      </colorScale>
    </cfRule>
  </conditionalFormatting>
  <conditionalFormatting sqref="I61:I620 I641:I981 G61:G620 G641:G981">
    <cfRule type="colorScale" priority="2583">
      <colorScale>
        <cfvo type="min"/>
        <cfvo type="max"/>
        <color rgb="FFFCFCFF"/>
        <color rgb="FFF8696B"/>
      </colorScale>
    </cfRule>
  </conditionalFormatting>
  <conditionalFormatting sqref="I621:I640 G621:G640">
    <cfRule type="colorScale" priority="3">
      <colorScale>
        <cfvo type="min"/>
        <cfvo type="max"/>
        <color rgb="FFFCFCFF"/>
        <color rgb="FFF8696B"/>
      </colorScale>
    </cfRule>
  </conditionalFormatting>
  <conditionalFormatting sqref="I621:I640">
    <cfRule type="colorScale" priority="2">
      <colorScale>
        <cfvo type="min"/>
        <cfvo type="max"/>
        <color rgb="FFFCFCFF"/>
        <color rgb="FFF8696B"/>
      </colorScale>
    </cfRule>
  </conditionalFormatting>
  <conditionalFormatting sqref="I663:I684">
    <cfRule type="colorScale" priority="2585">
      <colorScale>
        <cfvo type="min"/>
        <cfvo type="max"/>
        <color rgb="FFFCFCFF"/>
        <color rgb="FFF8696B"/>
      </colorScale>
    </cfRule>
  </conditionalFormatting>
  <conditionalFormatting sqref="I919:I963">
    <cfRule type="colorScale" priority="32">
      <colorScale>
        <cfvo type="min"/>
        <cfvo type="max"/>
        <color rgb="FFFCFCFF"/>
        <color rgb="FFF8696B"/>
      </colorScale>
    </cfRule>
  </conditionalFormatting>
  <conditionalFormatting sqref="I964:I981 I685:I918 I61:I620 I641:I662">
    <cfRule type="colorScale" priority="39">
      <colorScale>
        <cfvo type="min"/>
        <cfvo type="max"/>
        <color rgb="FFFCFCFF"/>
        <color rgb="FFF8696B"/>
      </colorScale>
    </cfRule>
  </conditionalFormatting>
  <conditionalFormatting sqref="I982:I1114">
    <cfRule type="colorScale" priority="3019">
      <colorScale>
        <cfvo type="min"/>
        <cfvo type="max"/>
        <color rgb="FFFCFCFF"/>
        <color rgb="FFF8696B"/>
      </colorScale>
    </cfRule>
    <cfRule type="colorScale" priority="3020">
      <colorScale>
        <cfvo type="min"/>
        <cfvo type="max"/>
        <color rgb="FFFCFCFF"/>
        <color rgb="FFF8696B"/>
      </colorScale>
    </cfRule>
  </conditionalFormatting>
  <conditionalFormatting sqref="I1115:I1222">
    <cfRule type="colorScale" priority="3889">
      <colorScale>
        <cfvo type="min"/>
        <cfvo type="max"/>
        <color rgb="FFFCFCFF"/>
        <color rgb="FFF8696B"/>
      </colorScale>
    </cfRule>
    <cfRule type="colorScale" priority="3890">
      <colorScale>
        <cfvo type="min"/>
        <cfvo type="max"/>
        <color rgb="FFFCFCFF"/>
        <color rgb="FFF8696B"/>
      </colorScale>
    </cfRule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B775A-0EE5-402C-96E0-EF593C633F67}">
  <dimension ref="A1:B119"/>
  <sheetViews>
    <sheetView topLeftCell="A73" workbookViewId="0">
      <selection activeCell="E91" sqref="E91"/>
    </sheetView>
  </sheetViews>
  <sheetFormatPr defaultRowHeight="13.5" x14ac:dyDescent="0.15"/>
  <cols>
    <col min="1" max="1" width="7.375" customWidth="1"/>
    <col min="2" max="2" width="9.375" customWidth="1"/>
  </cols>
  <sheetData>
    <row r="1" spans="1:2" x14ac:dyDescent="0.15">
      <c r="A1" s="32" t="s">
        <v>3549</v>
      </c>
      <c r="B1" s="8" t="s">
        <v>16</v>
      </c>
    </row>
    <row r="2" spans="1:2" x14ac:dyDescent="0.15">
      <c r="A2" s="27" t="s">
        <v>3548</v>
      </c>
      <c r="B2" s="3" t="str">
        <f>CONCATENATE("stuff_type_name_",B1,"#str")</f>
        <v>stuff_type_name_zh-CN#str</v>
      </c>
    </row>
    <row r="3" spans="1:2" x14ac:dyDescent="0.15">
      <c r="A3" s="3">
        <v>1</v>
      </c>
      <c r="B3" s="3" t="s">
        <v>36</v>
      </c>
    </row>
    <row r="4" spans="1:2" x14ac:dyDescent="0.15">
      <c r="A4" s="3">
        <v>2</v>
      </c>
      <c r="B4" s="3" t="s">
        <v>722</v>
      </c>
    </row>
    <row r="5" spans="1:2" x14ac:dyDescent="0.15">
      <c r="A5" s="3">
        <v>3</v>
      </c>
      <c r="B5" s="3" t="s">
        <v>269</v>
      </c>
    </row>
    <row r="6" spans="1:2" x14ac:dyDescent="0.15">
      <c r="A6" s="3">
        <v>4</v>
      </c>
      <c r="B6" s="3" t="s">
        <v>323</v>
      </c>
    </row>
    <row r="7" spans="1:2" x14ac:dyDescent="0.15">
      <c r="A7" s="3">
        <v>5</v>
      </c>
      <c r="B7" s="3" t="s">
        <v>420</v>
      </c>
    </row>
    <row r="8" spans="1:2" x14ac:dyDescent="0.15">
      <c r="A8" s="3">
        <v>6</v>
      </c>
      <c r="B8" s="3" t="s">
        <v>456</v>
      </c>
    </row>
    <row r="9" spans="1:2" x14ac:dyDescent="0.15">
      <c r="A9" s="3">
        <v>7</v>
      </c>
      <c r="B9" s="3" t="s">
        <v>515</v>
      </c>
    </row>
    <row r="10" spans="1:2" x14ac:dyDescent="0.15">
      <c r="A10" s="3">
        <v>8</v>
      </c>
      <c r="B10" s="3" t="s">
        <v>228</v>
      </c>
    </row>
    <row r="11" spans="1:2" x14ac:dyDescent="0.15">
      <c r="A11" s="3">
        <v>9</v>
      </c>
      <c r="B11" s="3" t="s">
        <v>625</v>
      </c>
    </row>
    <row r="12" spans="1:2" x14ac:dyDescent="0.15">
      <c r="A12" s="3">
        <v>100</v>
      </c>
      <c r="B12" s="27" t="s">
        <v>2098</v>
      </c>
    </row>
    <row r="13" spans="1:2" x14ac:dyDescent="0.15">
      <c r="A13" s="3">
        <v>101</v>
      </c>
      <c r="B13" s="3" t="s">
        <v>38</v>
      </c>
    </row>
    <row r="14" spans="1:2" x14ac:dyDescent="0.15">
      <c r="A14" s="3">
        <v>102</v>
      </c>
      <c r="B14" s="3" t="s">
        <v>45</v>
      </c>
    </row>
    <row r="15" spans="1:2" x14ac:dyDescent="0.15">
      <c r="A15" s="3">
        <v>103</v>
      </c>
      <c r="B15" s="3" t="s">
        <v>67</v>
      </c>
    </row>
    <row r="16" spans="1:2" x14ac:dyDescent="0.15">
      <c r="A16" s="3">
        <v>104</v>
      </c>
      <c r="B16" s="3" t="s">
        <v>89</v>
      </c>
    </row>
    <row r="17" spans="1:2" x14ac:dyDescent="0.15">
      <c r="A17" s="3">
        <v>105</v>
      </c>
      <c r="B17" s="3" t="s">
        <v>126</v>
      </c>
    </row>
    <row r="18" spans="1:2" x14ac:dyDescent="0.15">
      <c r="A18" s="3">
        <v>106</v>
      </c>
      <c r="B18" s="3" t="s">
        <v>206</v>
      </c>
    </row>
    <row r="19" spans="1:2" x14ac:dyDescent="0.15">
      <c r="A19" s="3">
        <v>107</v>
      </c>
      <c r="B19" s="3" t="s">
        <v>223</v>
      </c>
    </row>
    <row r="20" spans="1:2" x14ac:dyDescent="0.15">
      <c r="A20" s="3">
        <v>108</v>
      </c>
      <c r="B20" s="3" t="s">
        <v>228</v>
      </c>
    </row>
    <row r="21" spans="1:2" x14ac:dyDescent="0.15">
      <c r="A21" s="3">
        <v>109</v>
      </c>
      <c r="B21" s="3" t="s">
        <v>248</v>
      </c>
    </row>
    <row r="22" spans="1:2" x14ac:dyDescent="0.15">
      <c r="A22" s="3">
        <v>110</v>
      </c>
      <c r="B22" s="3" t="s">
        <v>250</v>
      </c>
    </row>
    <row r="23" spans="1:2" x14ac:dyDescent="0.15">
      <c r="A23" s="3">
        <v>111</v>
      </c>
      <c r="B23" s="3" t="s">
        <v>265</v>
      </c>
    </row>
    <row r="24" spans="1:2" x14ac:dyDescent="0.15">
      <c r="A24" s="3">
        <v>112</v>
      </c>
      <c r="B24" s="27" t="s">
        <v>2686</v>
      </c>
    </row>
    <row r="25" spans="1:2" x14ac:dyDescent="0.15">
      <c r="A25" s="3">
        <v>113</v>
      </c>
      <c r="B25" s="3" t="s">
        <v>45</v>
      </c>
    </row>
    <row r="26" spans="1:2" x14ac:dyDescent="0.15">
      <c r="A26" s="3">
        <v>201</v>
      </c>
      <c r="B26" s="3" t="s">
        <v>723</v>
      </c>
    </row>
    <row r="27" spans="1:2" x14ac:dyDescent="0.15">
      <c r="A27" s="3">
        <v>202</v>
      </c>
      <c r="B27" s="3" t="s">
        <v>1174</v>
      </c>
    </row>
    <row r="28" spans="1:2" x14ac:dyDescent="0.15">
      <c r="A28" s="3">
        <v>203</v>
      </c>
      <c r="B28" s="3" t="s">
        <v>723</v>
      </c>
    </row>
    <row r="29" spans="1:2" x14ac:dyDescent="0.15">
      <c r="A29" s="3">
        <v>301</v>
      </c>
      <c r="B29" s="3" t="s">
        <v>270</v>
      </c>
    </row>
    <row r="30" spans="1:2" x14ac:dyDescent="0.15">
      <c r="A30" s="3">
        <v>302</v>
      </c>
      <c r="B30" s="3" t="s">
        <v>1620</v>
      </c>
    </row>
    <row r="31" spans="1:2" x14ac:dyDescent="0.15">
      <c r="A31" s="3">
        <v>303</v>
      </c>
      <c r="B31" s="3" t="s">
        <v>291</v>
      </c>
    </row>
    <row r="32" spans="1:2" x14ac:dyDescent="0.15">
      <c r="A32" s="3">
        <v>304</v>
      </c>
      <c r="B32" s="3" t="s">
        <v>1621</v>
      </c>
    </row>
    <row r="33" spans="1:2" x14ac:dyDescent="0.15">
      <c r="A33" s="3">
        <v>305</v>
      </c>
      <c r="B33" s="3" t="s">
        <v>313</v>
      </c>
    </row>
    <row r="34" spans="1:2" x14ac:dyDescent="0.15">
      <c r="A34" s="3">
        <v>306</v>
      </c>
      <c r="B34" s="3" t="s">
        <v>320</v>
      </c>
    </row>
    <row r="35" spans="1:2" x14ac:dyDescent="0.15">
      <c r="A35" s="3">
        <v>401</v>
      </c>
      <c r="B35" s="3" t="s">
        <v>324</v>
      </c>
    </row>
    <row r="36" spans="1:2" x14ac:dyDescent="0.15">
      <c r="A36" s="3">
        <v>402</v>
      </c>
      <c r="B36" s="3" t="s">
        <v>328</v>
      </c>
    </row>
    <row r="37" spans="1:2" x14ac:dyDescent="0.15">
      <c r="A37" s="3">
        <v>403</v>
      </c>
      <c r="B37" s="3" t="s">
        <v>332</v>
      </c>
    </row>
    <row r="38" spans="1:2" x14ac:dyDescent="0.15">
      <c r="A38" s="3">
        <v>404</v>
      </c>
      <c r="B38" s="3" t="s">
        <v>340</v>
      </c>
    </row>
    <row r="39" spans="1:2" x14ac:dyDescent="0.15">
      <c r="A39" s="3">
        <v>405</v>
      </c>
      <c r="B39" s="3" t="s">
        <v>1203</v>
      </c>
    </row>
    <row r="40" spans="1:2" x14ac:dyDescent="0.15">
      <c r="A40" s="3">
        <v>407</v>
      </c>
      <c r="B40" s="3" t="s">
        <v>1370</v>
      </c>
    </row>
    <row r="41" spans="1:2" x14ac:dyDescent="0.15">
      <c r="A41" s="3">
        <v>408</v>
      </c>
      <c r="B41" s="3" t="s">
        <v>1515</v>
      </c>
    </row>
    <row r="42" spans="1:2" x14ac:dyDescent="0.15">
      <c r="A42" s="3">
        <v>409</v>
      </c>
      <c r="B42" s="3" t="s">
        <v>347</v>
      </c>
    </row>
    <row r="43" spans="1:2" x14ac:dyDescent="0.15">
      <c r="A43" s="3">
        <v>410</v>
      </c>
      <c r="B43" s="3" t="s">
        <v>350</v>
      </c>
    </row>
    <row r="44" spans="1:2" x14ac:dyDescent="0.15">
      <c r="A44" s="3">
        <v>412</v>
      </c>
      <c r="B44" s="3" t="s">
        <v>357</v>
      </c>
    </row>
    <row r="45" spans="1:2" x14ac:dyDescent="0.15">
      <c r="A45" s="3">
        <v>413</v>
      </c>
      <c r="B45" s="3" t="s">
        <v>361</v>
      </c>
    </row>
    <row r="46" spans="1:2" x14ac:dyDescent="0.15">
      <c r="A46" s="3">
        <v>414</v>
      </c>
      <c r="B46" s="3" t="s">
        <v>372</v>
      </c>
    </row>
    <row r="47" spans="1:2" x14ac:dyDescent="0.15">
      <c r="A47" s="3">
        <v>415</v>
      </c>
      <c r="B47" s="3" t="s">
        <v>382</v>
      </c>
    </row>
    <row r="48" spans="1:2" x14ac:dyDescent="0.15">
      <c r="A48" s="3">
        <v>416</v>
      </c>
      <c r="B48" s="3" t="s">
        <v>391</v>
      </c>
    </row>
    <row r="49" spans="1:2" x14ac:dyDescent="0.15">
      <c r="A49" s="3">
        <v>417</v>
      </c>
      <c r="B49" s="27" t="s">
        <v>1592</v>
      </c>
    </row>
    <row r="50" spans="1:2" x14ac:dyDescent="0.15">
      <c r="A50" s="3">
        <v>418</v>
      </c>
      <c r="B50" s="3" t="s">
        <v>395</v>
      </c>
    </row>
    <row r="51" spans="1:2" x14ac:dyDescent="0.15">
      <c r="A51" s="3">
        <v>419</v>
      </c>
      <c r="B51" s="3" t="s">
        <v>399</v>
      </c>
    </row>
    <row r="52" spans="1:2" x14ac:dyDescent="0.15">
      <c r="A52" s="3">
        <v>420</v>
      </c>
      <c r="B52" s="3" t="s">
        <v>401</v>
      </c>
    </row>
    <row r="53" spans="1:2" x14ac:dyDescent="0.15">
      <c r="A53" s="3">
        <v>421</v>
      </c>
      <c r="B53" s="3" t="s">
        <v>403</v>
      </c>
    </row>
    <row r="54" spans="1:2" x14ac:dyDescent="0.15">
      <c r="A54" s="3">
        <v>422</v>
      </c>
      <c r="B54" s="3" t="s">
        <v>405</v>
      </c>
    </row>
    <row r="55" spans="1:2" x14ac:dyDescent="0.15">
      <c r="A55" s="3">
        <v>423</v>
      </c>
      <c r="B55" s="3" t="s">
        <v>408</v>
      </c>
    </row>
    <row r="56" spans="1:2" x14ac:dyDescent="0.15">
      <c r="A56" s="3">
        <v>424</v>
      </c>
      <c r="B56" s="3" t="s">
        <v>417</v>
      </c>
    </row>
    <row r="57" spans="1:2" x14ac:dyDescent="0.15">
      <c r="A57" s="3">
        <v>425</v>
      </c>
      <c r="B57" s="3" t="s">
        <v>408</v>
      </c>
    </row>
    <row r="58" spans="1:2" x14ac:dyDescent="0.15">
      <c r="A58" s="3">
        <v>426</v>
      </c>
      <c r="B58" s="3" t="s">
        <v>1614</v>
      </c>
    </row>
    <row r="59" spans="1:2" x14ac:dyDescent="0.15">
      <c r="A59" s="3">
        <v>427</v>
      </c>
      <c r="B59" s="3" t="s">
        <v>1615</v>
      </c>
    </row>
    <row r="60" spans="1:2" x14ac:dyDescent="0.15">
      <c r="A60" s="3">
        <v>428</v>
      </c>
      <c r="B60" s="3" t="s">
        <v>405</v>
      </c>
    </row>
    <row r="61" spans="1:2" x14ac:dyDescent="0.15">
      <c r="A61" s="3">
        <v>429</v>
      </c>
      <c r="B61" s="27" t="s">
        <v>2982</v>
      </c>
    </row>
    <row r="62" spans="1:2" x14ac:dyDescent="0.15">
      <c r="A62" s="3">
        <v>430</v>
      </c>
      <c r="B62" s="27" t="s">
        <v>3236</v>
      </c>
    </row>
    <row r="63" spans="1:2" x14ac:dyDescent="0.15">
      <c r="A63" s="3">
        <v>501</v>
      </c>
      <c r="B63" s="3" t="s">
        <v>421</v>
      </c>
    </row>
    <row r="64" spans="1:2" x14ac:dyDescent="0.15">
      <c r="A64" s="3">
        <v>502</v>
      </c>
      <c r="B64" s="3" t="s">
        <v>436</v>
      </c>
    </row>
    <row r="65" spans="1:2" x14ac:dyDescent="0.15">
      <c r="A65" s="3">
        <v>503</v>
      </c>
      <c r="B65" s="3" t="s">
        <v>446</v>
      </c>
    </row>
    <row r="66" spans="1:2" x14ac:dyDescent="0.15">
      <c r="A66" s="3">
        <v>504</v>
      </c>
      <c r="B66" s="3" t="s">
        <v>448</v>
      </c>
    </row>
    <row r="67" spans="1:2" x14ac:dyDescent="0.15">
      <c r="A67" s="3">
        <v>601</v>
      </c>
      <c r="B67" s="3" t="s">
        <v>455</v>
      </c>
    </row>
    <row r="68" spans="1:2" x14ac:dyDescent="0.15">
      <c r="A68" s="3">
        <v>602</v>
      </c>
      <c r="B68" s="3" t="s">
        <v>459</v>
      </c>
    </row>
    <row r="69" spans="1:2" x14ac:dyDescent="0.15">
      <c r="A69" s="3">
        <v>603</v>
      </c>
      <c r="B69" s="3" t="s">
        <v>464</v>
      </c>
    </row>
    <row r="70" spans="1:2" x14ac:dyDescent="0.15">
      <c r="A70" s="3">
        <v>604</v>
      </c>
      <c r="B70" s="3" t="s">
        <v>472</v>
      </c>
    </row>
    <row r="71" spans="1:2" x14ac:dyDescent="0.15">
      <c r="A71" s="3">
        <v>605</v>
      </c>
      <c r="B71" s="3" t="s">
        <v>474</v>
      </c>
    </row>
    <row r="72" spans="1:2" x14ac:dyDescent="0.15">
      <c r="A72" s="3">
        <v>606</v>
      </c>
      <c r="B72" s="3" t="s">
        <v>477</v>
      </c>
    </row>
    <row r="73" spans="1:2" x14ac:dyDescent="0.15">
      <c r="A73" s="3">
        <v>607</v>
      </c>
      <c r="B73" s="3" t="s">
        <v>482</v>
      </c>
    </row>
    <row r="74" spans="1:2" x14ac:dyDescent="0.15">
      <c r="A74" s="3">
        <v>608</v>
      </c>
      <c r="B74" s="3" t="s">
        <v>485</v>
      </c>
    </row>
    <row r="75" spans="1:2" x14ac:dyDescent="0.15">
      <c r="A75" s="3">
        <v>609</v>
      </c>
      <c r="B75" s="3" t="s">
        <v>487</v>
      </c>
    </row>
    <row r="76" spans="1:2" x14ac:dyDescent="0.15">
      <c r="A76" s="3">
        <v>610</v>
      </c>
      <c r="B76" s="3" t="s">
        <v>456</v>
      </c>
    </row>
    <row r="77" spans="1:2" x14ac:dyDescent="0.15">
      <c r="A77" s="3">
        <v>611</v>
      </c>
      <c r="B77" s="3" t="s">
        <v>493</v>
      </c>
    </row>
    <row r="78" spans="1:2" x14ac:dyDescent="0.15">
      <c r="A78" s="3">
        <v>612</v>
      </c>
      <c r="B78" s="3" t="s">
        <v>1622</v>
      </c>
    </row>
    <row r="79" spans="1:2" x14ac:dyDescent="0.15">
      <c r="A79" s="3">
        <v>613</v>
      </c>
      <c r="B79" s="3" t="s">
        <v>499</v>
      </c>
    </row>
    <row r="80" spans="1:2" x14ac:dyDescent="0.15">
      <c r="A80" s="3">
        <v>614</v>
      </c>
      <c r="B80" s="3" t="s">
        <v>502</v>
      </c>
    </row>
    <row r="81" spans="1:2" x14ac:dyDescent="0.15">
      <c r="A81" s="3">
        <v>615</v>
      </c>
      <c r="B81" s="3" t="s">
        <v>505</v>
      </c>
    </row>
    <row r="82" spans="1:2" x14ac:dyDescent="0.15">
      <c r="A82" s="3">
        <v>616</v>
      </c>
      <c r="B82" s="3" t="s">
        <v>511</v>
      </c>
    </row>
    <row r="83" spans="1:2" x14ac:dyDescent="0.15">
      <c r="A83" s="3">
        <v>617</v>
      </c>
      <c r="B83" s="27" t="s">
        <v>1837</v>
      </c>
    </row>
    <row r="84" spans="1:2" x14ac:dyDescent="0.15">
      <c r="A84" s="3">
        <v>618</v>
      </c>
      <c r="B84" s="27" t="s">
        <v>2861</v>
      </c>
    </row>
    <row r="85" spans="1:2" x14ac:dyDescent="0.15">
      <c r="A85" s="3">
        <v>619</v>
      </c>
      <c r="B85" s="3" t="s">
        <v>496</v>
      </c>
    </row>
    <row r="86" spans="1:2" x14ac:dyDescent="0.15">
      <c r="A86" s="3">
        <v>620</v>
      </c>
      <c r="B86" s="27" t="s">
        <v>2990</v>
      </c>
    </row>
    <row r="87" spans="1:2" x14ac:dyDescent="0.15">
      <c r="A87" s="3">
        <v>621</v>
      </c>
      <c r="B87" s="27" t="s">
        <v>3566</v>
      </c>
    </row>
    <row r="88" spans="1:2" x14ac:dyDescent="0.15">
      <c r="A88" s="3">
        <v>701</v>
      </c>
      <c r="B88" s="3" t="s">
        <v>516</v>
      </c>
    </row>
    <row r="89" spans="1:2" x14ac:dyDescent="0.15">
      <c r="A89" s="3">
        <v>702</v>
      </c>
      <c r="B89" s="3" t="s">
        <v>516</v>
      </c>
    </row>
    <row r="90" spans="1:2" x14ac:dyDescent="0.15">
      <c r="A90" s="3">
        <v>703</v>
      </c>
      <c r="B90" s="3" t="s">
        <v>528</v>
      </c>
    </row>
    <row r="91" spans="1:2" x14ac:dyDescent="0.15">
      <c r="A91" s="3">
        <v>704</v>
      </c>
      <c r="B91" s="3" t="s">
        <v>539</v>
      </c>
    </row>
    <row r="92" spans="1:2" x14ac:dyDescent="0.15">
      <c r="A92" s="3">
        <v>705</v>
      </c>
      <c r="B92" s="3" t="s">
        <v>556</v>
      </c>
    </row>
    <row r="93" spans="1:2" x14ac:dyDescent="0.15">
      <c r="A93" s="3">
        <v>706</v>
      </c>
      <c r="B93" s="3" t="s">
        <v>562</v>
      </c>
    </row>
    <row r="94" spans="1:2" x14ac:dyDescent="0.15">
      <c r="A94" s="3">
        <v>707</v>
      </c>
      <c r="B94" s="3" t="s">
        <v>1617</v>
      </c>
    </row>
    <row r="95" spans="1:2" x14ac:dyDescent="0.15">
      <c r="A95" s="3">
        <v>801</v>
      </c>
      <c r="B95" s="3" t="s">
        <v>572</v>
      </c>
    </row>
    <row r="96" spans="1:2" x14ac:dyDescent="0.15">
      <c r="A96" s="3">
        <v>802</v>
      </c>
      <c r="B96" s="3" t="s">
        <v>562</v>
      </c>
    </row>
    <row r="97" spans="1:2" x14ac:dyDescent="0.15">
      <c r="A97" s="3">
        <v>803</v>
      </c>
      <c r="B97" s="3" t="s">
        <v>594</v>
      </c>
    </row>
    <row r="98" spans="1:2" x14ac:dyDescent="0.15">
      <c r="A98" s="3">
        <v>804</v>
      </c>
      <c r="B98" s="27" t="s">
        <v>1885</v>
      </c>
    </row>
    <row r="99" spans="1:2" x14ac:dyDescent="0.15">
      <c r="A99" s="3">
        <v>805</v>
      </c>
      <c r="B99" s="3" t="s">
        <v>597</v>
      </c>
    </row>
    <row r="100" spans="1:2" x14ac:dyDescent="0.15">
      <c r="A100" s="3">
        <v>806</v>
      </c>
      <c r="B100" s="3" t="s">
        <v>600</v>
      </c>
    </row>
    <row r="101" spans="1:2" x14ac:dyDescent="0.15">
      <c r="A101" s="3">
        <v>807</v>
      </c>
      <c r="B101" s="3" t="s">
        <v>347</v>
      </c>
    </row>
    <row r="102" spans="1:2" x14ac:dyDescent="0.15">
      <c r="A102" s="3">
        <v>808</v>
      </c>
      <c r="B102" s="3" t="s">
        <v>614</v>
      </c>
    </row>
    <row r="103" spans="1:2" x14ac:dyDescent="0.15">
      <c r="A103" s="3">
        <v>809</v>
      </c>
      <c r="B103" s="27" t="s">
        <v>1964</v>
      </c>
    </row>
    <row r="104" spans="1:2" x14ac:dyDescent="0.15">
      <c r="A104" s="3">
        <v>810</v>
      </c>
      <c r="B104" s="3" t="s">
        <v>619</v>
      </c>
    </row>
    <row r="105" spans="1:2" x14ac:dyDescent="0.15">
      <c r="A105" s="3">
        <v>811</v>
      </c>
      <c r="B105" s="3" t="s">
        <v>1715</v>
      </c>
    </row>
    <row r="106" spans="1:2" x14ac:dyDescent="0.15">
      <c r="A106" s="3">
        <v>812</v>
      </c>
      <c r="B106" s="27" t="s">
        <v>1781</v>
      </c>
    </row>
    <row r="107" spans="1:2" x14ac:dyDescent="0.15">
      <c r="A107" s="3">
        <v>813</v>
      </c>
      <c r="B107" s="27" t="s">
        <v>1835</v>
      </c>
    </row>
    <row r="108" spans="1:2" x14ac:dyDescent="0.15">
      <c r="A108" s="3">
        <v>814</v>
      </c>
      <c r="B108" s="27" t="s">
        <v>3008</v>
      </c>
    </row>
    <row r="109" spans="1:2" x14ac:dyDescent="0.15">
      <c r="A109" s="3">
        <v>815</v>
      </c>
      <c r="B109" s="27" t="s">
        <v>3234</v>
      </c>
    </row>
    <row r="110" spans="1:2" x14ac:dyDescent="0.15">
      <c r="A110" s="3">
        <v>901</v>
      </c>
      <c r="B110" s="3" t="s">
        <v>626</v>
      </c>
    </row>
    <row r="111" spans="1:2" x14ac:dyDescent="0.15">
      <c r="A111" s="3">
        <v>902</v>
      </c>
      <c r="B111" s="3" t="s">
        <v>631</v>
      </c>
    </row>
    <row r="112" spans="1:2" x14ac:dyDescent="0.15">
      <c r="A112" s="3">
        <v>903</v>
      </c>
      <c r="B112" s="27" t="s">
        <v>3235</v>
      </c>
    </row>
    <row r="113" spans="1:2" x14ac:dyDescent="0.15">
      <c r="A113" s="3">
        <v>904</v>
      </c>
      <c r="B113" s="3" t="s">
        <v>706</v>
      </c>
    </row>
    <row r="114" spans="1:2" x14ac:dyDescent="0.15">
      <c r="A114" s="3">
        <v>905</v>
      </c>
      <c r="B114" s="3" t="s">
        <v>710</v>
      </c>
    </row>
    <row r="115" spans="1:2" x14ac:dyDescent="0.15">
      <c r="A115" s="3">
        <v>906</v>
      </c>
      <c r="B115" s="27" t="s">
        <v>1969</v>
      </c>
    </row>
    <row r="116" spans="1:2" x14ac:dyDescent="0.15">
      <c r="A116" s="3">
        <v>907</v>
      </c>
      <c r="B116" s="27" t="s">
        <v>2089</v>
      </c>
    </row>
    <row r="117" spans="1:2" x14ac:dyDescent="0.15">
      <c r="A117" s="3">
        <v>908</v>
      </c>
      <c r="B117" s="27" t="s">
        <v>2561</v>
      </c>
    </row>
    <row r="118" spans="1:2" x14ac:dyDescent="0.15">
      <c r="A118" s="3">
        <v>909</v>
      </c>
      <c r="B118" s="3" t="s">
        <v>625</v>
      </c>
    </row>
    <row r="119" spans="1:2" x14ac:dyDescent="0.15">
      <c r="A119" s="3">
        <v>910</v>
      </c>
      <c r="B119" s="27" t="s">
        <v>2354</v>
      </c>
    </row>
  </sheetData>
  <sortState xmlns:xlrd2="http://schemas.microsoft.com/office/spreadsheetml/2017/richdata2" ref="A3:B3627">
    <sortCondition ref="A2387:A3627"/>
  </sortState>
  <phoneticPr fontId="6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stuff</vt:lpstr>
      <vt:lpstr>stuff2</vt:lpstr>
      <vt:lpstr>stuff_type_name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Looming MI</cp:lastModifiedBy>
  <dcterms:created xsi:type="dcterms:W3CDTF">2006-09-16T00:00:00Z</dcterms:created>
  <dcterms:modified xsi:type="dcterms:W3CDTF">2026-03-01T08:07:12Z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2052-11.1.0.14309</vt:lpwstr>
  </property>
  <property fmtid="{D5CDD505-2E9C-101B-9397-08002B2CF9AE}" pid="3" name="ICV">
    <vt:lpwstr>51F71686401244019E4C0267239E329A</vt:lpwstr>
  </property>
  <property fmtid="{D5CDD505-2E9C-101B-9397-08002B2CF9AE}" pid="4" name="KSOReadingLayout">
    <vt:bool>true</vt:bool>
  </property>
</Properties>
</file>