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2F8618EF-B519-492A-8903-C02C330711B3}" xr6:coauthVersionLast="47" xr6:coauthVersionMax="47" xr10:uidLastSave="{00000000-0000-0000-0000-000000000000}"/>
  <bookViews>
    <workbookView xWindow="2310" yWindow="2700" windowWidth="26205" windowHeight="13140" xr2:uid="{00000000-000D-0000-FFFF-FFFF00000000}"/>
  </bookViews>
  <sheets>
    <sheet name="shield" sheetId="3" r:id="rId1"/>
  </sheets>
  <calcPr calcId="181029"/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3" i="3"/>
  <c r="I13" i="3"/>
  <c r="I14" i="3"/>
  <c r="I15" i="3"/>
  <c r="I16" i="3"/>
  <c r="I17" i="3"/>
  <c r="I18" i="3"/>
  <c r="I19" i="3"/>
  <c r="I20" i="3"/>
  <c r="I12" i="3"/>
  <c r="J4" i="3"/>
  <c r="J5" i="3"/>
  <c r="J6" i="3"/>
  <c r="O6" i="3" s="1"/>
  <c r="J7" i="3"/>
  <c r="J8" i="3"/>
  <c r="J9" i="3"/>
  <c r="J10" i="3"/>
  <c r="O10" i="3" s="1"/>
  <c r="J11" i="3"/>
  <c r="J13" i="3"/>
  <c r="J14" i="3"/>
  <c r="J15" i="3"/>
  <c r="J16" i="3"/>
  <c r="J17" i="3"/>
  <c r="J18" i="3"/>
  <c r="J19" i="3"/>
  <c r="J20" i="3"/>
  <c r="J12" i="3"/>
  <c r="J3" i="3"/>
  <c r="O8" i="3" l="1"/>
  <c r="O4" i="3"/>
  <c r="O3" i="3"/>
  <c r="O14" i="3"/>
  <c r="O18" i="3"/>
  <c r="O15" i="3"/>
  <c r="O19" i="3"/>
  <c r="O11" i="3"/>
  <c r="O7" i="3"/>
  <c r="O12" i="3"/>
  <c r="O17" i="3"/>
  <c r="O16" i="3"/>
  <c r="O9" i="3"/>
  <c r="O5" i="3"/>
  <c r="O13" i="3"/>
  <c r="O20" i="3"/>
</calcChain>
</file>

<file path=xl/sharedStrings.xml><?xml version="1.0" encoding="utf-8"?>
<sst xmlns="http://schemas.openxmlformats.org/spreadsheetml/2006/main" count="100" uniqueCount="76">
  <si>
    <t>攻速影响（乘法）</t>
    <phoneticPr fontId="1" type="noConversion"/>
  </si>
  <si>
    <t>防守成功率</t>
    <phoneticPr fontId="1" type="noConversion"/>
  </si>
  <si>
    <t>!shield_name#str</t>
    <phoneticPr fontId="1" type="noConversion"/>
  </si>
  <si>
    <t>def_rate#float</t>
    <phoneticPr fontId="1" type="noConversion"/>
  </si>
  <si>
    <t>shield_id#int</t>
    <phoneticPr fontId="1" type="noConversion"/>
  </si>
  <si>
    <t>atk_speed_effect#float</t>
    <phoneticPr fontId="1" type="noConversion"/>
  </si>
  <si>
    <t>预置体</t>
    <phoneticPr fontId="1" type="noConversion"/>
  </si>
  <si>
    <t>prefab#str</t>
    <phoneticPr fontId="1" type="noConversion"/>
  </si>
  <si>
    <t>品级名称</t>
    <phoneticPr fontId="1" type="noConversion"/>
  </si>
  <si>
    <t>!shield_level_name#str</t>
    <phoneticPr fontId="1" type="noConversion"/>
  </si>
  <si>
    <t>简单盾牌</t>
    <phoneticPr fontId="1" type="noConversion"/>
  </si>
  <si>
    <t>盾牌ID</t>
    <phoneticPr fontId="1" type="noConversion"/>
  </si>
  <si>
    <t>盾牌名称</t>
    <phoneticPr fontId="1" type="noConversion"/>
  </si>
  <si>
    <t>shield_group#int</t>
    <phoneticPr fontId="1" type="noConversion"/>
  </si>
  <si>
    <t>图片</t>
    <phoneticPr fontId="1" type="noConversion"/>
  </si>
  <si>
    <t>img#str</t>
    <phoneticPr fontId="1" type="noConversion"/>
  </si>
  <si>
    <t>1级盾牌</t>
    <phoneticPr fontId="1" type="noConversion"/>
  </si>
  <si>
    <t>2级盾牌</t>
  </si>
  <si>
    <t>3级盾牌</t>
  </si>
  <si>
    <t>4级盾牌</t>
  </si>
  <si>
    <t>5级盾牌</t>
  </si>
  <si>
    <t>6级盾牌</t>
  </si>
  <si>
    <t>7级盾牌</t>
  </si>
  <si>
    <t>8级盾牌</t>
  </si>
  <si>
    <t>9级盾牌</t>
  </si>
  <si>
    <t>1级巨盾</t>
    <phoneticPr fontId="1" type="noConversion"/>
  </si>
  <si>
    <t>2级巨盾</t>
  </si>
  <si>
    <t>3级巨盾</t>
  </si>
  <si>
    <t>4级巨盾</t>
  </si>
  <si>
    <t>5级巨盾</t>
  </si>
  <si>
    <t>6级巨盾</t>
  </si>
  <si>
    <t>7级巨盾</t>
  </si>
  <si>
    <t>8级巨盾</t>
  </si>
  <si>
    <t>9级巨盾</t>
  </si>
  <si>
    <t>简单盾牌</t>
    <phoneticPr fontId="1" type="noConversion"/>
  </si>
  <si>
    <t>普通盾牌</t>
  </si>
  <si>
    <t>优良盾牌</t>
  </si>
  <si>
    <t>高级盾牌</t>
  </si>
  <si>
    <t>稀有盾牌</t>
  </si>
  <si>
    <t>特殊盾牌</t>
  </si>
  <si>
    <t>极品盾牌</t>
  </si>
  <si>
    <t>传说盾牌</t>
  </si>
  <si>
    <t>史诗盾牌</t>
  </si>
  <si>
    <t>shield_1</t>
  </si>
  <si>
    <t>shield_0</t>
    <phoneticPr fontId="1" type="noConversion"/>
  </si>
  <si>
    <t>shield_2</t>
  </si>
  <si>
    <t>shield_3</t>
  </si>
  <si>
    <t>shield_4</t>
  </si>
  <si>
    <t>shield_5</t>
  </si>
  <si>
    <t>shield_6</t>
  </si>
  <si>
    <t>shield_7</t>
  </si>
  <si>
    <t>shield_8</t>
  </si>
  <si>
    <t>shield_huge_0</t>
    <phoneticPr fontId="1" type="noConversion"/>
  </si>
  <si>
    <t>shield_huge_1</t>
  </si>
  <si>
    <t>shield_huge_2</t>
  </si>
  <si>
    <t>shield_huge_3</t>
  </si>
  <si>
    <t>shield_huge_4</t>
  </si>
  <si>
    <t>shield_huge_5</t>
  </si>
  <si>
    <t>shield_huge_6</t>
  </si>
  <si>
    <t>shield_huge_7</t>
  </si>
  <si>
    <t>shield_huge_8</t>
  </si>
  <si>
    <t>shield</t>
    <phoneticPr fontId="1" type="noConversion"/>
  </si>
  <si>
    <t>shield_huge</t>
    <phoneticPr fontId="1" type="noConversion"/>
  </si>
  <si>
    <t>盾牌组别</t>
    <phoneticPr fontId="1" type="noConversion"/>
  </si>
  <si>
    <t>自动装备顺序</t>
    <phoneticPr fontId="1" type="noConversion"/>
  </si>
  <si>
    <t>equipping_order#int</t>
    <phoneticPr fontId="1" type="noConversion"/>
  </si>
  <si>
    <t>!tmp</t>
    <phoneticPr fontId="1" type="noConversion"/>
  </si>
  <si>
    <t>!tmp</t>
    <phoneticPr fontId="1" type="noConversion"/>
  </si>
  <si>
    <t>作为敌人时的强度权值</t>
    <phoneticPr fontId="1" type="noConversion"/>
  </si>
  <si>
    <t>strength_index_factor#float</t>
    <phoneticPr fontId="1" type="noConversion"/>
  </si>
  <si>
    <t>shield_level_stuff_id#int</t>
    <phoneticPr fontId="1" type="noConversion"/>
  </si>
  <si>
    <t>品级</t>
    <phoneticPr fontId="1" type="noConversion"/>
  </si>
  <si>
    <t>等级</t>
    <phoneticPr fontId="1" type="noConversion"/>
  </si>
  <si>
    <t>shield_level#int</t>
    <phoneticPr fontId="1" type="noConversion"/>
  </si>
  <si>
    <t>减伤比率</t>
    <phoneticPr fontId="1" type="noConversion"/>
  </si>
  <si>
    <t>hurt_reduction#float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</si>
</sst>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2" fillId="0" borderId="1" xfId="0" applyFont="1" applyBorder="1"/>
    <xf numFmtId="0" fontId="0" fillId="2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I23" sqref="I23"/>
    </sheetView>
  </sheetViews>
  <sheetFormatPr defaultRowHeight="13.5" x14ac:dyDescent="0.15"/>
  <cols>
    <col min="5" max="5" width="8.375" customWidth="1"/>
    <col min="7" max="8" width="13.625" customWidth="1"/>
    <col min="15" max="15" width="8" customWidth="1"/>
  </cols>
  <sheetData>
    <row r="1" spans="1:15" ht="54" x14ac:dyDescent="0.15">
      <c r="A1" s="1" t="s">
        <v>11</v>
      </c>
      <c r="B1" s="1" t="s">
        <v>72</v>
      </c>
      <c r="C1" s="1" t="s">
        <v>12</v>
      </c>
      <c r="D1" s="1" t="s">
        <v>63</v>
      </c>
      <c r="E1" s="1" t="s">
        <v>71</v>
      </c>
      <c r="F1" s="1" t="s">
        <v>8</v>
      </c>
      <c r="G1" s="1" t="s">
        <v>6</v>
      </c>
      <c r="H1" s="1" t="s">
        <v>14</v>
      </c>
      <c r="I1" s="1" t="s">
        <v>0</v>
      </c>
      <c r="J1" s="1" t="s">
        <v>1</v>
      </c>
      <c r="K1" s="1" t="s">
        <v>74</v>
      </c>
      <c r="L1" s="1" t="s">
        <v>64</v>
      </c>
      <c r="M1" s="1"/>
      <c r="N1" s="1"/>
      <c r="O1" s="5" t="s">
        <v>68</v>
      </c>
    </row>
    <row r="2" spans="1:15" x14ac:dyDescent="0.15">
      <c r="A2" s="1" t="s">
        <v>4</v>
      </c>
      <c r="B2" s="1" t="s">
        <v>73</v>
      </c>
      <c r="C2" s="1" t="s">
        <v>2</v>
      </c>
      <c r="D2" s="1" t="s">
        <v>13</v>
      </c>
      <c r="E2" s="1" t="s">
        <v>70</v>
      </c>
      <c r="F2" s="1" t="s">
        <v>9</v>
      </c>
      <c r="G2" s="1" t="s">
        <v>7</v>
      </c>
      <c r="H2" s="1" t="s">
        <v>15</v>
      </c>
      <c r="I2" s="1" t="s">
        <v>5</v>
      </c>
      <c r="J2" s="1" t="s">
        <v>3</v>
      </c>
      <c r="K2" s="1" t="s">
        <v>75</v>
      </c>
      <c r="L2" s="1" t="s">
        <v>65</v>
      </c>
      <c r="M2" s="1" t="s">
        <v>66</v>
      </c>
      <c r="N2" s="1" t="s">
        <v>67</v>
      </c>
      <c r="O2" s="1" t="s">
        <v>69</v>
      </c>
    </row>
    <row r="3" spans="1:15" x14ac:dyDescent="0.15">
      <c r="A3" s="1">
        <v>408011</v>
      </c>
      <c r="B3" s="1">
        <v>1</v>
      </c>
      <c r="C3" s="4" t="s">
        <v>16</v>
      </c>
      <c r="D3" s="2">
        <v>1</v>
      </c>
      <c r="E3" s="1">
        <v>414001</v>
      </c>
      <c r="F3" s="3" t="s">
        <v>34</v>
      </c>
      <c r="G3" s="1" t="s">
        <v>61</v>
      </c>
      <c r="H3" s="1" t="s">
        <v>44</v>
      </c>
      <c r="I3" s="1">
        <f>M3+(L3-1)*0.03</f>
        <v>0.7</v>
      </c>
      <c r="J3" s="1">
        <f>N3+(L3-1)*0.025</f>
        <v>0.3</v>
      </c>
      <c r="K3" s="1">
        <v>0.25</v>
      </c>
      <c r="L3" s="1">
        <v>1</v>
      </c>
      <c r="M3" s="1">
        <v>0.7</v>
      </c>
      <c r="N3" s="1">
        <v>0.3</v>
      </c>
      <c r="O3" s="1">
        <f>J3*I3*2</f>
        <v>0.42</v>
      </c>
    </row>
    <row r="4" spans="1:15" x14ac:dyDescent="0.15">
      <c r="A4" s="1">
        <v>408012</v>
      </c>
      <c r="B4" s="1">
        <v>2</v>
      </c>
      <c r="C4" s="4" t="s">
        <v>17</v>
      </c>
      <c r="D4" s="2">
        <v>1</v>
      </c>
      <c r="E4" s="1">
        <v>414002</v>
      </c>
      <c r="F4" s="3" t="s">
        <v>35</v>
      </c>
      <c r="G4" s="1" t="s">
        <v>61</v>
      </c>
      <c r="H4" s="1" t="s">
        <v>43</v>
      </c>
      <c r="I4" s="1">
        <f t="shared" ref="I4:I11" si="0">M4+(L4-1)*0.03</f>
        <v>0.73</v>
      </c>
      <c r="J4" s="1">
        <f t="shared" ref="J4:J11" si="1">N4+(L4-1)*0.025</f>
        <v>0.32500000000000001</v>
      </c>
      <c r="K4" s="1">
        <v>0.25</v>
      </c>
      <c r="L4" s="1">
        <v>2</v>
      </c>
      <c r="M4" s="1">
        <v>0.7</v>
      </c>
      <c r="N4" s="1">
        <v>0.3</v>
      </c>
      <c r="O4" s="1">
        <f t="shared" ref="O4:O20" si="2">J4*I4*2</f>
        <v>0.47449999999999998</v>
      </c>
    </row>
    <row r="5" spans="1:15" x14ac:dyDescent="0.15">
      <c r="A5" s="1">
        <v>408013</v>
      </c>
      <c r="B5" s="1">
        <v>3</v>
      </c>
      <c r="C5" s="4" t="s">
        <v>18</v>
      </c>
      <c r="D5" s="2">
        <v>1</v>
      </c>
      <c r="E5" s="1">
        <v>414003</v>
      </c>
      <c r="F5" s="3" t="s">
        <v>36</v>
      </c>
      <c r="G5" s="1" t="s">
        <v>61</v>
      </c>
      <c r="H5" s="1" t="s">
        <v>45</v>
      </c>
      <c r="I5" s="1">
        <f t="shared" si="0"/>
        <v>0.76</v>
      </c>
      <c r="J5" s="1">
        <f t="shared" si="1"/>
        <v>0.35</v>
      </c>
      <c r="K5" s="1">
        <v>0.25</v>
      </c>
      <c r="L5" s="1">
        <v>3</v>
      </c>
      <c r="M5" s="1">
        <v>0.7</v>
      </c>
      <c r="N5" s="1">
        <v>0.3</v>
      </c>
      <c r="O5" s="1">
        <f t="shared" si="2"/>
        <v>0.53199999999999992</v>
      </c>
    </row>
    <row r="6" spans="1:15" x14ac:dyDescent="0.15">
      <c r="A6" s="1">
        <v>408014</v>
      </c>
      <c r="B6" s="1">
        <v>4</v>
      </c>
      <c r="C6" s="4" t="s">
        <v>19</v>
      </c>
      <c r="D6" s="2">
        <v>1</v>
      </c>
      <c r="E6" s="1">
        <v>414004</v>
      </c>
      <c r="F6" s="3" t="s">
        <v>37</v>
      </c>
      <c r="G6" s="1" t="s">
        <v>61</v>
      </c>
      <c r="H6" s="1" t="s">
        <v>46</v>
      </c>
      <c r="I6" s="1">
        <f t="shared" si="0"/>
        <v>0.78999999999999992</v>
      </c>
      <c r="J6" s="1">
        <f t="shared" si="1"/>
        <v>0.375</v>
      </c>
      <c r="K6" s="1">
        <v>0.25</v>
      </c>
      <c r="L6" s="1">
        <v>4</v>
      </c>
      <c r="M6" s="1">
        <v>0.7</v>
      </c>
      <c r="N6" s="1">
        <v>0.3</v>
      </c>
      <c r="O6" s="1">
        <f t="shared" si="2"/>
        <v>0.59249999999999992</v>
      </c>
    </row>
    <row r="7" spans="1:15" x14ac:dyDescent="0.15">
      <c r="A7" s="1">
        <v>408015</v>
      </c>
      <c r="B7" s="1">
        <v>5</v>
      </c>
      <c r="C7" s="4" t="s">
        <v>20</v>
      </c>
      <c r="D7" s="2">
        <v>1</v>
      </c>
      <c r="E7" s="1">
        <v>414005</v>
      </c>
      <c r="F7" s="3" t="s">
        <v>38</v>
      </c>
      <c r="G7" s="1" t="s">
        <v>61</v>
      </c>
      <c r="H7" s="1" t="s">
        <v>47</v>
      </c>
      <c r="I7" s="1">
        <f t="shared" si="0"/>
        <v>0.82</v>
      </c>
      <c r="J7" s="1">
        <f t="shared" si="1"/>
        <v>0.4</v>
      </c>
      <c r="K7" s="1">
        <v>0.25</v>
      </c>
      <c r="L7" s="1">
        <v>5</v>
      </c>
      <c r="M7" s="1">
        <v>0.7</v>
      </c>
      <c r="N7" s="1">
        <v>0.3</v>
      </c>
      <c r="O7" s="1">
        <f t="shared" si="2"/>
        <v>0.65600000000000003</v>
      </c>
    </row>
    <row r="8" spans="1:15" x14ac:dyDescent="0.15">
      <c r="A8" s="1">
        <v>408016</v>
      </c>
      <c r="B8" s="1">
        <v>6</v>
      </c>
      <c r="C8" s="4" t="s">
        <v>21</v>
      </c>
      <c r="D8" s="2">
        <v>1</v>
      </c>
      <c r="E8" s="1">
        <v>414006</v>
      </c>
      <c r="F8" s="3" t="s">
        <v>39</v>
      </c>
      <c r="G8" s="1" t="s">
        <v>61</v>
      </c>
      <c r="H8" s="1" t="s">
        <v>48</v>
      </c>
      <c r="I8" s="1">
        <f t="shared" si="0"/>
        <v>0.85</v>
      </c>
      <c r="J8" s="1">
        <f t="shared" si="1"/>
        <v>0.42499999999999999</v>
      </c>
      <c r="K8" s="1">
        <v>0.25</v>
      </c>
      <c r="L8" s="1">
        <v>6</v>
      </c>
      <c r="M8" s="1">
        <v>0.7</v>
      </c>
      <c r="N8" s="1">
        <v>0.3</v>
      </c>
      <c r="O8" s="1">
        <f t="shared" si="2"/>
        <v>0.72249999999999992</v>
      </c>
    </row>
    <row r="9" spans="1:15" x14ac:dyDescent="0.15">
      <c r="A9" s="1">
        <v>408017</v>
      </c>
      <c r="B9" s="1">
        <v>7</v>
      </c>
      <c r="C9" s="4" t="s">
        <v>22</v>
      </c>
      <c r="D9" s="2">
        <v>1</v>
      </c>
      <c r="E9" s="1">
        <v>414007</v>
      </c>
      <c r="F9" s="3" t="s">
        <v>40</v>
      </c>
      <c r="G9" s="1" t="s">
        <v>61</v>
      </c>
      <c r="H9" s="1" t="s">
        <v>49</v>
      </c>
      <c r="I9" s="1">
        <f t="shared" si="0"/>
        <v>0.87999999999999989</v>
      </c>
      <c r="J9" s="1">
        <f t="shared" si="1"/>
        <v>0.45</v>
      </c>
      <c r="K9" s="1">
        <v>0.25</v>
      </c>
      <c r="L9" s="1">
        <v>7</v>
      </c>
      <c r="M9" s="1">
        <v>0.7</v>
      </c>
      <c r="N9" s="1">
        <v>0.3</v>
      </c>
      <c r="O9" s="1">
        <f t="shared" si="2"/>
        <v>0.79199999999999993</v>
      </c>
    </row>
    <row r="10" spans="1:15" x14ac:dyDescent="0.15">
      <c r="A10" s="1">
        <v>408018</v>
      </c>
      <c r="B10" s="1">
        <v>8</v>
      </c>
      <c r="C10" s="4" t="s">
        <v>23</v>
      </c>
      <c r="D10" s="2">
        <v>1</v>
      </c>
      <c r="E10" s="1">
        <v>414008</v>
      </c>
      <c r="F10" s="3" t="s">
        <v>41</v>
      </c>
      <c r="G10" s="1" t="s">
        <v>61</v>
      </c>
      <c r="H10" s="1" t="s">
        <v>50</v>
      </c>
      <c r="I10" s="1">
        <f t="shared" si="0"/>
        <v>0.90999999999999992</v>
      </c>
      <c r="J10" s="1">
        <f t="shared" si="1"/>
        <v>0.47499999999999998</v>
      </c>
      <c r="K10" s="1">
        <v>0.25</v>
      </c>
      <c r="L10" s="1">
        <v>8</v>
      </c>
      <c r="M10" s="1">
        <v>0.7</v>
      </c>
      <c r="N10" s="1">
        <v>0.3</v>
      </c>
      <c r="O10" s="1">
        <f t="shared" si="2"/>
        <v>0.86449999999999994</v>
      </c>
    </row>
    <row r="11" spans="1:15" x14ac:dyDescent="0.15">
      <c r="A11" s="1">
        <v>408019</v>
      </c>
      <c r="B11" s="1">
        <v>9</v>
      </c>
      <c r="C11" s="4" t="s">
        <v>24</v>
      </c>
      <c r="D11" s="2">
        <v>1</v>
      </c>
      <c r="E11" s="1">
        <v>414009</v>
      </c>
      <c r="F11" s="3" t="s">
        <v>42</v>
      </c>
      <c r="G11" s="1" t="s">
        <v>61</v>
      </c>
      <c r="H11" s="1" t="s">
        <v>51</v>
      </c>
      <c r="I11" s="1">
        <f t="shared" si="0"/>
        <v>0.94</v>
      </c>
      <c r="J11" s="1">
        <f t="shared" si="1"/>
        <v>0.5</v>
      </c>
      <c r="K11" s="1">
        <v>0.25</v>
      </c>
      <c r="L11" s="1">
        <v>9</v>
      </c>
      <c r="M11" s="1">
        <v>0.7</v>
      </c>
      <c r="N11" s="1">
        <v>0.3</v>
      </c>
      <c r="O11" s="1">
        <f t="shared" si="2"/>
        <v>0.94</v>
      </c>
    </row>
    <row r="12" spans="1:15" x14ac:dyDescent="0.15">
      <c r="A12" s="1">
        <v>408021</v>
      </c>
      <c r="B12" s="1">
        <v>1</v>
      </c>
      <c r="C12" s="4" t="s">
        <v>25</v>
      </c>
      <c r="D12" s="2">
        <v>2</v>
      </c>
      <c r="E12" s="1">
        <v>414001</v>
      </c>
      <c r="F12" s="3" t="s">
        <v>10</v>
      </c>
      <c r="G12" s="1" t="s">
        <v>62</v>
      </c>
      <c r="H12" s="1" t="s">
        <v>52</v>
      </c>
      <c r="I12" s="1">
        <f>M12+(L12-1)*0.02</f>
        <v>0.5</v>
      </c>
      <c r="J12" s="1">
        <f>N12+(L12-1)*0.03</f>
        <v>0.5</v>
      </c>
      <c r="K12" s="1">
        <v>0.75</v>
      </c>
      <c r="L12" s="1">
        <v>1</v>
      </c>
      <c r="M12" s="1">
        <v>0.5</v>
      </c>
      <c r="N12" s="1">
        <v>0.5</v>
      </c>
      <c r="O12" s="1">
        <f t="shared" si="2"/>
        <v>0.5</v>
      </c>
    </row>
    <row r="13" spans="1:15" x14ac:dyDescent="0.15">
      <c r="A13" s="1">
        <v>408022</v>
      </c>
      <c r="B13" s="1">
        <v>2</v>
      </c>
      <c r="C13" s="4" t="s">
        <v>26</v>
      </c>
      <c r="D13" s="2">
        <v>2</v>
      </c>
      <c r="E13" s="1">
        <v>414002</v>
      </c>
      <c r="F13" s="3" t="s">
        <v>35</v>
      </c>
      <c r="G13" s="1" t="s">
        <v>62</v>
      </c>
      <c r="H13" s="1" t="s">
        <v>53</v>
      </c>
      <c r="I13" s="1">
        <f t="shared" ref="I13:I20" si="3">M13+(L13-1)*0.02</f>
        <v>0.52</v>
      </c>
      <c r="J13" s="1">
        <f t="shared" ref="J13:J20" si="4">N13+(L13-1)*0.03</f>
        <v>0.53</v>
      </c>
      <c r="K13" s="1">
        <v>0.76</v>
      </c>
      <c r="L13" s="1">
        <v>2</v>
      </c>
      <c r="M13" s="1">
        <v>0.5</v>
      </c>
      <c r="N13" s="1">
        <v>0.5</v>
      </c>
      <c r="O13" s="1">
        <f t="shared" si="2"/>
        <v>0.55120000000000002</v>
      </c>
    </row>
    <row r="14" spans="1:15" x14ac:dyDescent="0.15">
      <c r="A14" s="1">
        <v>408023</v>
      </c>
      <c r="B14" s="1">
        <v>3</v>
      </c>
      <c r="C14" s="4" t="s">
        <v>27</v>
      </c>
      <c r="D14" s="2">
        <v>2</v>
      </c>
      <c r="E14" s="1">
        <v>414003</v>
      </c>
      <c r="F14" s="3" t="s">
        <v>36</v>
      </c>
      <c r="G14" s="1" t="s">
        <v>62</v>
      </c>
      <c r="H14" s="1" t="s">
        <v>54</v>
      </c>
      <c r="I14" s="1">
        <f t="shared" si="3"/>
        <v>0.54</v>
      </c>
      <c r="J14" s="1">
        <f t="shared" si="4"/>
        <v>0.56000000000000005</v>
      </c>
      <c r="K14" s="1">
        <v>0.77</v>
      </c>
      <c r="L14" s="1">
        <v>3</v>
      </c>
      <c r="M14" s="1">
        <v>0.5</v>
      </c>
      <c r="N14" s="1">
        <v>0.5</v>
      </c>
      <c r="O14" s="1">
        <f t="shared" si="2"/>
        <v>0.60480000000000012</v>
      </c>
    </row>
    <row r="15" spans="1:15" x14ac:dyDescent="0.15">
      <c r="A15" s="1">
        <v>408024</v>
      </c>
      <c r="B15" s="1">
        <v>4</v>
      </c>
      <c r="C15" s="4" t="s">
        <v>28</v>
      </c>
      <c r="D15" s="2">
        <v>2</v>
      </c>
      <c r="E15" s="1">
        <v>414004</v>
      </c>
      <c r="F15" s="3" t="s">
        <v>37</v>
      </c>
      <c r="G15" s="1" t="s">
        <v>62</v>
      </c>
      <c r="H15" s="1" t="s">
        <v>55</v>
      </c>
      <c r="I15" s="1">
        <f t="shared" si="3"/>
        <v>0.56000000000000005</v>
      </c>
      <c r="J15" s="1">
        <f t="shared" si="4"/>
        <v>0.59</v>
      </c>
      <c r="K15" s="1">
        <v>0.78</v>
      </c>
      <c r="L15" s="1">
        <v>4</v>
      </c>
      <c r="M15" s="1">
        <v>0.5</v>
      </c>
      <c r="N15" s="1">
        <v>0.5</v>
      </c>
      <c r="O15" s="1">
        <f t="shared" si="2"/>
        <v>0.66080000000000005</v>
      </c>
    </row>
    <row r="16" spans="1:15" x14ac:dyDescent="0.15">
      <c r="A16" s="1">
        <v>408025</v>
      </c>
      <c r="B16" s="1">
        <v>5</v>
      </c>
      <c r="C16" s="4" t="s">
        <v>29</v>
      </c>
      <c r="D16" s="2">
        <v>2</v>
      </c>
      <c r="E16" s="1">
        <v>414005</v>
      </c>
      <c r="F16" s="3" t="s">
        <v>38</v>
      </c>
      <c r="G16" s="1" t="s">
        <v>62</v>
      </c>
      <c r="H16" s="1" t="s">
        <v>56</v>
      </c>
      <c r="I16" s="1">
        <f t="shared" si="3"/>
        <v>0.57999999999999996</v>
      </c>
      <c r="J16" s="1">
        <f t="shared" si="4"/>
        <v>0.62</v>
      </c>
      <c r="K16" s="1">
        <v>0.79</v>
      </c>
      <c r="L16" s="1">
        <v>5</v>
      </c>
      <c r="M16" s="1">
        <v>0.5</v>
      </c>
      <c r="N16" s="1">
        <v>0.5</v>
      </c>
      <c r="O16" s="1">
        <f t="shared" si="2"/>
        <v>0.71919999999999995</v>
      </c>
    </row>
    <row r="17" spans="1:15" x14ac:dyDescent="0.15">
      <c r="A17" s="1">
        <v>408026</v>
      </c>
      <c r="B17" s="1">
        <v>6</v>
      </c>
      <c r="C17" s="4" t="s">
        <v>30</v>
      </c>
      <c r="D17" s="2">
        <v>2</v>
      </c>
      <c r="E17" s="1">
        <v>414006</v>
      </c>
      <c r="F17" s="3" t="s">
        <v>39</v>
      </c>
      <c r="G17" s="1" t="s">
        <v>62</v>
      </c>
      <c r="H17" s="1" t="s">
        <v>57</v>
      </c>
      <c r="I17" s="1">
        <f t="shared" si="3"/>
        <v>0.6</v>
      </c>
      <c r="J17" s="1">
        <f t="shared" si="4"/>
        <v>0.65</v>
      </c>
      <c r="K17" s="1">
        <v>0.8</v>
      </c>
      <c r="L17" s="1">
        <v>6</v>
      </c>
      <c r="M17" s="1">
        <v>0.5</v>
      </c>
      <c r="N17" s="1">
        <v>0.5</v>
      </c>
      <c r="O17" s="1">
        <f t="shared" si="2"/>
        <v>0.78</v>
      </c>
    </row>
    <row r="18" spans="1:15" x14ac:dyDescent="0.15">
      <c r="A18" s="1">
        <v>408027</v>
      </c>
      <c r="B18" s="1">
        <v>7</v>
      </c>
      <c r="C18" s="4" t="s">
        <v>31</v>
      </c>
      <c r="D18" s="2">
        <v>2</v>
      </c>
      <c r="E18" s="1">
        <v>414007</v>
      </c>
      <c r="F18" s="3" t="s">
        <v>40</v>
      </c>
      <c r="G18" s="1" t="s">
        <v>62</v>
      </c>
      <c r="H18" s="1" t="s">
        <v>58</v>
      </c>
      <c r="I18" s="1">
        <f t="shared" si="3"/>
        <v>0.62</v>
      </c>
      <c r="J18" s="1">
        <f t="shared" si="4"/>
        <v>0.67999999999999994</v>
      </c>
      <c r="K18" s="1">
        <v>0.81</v>
      </c>
      <c r="L18" s="1">
        <v>7</v>
      </c>
      <c r="M18" s="1">
        <v>0.5</v>
      </c>
      <c r="N18" s="1">
        <v>0.5</v>
      </c>
      <c r="O18" s="1">
        <f t="shared" si="2"/>
        <v>0.84319999999999995</v>
      </c>
    </row>
    <row r="19" spans="1:15" x14ac:dyDescent="0.15">
      <c r="A19" s="1">
        <v>408028</v>
      </c>
      <c r="B19" s="1">
        <v>8</v>
      </c>
      <c r="C19" s="4" t="s">
        <v>32</v>
      </c>
      <c r="D19" s="2">
        <v>2</v>
      </c>
      <c r="E19" s="1">
        <v>414008</v>
      </c>
      <c r="F19" s="3" t="s">
        <v>41</v>
      </c>
      <c r="G19" s="1" t="s">
        <v>62</v>
      </c>
      <c r="H19" s="1" t="s">
        <v>59</v>
      </c>
      <c r="I19" s="1">
        <f t="shared" si="3"/>
        <v>0.64</v>
      </c>
      <c r="J19" s="1">
        <f t="shared" si="4"/>
        <v>0.71</v>
      </c>
      <c r="K19" s="1">
        <v>0.82</v>
      </c>
      <c r="L19" s="1">
        <v>8</v>
      </c>
      <c r="M19" s="1">
        <v>0.5</v>
      </c>
      <c r="N19" s="1">
        <v>0.5</v>
      </c>
      <c r="O19" s="1">
        <f t="shared" si="2"/>
        <v>0.90879999999999994</v>
      </c>
    </row>
    <row r="20" spans="1:15" x14ac:dyDescent="0.15">
      <c r="A20" s="1">
        <v>408029</v>
      </c>
      <c r="B20" s="1">
        <v>9</v>
      </c>
      <c r="C20" s="4" t="s">
        <v>33</v>
      </c>
      <c r="D20" s="2">
        <v>2</v>
      </c>
      <c r="E20" s="1">
        <v>414009</v>
      </c>
      <c r="F20" s="3" t="s">
        <v>42</v>
      </c>
      <c r="G20" s="1" t="s">
        <v>62</v>
      </c>
      <c r="H20" s="1" t="s">
        <v>60</v>
      </c>
      <c r="I20" s="1">
        <f t="shared" si="3"/>
        <v>0.66</v>
      </c>
      <c r="J20" s="1">
        <f t="shared" si="4"/>
        <v>0.74</v>
      </c>
      <c r="K20" s="1">
        <v>0.83</v>
      </c>
      <c r="L20" s="1">
        <v>9</v>
      </c>
      <c r="M20" s="1">
        <v>0.5</v>
      </c>
      <c r="N20" s="1">
        <v>0.5</v>
      </c>
      <c r="O20" s="1">
        <f t="shared" si="2"/>
        <v>0.9768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2024-12-24T07:42:11Z</dcterms:modified>
</cp:coreProperties>
</file>