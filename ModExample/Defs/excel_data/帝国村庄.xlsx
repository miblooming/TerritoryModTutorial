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092085DF-7A04-40A4-BC0E-911CFF9BD096}" xr6:coauthVersionLast="47" xr6:coauthVersionMax="47" xr10:uidLastSave="{00000000-0000-0000-0000-000000000000}"/>
  <bookViews>
    <workbookView xWindow="30930" yWindow="1920" windowWidth="22800" windowHeight="13455" xr2:uid="{00000000-000D-0000-FFFF-FFFF00000000}"/>
  </bookViews>
  <sheets>
    <sheet name="empire_village" sheetId="3" r:id="rId1"/>
    <sheet name="empire_village_product_target" sheetId="2" r:id="rId2"/>
    <sheet name="secret_realm" sheetId="4" r:id="rId3"/>
    <sheet name="stronghold" sheetId="5" r:id="rId4"/>
  </sheets>
  <definedNames>
    <definedName name="_xlnm._FilterDatabase" localSheetId="0" hidden="1">empire_village!$D$1:$D$72</definedName>
  </definedNames>
  <calcPr calcId="181029"/>
</workbook>
</file>

<file path=xl/calcChain.xml><?xml version="1.0" encoding="utf-8"?>
<calcChain xmlns="http://schemas.openxmlformats.org/spreadsheetml/2006/main">
  <c r="F12" i="4" l="1"/>
  <c r="F11" i="4"/>
  <c r="F8" i="4" l="1"/>
  <c r="F10" i="4" s="1"/>
  <c r="F7" i="4"/>
  <c r="F9" i="4" s="1"/>
  <c r="AC4" i="3" l="1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3" i="3"/>
  <c r="AD2" i="3"/>
  <c r="AE2" i="3"/>
  <c r="AF2" i="3"/>
  <c r="AG2" i="3"/>
  <c r="AH2" i="3"/>
  <c r="AI2" i="3"/>
  <c r="AJ2" i="3"/>
  <c r="AK2" i="3"/>
  <c r="AC2" i="3"/>
  <c r="AJ4" i="5"/>
  <c r="AJ5" i="5"/>
  <c r="AJ6" i="5"/>
  <c r="AJ7" i="5"/>
  <c r="AJ8" i="5"/>
  <c r="AJ9" i="5"/>
  <c r="AJ10" i="5"/>
  <c r="AJ11" i="5"/>
  <c r="AJ12" i="5"/>
  <c r="AJ13" i="5"/>
  <c r="AJ17" i="5"/>
  <c r="AJ18" i="5"/>
  <c r="AJ19" i="5"/>
  <c r="AJ20" i="5"/>
  <c r="AJ21" i="5"/>
  <c r="AJ22" i="5"/>
  <c r="AJ23" i="5"/>
  <c r="AJ27" i="5"/>
  <c r="AJ28" i="5"/>
  <c r="AJ29" i="5"/>
  <c r="AJ30" i="5"/>
  <c r="AJ31" i="5"/>
  <c r="AJ32" i="5"/>
  <c r="AJ33" i="5"/>
  <c r="AJ37" i="5"/>
  <c r="AJ38" i="5"/>
  <c r="AJ50" i="5"/>
  <c r="AJ51" i="5"/>
  <c r="AJ52" i="5"/>
  <c r="AJ3" i="5"/>
  <c r="AF4" i="5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4" i="5"/>
  <c r="AF35" i="5"/>
  <c r="AF36" i="5"/>
  <c r="AF37" i="5"/>
  <c r="AF38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F51" i="5"/>
  <c r="AF52" i="5"/>
  <c r="AF3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3" i="5"/>
  <c r="AI23" i="5"/>
  <c r="AI33" i="5" s="1"/>
  <c r="AI43" i="5" s="1"/>
  <c r="AJ43" i="5" s="1"/>
  <c r="AI22" i="5"/>
  <c r="AI32" i="5" s="1"/>
  <c r="AI42" i="5" s="1"/>
  <c r="AI52" i="5" s="1"/>
  <c r="AI21" i="5"/>
  <c r="AI31" i="5" s="1"/>
  <c r="AI41" i="5" s="1"/>
  <c r="AI51" i="5" s="1"/>
  <c r="AI20" i="5"/>
  <c r="AI30" i="5" s="1"/>
  <c r="AI40" i="5" s="1"/>
  <c r="AI50" i="5" s="1"/>
  <c r="AI19" i="5"/>
  <c r="AI29" i="5" s="1"/>
  <c r="AI39" i="5" s="1"/>
  <c r="AI49" i="5" s="1"/>
  <c r="AJ49" i="5" s="1"/>
  <c r="AI18" i="5"/>
  <c r="AI28" i="5" s="1"/>
  <c r="AI38" i="5" s="1"/>
  <c r="AI48" i="5" s="1"/>
  <c r="AJ48" i="5" s="1"/>
  <c r="AI17" i="5"/>
  <c r="AI27" i="5" s="1"/>
  <c r="AI37" i="5" s="1"/>
  <c r="AI47" i="5" s="1"/>
  <c r="AJ47" i="5" s="1"/>
  <c r="AI16" i="5"/>
  <c r="AJ16" i="5" s="1"/>
  <c r="AI15" i="5"/>
  <c r="AI25" i="5" s="1"/>
  <c r="AI14" i="5"/>
  <c r="AI24" i="5" s="1"/>
  <c r="AI13" i="5"/>
  <c r="AE22" i="5"/>
  <c r="AE32" i="5" s="1"/>
  <c r="AE42" i="5" s="1"/>
  <c r="AE52" i="5" s="1"/>
  <c r="AE21" i="5"/>
  <c r="AE31" i="5" s="1"/>
  <c r="AE41" i="5" s="1"/>
  <c r="AE51" i="5" s="1"/>
  <c r="AE20" i="5"/>
  <c r="AE30" i="5" s="1"/>
  <c r="AE40" i="5" s="1"/>
  <c r="AE50" i="5" s="1"/>
  <c r="AE19" i="5"/>
  <c r="AE29" i="5" s="1"/>
  <c r="AE39" i="5" s="1"/>
  <c r="AE49" i="5" s="1"/>
  <c r="AE18" i="5"/>
  <c r="AE28" i="5" s="1"/>
  <c r="AE38" i="5" s="1"/>
  <c r="AE48" i="5" s="1"/>
  <c r="AE17" i="5"/>
  <c r="AE27" i="5" s="1"/>
  <c r="AE37" i="5" s="1"/>
  <c r="AE47" i="5" s="1"/>
  <c r="AE16" i="5"/>
  <c r="AE26" i="5" s="1"/>
  <c r="AE36" i="5" s="1"/>
  <c r="AE46" i="5" s="1"/>
  <c r="AE15" i="5"/>
  <c r="AE25" i="5" s="1"/>
  <c r="AE35" i="5" s="1"/>
  <c r="AE45" i="5" s="1"/>
  <c r="AE14" i="5"/>
  <c r="AE24" i="5" s="1"/>
  <c r="AE34" i="5" s="1"/>
  <c r="AE44" i="5" s="1"/>
  <c r="AE13" i="5"/>
  <c r="AE23" i="5" s="1"/>
  <c r="AE33" i="5" s="1"/>
  <c r="AE43" i="5" s="1"/>
  <c r="AA22" i="5"/>
  <c r="AA32" i="5" s="1"/>
  <c r="AA42" i="5" s="1"/>
  <c r="AA52" i="5" s="1"/>
  <c r="AA21" i="5"/>
  <c r="AA31" i="5" s="1"/>
  <c r="AA41" i="5" s="1"/>
  <c r="AA51" i="5" s="1"/>
  <c r="AA20" i="5"/>
  <c r="AA30" i="5" s="1"/>
  <c r="AA40" i="5" s="1"/>
  <c r="AA50" i="5" s="1"/>
  <c r="AA19" i="5"/>
  <c r="AA29" i="5" s="1"/>
  <c r="AA39" i="5" s="1"/>
  <c r="AA49" i="5" s="1"/>
  <c r="AA18" i="5"/>
  <c r="AA28" i="5" s="1"/>
  <c r="AA38" i="5" s="1"/>
  <c r="AA48" i="5" s="1"/>
  <c r="AA17" i="5"/>
  <c r="AA27" i="5" s="1"/>
  <c r="AA37" i="5" s="1"/>
  <c r="AA47" i="5" s="1"/>
  <c r="AA16" i="5"/>
  <c r="AA26" i="5" s="1"/>
  <c r="AA36" i="5" s="1"/>
  <c r="AA46" i="5" s="1"/>
  <c r="AA15" i="5"/>
  <c r="AA25" i="5" s="1"/>
  <c r="AA35" i="5" s="1"/>
  <c r="AA45" i="5" s="1"/>
  <c r="AA14" i="5"/>
  <c r="AA24" i="5" s="1"/>
  <c r="AA34" i="5" s="1"/>
  <c r="AA44" i="5" s="1"/>
  <c r="AA13" i="5"/>
  <c r="AA23" i="5" s="1"/>
  <c r="AA33" i="5" s="1"/>
  <c r="AA43" i="5" s="1"/>
  <c r="W22" i="5"/>
  <c r="W32" i="5" s="1"/>
  <c r="W42" i="5" s="1"/>
  <c r="W52" i="5" s="1"/>
  <c r="W21" i="5"/>
  <c r="W31" i="5" s="1"/>
  <c r="W41" i="5" s="1"/>
  <c r="W51" i="5" s="1"/>
  <c r="W20" i="5"/>
  <c r="W30" i="5" s="1"/>
  <c r="W40" i="5" s="1"/>
  <c r="W50" i="5" s="1"/>
  <c r="W19" i="5"/>
  <c r="W29" i="5" s="1"/>
  <c r="W39" i="5" s="1"/>
  <c r="W49" i="5" s="1"/>
  <c r="W18" i="5"/>
  <c r="W28" i="5" s="1"/>
  <c r="W38" i="5" s="1"/>
  <c r="W48" i="5" s="1"/>
  <c r="W17" i="5"/>
  <c r="W27" i="5" s="1"/>
  <c r="W37" i="5" s="1"/>
  <c r="W47" i="5" s="1"/>
  <c r="W16" i="5"/>
  <c r="W26" i="5" s="1"/>
  <c r="W36" i="5" s="1"/>
  <c r="W46" i="5" s="1"/>
  <c r="W15" i="5"/>
  <c r="W25" i="5" s="1"/>
  <c r="W35" i="5" s="1"/>
  <c r="W45" i="5" s="1"/>
  <c r="W14" i="5"/>
  <c r="W24" i="5" s="1"/>
  <c r="W34" i="5" s="1"/>
  <c r="W44" i="5" s="1"/>
  <c r="W13" i="5"/>
  <c r="W23" i="5" s="1"/>
  <c r="W33" i="5" s="1"/>
  <c r="W43" i="5" s="1"/>
  <c r="T4" i="5"/>
  <c r="T5" i="5"/>
  <c r="T6" i="5"/>
  <c r="T7" i="5"/>
  <c r="T8" i="5"/>
  <c r="T9" i="5"/>
  <c r="T10" i="5"/>
  <c r="T11" i="5"/>
  <c r="T12" i="5"/>
  <c r="T3" i="5"/>
  <c r="S22" i="5"/>
  <c r="S32" i="5" s="1"/>
  <c r="S42" i="5" s="1"/>
  <c r="S52" i="5" s="1"/>
  <c r="T52" i="5" s="1"/>
  <c r="S21" i="5"/>
  <c r="S31" i="5" s="1"/>
  <c r="S41" i="5" s="1"/>
  <c r="S51" i="5" s="1"/>
  <c r="T51" i="5" s="1"/>
  <c r="S20" i="5"/>
  <c r="S30" i="5" s="1"/>
  <c r="S40" i="5" s="1"/>
  <c r="S50" i="5" s="1"/>
  <c r="T50" i="5" s="1"/>
  <c r="S19" i="5"/>
  <c r="S29" i="5" s="1"/>
  <c r="S39" i="5" s="1"/>
  <c r="S49" i="5" s="1"/>
  <c r="T49" i="5" s="1"/>
  <c r="S18" i="5"/>
  <c r="S28" i="5" s="1"/>
  <c r="S38" i="5" s="1"/>
  <c r="S48" i="5" s="1"/>
  <c r="T48" i="5" s="1"/>
  <c r="S17" i="5"/>
  <c r="S27" i="5" s="1"/>
  <c r="S37" i="5" s="1"/>
  <c r="S47" i="5" s="1"/>
  <c r="T47" i="5" s="1"/>
  <c r="S16" i="5"/>
  <c r="S26" i="5" s="1"/>
  <c r="S36" i="5" s="1"/>
  <c r="S46" i="5" s="1"/>
  <c r="T46" i="5" s="1"/>
  <c r="S15" i="5"/>
  <c r="S25" i="5" s="1"/>
  <c r="S35" i="5" s="1"/>
  <c r="S45" i="5" s="1"/>
  <c r="T45" i="5" s="1"/>
  <c r="S14" i="5"/>
  <c r="S24" i="5" s="1"/>
  <c r="S34" i="5" s="1"/>
  <c r="S44" i="5" s="1"/>
  <c r="T44" i="5" s="1"/>
  <c r="S13" i="5"/>
  <c r="S23" i="5" s="1"/>
  <c r="S33" i="5" s="1"/>
  <c r="S43" i="5" s="1"/>
  <c r="T43" i="5" s="1"/>
  <c r="P4" i="5"/>
  <c r="P5" i="5"/>
  <c r="P6" i="5"/>
  <c r="P7" i="5"/>
  <c r="P8" i="5"/>
  <c r="P9" i="5"/>
  <c r="P10" i="5"/>
  <c r="P11" i="5"/>
  <c r="P12" i="5"/>
  <c r="P3" i="5"/>
  <c r="O14" i="5"/>
  <c r="O24" i="5" s="1"/>
  <c r="O34" i="5" s="1"/>
  <c r="O44" i="5" s="1"/>
  <c r="P44" i="5" s="1"/>
  <c r="O15" i="5"/>
  <c r="O25" i="5" s="1"/>
  <c r="O35" i="5" s="1"/>
  <c r="O45" i="5" s="1"/>
  <c r="P45" i="5" s="1"/>
  <c r="O16" i="5"/>
  <c r="O26" i="5" s="1"/>
  <c r="O36" i="5" s="1"/>
  <c r="O46" i="5" s="1"/>
  <c r="P46" i="5" s="1"/>
  <c r="O17" i="5"/>
  <c r="O27" i="5" s="1"/>
  <c r="O18" i="5"/>
  <c r="O28" i="5" s="1"/>
  <c r="O19" i="5"/>
  <c r="O29" i="5" s="1"/>
  <c r="O20" i="5"/>
  <c r="O30" i="5" s="1"/>
  <c r="O21" i="5"/>
  <c r="O31" i="5" s="1"/>
  <c r="O22" i="5"/>
  <c r="O32" i="5" s="1"/>
  <c r="O13" i="5"/>
  <c r="O23" i="5" s="1"/>
  <c r="L4" i="5"/>
  <c r="L5" i="5"/>
  <c r="L6" i="5"/>
  <c r="L7" i="5"/>
  <c r="L8" i="5"/>
  <c r="L9" i="5"/>
  <c r="L10" i="5"/>
  <c r="L11" i="5"/>
  <c r="L12" i="5"/>
  <c r="L3" i="5"/>
  <c r="K14" i="5"/>
  <c r="K24" i="5" s="1"/>
  <c r="K34" i="5" s="1"/>
  <c r="K44" i="5" s="1"/>
  <c r="L44" i="5" s="1"/>
  <c r="K15" i="5"/>
  <c r="K25" i="5" s="1"/>
  <c r="K35" i="5" s="1"/>
  <c r="K45" i="5" s="1"/>
  <c r="L45" i="5" s="1"/>
  <c r="K16" i="5"/>
  <c r="K26" i="5" s="1"/>
  <c r="K36" i="5" s="1"/>
  <c r="K46" i="5" s="1"/>
  <c r="L46" i="5" s="1"/>
  <c r="K17" i="5"/>
  <c r="K27" i="5" s="1"/>
  <c r="K37" i="5" s="1"/>
  <c r="K47" i="5" s="1"/>
  <c r="L47" i="5" s="1"/>
  <c r="K18" i="5"/>
  <c r="K28" i="5" s="1"/>
  <c r="K38" i="5" s="1"/>
  <c r="K48" i="5" s="1"/>
  <c r="L48" i="5" s="1"/>
  <c r="K19" i="5"/>
  <c r="L19" i="5" s="1"/>
  <c r="K20" i="5"/>
  <c r="L20" i="5" s="1"/>
  <c r="K21" i="5"/>
  <c r="L21" i="5" s="1"/>
  <c r="K22" i="5"/>
  <c r="L22" i="5" s="1"/>
  <c r="K29" i="5"/>
  <c r="L29" i="5" s="1"/>
  <c r="K30" i="5"/>
  <c r="K40" i="5" s="1"/>
  <c r="K31" i="5"/>
  <c r="L31" i="5" s="1"/>
  <c r="K32" i="5"/>
  <c r="K42" i="5" s="1"/>
  <c r="K13" i="5"/>
  <c r="K23" i="5" s="1"/>
  <c r="K33" i="5" s="1"/>
  <c r="G14" i="5"/>
  <c r="G24" i="5" s="1"/>
  <c r="G34" i="5" s="1"/>
  <c r="G44" i="5" s="1"/>
  <c r="H44" i="5" s="1"/>
  <c r="G15" i="5"/>
  <c r="G25" i="5" s="1"/>
  <c r="G35" i="5" s="1"/>
  <c r="G45" i="5" s="1"/>
  <c r="H45" i="5" s="1"/>
  <c r="G16" i="5"/>
  <c r="G26" i="5" s="1"/>
  <c r="G36" i="5" s="1"/>
  <c r="G46" i="5" s="1"/>
  <c r="H46" i="5" s="1"/>
  <c r="G17" i="5"/>
  <c r="H17" i="5" s="1"/>
  <c r="G18" i="5"/>
  <c r="H18" i="5" s="1"/>
  <c r="G19" i="5"/>
  <c r="H19" i="5" s="1"/>
  <c r="G20" i="5"/>
  <c r="H20" i="5" s="1"/>
  <c r="G21" i="5"/>
  <c r="H21" i="5" s="1"/>
  <c r="G22" i="5"/>
  <c r="H22" i="5" s="1"/>
  <c r="G13" i="5"/>
  <c r="H13" i="5" s="1"/>
  <c r="AI35" i="5" l="1"/>
  <c r="AJ25" i="5"/>
  <c r="AJ15" i="5"/>
  <c r="AI26" i="5"/>
  <c r="AJ42" i="5"/>
  <c r="AJ41" i="5"/>
  <c r="AJ40" i="5"/>
  <c r="AJ39" i="5"/>
  <c r="AI34" i="5"/>
  <c r="AJ24" i="5"/>
  <c r="AJ14" i="5"/>
  <c r="L13" i="5"/>
  <c r="T33" i="5"/>
  <c r="T35" i="5"/>
  <c r="T24" i="5"/>
  <c r="T23" i="5"/>
  <c r="T15" i="5"/>
  <c r="T36" i="5"/>
  <c r="T26" i="5"/>
  <c r="T25" i="5"/>
  <c r="T22" i="5"/>
  <c r="T16" i="5"/>
  <c r="T14" i="5"/>
  <c r="T13" i="5"/>
  <c r="P32" i="5"/>
  <c r="O42" i="5"/>
  <c r="O52" i="5" s="1"/>
  <c r="P52" i="5" s="1"/>
  <c r="P31" i="5"/>
  <c r="O41" i="5"/>
  <c r="O51" i="5" s="1"/>
  <c r="P51" i="5" s="1"/>
  <c r="P30" i="5"/>
  <c r="O40" i="5"/>
  <c r="O50" i="5" s="1"/>
  <c r="P50" i="5" s="1"/>
  <c r="T27" i="5"/>
  <c r="T19" i="5"/>
  <c r="T20" i="5"/>
  <c r="T17" i="5"/>
  <c r="P26" i="5"/>
  <c r="P22" i="5"/>
  <c r="T42" i="5"/>
  <c r="T38" i="5"/>
  <c r="T34" i="5"/>
  <c r="T18" i="5"/>
  <c r="P20" i="5"/>
  <c r="G23" i="5"/>
  <c r="H23" i="5" s="1"/>
  <c r="T31" i="5"/>
  <c r="T21" i="5"/>
  <c r="P21" i="5"/>
  <c r="T32" i="5"/>
  <c r="T30" i="5"/>
  <c r="T41" i="5"/>
  <c r="T40" i="5"/>
  <c r="T29" i="5"/>
  <c r="L24" i="5"/>
  <c r="P25" i="5"/>
  <c r="P24" i="5"/>
  <c r="T39" i="5"/>
  <c r="T37" i="5"/>
  <c r="T28" i="5"/>
  <c r="O33" i="5"/>
  <c r="P23" i="5"/>
  <c r="P29" i="5"/>
  <c r="O39" i="5"/>
  <c r="P28" i="5"/>
  <c r="O38" i="5"/>
  <c r="O37" i="5"/>
  <c r="P27" i="5"/>
  <c r="P19" i="5"/>
  <c r="P17" i="5"/>
  <c r="P16" i="5"/>
  <c r="P15" i="5"/>
  <c r="P18" i="5"/>
  <c r="P14" i="5"/>
  <c r="P13" i="5"/>
  <c r="P42" i="5"/>
  <c r="P41" i="5"/>
  <c r="P40" i="5"/>
  <c r="P36" i="5"/>
  <c r="P35" i="5"/>
  <c r="P34" i="5"/>
  <c r="G32" i="5"/>
  <c r="H32" i="5" s="1"/>
  <c r="L35" i="5"/>
  <c r="G31" i="5"/>
  <c r="H31" i="5" s="1"/>
  <c r="L34" i="5"/>
  <c r="G30" i="5"/>
  <c r="H30" i="5" s="1"/>
  <c r="L28" i="5"/>
  <c r="G29" i="5"/>
  <c r="H29" i="5" s="1"/>
  <c r="L27" i="5"/>
  <c r="G28" i="5"/>
  <c r="H28" i="5" s="1"/>
  <c r="L26" i="5"/>
  <c r="G27" i="5"/>
  <c r="H27" i="5" s="1"/>
  <c r="L25" i="5"/>
  <c r="L33" i="5"/>
  <c r="K43" i="5"/>
  <c r="L43" i="5" s="1"/>
  <c r="K52" i="5"/>
  <c r="L52" i="5" s="1"/>
  <c r="L42" i="5"/>
  <c r="K50" i="5"/>
  <c r="L50" i="5" s="1"/>
  <c r="L40" i="5"/>
  <c r="L32" i="5"/>
  <c r="L17" i="5"/>
  <c r="L30" i="5"/>
  <c r="L23" i="5"/>
  <c r="L15" i="5"/>
  <c r="H26" i="5"/>
  <c r="K41" i="5"/>
  <c r="L16" i="5"/>
  <c r="L38" i="5"/>
  <c r="H34" i="5"/>
  <c r="K39" i="5"/>
  <c r="L37" i="5"/>
  <c r="L18" i="5"/>
  <c r="H36" i="5"/>
  <c r="H35" i="5"/>
  <c r="L14" i="5"/>
  <c r="L36" i="5"/>
  <c r="H24" i="5"/>
  <c r="H25" i="5"/>
  <c r="H16" i="5"/>
  <c r="H15" i="5"/>
  <c r="H14" i="5"/>
  <c r="AI36" i="5" l="1"/>
  <c r="AJ26" i="5"/>
  <c r="AI45" i="5"/>
  <c r="AJ45" i="5" s="1"/>
  <c r="AJ35" i="5"/>
  <c r="AI44" i="5"/>
  <c r="AJ44" i="5" s="1"/>
  <c r="AJ34" i="5"/>
  <c r="G33" i="5"/>
  <c r="H33" i="5" s="1"/>
  <c r="G37" i="5"/>
  <c r="G47" i="5" s="1"/>
  <c r="H47" i="5" s="1"/>
  <c r="P33" i="5"/>
  <c r="O43" i="5"/>
  <c r="P43" i="5" s="1"/>
  <c r="G38" i="5"/>
  <c r="G48" i="5" s="1"/>
  <c r="H48" i="5" s="1"/>
  <c r="G39" i="5"/>
  <c r="G49" i="5" s="1"/>
  <c r="H49" i="5" s="1"/>
  <c r="G41" i="5"/>
  <c r="G51" i="5" s="1"/>
  <c r="H51" i="5" s="1"/>
  <c r="G42" i="5"/>
  <c r="G52" i="5" s="1"/>
  <c r="H52" i="5" s="1"/>
  <c r="G40" i="5"/>
  <c r="P37" i="5"/>
  <c r="O47" i="5"/>
  <c r="P47" i="5" s="1"/>
  <c r="P38" i="5"/>
  <c r="O48" i="5"/>
  <c r="P48" i="5" s="1"/>
  <c r="O49" i="5"/>
  <c r="P49" i="5" s="1"/>
  <c r="P39" i="5"/>
  <c r="L39" i="5"/>
  <c r="K49" i="5"/>
  <c r="L49" i="5" s="1"/>
  <c r="H41" i="5"/>
  <c r="H38" i="5"/>
  <c r="K51" i="5"/>
  <c r="L51" i="5" s="1"/>
  <c r="L41" i="5"/>
  <c r="H39" i="5"/>
  <c r="H42" i="5"/>
  <c r="AI46" i="5" l="1"/>
  <c r="AJ46" i="5" s="1"/>
  <c r="AJ36" i="5"/>
  <c r="G43" i="5"/>
  <c r="H43" i="5" s="1"/>
  <c r="H37" i="5"/>
  <c r="G50" i="5"/>
  <c r="H50" i="5" s="1"/>
  <c r="H40" i="5"/>
  <c r="C14" i="5" l="1"/>
  <c r="C24" i="5" s="1"/>
  <c r="C34" i="5" s="1"/>
  <c r="C44" i="5" s="1"/>
  <c r="C15" i="5"/>
  <c r="C16" i="5"/>
  <c r="C17" i="5"/>
  <c r="C27" i="5" s="1"/>
  <c r="C37" i="5" s="1"/>
  <c r="C47" i="5" s="1"/>
  <c r="C18" i="5"/>
  <c r="C28" i="5" s="1"/>
  <c r="C38" i="5" s="1"/>
  <c r="C48" i="5" s="1"/>
  <c r="C19" i="5"/>
  <c r="C20" i="5"/>
  <c r="C21" i="5"/>
  <c r="C22" i="5"/>
  <c r="C25" i="5"/>
  <c r="C35" i="5" s="1"/>
  <c r="C45" i="5" s="1"/>
  <c r="C26" i="5"/>
  <c r="C29" i="5"/>
  <c r="C30" i="5"/>
  <c r="C31" i="5"/>
  <c r="C41" i="5" s="1"/>
  <c r="C51" i="5" s="1"/>
  <c r="C32" i="5"/>
  <c r="C42" i="5" s="1"/>
  <c r="C52" i="5" s="1"/>
  <c r="C36" i="5"/>
  <c r="C39" i="5"/>
  <c r="C49" i="5" s="1"/>
  <c r="C40" i="5"/>
  <c r="C50" i="5" s="1"/>
  <c r="C46" i="5"/>
  <c r="C13" i="5"/>
  <c r="C23" i="5" s="1"/>
  <c r="C33" i="5" s="1"/>
  <c r="C43" i="5" s="1"/>
  <c r="F11" i="3" l="1"/>
  <c r="F18" i="3" s="1"/>
  <c r="F25" i="3" s="1"/>
  <c r="F32" i="3" s="1"/>
  <c r="F12" i="3"/>
  <c r="F19" i="3" s="1"/>
  <c r="F26" i="3" s="1"/>
  <c r="F33" i="3" s="1"/>
  <c r="F13" i="3"/>
  <c r="F20" i="3" s="1"/>
  <c r="F27" i="3" s="1"/>
  <c r="F34" i="3" s="1"/>
  <c r="F14" i="3"/>
  <c r="F21" i="3" s="1"/>
  <c r="F28" i="3" s="1"/>
  <c r="F15" i="3"/>
  <c r="F22" i="3" s="1"/>
  <c r="F16" i="3"/>
  <c r="F23" i="3" s="1"/>
  <c r="F30" i="3" s="1"/>
  <c r="F37" i="3" s="1"/>
  <c r="F10" i="3"/>
  <c r="F17" i="3" s="1"/>
  <c r="F24" i="3" s="1"/>
  <c r="F31" i="3" s="1"/>
  <c r="F38" i="3" s="1"/>
  <c r="F45" i="3" s="1"/>
  <c r="F52" i="3" s="1"/>
  <c r="F59" i="3" s="1"/>
  <c r="F66" i="3" s="1"/>
  <c r="F41" i="3" l="1"/>
  <c r="F48" i="3" s="1"/>
  <c r="F55" i="3" s="1"/>
  <c r="F62" i="3" s="1"/>
  <c r="F44" i="3"/>
  <c r="F51" i="3" s="1"/>
  <c r="F58" i="3" s="1"/>
  <c r="F40" i="3"/>
  <c r="F39" i="3"/>
  <c r="F46" i="3" s="1"/>
  <c r="F35" i="3"/>
  <c r="F29" i="3"/>
  <c r="F65" i="3" l="1"/>
  <c r="F72" i="3" s="1"/>
  <c r="F53" i="3"/>
  <c r="F69" i="3"/>
  <c r="F47" i="3"/>
  <c r="F42" i="3"/>
  <c r="F36" i="3"/>
  <c r="F60" i="3" l="1"/>
  <c r="F67" i="3" s="1"/>
  <c r="F54" i="3"/>
  <c r="F49" i="3"/>
  <c r="F43" i="3"/>
  <c r="F50" i="3" s="1"/>
  <c r="F61" i="3" l="1"/>
  <c r="F68" i="3" s="1"/>
  <c r="F56" i="3"/>
  <c r="F63" i="3" s="1"/>
  <c r="F70" i="3" s="1"/>
  <c r="F57" i="3"/>
  <c r="F64" i="3" l="1"/>
  <c r="F71" i="3" s="1"/>
</calcChain>
</file>

<file path=xl/sharedStrings.xml><?xml version="1.0" encoding="utf-8"?>
<sst xmlns="http://schemas.openxmlformats.org/spreadsheetml/2006/main" count="1189" uniqueCount="560">
  <si>
    <r>
      <t>!</t>
    </r>
    <r>
      <rPr>
        <sz val="11"/>
        <color theme="1"/>
        <rFont val="宋体"/>
        <family val="3"/>
        <charset val="134"/>
        <scheme val="minor"/>
      </rPr>
      <t>tmp</t>
    </r>
    <phoneticPr fontId="2" type="noConversion"/>
  </si>
  <si>
    <t>empire_location_id#int</t>
    <phoneticPr fontId="2" type="noConversion"/>
  </si>
  <si>
    <t>青青草原</t>
    <phoneticPr fontId="2" type="noConversion"/>
  </si>
  <si>
    <t>北部森林</t>
    <phoneticPr fontId="2" type="noConversion"/>
  </si>
  <si>
    <t>龙之峡谷</t>
    <phoneticPr fontId="2" type="noConversion"/>
  </si>
  <si>
    <t>恶魔海角</t>
    <phoneticPr fontId="2" type="noConversion"/>
  </si>
  <si>
    <t>迷雾山峰</t>
    <phoneticPr fontId="2" type="noConversion"/>
  </si>
  <si>
    <t>南部荒野</t>
    <phoneticPr fontId="2" type="noConversion"/>
  </si>
  <si>
    <t>龙之平原</t>
    <phoneticPr fontId="2" type="noConversion"/>
  </si>
  <si>
    <t>empire_village_id#int</t>
    <phoneticPr fontId="2" type="noConversion"/>
  </si>
  <si>
    <t>帝国村庄ID</t>
    <phoneticPr fontId="2" type="noConversion"/>
  </si>
  <si>
    <t>!tmp</t>
    <phoneticPr fontId="2" type="noConversion"/>
  </si>
  <si>
    <t>产出目标1</t>
    <phoneticPr fontId="2" type="noConversion"/>
  </si>
  <si>
    <t>产出目标2</t>
  </si>
  <si>
    <t>产出目标3</t>
  </si>
  <si>
    <t>红宝石</t>
    <phoneticPr fontId="2" type="noConversion"/>
  </si>
  <si>
    <t>蓝宝石</t>
  </si>
  <si>
    <t>绿宝石</t>
  </si>
  <si>
    <t>简单食物</t>
  </si>
  <si>
    <t>果酒</t>
  </si>
  <si>
    <t>肉</t>
  </si>
  <si>
    <t>皮革</t>
  </si>
  <si>
    <t>精致食物</t>
    <phoneticPr fontId="2" type="noConversion"/>
  </si>
  <si>
    <r>
      <t>pro</t>
    </r>
    <r>
      <rPr>
        <sz val="11"/>
        <color theme="1"/>
        <rFont val="宋体"/>
        <family val="3"/>
        <charset val="134"/>
        <scheme val="minor"/>
      </rPr>
      <t>duct1#int</t>
    </r>
    <phoneticPr fontId="2" type="noConversion"/>
  </si>
  <si>
    <t>product2#int</t>
    <phoneticPr fontId="2" type="noConversion"/>
  </si>
  <si>
    <t>product3#int</t>
    <phoneticPr fontId="2" type="noConversion"/>
  </si>
  <si>
    <t>优质工具</t>
    <phoneticPr fontId="2" type="noConversion"/>
  </si>
  <si>
    <t>皮夹克</t>
  </si>
  <si>
    <t>羊毛衫</t>
  </si>
  <si>
    <t>保暖衣</t>
  </si>
  <si>
    <t>烈酒</t>
  </si>
  <si>
    <t>蜂蜜酒</t>
    <phoneticPr fontId="2" type="noConversion"/>
  </si>
  <si>
    <t>生命药水</t>
  </si>
  <si>
    <t>药茶</t>
  </si>
  <si>
    <t>糖</t>
    <phoneticPr fontId="2" type="noConversion"/>
  </si>
  <si>
    <t>动物药剂坊</t>
    <phoneticPr fontId="2" type="noConversion"/>
  </si>
  <si>
    <t>动物生长素</t>
    <phoneticPr fontId="2" type="noConversion"/>
  </si>
  <si>
    <t xml:space="preserve">动物促产素 </t>
    <phoneticPr fontId="2" type="noConversion"/>
  </si>
  <si>
    <t>动物催肥素</t>
    <phoneticPr fontId="2" type="noConversion"/>
  </si>
  <si>
    <t>子弹</t>
    <phoneticPr fontId="2" type="noConversion"/>
  </si>
  <si>
    <t>榴弹</t>
  </si>
  <si>
    <t>巨型炸弹</t>
  </si>
  <si>
    <t>产出目标4</t>
    <phoneticPr fontId="2" type="noConversion"/>
  </si>
  <si>
    <t>product4#int</t>
    <phoneticPr fontId="2" type="noConversion"/>
  </si>
  <si>
    <t>铁弹</t>
    <phoneticPr fontId="2" type="noConversion"/>
  </si>
  <si>
    <t>铁矿</t>
    <phoneticPr fontId="2" type="noConversion"/>
  </si>
  <si>
    <t>煤</t>
  </si>
  <si>
    <t>草药</t>
  </si>
  <si>
    <t>蜂蜜</t>
    <phoneticPr fontId="2" type="noConversion"/>
  </si>
  <si>
    <t>生命果实</t>
    <phoneticPr fontId="2" type="noConversion"/>
  </si>
  <si>
    <t>忘忧果</t>
    <phoneticPr fontId="2" type="noConversion"/>
  </si>
  <si>
    <t>牛奶</t>
    <phoneticPr fontId="2" type="noConversion"/>
  </si>
  <si>
    <t>鱼</t>
    <phoneticPr fontId="2" type="noConversion"/>
  </si>
  <si>
    <t>螃蟹</t>
  </si>
  <si>
    <t>羊毛</t>
  </si>
  <si>
    <t>肉</t>
    <phoneticPr fontId="2" type="noConversion"/>
  </si>
  <si>
    <t>皮革</t>
    <phoneticPr fontId="2" type="noConversion"/>
  </si>
  <si>
    <t>龙虾</t>
    <phoneticPr fontId="2" type="noConversion"/>
  </si>
  <si>
    <t>浆果</t>
  </si>
  <si>
    <t>蘑菇</t>
  </si>
  <si>
    <t>洋葱</t>
  </si>
  <si>
    <t>木薯</t>
  </si>
  <si>
    <t>产出目标5</t>
    <phoneticPr fontId="2" type="noConversion"/>
  </si>
  <si>
    <t>product5#int</t>
    <phoneticPr fontId="2" type="noConversion"/>
  </si>
  <si>
    <t>帝国厨房</t>
    <phoneticPr fontId="2" type="noConversion"/>
  </si>
  <si>
    <t>菜豆</t>
  </si>
  <si>
    <t>卷心菜</t>
  </si>
  <si>
    <t>辣椒</t>
  </si>
  <si>
    <t>南瓜</t>
  </si>
  <si>
    <t>笋瓜</t>
  </si>
  <si>
    <t>帝国蔬菜园</t>
    <phoneticPr fontId="2" type="noConversion"/>
  </si>
  <si>
    <t>玉米</t>
  </si>
  <si>
    <t>土豆</t>
  </si>
  <si>
    <t>小麦</t>
  </si>
  <si>
    <t>帝国粮仓</t>
    <phoneticPr fontId="2" type="noConversion"/>
  </si>
  <si>
    <t>帝国果园</t>
    <phoneticPr fontId="2" type="noConversion"/>
  </si>
  <si>
    <t>苹果</t>
  </si>
  <si>
    <t>樱桃</t>
  </si>
  <si>
    <t>梨</t>
  </si>
  <si>
    <t>梅子</t>
  </si>
  <si>
    <t>核桃</t>
  </si>
  <si>
    <t>帝国磨坊</t>
    <phoneticPr fontId="2" type="noConversion"/>
  </si>
  <si>
    <t>面粉</t>
    <phoneticPr fontId="2" type="noConversion"/>
  </si>
  <si>
    <t>黑暗料理</t>
  </si>
  <si>
    <t>粗糙食物</t>
    <phoneticPr fontId="2" type="noConversion"/>
  </si>
  <si>
    <t>饼干</t>
    <phoneticPr fontId="2" type="noConversion"/>
  </si>
  <si>
    <t>蛋糕</t>
    <phoneticPr fontId="2" type="noConversion"/>
  </si>
  <si>
    <t>产出目标6</t>
    <phoneticPr fontId="2" type="noConversion"/>
  </si>
  <si>
    <t>product6#int</t>
    <phoneticPr fontId="2" type="noConversion"/>
  </si>
  <si>
    <t>帝国狩猎场</t>
    <phoneticPr fontId="2" type="noConversion"/>
  </si>
  <si>
    <t>帝国零食坊</t>
    <phoneticPr fontId="2" type="noConversion"/>
  </si>
  <si>
    <t>咖啡</t>
  </si>
  <si>
    <t>巧克力</t>
  </si>
  <si>
    <t>轮回书</t>
  </si>
  <si>
    <t>天职书</t>
  </si>
  <si>
    <t>心灵书</t>
  </si>
  <si>
    <t>帝国冶炼场</t>
    <phoneticPr fontId="2" type="noConversion"/>
  </si>
  <si>
    <t>铁锭</t>
  </si>
  <si>
    <t>秘银锭</t>
  </si>
  <si>
    <t>精金锭</t>
  </si>
  <si>
    <t>山铜锭</t>
  </si>
  <si>
    <t>黄金</t>
  </si>
  <si>
    <t>白银</t>
  </si>
  <si>
    <t>帝国服装厂</t>
    <phoneticPr fontId="2" type="noConversion"/>
  </si>
  <si>
    <t>帝国酿酒坊</t>
    <phoneticPr fontId="2" type="noConversion"/>
  </si>
  <si>
    <t>帝国制药坊</t>
    <phoneticPr fontId="2" type="noConversion"/>
  </si>
  <si>
    <t>帝国宝石工坊</t>
    <phoneticPr fontId="2" type="noConversion"/>
  </si>
  <si>
    <t>帝国弹药厂</t>
    <phoneticPr fontId="2" type="noConversion"/>
  </si>
  <si>
    <t>帝国采矿厂</t>
    <phoneticPr fontId="2" type="noConversion"/>
  </si>
  <si>
    <t>帝国制糖坊</t>
    <phoneticPr fontId="2" type="noConversion"/>
  </si>
  <si>
    <t>帝国养牛场</t>
    <phoneticPr fontId="2" type="noConversion"/>
  </si>
  <si>
    <t>帝国养羊场</t>
    <phoneticPr fontId="2" type="noConversion"/>
  </si>
  <si>
    <t>帝国养猪场</t>
    <phoneticPr fontId="2" type="noConversion"/>
  </si>
  <si>
    <t>肥料</t>
    <phoneticPr fontId="2" type="noConversion"/>
  </si>
  <si>
    <t>人伦书</t>
    <phoneticPr fontId="2" type="noConversion"/>
  </si>
  <si>
    <t>帝国书坊</t>
    <phoneticPr fontId="2" type="noConversion"/>
  </si>
  <si>
    <t>皮包</t>
    <phoneticPr fontId="2" type="noConversion"/>
  </si>
  <si>
    <t>雨伞</t>
  </si>
  <si>
    <t>帝国村庄配置ID</t>
    <phoneticPr fontId="2" type="noConversion"/>
  </si>
  <si>
    <t>地区编号ID</t>
    <phoneticPr fontId="2" type="noConversion"/>
  </si>
  <si>
    <t>帝国工坊</t>
    <phoneticPr fontId="2" type="noConversion"/>
  </si>
  <si>
    <t>无人荒野</t>
    <phoneticPr fontId="2" type="noConversion"/>
  </si>
  <si>
    <t>草原采集场</t>
    <phoneticPr fontId="2" type="noConversion"/>
  </si>
  <si>
    <t>草原狩猎场</t>
    <phoneticPr fontId="2" type="noConversion"/>
  </si>
  <si>
    <t>森林采集场</t>
    <phoneticPr fontId="2" type="noConversion"/>
  </si>
  <si>
    <t>草原要塞</t>
    <phoneticPr fontId="2" type="noConversion"/>
  </si>
  <si>
    <t>北部要塞</t>
    <phoneticPr fontId="2" type="noConversion"/>
  </si>
  <si>
    <t>荒野要塞</t>
    <phoneticPr fontId="2" type="noConversion"/>
  </si>
  <si>
    <t>山峰要塞</t>
    <phoneticPr fontId="2" type="noConversion"/>
  </si>
  <si>
    <t>迷雾要塞</t>
    <phoneticPr fontId="2" type="noConversion"/>
  </si>
  <si>
    <t>草原秘境</t>
  </si>
  <si>
    <t>荒野秘境</t>
  </si>
  <si>
    <t>山峰秘境</t>
  </si>
  <si>
    <t>迷雾秘境</t>
  </si>
  <si>
    <t>北部秘境</t>
    <phoneticPr fontId="2" type="noConversion"/>
  </si>
  <si>
    <t>恶魔要塞</t>
    <phoneticPr fontId="2" type="noConversion"/>
  </si>
  <si>
    <t>恶魔秘境</t>
    <phoneticPr fontId="2" type="noConversion"/>
  </si>
  <si>
    <t>峡谷要塞</t>
    <phoneticPr fontId="2" type="noConversion"/>
  </si>
  <si>
    <t>峡谷秘境</t>
    <phoneticPr fontId="2" type="noConversion"/>
  </si>
  <si>
    <t>龙之要塞</t>
    <phoneticPr fontId="2" type="noConversion"/>
  </si>
  <si>
    <t>龙之秘境</t>
    <phoneticPr fontId="2" type="noConversion"/>
  </si>
  <si>
    <t>森林狩猎场</t>
    <phoneticPr fontId="2" type="noConversion"/>
  </si>
  <si>
    <t>黄昏森林</t>
  </si>
  <si>
    <t>黄昏要塞</t>
    <phoneticPr fontId="2" type="noConversion"/>
  </si>
  <si>
    <t>黄昏秘境</t>
    <phoneticPr fontId="2" type="noConversion"/>
  </si>
  <si>
    <t>滨海平原</t>
    <phoneticPr fontId="2" type="noConversion"/>
  </si>
  <si>
    <t>帝国渔场</t>
    <phoneticPr fontId="2" type="noConversion"/>
  </si>
  <si>
    <t>虾蟹捕场</t>
    <phoneticPr fontId="2" type="noConversion"/>
  </si>
  <si>
    <t>帝国养蜂场</t>
    <phoneticPr fontId="2" type="noConversion"/>
  </si>
  <si>
    <t>帝国园艺场</t>
    <phoneticPr fontId="2" type="noConversion"/>
  </si>
  <si>
    <t>南部要塞</t>
    <phoneticPr fontId="2" type="noConversion"/>
  </si>
  <si>
    <t>南部秘境</t>
    <phoneticPr fontId="2" type="noConversion"/>
  </si>
  <si>
    <t>南部战场</t>
    <phoneticPr fontId="2" type="noConversion"/>
  </si>
  <si>
    <t>黄昏战场</t>
    <phoneticPr fontId="2" type="noConversion"/>
  </si>
  <si>
    <t>迷雾战场</t>
    <phoneticPr fontId="2" type="noConversion"/>
  </si>
  <si>
    <t>恶魔战场</t>
    <phoneticPr fontId="2" type="noConversion"/>
  </si>
  <si>
    <t>恶龙战场</t>
    <phoneticPr fontId="2" type="noConversion"/>
  </si>
  <si>
    <t>峡谷战场</t>
    <phoneticPr fontId="2" type="noConversion"/>
  </si>
  <si>
    <t>迷雾巢穴</t>
    <phoneticPr fontId="2" type="noConversion"/>
  </si>
  <si>
    <t>秘银矿</t>
  </si>
  <si>
    <t>精金矿</t>
  </si>
  <si>
    <t>山铜矿</t>
  </si>
  <si>
    <t>恶魔巢穴</t>
    <phoneticPr fontId="2" type="noConversion"/>
  </si>
  <si>
    <t>恶龙巢穴</t>
    <phoneticPr fontId="2" type="noConversion"/>
  </si>
  <si>
    <t>!tmp</t>
    <phoneticPr fontId="2" type="noConversion"/>
  </si>
  <si>
    <t>采集场</t>
    <phoneticPr fontId="2" type="noConversion"/>
  </si>
  <si>
    <t>数量</t>
    <phoneticPr fontId="2" type="noConversion"/>
  </si>
  <si>
    <t>帝国工坊</t>
    <phoneticPr fontId="2" type="noConversion"/>
  </si>
  <si>
    <t>滨海战场</t>
    <phoneticPr fontId="2" type="noConversion"/>
  </si>
  <si>
    <t>战场配置</t>
    <phoneticPr fontId="2" type="noConversion"/>
  </si>
  <si>
    <t>村庄类型</t>
    <phoneticPr fontId="2" type="noConversion"/>
  </si>
  <si>
    <t>empire_village_type#int</t>
    <phoneticPr fontId="2" type="noConversion"/>
  </si>
  <si>
    <t>怪物巢穴配置</t>
    <phoneticPr fontId="2" type="noConversion"/>
  </si>
  <si>
    <t>monster_config#int</t>
    <phoneticPr fontId="2" type="noConversion"/>
  </si>
  <si>
    <t>battle_field_config#int</t>
    <phoneticPr fontId="2" type="noConversion"/>
  </si>
  <si>
    <t>探索耗时
真实时间(分钟）</t>
    <phoneticPr fontId="2" type="noConversion"/>
  </si>
  <si>
    <t>掉落组</t>
    <phoneticPr fontId="2" type="noConversion"/>
  </si>
  <si>
    <t>time_cost#int</t>
    <phoneticPr fontId="2" type="noConversion"/>
  </si>
  <si>
    <t>drop#int</t>
    <phoneticPr fontId="2" type="noConversion"/>
  </si>
  <si>
    <t>地图编号ID</t>
    <phoneticPr fontId="2" type="noConversion"/>
  </si>
  <si>
    <t>西部荒野</t>
    <phoneticPr fontId="2" type="noConversion"/>
  </si>
  <si>
    <t>黑暗森林</t>
    <phoneticPr fontId="2" type="noConversion"/>
  </si>
  <si>
    <t>迷雾平原</t>
    <phoneticPr fontId="2" type="noConversion"/>
  </si>
  <si>
    <t>stronghold_id#int</t>
    <phoneticPr fontId="2" type="noConversion"/>
  </si>
  <si>
    <t>level#int</t>
    <phoneticPr fontId="2" type="noConversion"/>
  </si>
  <si>
    <t>s1</t>
    <phoneticPr fontId="2" type="noConversion"/>
  </si>
  <si>
    <t>c1</t>
    <phoneticPr fontId="2" type="noConversion"/>
  </si>
  <si>
    <t>驻守成本物品1</t>
    <phoneticPr fontId="2" type="noConversion"/>
  </si>
  <si>
    <t>驻守成本物品数量1</t>
    <phoneticPr fontId="2" type="noConversion"/>
  </si>
  <si>
    <t>s2</t>
    <phoneticPr fontId="2" type="noConversion"/>
  </si>
  <si>
    <t>c2</t>
    <phoneticPr fontId="2" type="noConversion"/>
  </si>
  <si>
    <t>s3</t>
    <phoneticPr fontId="2" type="noConversion"/>
  </si>
  <si>
    <t>c3</t>
    <phoneticPr fontId="2" type="noConversion"/>
  </si>
  <si>
    <t>羊毛衫</t>
    <phoneticPr fontId="2" type="noConversion"/>
  </si>
  <si>
    <t>敌人等级</t>
    <phoneticPr fontId="2" type="noConversion"/>
  </si>
  <si>
    <t>驻守成本物品2</t>
    <phoneticPr fontId="2" type="noConversion"/>
  </si>
  <si>
    <t>驻守成本物品数量2</t>
    <phoneticPr fontId="2" type="noConversion"/>
  </si>
  <si>
    <t>驻守成本物品3</t>
    <phoneticPr fontId="2" type="noConversion"/>
  </si>
  <si>
    <t>驻守成本物品数量3</t>
    <phoneticPr fontId="2" type="noConversion"/>
  </si>
  <si>
    <t>s4</t>
    <phoneticPr fontId="2" type="noConversion"/>
  </si>
  <si>
    <t>c4</t>
    <phoneticPr fontId="2" type="noConversion"/>
  </si>
  <si>
    <t>驻守成本物品数量4</t>
    <phoneticPr fontId="2" type="noConversion"/>
  </si>
  <si>
    <t>驻守成本物品4</t>
    <phoneticPr fontId="2" type="noConversion"/>
  </si>
  <si>
    <t>驻守成本物品5</t>
    <phoneticPr fontId="2" type="noConversion"/>
  </si>
  <si>
    <t>s5</t>
    <phoneticPr fontId="2" type="noConversion"/>
  </si>
  <si>
    <t>驻守成本物品数量5</t>
    <phoneticPr fontId="2" type="noConversion"/>
  </si>
  <si>
    <t>c5</t>
    <phoneticPr fontId="2" type="noConversion"/>
  </si>
  <si>
    <t>帝国兵工厂</t>
    <phoneticPr fontId="2" type="noConversion"/>
  </si>
  <si>
    <t>稀有武器</t>
  </si>
  <si>
    <t>特殊武器</t>
  </si>
  <si>
    <t>稀有盔甲</t>
  </si>
  <si>
    <t>特殊盔甲</t>
  </si>
  <si>
    <t>稀有盾牌</t>
  </si>
  <si>
    <t>特殊盾牌</t>
  </si>
  <si>
    <t>产出目标7</t>
  </si>
  <si>
    <t>产出目标8</t>
  </si>
  <si>
    <t>产出目标9</t>
  </si>
  <si>
    <t>product7#int</t>
  </si>
  <si>
    <t>product8#int</t>
  </si>
  <si>
    <t>product9#int</t>
  </si>
  <si>
    <t>极品武器</t>
  </si>
  <si>
    <t>极品盔甲</t>
  </si>
  <si>
    <t>极品盾牌</t>
  </si>
  <si>
    <t>驻守成本物品6</t>
  </si>
  <si>
    <t>驻守成本物品数量6</t>
  </si>
  <si>
    <t>驻守成本物品7</t>
  </si>
  <si>
    <t>驻守成本物品数量7</t>
  </si>
  <si>
    <t>驻守成本物品8</t>
  </si>
  <si>
    <t>s6</t>
  </si>
  <si>
    <t>c6</t>
  </si>
  <si>
    <t>s7</t>
  </si>
  <si>
    <t>c7</t>
  </si>
  <si>
    <t>s8</t>
  </si>
  <si>
    <t>驻守成本物品数量8</t>
  </si>
  <si>
    <t>c8</t>
  </si>
  <si>
    <t>草原要塞</t>
  </si>
  <si>
    <t>物资系数</t>
    <phoneticPr fontId="2" type="noConversion"/>
  </si>
  <si>
    <t>物资基数</t>
    <phoneticPr fontId="2" type="noConversion"/>
  </si>
  <si>
    <t>deer_drop_rate#int</t>
    <phoneticPr fontId="2" type="noConversion"/>
  </si>
  <si>
    <t>gather_drop_rate#float</t>
    <phoneticPr fontId="2" type="noConversion"/>
  </si>
  <si>
    <t>cow_drop_rate#float</t>
    <phoneticPr fontId="2" type="noConversion"/>
  </si>
  <si>
    <t>sheep_drop_rate#float</t>
    <phoneticPr fontId="2" type="noConversion"/>
  </si>
  <si>
    <t>pig_drop_rate#float</t>
    <phoneticPr fontId="2" type="noConversion"/>
  </si>
  <si>
    <t>fish_drop_rate#float</t>
    <phoneticPr fontId="2" type="noConversion"/>
  </si>
  <si>
    <t>crab_drop_rate#float</t>
    <phoneticPr fontId="2" type="noConversion"/>
  </si>
  <si>
    <t>farmland_drop_rate#float</t>
    <phoneticPr fontId="2" type="noConversion"/>
  </si>
  <si>
    <t>make_efficiency_rate#float</t>
    <phoneticPr fontId="2" type="noConversion"/>
  </si>
  <si>
    <t>mine_efficiency_rate#float</t>
    <phoneticPr fontId="2" type="noConversion"/>
  </si>
  <si>
    <r>
      <t>!</t>
    </r>
    <r>
      <rPr>
        <sz val="11"/>
        <color theme="1"/>
        <rFont val="宋体"/>
        <family val="3"/>
        <charset val="134"/>
        <scheme val="minor"/>
      </rPr>
      <t>tmp</t>
    </r>
    <phoneticPr fontId="2" type="noConversion"/>
  </si>
  <si>
    <t>北部要塞</t>
  </si>
  <si>
    <t>荒野要塞</t>
  </si>
  <si>
    <t>南部要塞</t>
  </si>
  <si>
    <t>empire_village_product_target_id#int</t>
    <phoneticPr fontId="2" type="noConversion"/>
  </si>
  <si>
    <t>默认帝国村庄配置ID</t>
    <phoneticPr fontId="2" type="noConversion"/>
  </si>
  <si>
    <t>zh-CN</t>
  </si>
  <si>
    <t>en</t>
    <phoneticPr fontId="2" type="noConversion"/>
  </si>
  <si>
    <t>zh-TW</t>
  </si>
  <si>
    <t>ru</t>
  </si>
  <si>
    <t>es</t>
  </si>
  <si>
    <t>de</t>
  </si>
  <si>
    <t>pt</t>
  </si>
  <si>
    <t>fr</t>
  </si>
  <si>
    <t>pl</t>
  </si>
  <si>
    <t>草原採集場</t>
  </si>
  <si>
    <t>草原狩獵場</t>
  </si>
  <si>
    <t>帝國蔬菜園</t>
  </si>
  <si>
    <t>帝國廚房</t>
  </si>
  <si>
    <t>草原祕境</t>
  </si>
  <si>
    <t>森林採集場</t>
  </si>
  <si>
    <t>森林狩獵場</t>
  </si>
  <si>
    <t>帝國零食坊</t>
  </si>
  <si>
    <t>帝國磨坊</t>
  </si>
  <si>
    <t>北部祕境</t>
  </si>
  <si>
    <t>帝國兵工廠</t>
  </si>
  <si>
    <t>帝國冶煉場</t>
  </si>
  <si>
    <t>帝國工坊</t>
  </si>
  <si>
    <t>帝國彈藥廠</t>
  </si>
  <si>
    <t>荒野祕境</t>
  </si>
  <si>
    <t>帝國製糖坊</t>
  </si>
  <si>
    <t>黃昏戰場</t>
  </si>
  <si>
    <t>帝國釀酒坊</t>
  </si>
  <si>
    <t>帝國製藥坊</t>
  </si>
  <si>
    <t>黃昏要塞</t>
  </si>
  <si>
    <t>黃昏祕境</t>
  </si>
  <si>
    <t>南部戰場</t>
  </si>
  <si>
    <t>帝國服裝廠</t>
  </si>
  <si>
    <t>南部祕境</t>
  </si>
  <si>
    <t>帝國園藝場</t>
  </si>
  <si>
    <t>動物藥劑坊</t>
  </si>
  <si>
    <t>迷霧戰場</t>
  </si>
  <si>
    <t>霧巢穴</t>
  </si>
  <si>
    <t>山峰要塞</t>
  </si>
  <si>
    <t>山峰祕境</t>
  </si>
  <si>
    <t>濱海戰場</t>
  </si>
  <si>
    <t>迷霧要塞</t>
  </si>
  <si>
    <t>迷霧祕境</t>
  </si>
  <si>
    <t>惡魔戰場</t>
  </si>
  <si>
    <t>惡魔巢穴</t>
  </si>
  <si>
    <t>帝國寶石工坊</t>
  </si>
  <si>
    <t>惡魔要塞</t>
  </si>
  <si>
    <t>惡魔祕境</t>
  </si>
  <si>
    <t>帝國書坊</t>
  </si>
  <si>
    <t>惡龍戰場</t>
  </si>
  <si>
    <t>龍之要塞</t>
  </si>
  <si>
    <t>龍之祕境</t>
  </si>
  <si>
    <t>峽谷戰場</t>
  </si>
  <si>
    <t>惡龍巢穴</t>
  </si>
  <si>
    <t>峽谷要塞</t>
  </si>
  <si>
    <t>峽谷祕境</t>
  </si>
  <si>
    <t>Grassland Gathering Site</t>
  </si>
  <si>
    <t>Grassland Hunting Site</t>
  </si>
  <si>
    <t>Imperial Vegetable Garden</t>
  </si>
  <si>
    <t>Imperial Kitchen</t>
  </si>
  <si>
    <t>Grassland Fortress</t>
  </si>
  <si>
    <t>Grassland Secret</t>
  </si>
  <si>
    <t>Forest Gathering Site</t>
  </si>
  <si>
    <t>Forest Hunting Site</t>
  </si>
  <si>
    <t>Imperial Snack Shop</t>
  </si>
  <si>
    <t>Imperial Mill</t>
  </si>
  <si>
    <t>Northern Fortress</t>
  </si>
  <si>
    <t>Northern Secret</t>
  </si>
  <si>
    <t>Imperial Arsenal</t>
  </si>
  <si>
    <t>Imperial Workshop</t>
  </si>
  <si>
    <t>Imperial Ammunition Factory</t>
  </si>
  <si>
    <t>Wilderness Fortress</t>
  </si>
  <si>
    <t>Wilderness Secret</t>
  </si>
  <si>
    <t>Imperial Sugar Factory</t>
  </si>
  <si>
    <t>Twilight Battlefield</t>
  </si>
  <si>
    <t>Imperial Brewery</t>
  </si>
  <si>
    <t>Imperial Pharmacy</t>
  </si>
  <si>
    <t>Twilight Fortress</t>
  </si>
  <si>
    <t>Twilight Secret</t>
  </si>
  <si>
    <t>Southern Battlefield</t>
  </si>
  <si>
    <t>Imperial Clothing Factory</t>
  </si>
  <si>
    <t>Southern Fortress</t>
  </si>
  <si>
    <t>Animal Pharmacy</t>
  </si>
  <si>
    <t>Misty Battlefield</t>
  </si>
  <si>
    <t>Misty Lair</t>
  </si>
  <si>
    <t>Coastal Battlefield</t>
  </si>
  <si>
    <t>Misty Fortress</t>
  </si>
  <si>
    <t>Misty Secret Realm</t>
  </si>
  <si>
    <t>Devil Battlefield</t>
  </si>
  <si>
    <t>Devil's Lair</t>
  </si>
  <si>
    <t>Devil's Fortress</t>
  </si>
  <si>
    <t>Devil's Secret Realm</t>
  </si>
  <si>
    <t>Dragon Battlefield</t>
  </si>
  <si>
    <t>Dragon's Fortress</t>
  </si>
  <si>
    <t>Dragon's Secret Realm</t>
  </si>
  <si>
    <t>Canyon Battlefield</t>
  </si>
  <si>
    <t>Dragon's Lair</t>
  </si>
  <si>
    <t>Canyon Fortress</t>
  </si>
  <si>
    <t>Canyon Secret Realm</t>
  </si>
  <si>
    <t>Императорская мастерская</t>
  </si>
  <si>
    <t>Императорский сахарный завод</t>
  </si>
  <si>
    <t>Поле битвы в сумерках</t>
  </si>
  <si>
    <t>Императорская Аптека</t>
  </si>
  <si>
    <t>Туманное логово</t>
  </si>
  <si>
    <t>Туманная крепость</t>
  </si>
  <si>
    <t>Императорский книжный магазин</t>
  </si>
  <si>
    <t>Поле битвы дракона</t>
  </si>
  <si>
    <t>Крепость Дракона</t>
  </si>
  <si>
    <t>Логово Дракона</t>
  </si>
  <si>
    <t>原木</t>
  </si>
  <si>
    <t>wood_drop_rate#float</t>
    <phoneticPr fontId="2" type="noConversion"/>
  </si>
  <si>
    <t>采集掉落增益</t>
  </si>
  <si>
    <t>伐木掉落增益</t>
  </si>
  <si>
    <t>鹿掉落增益</t>
  </si>
  <si>
    <t>牛掉落增益</t>
  </si>
  <si>
    <t>羊掉落增益</t>
  </si>
  <si>
    <t>猪掉落增益</t>
  </si>
  <si>
    <t>鱼类资源增益</t>
  </si>
  <si>
    <t>虾蟹资源增益</t>
  </si>
  <si>
    <t>农田果园产出增益</t>
  </si>
  <si>
    <t>矿井挖矿效率增益</t>
  </si>
  <si>
    <t>empire_village_product_config_id#int</t>
    <phoneticPr fontId="2" type="noConversion"/>
  </si>
  <si>
    <t>蜂蜜收益</t>
    <phoneticPr fontId="2" type="noConversion"/>
  </si>
  <si>
    <t>每月补充鹿</t>
    <phoneticPr fontId="2" type="noConversion"/>
  </si>
  <si>
    <t>monthly_deer_supplement#int</t>
    <phoneticPr fontId="2" type="noConversion"/>
  </si>
  <si>
    <t>chicken_drop_rate#int</t>
    <phoneticPr fontId="2" type="noConversion"/>
  </si>
  <si>
    <t>鸡的掉落增益</t>
    <phoneticPr fontId="2" type="noConversion"/>
  </si>
  <si>
    <t>生产合成效率增益</t>
    <phoneticPr fontId="2" type="noConversion"/>
  </si>
  <si>
    <t>honey_drop_rate#float</t>
    <phoneticPr fontId="2" type="noConversion"/>
  </si>
  <si>
    <t>可使用人口</t>
    <phoneticPr fontId="2" type="noConversion"/>
  </si>
  <si>
    <t>people_count_default#int</t>
    <phoneticPr fontId="2" type="noConversion"/>
  </si>
  <si>
    <t>people_count_max#int</t>
    <phoneticPr fontId="2" type="noConversion"/>
  </si>
  <si>
    <t>荒野采矿厂</t>
    <phoneticPr fontId="2" type="noConversion"/>
  </si>
  <si>
    <t>峡谷采矿厂</t>
    <phoneticPr fontId="2" type="noConversion"/>
  </si>
  <si>
    <t>北方果园</t>
    <phoneticPr fontId="2" type="noConversion"/>
  </si>
  <si>
    <t>南方果园</t>
    <phoneticPr fontId="2" type="noConversion"/>
  </si>
  <si>
    <t>草原粮仓</t>
    <phoneticPr fontId="2" type="noConversion"/>
  </si>
  <si>
    <t>滨海粮仓</t>
    <phoneticPr fontId="2" type="noConversion"/>
  </si>
  <si>
    <t>平原粮仓</t>
    <phoneticPr fontId="2" type="noConversion"/>
  </si>
  <si>
    <t>滨海蔬菜园</t>
    <phoneticPr fontId="2" type="noConversion"/>
  </si>
  <si>
    <t>山峰养蜂场</t>
    <phoneticPr fontId="2" type="noConversion"/>
  </si>
  <si>
    <t>平原养蜂场</t>
    <phoneticPr fontId="2" type="noConversion"/>
  </si>
  <si>
    <t>南方养牛场</t>
    <phoneticPr fontId="2" type="noConversion"/>
  </si>
  <si>
    <t>南方养羊场</t>
    <phoneticPr fontId="2" type="noConversion"/>
  </si>
  <si>
    <t>南方养猪场</t>
    <phoneticPr fontId="2" type="noConversion"/>
  </si>
  <si>
    <t>峡谷养牛场</t>
    <phoneticPr fontId="2" type="noConversion"/>
  </si>
  <si>
    <t>峡谷养羊场</t>
    <phoneticPr fontId="2" type="noConversion"/>
  </si>
  <si>
    <t>平原养猪场</t>
    <phoneticPr fontId="2" type="noConversion"/>
  </si>
  <si>
    <t>滨海渔场</t>
    <phoneticPr fontId="2" type="noConversion"/>
  </si>
  <si>
    <t>海角渔场</t>
    <phoneticPr fontId="2" type="noConversion"/>
  </si>
  <si>
    <t>滨海捕蟹场</t>
    <phoneticPr fontId="2" type="noConversion"/>
  </si>
  <si>
    <t>海角捕蟹场</t>
    <phoneticPr fontId="2" type="noConversion"/>
  </si>
  <si>
    <t>Grassland Granary</t>
  </si>
  <si>
    <t>Northern Orchard</t>
  </si>
  <si>
    <t>Wilderness Mining Plant</t>
  </si>
  <si>
    <t>Imperial Smelting Site</t>
  </si>
  <si>
    <t>Southern Orchard</t>
  </si>
  <si>
    <t>Southern Cattle Farm</t>
  </si>
  <si>
    <t>Southern Sheep Farm</t>
  </si>
  <si>
    <t>Southern Pig Farm</t>
  </si>
  <si>
    <t>Southern Secret Realm</t>
  </si>
  <si>
    <t>Empire Garden</t>
  </si>
  <si>
    <t>Peak Bee Farm</t>
  </si>
  <si>
    <t>Peak Fortress</t>
  </si>
  <si>
    <t>Peak Secret Realm</t>
  </si>
  <si>
    <t>Coastal Vegetable Garden</t>
  </si>
  <si>
    <t>Coastal Granary</t>
  </si>
  <si>
    <t>Coastal Crab Farm</t>
  </si>
  <si>
    <t>Coastal Fishery</t>
  </si>
  <si>
    <t>Cape Fishery</t>
  </si>
  <si>
    <t>Cape Crab Farm</t>
  </si>
  <si>
    <t>Empire Gem Shop</t>
  </si>
  <si>
    <t>Empire Bookshop</t>
  </si>
  <si>
    <t>Plain Bee Farm</t>
  </si>
  <si>
    <t>Plain Pig Farm</t>
  </si>
  <si>
    <t>Plain Granary</t>
  </si>
  <si>
    <t>Canyon Cattle Farm</t>
  </si>
  <si>
    <t>Canyon Sheep Farm</t>
  </si>
  <si>
    <t>Canyon Mining Plant</t>
  </si>
  <si>
    <t>草原糧倉</t>
  </si>
  <si>
    <t>北部果園</t>
  </si>
  <si>
    <t>荒野採礦廠</t>
  </si>
  <si>
    <t>南方果園</t>
  </si>
  <si>
    <t>南方養牛場</t>
  </si>
  <si>
    <t>南方養羊場</t>
  </si>
  <si>
    <t>南方養豬場</t>
  </si>
  <si>
    <t>山峰養蜂場</t>
  </si>
  <si>
    <t>濱海蔬菜園</t>
  </si>
  <si>
    <t>濱海糧倉</t>
  </si>
  <si>
    <t>濱海捕蟹場</t>
  </si>
  <si>
    <t>濱海漁場</t>
  </si>
  <si>
    <t>海角漁場</t>
  </si>
  <si>
    <t>海角捕蟹場</t>
  </si>
  <si>
    <t>平原養蜂場</t>
  </si>
  <si>
    <t>平原養豬場</t>
  </si>
  <si>
    <t>平原糧倉</t>
  </si>
  <si>
    <t>峽谷養牛場</t>
  </si>
  <si>
    <t>峽谷養羊場</t>
  </si>
  <si>
    <t>峽谷採礦廠</t>
  </si>
  <si>
    <t>Место сбора пастбищ</t>
  </si>
  <si>
    <t>Охотничьи угодья на пастбищах</t>
  </si>
  <si>
    <t>Императорский Огород</t>
  </si>
  <si>
    <t>Зернохранилище в прериях</t>
  </si>
  <si>
    <t>Кухня в стиле ампир</t>
  </si>
  <si>
    <t>Крепость Прерий</t>
  </si>
  <si>
    <t>Секретные пастбища</t>
  </si>
  <si>
    <t>Место сбора леса</t>
  </si>
  <si>
    <t>Лесное охотничье угодье</t>
  </si>
  <si>
    <t>Закусочная «Империя»</t>
  </si>
  <si>
    <t>Северный сад</t>
  </si>
  <si>
    <t>Эмпайр Миллс</t>
  </si>
  <si>
    <t>Северная Крепость</t>
  </si>
  <si>
    <t>Северные секреты</t>
  </si>
  <si>
    <t>Горнодобывающий завод в Уайлдернессе</t>
  </si>
  <si>
    <t>Имперский Арсенал</t>
  </si>
  <si>
    <t>Имперский плавильный завод</t>
  </si>
  <si>
    <t>Имперский завод боеприпасов</t>
  </si>
  <si>
    <t>Крепость в дикой природе</t>
  </si>
  <si>
    <t>Секреты дикой природы</t>
  </si>
  <si>
    <t>Южный сад</t>
  </si>
  <si>
    <t>Пивоварня «Империал»</t>
  </si>
  <si>
    <t>Крепость Сумерек</t>
  </si>
  <si>
    <t>Секрет заката</t>
  </si>
  <si>
    <t>Южная ферма крупного рогатого скота</t>
  </si>
  <si>
    <t>Южная овцеводческая ферма</t>
  </si>
  <si>
    <t>Южный фронт</t>
  </si>
  <si>
    <t>Южная свиноферма</t>
  </si>
  <si>
    <t>Фабрика одежды «Империя»</t>
  </si>
  <si>
    <t>Южная крепость</t>
  </si>
  <si>
    <t>Секретная Южная Земля</t>
  </si>
  <si>
    <t>Сад Империи</t>
  </si>
  <si>
    <t>Аптека для животных</t>
  </si>
  <si>
    <t>Туманное поле битвы</t>
  </si>
  <si>
    <t>Горная пчелиная ферма</t>
  </si>
  <si>
    <t>Горная крепость</t>
  </si>
  <si>
    <t>Горные секреты</t>
  </si>
  <si>
    <t>Приморский огород</t>
  </si>
  <si>
    <t>Прибрежный амбар</t>
  </si>
  <si>
    <t>Прибрежное поле боя</t>
  </si>
  <si>
    <t>Приморская крабовая ферма</t>
  </si>
  <si>
    <t>Прибрежное рыболовство</t>
  </si>
  <si>
    <t>Туманное Тайное Царство</t>
  </si>
  <si>
    <t>Кейп-Ферри</t>
  </si>
  <si>
    <t>Поле битвы дьявола</t>
  </si>
  <si>
    <t>Крабовая ферма Кейп</t>
  </si>
  <si>
    <t>Логово Дьявола</t>
  </si>
  <si>
    <t>Императорская ювелирная мастерская</t>
  </si>
  <si>
    <t>Крепость демона</t>
  </si>
  <si>
    <t>Секретное Царство Дьявола</t>
  </si>
  <si>
    <t>Обычная пчелиная ферма</t>
  </si>
  <si>
    <t>Обычная свиноферма</t>
  </si>
  <si>
    <t>Простой амбар</t>
  </si>
  <si>
    <t>Секрет Дракона</t>
  </si>
  <si>
    <t>Ранчо крупного рогатого скота «Каньон»</t>
  </si>
  <si>
    <t>Поле битвы в каньоне</t>
  </si>
  <si>
    <t>Овцеводческая ферма «Каньон»</t>
  </si>
  <si>
    <t>Горнодобывающий завод «Каньон»</t>
  </si>
  <si>
    <t>Каньон Фортресс</t>
  </si>
  <si>
    <t>Секреты каньона</t>
  </si>
  <si>
    <t>探索需白银</t>
    <phoneticPr fontId="2" type="noConversion"/>
  </si>
  <si>
    <t>silver_count#int</t>
    <phoneticPr fontId="2" type="noConversion"/>
  </si>
  <si>
    <t>龙魂获得的概率</t>
    <phoneticPr fontId="2" type="noConversion"/>
  </si>
  <si>
    <t>dragon_rate#float</t>
    <phoneticPr fontId="2" type="noConversion"/>
  </si>
  <si>
    <t>dragon_id1#int</t>
    <phoneticPr fontId="2" type="noConversion"/>
  </si>
  <si>
    <t>dragon_id2#int</t>
    <phoneticPr fontId="2" type="noConversion"/>
  </si>
  <si>
    <t>龙魂1</t>
    <phoneticPr fontId="2" type="noConversion"/>
  </si>
  <si>
    <t>龙魂2</t>
    <phoneticPr fontId="2" type="noConversion"/>
  </si>
  <si>
    <t>岩龙</t>
  </si>
  <si>
    <t>虚空龙</t>
    <phoneticPr fontId="2" type="noConversion"/>
  </si>
  <si>
    <t>火龙</t>
  </si>
  <si>
    <t>电龙</t>
  </si>
  <si>
    <t>疾风龙</t>
  </si>
  <si>
    <t>幽冥龙</t>
  </si>
  <si>
    <t>冰龙</t>
  </si>
  <si>
    <t>风暴龙</t>
  </si>
  <si>
    <t>幻心龙</t>
  </si>
  <si>
    <t>!tmp</t>
    <phoneticPr fontId="2" type="noConversion"/>
  </si>
  <si>
    <t>race1_stuff_id#int</t>
    <phoneticPr fontId="2" type="noConversion"/>
  </si>
  <si>
    <t>race1_count#int</t>
    <phoneticPr fontId="2" type="noConversion"/>
  </si>
  <si>
    <t>种族1</t>
    <phoneticPr fontId="2" type="noConversion"/>
  </si>
  <si>
    <t>探索需人口1</t>
    <phoneticPr fontId="2" type="noConversion"/>
  </si>
  <si>
    <t>种族2</t>
    <phoneticPr fontId="2" type="noConversion"/>
  </si>
  <si>
    <t>探索需人口2</t>
    <phoneticPr fontId="2" type="noConversion"/>
  </si>
  <si>
    <t>矮人</t>
    <phoneticPr fontId="7" type="noConversion"/>
  </si>
  <si>
    <t>狼人</t>
  </si>
  <si>
    <t>精灵族</t>
  </si>
  <si>
    <t>三眼人</t>
  </si>
  <si>
    <t>蜥蜴人</t>
    <phoneticPr fontId="7" type="noConversion"/>
  </si>
  <si>
    <t>race2_stuff_id#int</t>
    <phoneticPr fontId="2" type="noConversion"/>
  </si>
  <si>
    <t>race2_count#int</t>
    <phoneticPr fontId="2" type="noConversion"/>
  </si>
  <si>
    <t>临时禁止</t>
    <phoneticPr fontId="2" type="noConversion"/>
  </si>
  <si>
    <t>disable#int</t>
    <phoneticPr fontId="2" type="noConversion"/>
  </si>
  <si>
    <t>黄昏森林</t>
    <phoneticPr fontId="2" type="noConversion"/>
  </si>
  <si>
    <t>铁棘龙</t>
    <phoneticPr fontId="2" type="noConversion"/>
  </si>
  <si>
    <t>熔岩龙</t>
    <phoneticPr fontId="2" type="noConversion"/>
  </si>
  <si>
    <t>高级武器</t>
  </si>
  <si>
    <t>高级盾牌</t>
  </si>
  <si>
    <t>高级盔甲</t>
  </si>
  <si>
    <t>奥术龙</t>
    <phoneticPr fontId="2" type="noConversion"/>
  </si>
  <si>
    <t>圣盾龙</t>
    <phoneticPr fontId="2" type="noConversion"/>
  </si>
  <si>
    <t>毒龙</t>
    <phoneticPr fontId="2" type="noConversion"/>
  </si>
  <si>
    <t>潮汐龙</t>
    <phoneticPr fontId="2" type="noConversion"/>
  </si>
  <si>
    <t>远古树龙</t>
    <phoneticPr fontId="2" type="noConversion"/>
  </si>
  <si>
    <t>是否禁用</t>
    <phoneticPr fontId="2" type="noConversion"/>
  </si>
  <si>
    <t>disable#int</t>
    <phoneticPr fontId="2" type="noConversion"/>
  </si>
  <si>
    <t>area_index#int</t>
    <phoneticPr fontId="2" type="noConversion"/>
  </si>
  <si>
    <t>对应的世界地图地区序号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</si>
</sst>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8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Arial"/>
      <family val="2"/>
    </font>
    <font>
      <sz val="10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9"/>
      <name val="宋体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6">
    <xf numFmtId="0" fontId="0" fillId="0" borderId="0" xfId="0"/>
    <xf numFmtId="0" fontId="0" fillId="0" borderId="1" xfId="0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3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176" fontId="3" fillId="0" borderId="1" xfId="0" applyNumberFormat="1" applyFont="1" applyBorder="1" applyAlignment="1">
      <alignment wrapText="1"/>
    </xf>
    <xf numFmtId="176" fontId="3" fillId="0" borderId="1" xfId="0" applyNumberFormat="1" applyFont="1" applyBorder="1"/>
    <xf numFmtId="176" fontId="0" fillId="0" borderId="1" xfId="0" applyNumberFormat="1" applyBorder="1"/>
    <xf numFmtId="176" fontId="0" fillId="0" borderId="0" xfId="0" applyNumberFormat="1"/>
    <xf numFmtId="0" fontId="3" fillId="5" borderId="1" xfId="0" applyFont="1" applyFill="1" applyBorder="1" applyAlignment="1">
      <alignment wrapText="1"/>
    </xf>
    <xf numFmtId="0" fontId="3" fillId="5" borderId="1" xfId="0" applyFont="1" applyFill="1" applyBorder="1"/>
    <xf numFmtId="0" fontId="0" fillId="5" borderId="1" xfId="0" applyFill="1" applyBorder="1"/>
    <xf numFmtId="0" fontId="0" fillId="5" borderId="0" xfId="0" applyFill="1"/>
    <xf numFmtId="0" fontId="3" fillId="4" borderId="1" xfId="0" applyFont="1" applyFill="1" applyBorder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/>
    <xf numFmtId="0" fontId="6" fillId="0" borderId="1" xfId="0" applyFont="1" applyBorder="1"/>
    <xf numFmtId="0" fontId="1" fillId="0" borderId="1" xfId="2" applyBorder="1" applyAlignment="1">
      <alignment wrapText="1"/>
    </xf>
    <xf numFmtId="0" fontId="0" fillId="2" borderId="1" xfId="0" applyFill="1" applyBorder="1"/>
    <xf numFmtId="0" fontId="0" fillId="4" borderId="1" xfId="0" applyFill="1" applyBorder="1"/>
  </cellXfs>
  <cellStyles count="3">
    <cellStyle name="常规" xfId="0" builtinId="0"/>
    <cellStyle name="常规 2" xfId="2" xr:uid="{00000000-0005-0000-0000-000001000000}"/>
    <cellStyle name="常规 6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237E8-B793-44E1-904B-D9F00481D298}">
  <dimension ref="A1:AK72"/>
  <sheetViews>
    <sheetView tabSelected="1" workbookViewId="0">
      <selection activeCell="M5" sqref="M5"/>
    </sheetView>
  </sheetViews>
  <sheetFormatPr defaultRowHeight="16.5" x14ac:dyDescent="0.3"/>
  <cols>
    <col min="1" max="1" width="13" customWidth="1"/>
    <col min="2" max="2" width="14.25" customWidth="1"/>
    <col min="3" max="3" width="8.75" customWidth="1"/>
    <col min="4" max="4" width="11.75" customWidth="1"/>
    <col min="5" max="5" width="9" customWidth="1"/>
    <col min="6" max="6" width="9.75" customWidth="1"/>
    <col min="7" max="7" width="10.5" customWidth="1"/>
    <col min="8" max="8" width="9" customWidth="1"/>
    <col min="9" max="9" width="5.75" customWidth="1"/>
    <col min="10" max="10" width="5.375" customWidth="1"/>
    <col min="11" max="12" width="8.875" customWidth="1"/>
    <col min="13" max="13" width="6.25" customWidth="1"/>
    <col min="14" max="26" width="7" customWidth="1"/>
    <col min="28" max="28" width="11.625" customWidth="1"/>
    <col min="29" max="29" width="23.875" customWidth="1"/>
    <col min="32" max="32" width="9" style="21"/>
  </cols>
  <sheetData>
    <row r="1" spans="1:37" ht="40.5" x14ac:dyDescent="0.15">
      <c r="A1" s="3" t="s">
        <v>10</v>
      </c>
      <c r="B1" s="3"/>
      <c r="C1" s="3" t="s">
        <v>559</v>
      </c>
      <c r="D1" s="3" t="s">
        <v>556</v>
      </c>
      <c r="E1" s="3" t="s">
        <v>253</v>
      </c>
      <c r="F1" s="3" t="s">
        <v>119</v>
      </c>
      <c r="G1" s="3"/>
      <c r="H1" s="3" t="s">
        <v>170</v>
      </c>
      <c r="I1" s="3" t="s">
        <v>172</v>
      </c>
      <c r="J1" s="3" t="s">
        <v>169</v>
      </c>
      <c r="K1" s="3" t="s">
        <v>382</v>
      </c>
      <c r="L1" s="3" t="s">
        <v>382</v>
      </c>
      <c r="M1" s="17" t="s">
        <v>376</v>
      </c>
      <c r="N1" s="17" t="s">
        <v>364</v>
      </c>
      <c r="O1" s="17" t="s">
        <v>365</v>
      </c>
      <c r="P1" s="17" t="s">
        <v>366</v>
      </c>
      <c r="Q1" s="17" t="s">
        <v>367</v>
      </c>
      <c r="R1" s="17" t="s">
        <v>368</v>
      </c>
      <c r="S1" s="17" t="s">
        <v>369</v>
      </c>
      <c r="T1" s="17" t="s">
        <v>379</v>
      </c>
      <c r="U1" s="17" t="s">
        <v>370</v>
      </c>
      <c r="V1" s="17" t="s">
        <v>371</v>
      </c>
      <c r="W1" s="17" t="s">
        <v>372</v>
      </c>
      <c r="X1" s="17" t="s">
        <v>380</v>
      </c>
      <c r="Y1" s="17" t="s">
        <v>373</v>
      </c>
      <c r="Z1" s="17" t="s">
        <v>375</v>
      </c>
      <c r="AA1" s="1"/>
      <c r="AB1" s="1"/>
      <c r="AC1" s="18" t="s">
        <v>254</v>
      </c>
      <c r="AD1" s="19" t="s">
        <v>255</v>
      </c>
      <c r="AE1" s="19" t="s">
        <v>256</v>
      </c>
      <c r="AF1" s="20" t="s">
        <v>257</v>
      </c>
      <c r="AG1" s="19" t="s">
        <v>258</v>
      </c>
      <c r="AH1" s="19" t="s">
        <v>259</v>
      </c>
      <c r="AI1" s="19" t="s">
        <v>260</v>
      </c>
      <c r="AJ1" s="19" t="s">
        <v>261</v>
      </c>
      <c r="AK1" s="19" t="s">
        <v>262</v>
      </c>
    </row>
    <row r="2" spans="1:37" x14ac:dyDescent="0.3">
      <c r="A2" s="2" t="s">
        <v>9</v>
      </c>
      <c r="B2" s="2" t="s">
        <v>11</v>
      </c>
      <c r="C2" s="2" t="s">
        <v>558</v>
      </c>
      <c r="D2" s="2" t="s">
        <v>557</v>
      </c>
      <c r="E2" s="2" t="s">
        <v>252</v>
      </c>
      <c r="F2" s="2" t="s">
        <v>1</v>
      </c>
      <c r="G2" s="2" t="s">
        <v>0</v>
      </c>
      <c r="H2" s="2" t="s">
        <v>171</v>
      </c>
      <c r="I2" s="2" t="s">
        <v>173</v>
      </c>
      <c r="J2" s="2" t="s">
        <v>174</v>
      </c>
      <c r="K2" s="2" t="s">
        <v>383</v>
      </c>
      <c r="L2" s="2" t="s">
        <v>384</v>
      </c>
      <c r="M2" s="2" t="s">
        <v>377</v>
      </c>
      <c r="N2" s="2" t="s">
        <v>239</v>
      </c>
      <c r="O2" s="2" t="s">
        <v>363</v>
      </c>
      <c r="P2" s="2" t="s">
        <v>238</v>
      </c>
      <c r="Q2" s="2" t="s">
        <v>240</v>
      </c>
      <c r="R2" s="2" t="s">
        <v>241</v>
      </c>
      <c r="S2" s="2" t="s">
        <v>242</v>
      </c>
      <c r="T2" s="2" t="s">
        <v>378</v>
      </c>
      <c r="U2" s="2" t="s">
        <v>243</v>
      </c>
      <c r="V2" s="2" t="s">
        <v>244</v>
      </c>
      <c r="W2" s="2" t="s">
        <v>245</v>
      </c>
      <c r="X2" s="2" t="s">
        <v>246</v>
      </c>
      <c r="Y2" s="2" t="s">
        <v>247</v>
      </c>
      <c r="Z2" s="2" t="s">
        <v>381</v>
      </c>
      <c r="AA2" s="2" t="s">
        <v>248</v>
      </c>
      <c r="AB2" s="2" t="s">
        <v>248</v>
      </c>
      <c r="AC2" s="1" t="str">
        <f>CONCATENATE("empire_village_name_",AC1,"#str")</f>
        <v>empire_village_name_zh-CN#str</v>
      </c>
      <c r="AD2" s="1" t="str">
        <f t="shared" ref="AD2:AK2" si="0">CONCATENATE("empire_village_name_",AD1,"#str")</f>
        <v>empire_village_name_en#str</v>
      </c>
      <c r="AE2" s="1" t="str">
        <f t="shared" si="0"/>
        <v>empire_village_name_zh-TW#str</v>
      </c>
      <c r="AF2" s="22" t="str">
        <f t="shared" si="0"/>
        <v>empire_village_name_ru#str</v>
      </c>
      <c r="AG2" s="1" t="str">
        <f t="shared" si="0"/>
        <v>empire_village_name_es#str</v>
      </c>
      <c r="AH2" s="1" t="str">
        <f t="shared" si="0"/>
        <v>empire_village_name_de#str</v>
      </c>
      <c r="AI2" s="1" t="str">
        <f t="shared" si="0"/>
        <v>empire_village_name_pt#str</v>
      </c>
      <c r="AJ2" s="1" t="str">
        <f t="shared" si="0"/>
        <v>empire_village_name_fr#str</v>
      </c>
      <c r="AK2" s="1" t="str">
        <f t="shared" si="0"/>
        <v>empire_village_name_pl#str</v>
      </c>
    </row>
    <row r="3" spans="1:37" x14ac:dyDescent="0.3">
      <c r="A3" s="1">
        <v>1001</v>
      </c>
      <c r="B3" s="8" t="s">
        <v>122</v>
      </c>
      <c r="C3" s="2">
        <v>0</v>
      </c>
      <c r="D3" s="2">
        <v>1</v>
      </c>
      <c r="E3" s="1">
        <v>101</v>
      </c>
      <c r="F3" s="1">
        <v>814001</v>
      </c>
      <c r="G3" s="2" t="s">
        <v>2</v>
      </c>
      <c r="H3" s="2">
        <v>0</v>
      </c>
      <c r="I3" s="2"/>
      <c r="J3" s="2"/>
      <c r="K3" s="2">
        <v>100</v>
      </c>
      <c r="L3" s="2">
        <v>500</v>
      </c>
      <c r="M3" s="2">
        <v>0</v>
      </c>
      <c r="N3" s="2">
        <v>3</v>
      </c>
      <c r="O3" s="2">
        <v>3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2">
        <v>1</v>
      </c>
      <c r="AA3" s="1">
        <v>101</v>
      </c>
      <c r="AB3" s="2" t="s">
        <v>165</v>
      </c>
      <c r="AC3" s="1" t="str">
        <f>B3</f>
        <v>草原采集场</v>
      </c>
      <c r="AD3" s="1" t="s">
        <v>309</v>
      </c>
      <c r="AE3" s="1" t="s">
        <v>263</v>
      </c>
      <c r="AF3" s="22" t="s">
        <v>452</v>
      </c>
      <c r="AG3" s="1"/>
      <c r="AH3" s="1"/>
      <c r="AI3" s="1"/>
      <c r="AJ3" s="1"/>
      <c r="AK3" s="1"/>
    </row>
    <row r="4" spans="1:37" x14ac:dyDescent="0.3">
      <c r="A4" s="1">
        <v>1002</v>
      </c>
      <c r="B4" s="8" t="s">
        <v>123</v>
      </c>
      <c r="C4" s="2">
        <v>0</v>
      </c>
      <c r="D4" s="2">
        <v>1</v>
      </c>
      <c r="E4" s="1">
        <v>102</v>
      </c>
      <c r="F4" s="1">
        <v>814001</v>
      </c>
      <c r="G4" s="2" t="s">
        <v>2</v>
      </c>
      <c r="H4" s="2">
        <v>0</v>
      </c>
      <c r="I4" s="2"/>
      <c r="J4" s="2"/>
      <c r="K4" s="2">
        <v>100</v>
      </c>
      <c r="L4" s="2">
        <v>500</v>
      </c>
      <c r="M4" s="2">
        <v>1</v>
      </c>
      <c r="N4" s="2">
        <v>1</v>
      </c>
      <c r="O4" s="2">
        <v>1</v>
      </c>
      <c r="P4" s="2">
        <v>3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1</v>
      </c>
      <c r="AA4" s="1">
        <v>102</v>
      </c>
      <c r="AB4" s="2" t="s">
        <v>89</v>
      </c>
      <c r="AC4" s="1" t="str">
        <f t="shared" ref="AC4:AC67" si="1">B4</f>
        <v>草原狩猎场</v>
      </c>
      <c r="AD4" s="1" t="s">
        <v>310</v>
      </c>
      <c r="AE4" s="1" t="s">
        <v>264</v>
      </c>
      <c r="AF4" s="22" t="s">
        <v>453</v>
      </c>
      <c r="AG4" s="1"/>
      <c r="AH4" s="1"/>
      <c r="AI4" s="1"/>
      <c r="AJ4" s="1"/>
      <c r="AK4" s="1"/>
    </row>
    <row r="5" spans="1:37" x14ac:dyDescent="0.3">
      <c r="A5" s="1">
        <v>1003</v>
      </c>
      <c r="B5" s="8" t="s">
        <v>70</v>
      </c>
      <c r="C5" s="2">
        <v>0</v>
      </c>
      <c r="D5" s="2">
        <v>0</v>
      </c>
      <c r="E5" s="1">
        <v>103</v>
      </c>
      <c r="F5" s="1">
        <v>814001</v>
      </c>
      <c r="G5" s="2" t="s">
        <v>2</v>
      </c>
      <c r="H5" s="2">
        <v>0</v>
      </c>
      <c r="I5" s="2"/>
      <c r="J5" s="2"/>
      <c r="K5" s="2">
        <v>100</v>
      </c>
      <c r="L5" s="2">
        <v>500</v>
      </c>
      <c r="M5" s="2">
        <v>0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1</v>
      </c>
      <c r="T5" s="2">
        <v>1</v>
      </c>
      <c r="U5" s="2">
        <v>1</v>
      </c>
      <c r="V5" s="2">
        <v>1</v>
      </c>
      <c r="W5" s="2">
        <v>2.5</v>
      </c>
      <c r="X5" s="2">
        <v>1</v>
      </c>
      <c r="Y5" s="2">
        <v>1</v>
      </c>
      <c r="Z5" s="2">
        <v>1</v>
      </c>
      <c r="AA5" s="1">
        <v>103</v>
      </c>
      <c r="AB5" s="2" t="s">
        <v>70</v>
      </c>
      <c r="AC5" s="1" t="str">
        <f t="shared" si="1"/>
        <v>帝国蔬菜园</v>
      </c>
      <c r="AD5" s="1" t="s">
        <v>311</v>
      </c>
      <c r="AE5" s="1" t="s">
        <v>265</v>
      </c>
      <c r="AF5" s="22" t="s">
        <v>454</v>
      </c>
      <c r="AG5" s="1"/>
      <c r="AH5" s="1"/>
      <c r="AI5" s="1"/>
      <c r="AJ5" s="1"/>
      <c r="AK5" s="1"/>
    </row>
    <row r="6" spans="1:37" x14ac:dyDescent="0.3">
      <c r="A6" s="1">
        <v>1004</v>
      </c>
      <c r="B6" s="8" t="s">
        <v>389</v>
      </c>
      <c r="C6" s="2">
        <v>0</v>
      </c>
      <c r="D6" s="2">
        <v>0</v>
      </c>
      <c r="E6" s="1">
        <v>104</v>
      </c>
      <c r="F6" s="1">
        <v>814001</v>
      </c>
      <c r="G6" s="2" t="s">
        <v>2</v>
      </c>
      <c r="H6" s="2">
        <v>0</v>
      </c>
      <c r="I6" s="2"/>
      <c r="J6" s="2"/>
      <c r="K6" s="2">
        <v>100</v>
      </c>
      <c r="L6" s="2">
        <v>500</v>
      </c>
      <c r="M6" s="2">
        <v>0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2.5</v>
      </c>
      <c r="X6" s="2">
        <v>1</v>
      </c>
      <c r="Y6" s="2">
        <v>1</v>
      </c>
      <c r="Z6" s="2">
        <v>1</v>
      </c>
      <c r="AA6" s="1">
        <v>104</v>
      </c>
      <c r="AB6" s="2" t="s">
        <v>74</v>
      </c>
      <c r="AC6" s="1" t="str">
        <f t="shared" si="1"/>
        <v>草原粮仓</v>
      </c>
      <c r="AD6" s="1" t="s">
        <v>405</v>
      </c>
      <c r="AE6" s="1" t="s">
        <v>432</v>
      </c>
      <c r="AF6" s="22" t="s">
        <v>455</v>
      </c>
      <c r="AG6" s="1"/>
      <c r="AH6" s="1"/>
      <c r="AI6" s="1"/>
      <c r="AJ6" s="1"/>
      <c r="AK6" s="1"/>
    </row>
    <row r="7" spans="1:37" x14ac:dyDescent="0.3">
      <c r="A7" s="1">
        <v>1005</v>
      </c>
      <c r="B7" s="8" t="s">
        <v>64</v>
      </c>
      <c r="C7" s="2">
        <v>0</v>
      </c>
      <c r="D7" s="2">
        <v>0</v>
      </c>
      <c r="E7" s="1">
        <v>105</v>
      </c>
      <c r="F7" s="1">
        <v>814001</v>
      </c>
      <c r="G7" s="2" t="s">
        <v>2</v>
      </c>
      <c r="H7" s="2">
        <v>0</v>
      </c>
      <c r="I7" s="2"/>
      <c r="J7" s="2"/>
      <c r="K7" s="2">
        <v>100</v>
      </c>
      <c r="L7" s="2">
        <v>500</v>
      </c>
      <c r="M7" s="2">
        <v>0</v>
      </c>
      <c r="N7" s="2">
        <v>1</v>
      </c>
      <c r="O7" s="2">
        <v>1</v>
      </c>
      <c r="P7" s="2">
        <v>1</v>
      </c>
      <c r="Q7" s="2">
        <v>1</v>
      </c>
      <c r="R7" s="2">
        <v>1</v>
      </c>
      <c r="S7" s="2">
        <v>1</v>
      </c>
      <c r="T7" s="2">
        <v>1</v>
      </c>
      <c r="U7" s="2">
        <v>1</v>
      </c>
      <c r="V7" s="2">
        <v>1</v>
      </c>
      <c r="W7" s="2">
        <v>1</v>
      </c>
      <c r="X7" s="2">
        <v>2</v>
      </c>
      <c r="Y7" s="2">
        <v>1</v>
      </c>
      <c r="Z7" s="2">
        <v>1</v>
      </c>
      <c r="AA7" s="1">
        <v>105</v>
      </c>
      <c r="AB7" s="2" t="s">
        <v>64</v>
      </c>
      <c r="AC7" s="1" t="str">
        <f t="shared" si="1"/>
        <v>帝国厨房</v>
      </c>
      <c r="AD7" s="1" t="s">
        <v>312</v>
      </c>
      <c r="AE7" s="1" t="s">
        <v>266</v>
      </c>
      <c r="AF7" s="22" t="s">
        <v>456</v>
      </c>
      <c r="AG7" s="1"/>
      <c r="AH7" s="1"/>
      <c r="AI7" s="1"/>
      <c r="AJ7" s="1"/>
      <c r="AK7" s="1"/>
    </row>
    <row r="8" spans="1:37" x14ac:dyDescent="0.3">
      <c r="A8" s="1">
        <v>1006</v>
      </c>
      <c r="B8" s="6" t="s">
        <v>125</v>
      </c>
      <c r="C8" s="2">
        <v>74</v>
      </c>
      <c r="D8" s="2">
        <v>0</v>
      </c>
      <c r="E8" s="1"/>
      <c r="F8" s="1">
        <v>814001</v>
      </c>
      <c r="G8" s="2" t="s">
        <v>2</v>
      </c>
      <c r="H8" s="2">
        <v>1</v>
      </c>
      <c r="I8" s="2"/>
      <c r="J8" s="2"/>
      <c r="K8" s="2"/>
      <c r="L8" s="2"/>
      <c r="M8" s="2">
        <v>0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2">
        <v>1</v>
      </c>
      <c r="Y8" s="2">
        <v>1</v>
      </c>
      <c r="Z8" s="2">
        <v>1</v>
      </c>
      <c r="AA8" s="1"/>
      <c r="AB8" s="1"/>
      <c r="AC8" s="1" t="str">
        <f t="shared" si="1"/>
        <v>草原要塞</v>
      </c>
      <c r="AD8" s="1" t="s">
        <v>313</v>
      </c>
      <c r="AE8" s="1" t="s">
        <v>235</v>
      </c>
      <c r="AF8" s="22" t="s">
        <v>457</v>
      </c>
      <c r="AG8" s="1"/>
      <c r="AH8" s="1"/>
      <c r="AI8" s="1"/>
      <c r="AJ8" s="1"/>
      <c r="AK8" s="1"/>
    </row>
    <row r="9" spans="1:37" x14ac:dyDescent="0.3">
      <c r="A9" s="1">
        <v>1007</v>
      </c>
      <c r="B9" s="6" t="s">
        <v>130</v>
      </c>
      <c r="C9" s="2">
        <v>0</v>
      </c>
      <c r="D9" s="2">
        <v>0</v>
      </c>
      <c r="E9" s="1"/>
      <c r="F9" s="1">
        <v>814001</v>
      </c>
      <c r="G9" s="2" t="s">
        <v>2</v>
      </c>
      <c r="H9" s="2">
        <v>2</v>
      </c>
      <c r="I9" s="2"/>
      <c r="J9" s="2"/>
      <c r="K9" s="2"/>
      <c r="L9" s="2"/>
      <c r="M9" s="2">
        <v>0</v>
      </c>
      <c r="N9" s="2">
        <v>1</v>
      </c>
      <c r="O9" s="2">
        <v>1</v>
      </c>
      <c r="P9" s="2">
        <v>1</v>
      </c>
      <c r="Q9" s="2">
        <v>1</v>
      </c>
      <c r="R9" s="2">
        <v>1</v>
      </c>
      <c r="S9" s="2">
        <v>1</v>
      </c>
      <c r="T9" s="2">
        <v>1</v>
      </c>
      <c r="U9" s="2">
        <v>1</v>
      </c>
      <c r="V9" s="2">
        <v>1</v>
      </c>
      <c r="W9" s="2">
        <v>1</v>
      </c>
      <c r="X9" s="2">
        <v>1</v>
      </c>
      <c r="Y9" s="2">
        <v>1</v>
      </c>
      <c r="Z9" s="2">
        <v>1</v>
      </c>
      <c r="AA9" s="1"/>
      <c r="AB9" s="1"/>
      <c r="AC9" s="1" t="str">
        <f t="shared" si="1"/>
        <v>草原秘境</v>
      </c>
      <c r="AD9" s="1" t="s">
        <v>314</v>
      </c>
      <c r="AE9" s="1" t="s">
        <v>267</v>
      </c>
      <c r="AF9" s="22" t="s">
        <v>458</v>
      </c>
      <c r="AG9" s="1"/>
      <c r="AH9" s="1"/>
      <c r="AI9" s="1"/>
      <c r="AJ9" s="1"/>
      <c r="AK9" s="1"/>
    </row>
    <row r="10" spans="1:37" x14ac:dyDescent="0.3">
      <c r="A10" s="1">
        <v>1008</v>
      </c>
      <c r="B10" s="8" t="s">
        <v>124</v>
      </c>
      <c r="C10" s="2">
        <v>0</v>
      </c>
      <c r="D10" s="2">
        <v>0</v>
      </c>
      <c r="E10" s="1">
        <v>101</v>
      </c>
      <c r="F10" s="1">
        <f t="shared" ref="F10:F34" si="2">F3+1</f>
        <v>814002</v>
      </c>
      <c r="G10" s="2" t="s">
        <v>3</v>
      </c>
      <c r="H10" s="2">
        <v>0</v>
      </c>
      <c r="I10" s="2"/>
      <c r="J10" s="2"/>
      <c r="K10" s="2">
        <v>100</v>
      </c>
      <c r="L10" s="2">
        <v>500</v>
      </c>
      <c r="M10" s="2">
        <v>0</v>
      </c>
      <c r="N10" s="2">
        <v>3</v>
      </c>
      <c r="O10" s="2">
        <v>3</v>
      </c>
      <c r="P10" s="2">
        <v>1</v>
      </c>
      <c r="Q10" s="2">
        <v>1</v>
      </c>
      <c r="R10" s="2">
        <v>1</v>
      </c>
      <c r="S10" s="2">
        <v>1</v>
      </c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2">
        <v>1</v>
      </c>
      <c r="Z10" s="2">
        <v>1</v>
      </c>
      <c r="AA10" s="1">
        <v>101</v>
      </c>
      <c r="AB10" s="2" t="s">
        <v>165</v>
      </c>
      <c r="AC10" s="1" t="str">
        <f t="shared" si="1"/>
        <v>森林采集场</v>
      </c>
      <c r="AD10" s="1" t="s">
        <v>315</v>
      </c>
      <c r="AE10" s="1" t="s">
        <v>268</v>
      </c>
      <c r="AF10" s="22" t="s">
        <v>459</v>
      </c>
      <c r="AG10" s="1"/>
      <c r="AH10" s="1"/>
      <c r="AI10" s="1"/>
      <c r="AJ10" s="1"/>
      <c r="AK10" s="1"/>
    </row>
    <row r="11" spans="1:37" x14ac:dyDescent="0.3">
      <c r="A11" s="1">
        <v>1009</v>
      </c>
      <c r="B11" s="8" t="s">
        <v>141</v>
      </c>
      <c r="C11" s="2">
        <v>0</v>
      </c>
      <c r="D11" s="2">
        <v>0</v>
      </c>
      <c r="E11" s="1">
        <v>102</v>
      </c>
      <c r="F11" s="1">
        <f t="shared" si="2"/>
        <v>814002</v>
      </c>
      <c r="G11" s="2" t="s">
        <v>3</v>
      </c>
      <c r="H11" s="2">
        <v>0</v>
      </c>
      <c r="I11" s="2"/>
      <c r="J11" s="2"/>
      <c r="K11" s="2">
        <v>100</v>
      </c>
      <c r="L11" s="2">
        <v>500</v>
      </c>
      <c r="M11" s="2">
        <v>1</v>
      </c>
      <c r="N11" s="2">
        <v>1</v>
      </c>
      <c r="O11" s="2">
        <v>1</v>
      </c>
      <c r="P11" s="2">
        <v>3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1</v>
      </c>
      <c r="X11" s="2">
        <v>1</v>
      </c>
      <c r="Y11" s="2">
        <v>1</v>
      </c>
      <c r="Z11" s="2">
        <v>1</v>
      </c>
      <c r="AA11" s="1">
        <v>102</v>
      </c>
      <c r="AB11" s="2" t="s">
        <v>89</v>
      </c>
      <c r="AC11" s="1" t="str">
        <f t="shared" si="1"/>
        <v>森林狩猎场</v>
      </c>
      <c r="AD11" s="1" t="s">
        <v>316</v>
      </c>
      <c r="AE11" s="1" t="s">
        <v>269</v>
      </c>
      <c r="AF11" s="22" t="s">
        <v>460</v>
      </c>
      <c r="AG11" s="1"/>
      <c r="AH11" s="1"/>
      <c r="AI11" s="1"/>
      <c r="AJ11" s="1"/>
      <c r="AK11" s="1"/>
    </row>
    <row r="12" spans="1:37" x14ac:dyDescent="0.3">
      <c r="A12" s="1">
        <v>1010</v>
      </c>
      <c r="B12" s="8" t="s">
        <v>90</v>
      </c>
      <c r="C12" s="2">
        <v>0</v>
      </c>
      <c r="D12" s="2">
        <v>0</v>
      </c>
      <c r="E12" s="1">
        <v>106</v>
      </c>
      <c r="F12" s="1">
        <f t="shared" si="2"/>
        <v>814002</v>
      </c>
      <c r="G12" s="2" t="s">
        <v>3</v>
      </c>
      <c r="H12" s="2">
        <v>0</v>
      </c>
      <c r="I12" s="2"/>
      <c r="J12" s="2"/>
      <c r="K12" s="2">
        <v>100</v>
      </c>
      <c r="L12" s="2">
        <v>500</v>
      </c>
      <c r="M12" s="2">
        <v>0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  <c r="S12" s="2">
        <v>1</v>
      </c>
      <c r="T12" s="2">
        <v>1</v>
      </c>
      <c r="U12" s="2">
        <v>1</v>
      </c>
      <c r="V12" s="2">
        <v>1</v>
      </c>
      <c r="W12" s="1">
        <v>1</v>
      </c>
      <c r="X12" s="2">
        <v>2</v>
      </c>
      <c r="Y12" s="2">
        <v>1</v>
      </c>
      <c r="Z12" s="2">
        <v>1</v>
      </c>
      <c r="AA12" s="1">
        <v>106</v>
      </c>
      <c r="AB12" s="2" t="s">
        <v>90</v>
      </c>
      <c r="AC12" s="1" t="str">
        <f t="shared" si="1"/>
        <v>帝国零食坊</v>
      </c>
      <c r="AD12" s="1" t="s">
        <v>317</v>
      </c>
      <c r="AE12" s="1" t="s">
        <v>270</v>
      </c>
      <c r="AF12" s="22" t="s">
        <v>461</v>
      </c>
      <c r="AG12" s="1"/>
      <c r="AH12" s="1"/>
      <c r="AI12" s="1"/>
      <c r="AJ12" s="1"/>
      <c r="AK12" s="1"/>
    </row>
    <row r="13" spans="1:37" x14ac:dyDescent="0.3">
      <c r="A13" s="1">
        <v>1011</v>
      </c>
      <c r="B13" s="8" t="s">
        <v>387</v>
      </c>
      <c r="C13" s="2">
        <v>0</v>
      </c>
      <c r="D13" s="2">
        <v>1</v>
      </c>
      <c r="E13" s="1">
        <v>107</v>
      </c>
      <c r="F13" s="1">
        <f t="shared" si="2"/>
        <v>814002</v>
      </c>
      <c r="G13" s="2" t="s">
        <v>3</v>
      </c>
      <c r="H13" s="2">
        <v>0</v>
      </c>
      <c r="I13" s="2"/>
      <c r="J13" s="2"/>
      <c r="K13" s="2">
        <v>100</v>
      </c>
      <c r="L13" s="2">
        <v>500</v>
      </c>
      <c r="M13" s="2">
        <v>0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2">
        <v>1</v>
      </c>
      <c r="W13" s="2">
        <v>2.5</v>
      </c>
      <c r="X13" s="2">
        <v>1</v>
      </c>
      <c r="Y13" s="2">
        <v>1</v>
      </c>
      <c r="Z13" s="2">
        <v>1</v>
      </c>
      <c r="AA13" s="1">
        <v>107</v>
      </c>
      <c r="AB13" s="2" t="s">
        <v>75</v>
      </c>
      <c r="AC13" s="1" t="str">
        <f t="shared" si="1"/>
        <v>北方果园</v>
      </c>
      <c r="AD13" s="1" t="s">
        <v>406</v>
      </c>
      <c r="AE13" s="1" t="s">
        <v>433</v>
      </c>
      <c r="AF13" s="22" t="s">
        <v>462</v>
      </c>
      <c r="AG13" s="1"/>
      <c r="AH13" s="1"/>
      <c r="AI13" s="1"/>
      <c r="AJ13" s="1"/>
      <c r="AK13" s="1"/>
    </row>
    <row r="14" spans="1:37" x14ac:dyDescent="0.3">
      <c r="A14" s="1">
        <v>1012</v>
      </c>
      <c r="B14" s="8" t="s">
        <v>81</v>
      </c>
      <c r="C14" s="2">
        <v>0</v>
      </c>
      <c r="D14" s="2">
        <v>0</v>
      </c>
      <c r="E14" s="1">
        <v>108</v>
      </c>
      <c r="F14" s="1">
        <f t="shared" si="2"/>
        <v>814002</v>
      </c>
      <c r="G14" s="2" t="s">
        <v>3</v>
      </c>
      <c r="H14" s="2">
        <v>0</v>
      </c>
      <c r="I14" s="2"/>
      <c r="J14" s="2"/>
      <c r="K14" s="2">
        <v>100</v>
      </c>
      <c r="L14" s="2">
        <v>500</v>
      </c>
      <c r="M14" s="2">
        <v>0</v>
      </c>
      <c r="N14" s="2">
        <v>1</v>
      </c>
      <c r="O14" s="2">
        <v>1</v>
      </c>
      <c r="P14" s="2">
        <v>1</v>
      </c>
      <c r="Q14" s="2">
        <v>1</v>
      </c>
      <c r="R14" s="2">
        <v>1</v>
      </c>
      <c r="S14" s="2">
        <v>1</v>
      </c>
      <c r="T14" s="2">
        <v>1</v>
      </c>
      <c r="U14" s="2">
        <v>1</v>
      </c>
      <c r="V14" s="2">
        <v>1</v>
      </c>
      <c r="W14" s="2">
        <v>1</v>
      </c>
      <c r="X14" s="2">
        <v>2</v>
      </c>
      <c r="Y14" s="2">
        <v>1</v>
      </c>
      <c r="Z14" s="2">
        <v>1</v>
      </c>
      <c r="AA14" s="1">
        <v>108</v>
      </c>
      <c r="AB14" s="2" t="s">
        <v>81</v>
      </c>
      <c r="AC14" s="1" t="str">
        <f t="shared" si="1"/>
        <v>帝国磨坊</v>
      </c>
      <c r="AD14" s="1" t="s">
        <v>318</v>
      </c>
      <c r="AE14" s="1" t="s">
        <v>271</v>
      </c>
      <c r="AF14" s="22" t="s">
        <v>463</v>
      </c>
      <c r="AG14" s="1"/>
      <c r="AH14" s="1"/>
      <c r="AI14" s="1"/>
      <c r="AJ14" s="1"/>
      <c r="AK14" s="1"/>
    </row>
    <row r="15" spans="1:37" x14ac:dyDescent="0.3">
      <c r="A15" s="1">
        <v>1013</v>
      </c>
      <c r="B15" s="6" t="s">
        <v>126</v>
      </c>
      <c r="C15" s="2">
        <v>75</v>
      </c>
      <c r="D15" s="2">
        <v>0</v>
      </c>
      <c r="E15" s="1"/>
      <c r="F15" s="1">
        <f t="shared" si="2"/>
        <v>814002</v>
      </c>
      <c r="G15" s="2" t="s">
        <v>3</v>
      </c>
      <c r="H15" s="2">
        <v>1</v>
      </c>
      <c r="I15" s="2"/>
      <c r="J15" s="2"/>
      <c r="K15" s="2"/>
      <c r="L15" s="2"/>
      <c r="M15" s="2">
        <v>0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  <c r="V15" s="2">
        <v>1</v>
      </c>
      <c r="W15" s="2">
        <v>1</v>
      </c>
      <c r="X15" s="1">
        <v>1</v>
      </c>
      <c r="Y15" s="2">
        <v>1</v>
      </c>
      <c r="Z15" s="2">
        <v>1</v>
      </c>
      <c r="AA15" s="1"/>
      <c r="AB15" s="1"/>
      <c r="AC15" s="1" t="str">
        <f t="shared" si="1"/>
        <v>北部要塞</v>
      </c>
      <c r="AD15" s="1" t="s">
        <v>319</v>
      </c>
      <c r="AE15" s="1" t="s">
        <v>249</v>
      </c>
      <c r="AF15" s="22" t="s">
        <v>464</v>
      </c>
      <c r="AG15" s="1"/>
      <c r="AH15" s="1"/>
      <c r="AI15" s="1"/>
      <c r="AJ15" s="1"/>
      <c r="AK15" s="1"/>
    </row>
    <row r="16" spans="1:37" x14ac:dyDescent="0.3">
      <c r="A16" s="1">
        <v>1014</v>
      </c>
      <c r="B16" s="6" t="s">
        <v>134</v>
      </c>
      <c r="C16" s="2">
        <v>0</v>
      </c>
      <c r="D16" s="2">
        <v>0</v>
      </c>
      <c r="E16" s="1"/>
      <c r="F16" s="1">
        <f t="shared" si="2"/>
        <v>814002</v>
      </c>
      <c r="G16" s="2" t="s">
        <v>3</v>
      </c>
      <c r="H16" s="2">
        <v>2</v>
      </c>
      <c r="I16" s="2"/>
      <c r="J16" s="2"/>
      <c r="K16" s="2"/>
      <c r="L16" s="2"/>
      <c r="M16" s="2">
        <v>0</v>
      </c>
      <c r="N16" s="2">
        <v>1</v>
      </c>
      <c r="O16" s="2">
        <v>1</v>
      </c>
      <c r="P16" s="2">
        <v>1</v>
      </c>
      <c r="Q16" s="2">
        <v>1</v>
      </c>
      <c r="R16" s="2">
        <v>1</v>
      </c>
      <c r="S16" s="2">
        <v>1</v>
      </c>
      <c r="T16" s="2">
        <v>1</v>
      </c>
      <c r="U16" s="2">
        <v>1</v>
      </c>
      <c r="V16" s="2">
        <v>1</v>
      </c>
      <c r="W16" s="2">
        <v>1</v>
      </c>
      <c r="X16" s="1">
        <v>1</v>
      </c>
      <c r="Y16" s="2">
        <v>1</v>
      </c>
      <c r="Z16" s="2">
        <v>1</v>
      </c>
      <c r="AA16" s="1"/>
      <c r="AB16" s="1"/>
      <c r="AC16" s="1" t="str">
        <f t="shared" si="1"/>
        <v>北部秘境</v>
      </c>
      <c r="AD16" s="1" t="s">
        <v>320</v>
      </c>
      <c r="AE16" s="1" t="s">
        <v>272</v>
      </c>
      <c r="AF16" s="22" t="s">
        <v>465</v>
      </c>
      <c r="AG16" s="1"/>
      <c r="AH16" s="1"/>
      <c r="AI16" s="1"/>
      <c r="AJ16" s="1"/>
      <c r="AK16" s="1"/>
    </row>
    <row r="17" spans="1:37" x14ac:dyDescent="0.3">
      <c r="A17" s="1">
        <v>1015</v>
      </c>
      <c r="B17" s="8" t="s">
        <v>385</v>
      </c>
      <c r="C17" s="2">
        <v>0</v>
      </c>
      <c r="D17" s="2">
        <v>1</v>
      </c>
      <c r="E17" s="1">
        <v>116</v>
      </c>
      <c r="F17" s="1">
        <f t="shared" si="2"/>
        <v>814003</v>
      </c>
      <c r="G17" s="2" t="s">
        <v>121</v>
      </c>
      <c r="H17" s="2">
        <v>0</v>
      </c>
      <c r="I17" s="2"/>
      <c r="J17" s="2"/>
      <c r="K17" s="2">
        <v>100</v>
      </c>
      <c r="L17" s="2">
        <v>500</v>
      </c>
      <c r="M17" s="2">
        <v>0</v>
      </c>
      <c r="N17" s="2">
        <v>1</v>
      </c>
      <c r="O17" s="2">
        <v>1</v>
      </c>
      <c r="P17" s="2">
        <v>1</v>
      </c>
      <c r="Q17" s="2">
        <v>1</v>
      </c>
      <c r="R17" s="2">
        <v>1</v>
      </c>
      <c r="S17" s="2">
        <v>1</v>
      </c>
      <c r="T17" s="2">
        <v>1</v>
      </c>
      <c r="U17" s="2">
        <v>1</v>
      </c>
      <c r="V17" s="2">
        <v>1</v>
      </c>
      <c r="W17" s="2">
        <v>1</v>
      </c>
      <c r="X17" s="2">
        <v>1</v>
      </c>
      <c r="Y17" s="2">
        <v>2</v>
      </c>
      <c r="Z17" s="2">
        <v>1</v>
      </c>
      <c r="AA17" s="1">
        <v>116</v>
      </c>
      <c r="AB17" s="2" t="s">
        <v>108</v>
      </c>
      <c r="AC17" s="1" t="str">
        <f t="shared" si="1"/>
        <v>荒野采矿厂</v>
      </c>
      <c r="AD17" s="1" t="s">
        <v>407</v>
      </c>
      <c r="AE17" s="1" t="s">
        <v>434</v>
      </c>
      <c r="AF17" s="22" t="s">
        <v>466</v>
      </c>
      <c r="AG17" s="1"/>
      <c r="AH17" s="1"/>
      <c r="AI17" s="1"/>
      <c r="AJ17" s="1"/>
      <c r="AK17" s="1"/>
    </row>
    <row r="18" spans="1:37" x14ac:dyDescent="0.3">
      <c r="A18" s="1">
        <v>1016</v>
      </c>
      <c r="B18" s="8" t="s">
        <v>207</v>
      </c>
      <c r="C18" s="2">
        <v>0</v>
      </c>
      <c r="D18" s="2">
        <v>0</v>
      </c>
      <c r="E18" s="1">
        <v>117</v>
      </c>
      <c r="F18" s="1">
        <f t="shared" si="2"/>
        <v>814003</v>
      </c>
      <c r="G18" s="2" t="s">
        <v>121</v>
      </c>
      <c r="H18" s="2">
        <v>0</v>
      </c>
      <c r="I18" s="2"/>
      <c r="J18" s="2"/>
      <c r="K18" s="2">
        <v>100</v>
      </c>
      <c r="L18" s="2">
        <v>500</v>
      </c>
      <c r="M18" s="2">
        <v>0</v>
      </c>
      <c r="N18" s="2">
        <v>1</v>
      </c>
      <c r="O18" s="2">
        <v>1</v>
      </c>
      <c r="P18" s="2">
        <v>1</v>
      </c>
      <c r="Q18" s="2">
        <v>1</v>
      </c>
      <c r="R18" s="2">
        <v>1</v>
      </c>
      <c r="S18" s="2">
        <v>1</v>
      </c>
      <c r="T18" s="2">
        <v>1</v>
      </c>
      <c r="U18" s="2">
        <v>1</v>
      </c>
      <c r="V18" s="2">
        <v>1</v>
      </c>
      <c r="W18" s="2">
        <v>1</v>
      </c>
      <c r="X18" s="2">
        <v>2</v>
      </c>
      <c r="Y18" s="2">
        <v>1</v>
      </c>
      <c r="Z18" s="2">
        <v>1</v>
      </c>
      <c r="AA18" s="1">
        <v>117</v>
      </c>
      <c r="AB18" s="2" t="s">
        <v>207</v>
      </c>
      <c r="AC18" s="1" t="str">
        <f t="shared" si="1"/>
        <v>帝国兵工厂</v>
      </c>
      <c r="AD18" s="1" t="s">
        <v>321</v>
      </c>
      <c r="AE18" s="1" t="s">
        <v>273</v>
      </c>
      <c r="AF18" s="22" t="s">
        <v>467</v>
      </c>
      <c r="AG18" s="1"/>
      <c r="AH18" s="1"/>
      <c r="AI18" s="1"/>
      <c r="AJ18" s="1"/>
      <c r="AK18" s="1"/>
    </row>
    <row r="19" spans="1:37" x14ac:dyDescent="0.3">
      <c r="A19" s="1">
        <v>1017</v>
      </c>
      <c r="B19" s="8" t="s">
        <v>96</v>
      </c>
      <c r="C19" s="2">
        <v>0</v>
      </c>
      <c r="D19" s="2">
        <v>0</v>
      </c>
      <c r="E19" s="1">
        <v>109</v>
      </c>
      <c r="F19" s="1">
        <f t="shared" si="2"/>
        <v>814003</v>
      </c>
      <c r="G19" s="2" t="s">
        <v>121</v>
      </c>
      <c r="H19" s="2">
        <v>0</v>
      </c>
      <c r="I19" s="2"/>
      <c r="J19" s="2"/>
      <c r="K19" s="2">
        <v>100</v>
      </c>
      <c r="L19" s="2">
        <v>500</v>
      </c>
      <c r="M19" s="2">
        <v>0</v>
      </c>
      <c r="N19" s="2">
        <v>1</v>
      </c>
      <c r="O19" s="2">
        <v>1</v>
      </c>
      <c r="P19" s="2">
        <v>1</v>
      </c>
      <c r="Q19" s="2">
        <v>1</v>
      </c>
      <c r="R19" s="2">
        <v>1</v>
      </c>
      <c r="S19" s="2">
        <v>1</v>
      </c>
      <c r="T19" s="2">
        <v>1</v>
      </c>
      <c r="U19" s="2">
        <v>1</v>
      </c>
      <c r="V19" s="2">
        <v>1</v>
      </c>
      <c r="W19" s="2">
        <v>1</v>
      </c>
      <c r="X19" s="2">
        <v>2</v>
      </c>
      <c r="Y19" s="2">
        <v>1</v>
      </c>
      <c r="Z19" s="2">
        <v>1</v>
      </c>
      <c r="AA19" s="1">
        <v>109</v>
      </c>
      <c r="AB19" s="2" t="s">
        <v>96</v>
      </c>
      <c r="AC19" s="1" t="str">
        <f t="shared" si="1"/>
        <v>帝国冶炼场</v>
      </c>
      <c r="AD19" s="1" t="s">
        <v>408</v>
      </c>
      <c r="AE19" s="1" t="s">
        <v>274</v>
      </c>
      <c r="AF19" s="22" t="s">
        <v>468</v>
      </c>
      <c r="AG19" s="1"/>
      <c r="AH19" s="1"/>
      <c r="AI19" s="1"/>
      <c r="AJ19" s="1"/>
      <c r="AK19" s="1"/>
    </row>
    <row r="20" spans="1:37" x14ac:dyDescent="0.3">
      <c r="A20" s="1">
        <v>1018</v>
      </c>
      <c r="B20" s="8" t="s">
        <v>167</v>
      </c>
      <c r="C20" s="2">
        <v>0</v>
      </c>
      <c r="D20" s="2">
        <v>0</v>
      </c>
      <c r="E20" s="1">
        <v>110</v>
      </c>
      <c r="F20" s="1">
        <f t="shared" si="2"/>
        <v>814003</v>
      </c>
      <c r="G20" s="2" t="s">
        <v>121</v>
      </c>
      <c r="H20" s="2">
        <v>0</v>
      </c>
      <c r="I20" s="2"/>
      <c r="J20" s="2"/>
      <c r="K20" s="2">
        <v>100</v>
      </c>
      <c r="L20" s="2">
        <v>500</v>
      </c>
      <c r="M20" s="2">
        <v>0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  <c r="S20" s="2">
        <v>1</v>
      </c>
      <c r="T20" s="2">
        <v>1</v>
      </c>
      <c r="U20" s="2">
        <v>1</v>
      </c>
      <c r="V20" s="2">
        <v>1</v>
      </c>
      <c r="W20" s="2">
        <v>1</v>
      </c>
      <c r="X20" s="2">
        <v>2</v>
      </c>
      <c r="Y20" s="2">
        <v>1</v>
      </c>
      <c r="Z20" s="2">
        <v>1</v>
      </c>
      <c r="AA20" s="1">
        <v>110</v>
      </c>
      <c r="AB20" s="2" t="s">
        <v>120</v>
      </c>
      <c r="AC20" s="1" t="str">
        <f t="shared" si="1"/>
        <v>帝国工坊</v>
      </c>
      <c r="AD20" s="1" t="s">
        <v>322</v>
      </c>
      <c r="AE20" s="1" t="s">
        <v>275</v>
      </c>
      <c r="AF20" s="22" t="s">
        <v>352</v>
      </c>
      <c r="AG20" s="1"/>
      <c r="AH20" s="1"/>
      <c r="AI20" s="1"/>
      <c r="AJ20" s="1"/>
      <c r="AK20" s="1"/>
    </row>
    <row r="21" spans="1:37" x14ac:dyDescent="0.3">
      <c r="A21" s="1">
        <v>1019</v>
      </c>
      <c r="B21" s="8" t="s">
        <v>107</v>
      </c>
      <c r="C21" s="2">
        <v>0</v>
      </c>
      <c r="D21" s="2">
        <v>0</v>
      </c>
      <c r="E21" s="1">
        <v>115</v>
      </c>
      <c r="F21" s="1">
        <f t="shared" si="2"/>
        <v>814003</v>
      </c>
      <c r="G21" s="2" t="s">
        <v>121</v>
      </c>
      <c r="H21" s="2">
        <v>0</v>
      </c>
      <c r="I21" s="2"/>
      <c r="J21" s="2"/>
      <c r="K21" s="2">
        <v>100</v>
      </c>
      <c r="L21" s="2">
        <v>500</v>
      </c>
      <c r="M21" s="2">
        <v>0</v>
      </c>
      <c r="N21" s="2">
        <v>1</v>
      </c>
      <c r="O21" s="2">
        <v>1</v>
      </c>
      <c r="P21" s="2">
        <v>1</v>
      </c>
      <c r="Q21" s="2">
        <v>1</v>
      </c>
      <c r="R21" s="2">
        <v>1</v>
      </c>
      <c r="S21" s="2">
        <v>1</v>
      </c>
      <c r="T21" s="2">
        <v>1</v>
      </c>
      <c r="U21" s="2">
        <v>1</v>
      </c>
      <c r="V21" s="2">
        <v>1</v>
      </c>
      <c r="W21" s="2">
        <v>1</v>
      </c>
      <c r="X21" s="2">
        <v>2</v>
      </c>
      <c r="Y21" s="2">
        <v>1</v>
      </c>
      <c r="Z21" s="2">
        <v>1</v>
      </c>
      <c r="AA21" s="1">
        <v>115</v>
      </c>
      <c r="AB21" s="2" t="s">
        <v>107</v>
      </c>
      <c r="AC21" s="1" t="str">
        <f t="shared" si="1"/>
        <v>帝国弹药厂</v>
      </c>
      <c r="AD21" s="1" t="s">
        <v>323</v>
      </c>
      <c r="AE21" s="1" t="s">
        <v>276</v>
      </c>
      <c r="AF21" s="22" t="s">
        <v>469</v>
      </c>
      <c r="AG21" s="1"/>
      <c r="AH21" s="1"/>
      <c r="AI21" s="1"/>
      <c r="AJ21" s="1"/>
      <c r="AK21" s="1"/>
    </row>
    <row r="22" spans="1:37" x14ac:dyDescent="0.3">
      <c r="A22" s="1">
        <v>1020</v>
      </c>
      <c r="B22" s="6" t="s">
        <v>127</v>
      </c>
      <c r="C22" s="2">
        <v>0</v>
      </c>
      <c r="D22" s="2">
        <v>1</v>
      </c>
      <c r="E22" s="1"/>
      <c r="F22" s="1">
        <f t="shared" si="2"/>
        <v>814003</v>
      </c>
      <c r="G22" s="2" t="s">
        <v>121</v>
      </c>
      <c r="H22" s="2">
        <v>1</v>
      </c>
      <c r="I22" s="2"/>
      <c r="J22" s="2"/>
      <c r="K22" s="2"/>
      <c r="L22" s="2"/>
      <c r="M22" s="2">
        <v>0</v>
      </c>
      <c r="N22" s="2">
        <v>1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1</v>
      </c>
      <c r="V22" s="2">
        <v>1</v>
      </c>
      <c r="W22" s="2">
        <v>1</v>
      </c>
      <c r="X22" s="2">
        <v>1</v>
      </c>
      <c r="Y22" s="2">
        <v>1</v>
      </c>
      <c r="Z22" s="2">
        <v>1</v>
      </c>
      <c r="AA22" s="1"/>
      <c r="AB22" s="1"/>
      <c r="AC22" s="1" t="str">
        <f t="shared" si="1"/>
        <v>荒野要塞</v>
      </c>
      <c r="AD22" s="1" t="s">
        <v>324</v>
      </c>
      <c r="AE22" s="1" t="s">
        <v>250</v>
      </c>
      <c r="AF22" s="22" t="s">
        <v>470</v>
      </c>
      <c r="AG22" s="1"/>
      <c r="AH22" s="1"/>
      <c r="AI22" s="1"/>
      <c r="AJ22" s="1"/>
      <c r="AK22" s="1"/>
    </row>
    <row r="23" spans="1:37" x14ac:dyDescent="0.3">
      <c r="A23" s="1">
        <v>1021</v>
      </c>
      <c r="B23" s="6" t="s">
        <v>131</v>
      </c>
      <c r="C23" s="2">
        <v>0</v>
      </c>
      <c r="D23" s="2">
        <v>0</v>
      </c>
      <c r="E23" s="1"/>
      <c r="F23" s="1">
        <f t="shared" si="2"/>
        <v>814003</v>
      </c>
      <c r="G23" s="2" t="s">
        <v>121</v>
      </c>
      <c r="H23" s="2">
        <v>2</v>
      </c>
      <c r="I23" s="2"/>
      <c r="J23" s="2"/>
      <c r="K23" s="2"/>
      <c r="L23" s="2"/>
      <c r="M23" s="2">
        <v>0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1</v>
      </c>
      <c r="W23" s="2">
        <v>1</v>
      </c>
      <c r="X23" s="2">
        <v>1</v>
      </c>
      <c r="Y23" s="2">
        <v>1</v>
      </c>
      <c r="Z23" s="2">
        <v>1</v>
      </c>
      <c r="AA23" s="1"/>
      <c r="AB23" s="1"/>
      <c r="AC23" s="1" t="str">
        <f t="shared" si="1"/>
        <v>荒野秘境</v>
      </c>
      <c r="AD23" s="1" t="s">
        <v>325</v>
      </c>
      <c r="AE23" s="1" t="s">
        <v>277</v>
      </c>
      <c r="AF23" s="22" t="s">
        <v>471</v>
      </c>
      <c r="AG23" s="1"/>
      <c r="AH23" s="1"/>
      <c r="AI23" s="1"/>
      <c r="AJ23" s="1"/>
      <c r="AK23" s="1"/>
    </row>
    <row r="24" spans="1:37" x14ac:dyDescent="0.3">
      <c r="A24" s="1">
        <v>1022</v>
      </c>
      <c r="B24" s="8" t="s">
        <v>388</v>
      </c>
      <c r="C24" s="2">
        <v>0</v>
      </c>
      <c r="D24" s="2">
        <v>0</v>
      </c>
      <c r="E24" s="1">
        <v>107</v>
      </c>
      <c r="F24" s="1">
        <f t="shared" si="2"/>
        <v>814004</v>
      </c>
      <c r="G24" s="2" t="s">
        <v>142</v>
      </c>
      <c r="H24" s="2">
        <v>0</v>
      </c>
      <c r="I24" s="2"/>
      <c r="J24" s="2"/>
      <c r="K24" s="2">
        <v>100</v>
      </c>
      <c r="L24" s="2">
        <v>500</v>
      </c>
      <c r="M24" s="2">
        <v>0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2">
        <v>2.5</v>
      </c>
      <c r="X24" s="2">
        <v>1</v>
      </c>
      <c r="Y24" s="2">
        <v>1</v>
      </c>
      <c r="Z24" s="2">
        <v>1</v>
      </c>
      <c r="AA24" s="1">
        <v>107</v>
      </c>
      <c r="AB24" s="2" t="s">
        <v>75</v>
      </c>
      <c r="AC24" s="1" t="str">
        <f t="shared" si="1"/>
        <v>南方果园</v>
      </c>
      <c r="AD24" s="1" t="s">
        <v>409</v>
      </c>
      <c r="AE24" s="1" t="s">
        <v>435</v>
      </c>
      <c r="AF24" s="22" t="s">
        <v>472</v>
      </c>
      <c r="AG24" s="1"/>
      <c r="AH24" s="1"/>
      <c r="AI24" s="1"/>
      <c r="AJ24" s="1"/>
      <c r="AK24" s="1"/>
    </row>
    <row r="25" spans="1:37" x14ac:dyDescent="0.3">
      <c r="A25" s="1">
        <v>1023</v>
      </c>
      <c r="B25" s="8" t="s">
        <v>109</v>
      </c>
      <c r="C25" s="2">
        <v>0</v>
      </c>
      <c r="D25" s="2">
        <v>0</v>
      </c>
      <c r="E25" s="1">
        <v>125</v>
      </c>
      <c r="F25" s="1">
        <f t="shared" si="2"/>
        <v>814004</v>
      </c>
      <c r="G25" s="2" t="s">
        <v>142</v>
      </c>
      <c r="H25" s="2">
        <v>0</v>
      </c>
      <c r="I25" s="2"/>
      <c r="J25" s="2"/>
      <c r="K25" s="2">
        <v>100</v>
      </c>
      <c r="L25" s="2">
        <v>500</v>
      </c>
      <c r="M25" s="2">
        <v>0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2">
        <v>1</v>
      </c>
      <c r="X25" s="2">
        <v>2</v>
      </c>
      <c r="Y25" s="2">
        <v>1</v>
      </c>
      <c r="Z25" s="2">
        <v>1</v>
      </c>
      <c r="AA25" s="1">
        <v>125</v>
      </c>
      <c r="AB25" s="2" t="s">
        <v>109</v>
      </c>
      <c r="AC25" s="1" t="str">
        <f t="shared" si="1"/>
        <v>帝国制糖坊</v>
      </c>
      <c r="AD25" s="1" t="s">
        <v>326</v>
      </c>
      <c r="AE25" s="1" t="s">
        <v>278</v>
      </c>
      <c r="AF25" s="22" t="s">
        <v>353</v>
      </c>
      <c r="AG25" s="1"/>
      <c r="AH25" s="1"/>
      <c r="AI25" s="1"/>
      <c r="AJ25" s="1"/>
      <c r="AK25" s="1"/>
    </row>
    <row r="26" spans="1:37" x14ac:dyDescent="0.3">
      <c r="A26" s="1">
        <v>1024</v>
      </c>
      <c r="B26" s="7" t="s">
        <v>153</v>
      </c>
      <c r="C26" s="2">
        <v>0</v>
      </c>
      <c r="D26" s="2">
        <v>1</v>
      </c>
      <c r="E26" s="1"/>
      <c r="F26" s="1">
        <f t="shared" si="2"/>
        <v>814004</v>
      </c>
      <c r="G26" s="2" t="s">
        <v>142</v>
      </c>
      <c r="H26" s="2">
        <v>3</v>
      </c>
      <c r="I26" s="2"/>
      <c r="J26" s="2"/>
      <c r="K26" s="2"/>
      <c r="L26" s="2"/>
      <c r="M26" s="2">
        <v>0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1">
        <v>1</v>
      </c>
      <c r="X26" s="1">
        <v>1</v>
      </c>
      <c r="Y26" s="2">
        <v>1</v>
      </c>
      <c r="Z26" s="2">
        <v>1</v>
      </c>
      <c r="AA26" s="1"/>
      <c r="AB26" s="1"/>
      <c r="AC26" s="1" t="str">
        <f t="shared" si="1"/>
        <v>黄昏战场</v>
      </c>
      <c r="AD26" s="1" t="s">
        <v>327</v>
      </c>
      <c r="AE26" s="1" t="s">
        <v>279</v>
      </c>
      <c r="AF26" s="22" t="s">
        <v>354</v>
      </c>
      <c r="AG26" s="1"/>
      <c r="AH26" s="1"/>
      <c r="AI26" s="1"/>
      <c r="AJ26" s="1"/>
      <c r="AK26" s="1"/>
    </row>
    <row r="27" spans="1:37" x14ac:dyDescent="0.3">
      <c r="A27" s="1">
        <v>1025</v>
      </c>
      <c r="B27" s="8" t="s">
        <v>104</v>
      </c>
      <c r="C27" s="2">
        <v>0</v>
      </c>
      <c r="D27" s="2">
        <v>0</v>
      </c>
      <c r="E27" s="1">
        <v>112</v>
      </c>
      <c r="F27" s="1">
        <f t="shared" si="2"/>
        <v>814004</v>
      </c>
      <c r="G27" s="2" t="s">
        <v>142</v>
      </c>
      <c r="H27" s="2">
        <v>0</v>
      </c>
      <c r="I27" s="2"/>
      <c r="J27" s="2"/>
      <c r="K27" s="2">
        <v>100</v>
      </c>
      <c r="L27" s="2">
        <v>500</v>
      </c>
      <c r="M27" s="2">
        <v>0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2">
        <v>1</v>
      </c>
      <c r="X27" s="2">
        <v>2</v>
      </c>
      <c r="Y27" s="2">
        <v>1</v>
      </c>
      <c r="Z27" s="2">
        <v>1</v>
      </c>
      <c r="AA27" s="1">
        <v>112</v>
      </c>
      <c r="AB27" s="2" t="s">
        <v>104</v>
      </c>
      <c r="AC27" s="1" t="str">
        <f t="shared" si="1"/>
        <v>帝国酿酒坊</v>
      </c>
      <c r="AD27" s="1" t="s">
        <v>328</v>
      </c>
      <c r="AE27" s="1" t="s">
        <v>280</v>
      </c>
      <c r="AF27" s="22" t="s">
        <v>473</v>
      </c>
      <c r="AG27" s="1"/>
      <c r="AH27" s="1"/>
      <c r="AI27" s="1"/>
      <c r="AJ27" s="1"/>
      <c r="AK27" s="1"/>
    </row>
    <row r="28" spans="1:37" x14ac:dyDescent="0.3">
      <c r="A28" s="1">
        <v>1026</v>
      </c>
      <c r="B28" s="8" t="s">
        <v>105</v>
      </c>
      <c r="C28" s="2">
        <v>0</v>
      </c>
      <c r="D28" s="2">
        <v>0</v>
      </c>
      <c r="E28" s="1">
        <v>113</v>
      </c>
      <c r="F28" s="1">
        <f t="shared" si="2"/>
        <v>814004</v>
      </c>
      <c r="G28" s="2" t="s">
        <v>142</v>
      </c>
      <c r="H28" s="2">
        <v>0</v>
      </c>
      <c r="I28" s="2"/>
      <c r="J28" s="2"/>
      <c r="K28" s="2">
        <v>100</v>
      </c>
      <c r="L28" s="2">
        <v>500</v>
      </c>
      <c r="M28" s="2">
        <v>0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1">
        <v>1</v>
      </c>
      <c r="X28" s="2">
        <v>2</v>
      </c>
      <c r="Y28" s="2">
        <v>1</v>
      </c>
      <c r="Z28" s="2">
        <v>1</v>
      </c>
      <c r="AA28" s="1">
        <v>113</v>
      </c>
      <c r="AB28" s="2" t="s">
        <v>105</v>
      </c>
      <c r="AC28" s="1" t="str">
        <f t="shared" si="1"/>
        <v>帝国制药坊</v>
      </c>
      <c r="AD28" s="1" t="s">
        <v>329</v>
      </c>
      <c r="AE28" s="1" t="s">
        <v>281</v>
      </c>
      <c r="AF28" s="22" t="s">
        <v>355</v>
      </c>
      <c r="AG28" s="1"/>
      <c r="AH28" s="1"/>
      <c r="AI28" s="1"/>
      <c r="AJ28" s="1"/>
      <c r="AK28" s="1"/>
    </row>
    <row r="29" spans="1:37" x14ac:dyDescent="0.3">
      <c r="A29" s="1">
        <v>1027</v>
      </c>
      <c r="B29" s="6" t="s">
        <v>143</v>
      </c>
      <c r="C29" s="2">
        <v>76</v>
      </c>
      <c r="D29" s="2">
        <v>0</v>
      </c>
      <c r="E29" s="1"/>
      <c r="F29" s="1">
        <f t="shared" si="2"/>
        <v>814004</v>
      </c>
      <c r="G29" s="2" t="s">
        <v>142</v>
      </c>
      <c r="H29" s="2">
        <v>1</v>
      </c>
      <c r="I29" s="2"/>
      <c r="J29" s="2"/>
      <c r="K29" s="2"/>
      <c r="L29" s="2"/>
      <c r="M29" s="2">
        <v>0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2">
        <v>1</v>
      </c>
      <c r="X29" s="2">
        <v>1</v>
      </c>
      <c r="Y29" s="2">
        <v>1</v>
      </c>
      <c r="Z29" s="2">
        <v>1</v>
      </c>
      <c r="AA29" s="1"/>
      <c r="AB29" s="1"/>
      <c r="AC29" s="1" t="str">
        <f t="shared" si="1"/>
        <v>黄昏要塞</v>
      </c>
      <c r="AD29" s="1" t="s">
        <v>330</v>
      </c>
      <c r="AE29" s="1" t="s">
        <v>282</v>
      </c>
      <c r="AF29" s="22" t="s">
        <v>474</v>
      </c>
      <c r="AG29" s="1"/>
      <c r="AH29" s="1"/>
      <c r="AI29" s="1"/>
      <c r="AJ29" s="1"/>
      <c r="AK29" s="1"/>
    </row>
    <row r="30" spans="1:37" x14ac:dyDescent="0.3">
      <c r="A30" s="1">
        <v>1028</v>
      </c>
      <c r="B30" s="6" t="s">
        <v>144</v>
      </c>
      <c r="C30" s="2">
        <v>0</v>
      </c>
      <c r="D30" s="2">
        <v>0</v>
      </c>
      <c r="E30" s="1"/>
      <c r="F30" s="1">
        <f t="shared" si="2"/>
        <v>814004</v>
      </c>
      <c r="G30" s="2" t="s">
        <v>142</v>
      </c>
      <c r="H30" s="2">
        <v>2</v>
      </c>
      <c r="I30" s="2"/>
      <c r="J30" s="2"/>
      <c r="K30" s="2"/>
      <c r="L30" s="2"/>
      <c r="M30" s="2">
        <v>0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1">
        <v>1</v>
      </c>
      <c r="X30" s="1">
        <v>1</v>
      </c>
      <c r="Y30" s="2">
        <v>1</v>
      </c>
      <c r="Z30" s="2">
        <v>1</v>
      </c>
      <c r="AA30" s="1"/>
      <c r="AB30" s="1"/>
      <c r="AC30" s="1" t="str">
        <f t="shared" si="1"/>
        <v>黄昏秘境</v>
      </c>
      <c r="AD30" s="1" t="s">
        <v>331</v>
      </c>
      <c r="AE30" s="1" t="s">
        <v>283</v>
      </c>
      <c r="AF30" s="22" t="s">
        <v>475</v>
      </c>
      <c r="AG30" s="1"/>
      <c r="AH30" s="1"/>
      <c r="AI30" s="1"/>
      <c r="AJ30" s="1"/>
      <c r="AK30" s="1"/>
    </row>
    <row r="31" spans="1:37" x14ac:dyDescent="0.3">
      <c r="A31" s="1">
        <v>1029</v>
      </c>
      <c r="B31" s="8" t="s">
        <v>395</v>
      </c>
      <c r="C31" s="2">
        <v>0</v>
      </c>
      <c r="D31" s="2">
        <v>0</v>
      </c>
      <c r="E31" s="1">
        <v>120</v>
      </c>
      <c r="F31" s="1">
        <f t="shared" si="2"/>
        <v>814005</v>
      </c>
      <c r="G31" s="2" t="s">
        <v>7</v>
      </c>
      <c r="H31" s="2">
        <v>0</v>
      </c>
      <c r="I31" s="2"/>
      <c r="J31" s="2"/>
      <c r="K31" s="2">
        <v>100</v>
      </c>
      <c r="L31" s="2">
        <v>500</v>
      </c>
      <c r="M31" s="2">
        <v>0</v>
      </c>
      <c r="N31" s="2">
        <v>1</v>
      </c>
      <c r="O31" s="2">
        <v>1</v>
      </c>
      <c r="P31" s="2">
        <v>1</v>
      </c>
      <c r="Q31" s="2">
        <v>2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2">
        <v>1</v>
      </c>
      <c r="X31" s="2">
        <v>1</v>
      </c>
      <c r="Y31" s="2">
        <v>1</v>
      </c>
      <c r="Z31" s="2">
        <v>1</v>
      </c>
      <c r="AA31" s="1">
        <v>120</v>
      </c>
      <c r="AB31" s="2" t="s">
        <v>110</v>
      </c>
      <c r="AC31" s="1" t="str">
        <f t="shared" si="1"/>
        <v>南方养牛场</v>
      </c>
      <c r="AD31" s="1" t="s">
        <v>410</v>
      </c>
      <c r="AE31" s="1" t="s">
        <v>436</v>
      </c>
      <c r="AF31" s="22" t="s">
        <v>476</v>
      </c>
      <c r="AG31" s="1"/>
      <c r="AH31" s="1"/>
      <c r="AI31" s="1"/>
      <c r="AJ31" s="1"/>
      <c r="AK31" s="1"/>
    </row>
    <row r="32" spans="1:37" x14ac:dyDescent="0.3">
      <c r="A32" s="1">
        <v>1030</v>
      </c>
      <c r="B32" s="8" t="s">
        <v>396</v>
      </c>
      <c r="C32" s="2">
        <v>0</v>
      </c>
      <c r="D32" s="2">
        <v>1</v>
      </c>
      <c r="E32" s="1">
        <v>121</v>
      </c>
      <c r="F32" s="1">
        <f t="shared" si="2"/>
        <v>814005</v>
      </c>
      <c r="G32" s="2" t="s">
        <v>7</v>
      </c>
      <c r="H32" s="2">
        <v>0</v>
      </c>
      <c r="I32" s="2"/>
      <c r="J32" s="2"/>
      <c r="K32" s="2">
        <v>100</v>
      </c>
      <c r="L32" s="2">
        <v>500</v>
      </c>
      <c r="M32" s="2">
        <v>0</v>
      </c>
      <c r="N32" s="2">
        <v>1</v>
      </c>
      <c r="O32" s="2">
        <v>1</v>
      </c>
      <c r="P32" s="2">
        <v>1</v>
      </c>
      <c r="Q32" s="2">
        <v>1</v>
      </c>
      <c r="R32" s="2">
        <v>2</v>
      </c>
      <c r="S32" s="2">
        <v>1</v>
      </c>
      <c r="T32" s="2">
        <v>1</v>
      </c>
      <c r="U32" s="2">
        <v>1</v>
      </c>
      <c r="V32" s="2">
        <v>1</v>
      </c>
      <c r="W32" s="1">
        <v>1</v>
      </c>
      <c r="X32" s="1">
        <v>1</v>
      </c>
      <c r="Y32" s="2">
        <v>1</v>
      </c>
      <c r="Z32" s="2">
        <v>1</v>
      </c>
      <c r="AA32" s="1">
        <v>121</v>
      </c>
      <c r="AB32" s="2" t="s">
        <v>111</v>
      </c>
      <c r="AC32" s="1" t="str">
        <f t="shared" si="1"/>
        <v>南方养羊场</v>
      </c>
      <c r="AD32" s="1" t="s">
        <v>411</v>
      </c>
      <c r="AE32" s="1" t="s">
        <v>437</v>
      </c>
      <c r="AF32" s="22" t="s">
        <v>477</v>
      </c>
      <c r="AG32" s="1"/>
      <c r="AH32" s="1"/>
      <c r="AI32" s="1"/>
      <c r="AJ32" s="1"/>
      <c r="AK32" s="1"/>
    </row>
    <row r="33" spans="1:37" x14ac:dyDescent="0.3">
      <c r="A33" s="1">
        <v>1031</v>
      </c>
      <c r="B33" s="7" t="s">
        <v>152</v>
      </c>
      <c r="C33" s="2">
        <v>0</v>
      </c>
      <c r="D33" s="2">
        <v>1</v>
      </c>
      <c r="E33" s="1"/>
      <c r="F33" s="1">
        <f t="shared" si="2"/>
        <v>814005</v>
      </c>
      <c r="G33" s="2" t="s">
        <v>7</v>
      </c>
      <c r="H33" s="2">
        <v>3</v>
      </c>
      <c r="I33" s="2"/>
      <c r="J33" s="2"/>
      <c r="K33" s="2"/>
      <c r="L33" s="2"/>
      <c r="M33" s="2">
        <v>0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2">
        <v>1</v>
      </c>
      <c r="X33" s="2">
        <v>1</v>
      </c>
      <c r="Y33" s="2">
        <v>1</v>
      </c>
      <c r="Z33" s="2">
        <v>1</v>
      </c>
      <c r="AA33" s="1"/>
      <c r="AB33" s="1"/>
      <c r="AC33" s="1" t="str">
        <f t="shared" si="1"/>
        <v>南部战场</v>
      </c>
      <c r="AD33" s="1" t="s">
        <v>332</v>
      </c>
      <c r="AE33" s="1" t="s">
        <v>284</v>
      </c>
      <c r="AF33" s="22" t="s">
        <v>478</v>
      </c>
      <c r="AG33" s="1"/>
      <c r="AH33" s="1"/>
      <c r="AI33" s="1"/>
      <c r="AJ33" s="1"/>
      <c r="AK33" s="1"/>
    </row>
    <row r="34" spans="1:37" x14ac:dyDescent="0.3">
      <c r="A34" s="1">
        <v>1032</v>
      </c>
      <c r="B34" s="8" t="s">
        <v>397</v>
      </c>
      <c r="C34" s="2">
        <v>0</v>
      </c>
      <c r="D34" s="2">
        <v>0</v>
      </c>
      <c r="E34" s="1">
        <v>122</v>
      </c>
      <c r="F34" s="1">
        <f t="shared" si="2"/>
        <v>814005</v>
      </c>
      <c r="G34" s="2" t="s">
        <v>7</v>
      </c>
      <c r="H34" s="2">
        <v>0</v>
      </c>
      <c r="I34" s="2"/>
      <c r="J34" s="2"/>
      <c r="K34" s="2">
        <v>100</v>
      </c>
      <c r="L34" s="2">
        <v>500</v>
      </c>
      <c r="M34" s="2">
        <v>0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2</v>
      </c>
      <c r="T34" s="2">
        <v>1</v>
      </c>
      <c r="U34" s="2">
        <v>1</v>
      </c>
      <c r="V34" s="2">
        <v>1</v>
      </c>
      <c r="W34" s="1">
        <v>1</v>
      </c>
      <c r="X34" s="1">
        <v>1</v>
      </c>
      <c r="Y34" s="2">
        <v>1</v>
      </c>
      <c r="Z34" s="2">
        <v>1</v>
      </c>
      <c r="AA34" s="1">
        <v>122</v>
      </c>
      <c r="AB34" s="2" t="s">
        <v>112</v>
      </c>
      <c r="AC34" s="1" t="str">
        <f t="shared" si="1"/>
        <v>南方养猪场</v>
      </c>
      <c r="AD34" s="1" t="s">
        <v>412</v>
      </c>
      <c r="AE34" s="1" t="s">
        <v>438</v>
      </c>
      <c r="AF34" s="22" t="s">
        <v>479</v>
      </c>
      <c r="AG34" s="1"/>
      <c r="AH34" s="1"/>
      <c r="AI34" s="1"/>
      <c r="AJ34" s="1"/>
      <c r="AK34" s="1"/>
    </row>
    <row r="35" spans="1:37" x14ac:dyDescent="0.3">
      <c r="A35" s="1">
        <v>1033</v>
      </c>
      <c r="B35" s="8" t="s">
        <v>103</v>
      </c>
      <c r="C35" s="2">
        <v>0</v>
      </c>
      <c r="D35" s="2">
        <v>0</v>
      </c>
      <c r="E35" s="1">
        <v>111</v>
      </c>
      <c r="F35" s="1">
        <f>F30+1</f>
        <v>814005</v>
      </c>
      <c r="G35" s="2" t="s">
        <v>7</v>
      </c>
      <c r="H35" s="2">
        <v>0</v>
      </c>
      <c r="I35" s="2"/>
      <c r="J35" s="2"/>
      <c r="K35" s="2">
        <v>100</v>
      </c>
      <c r="L35" s="2">
        <v>500</v>
      </c>
      <c r="M35" s="2">
        <v>0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2">
        <v>1</v>
      </c>
      <c r="X35" s="2">
        <v>2</v>
      </c>
      <c r="Y35" s="2">
        <v>1</v>
      </c>
      <c r="Z35" s="2">
        <v>1</v>
      </c>
      <c r="AA35" s="1">
        <v>111</v>
      </c>
      <c r="AB35" s="2" t="s">
        <v>103</v>
      </c>
      <c r="AC35" s="1" t="str">
        <f t="shared" si="1"/>
        <v>帝国服装厂</v>
      </c>
      <c r="AD35" s="1" t="s">
        <v>333</v>
      </c>
      <c r="AE35" s="1" t="s">
        <v>285</v>
      </c>
      <c r="AF35" s="22" t="s">
        <v>480</v>
      </c>
      <c r="AG35" s="1"/>
      <c r="AH35" s="1"/>
      <c r="AI35" s="1"/>
      <c r="AJ35" s="1"/>
      <c r="AK35" s="1"/>
    </row>
    <row r="36" spans="1:37" x14ac:dyDescent="0.3">
      <c r="A36" s="1">
        <v>1034</v>
      </c>
      <c r="B36" s="6" t="s">
        <v>150</v>
      </c>
      <c r="C36" s="2">
        <v>0</v>
      </c>
      <c r="D36" s="2">
        <v>1</v>
      </c>
      <c r="E36" s="1"/>
      <c r="F36" s="1">
        <f>F29+1</f>
        <v>814005</v>
      </c>
      <c r="G36" s="2" t="s">
        <v>7</v>
      </c>
      <c r="H36" s="2">
        <v>1</v>
      </c>
      <c r="I36" s="2"/>
      <c r="J36" s="2"/>
      <c r="K36" s="2"/>
      <c r="L36" s="2"/>
      <c r="M36" s="2">
        <v>0</v>
      </c>
      <c r="N36" s="2">
        <v>1</v>
      </c>
      <c r="O36" s="2">
        <v>1</v>
      </c>
      <c r="P36" s="2">
        <v>1</v>
      </c>
      <c r="Q36" s="2">
        <v>1</v>
      </c>
      <c r="R36" s="2">
        <v>1</v>
      </c>
      <c r="S36" s="2">
        <v>1</v>
      </c>
      <c r="T36" s="2">
        <v>1</v>
      </c>
      <c r="U36" s="2">
        <v>1</v>
      </c>
      <c r="V36" s="2">
        <v>1</v>
      </c>
      <c r="W36" s="1">
        <v>1</v>
      </c>
      <c r="X36" s="1">
        <v>1</v>
      </c>
      <c r="Y36" s="2">
        <v>1</v>
      </c>
      <c r="Z36" s="2">
        <v>1</v>
      </c>
      <c r="AA36" s="1"/>
      <c r="AB36" s="1"/>
      <c r="AC36" s="1" t="str">
        <f t="shared" si="1"/>
        <v>南部要塞</v>
      </c>
      <c r="AD36" s="1" t="s">
        <v>334</v>
      </c>
      <c r="AE36" s="1" t="s">
        <v>251</v>
      </c>
      <c r="AF36" s="22" t="s">
        <v>481</v>
      </c>
      <c r="AG36" s="1"/>
      <c r="AH36" s="1"/>
      <c r="AI36" s="1"/>
      <c r="AJ36" s="1"/>
      <c r="AK36" s="1"/>
    </row>
    <row r="37" spans="1:37" x14ac:dyDescent="0.3">
      <c r="A37" s="1">
        <v>1035</v>
      </c>
      <c r="B37" s="6" t="s">
        <v>151</v>
      </c>
      <c r="C37" s="2">
        <v>0</v>
      </c>
      <c r="D37" s="2">
        <v>0</v>
      </c>
      <c r="E37" s="1"/>
      <c r="F37" s="1">
        <f>F30+1</f>
        <v>814005</v>
      </c>
      <c r="G37" s="2" t="s">
        <v>7</v>
      </c>
      <c r="H37" s="2">
        <v>2</v>
      </c>
      <c r="I37" s="2"/>
      <c r="J37" s="2"/>
      <c r="K37" s="2"/>
      <c r="L37" s="2"/>
      <c r="M37" s="2">
        <v>0</v>
      </c>
      <c r="N37" s="2">
        <v>1</v>
      </c>
      <c r="O37" s="2">
        <v>1</v>
      </c>
      <c r="P37" s="2">
        <v>1</v>
      </c>
      <c r="Q37" s="2">
        <v>1</v>
      </c>
      <c r="R37" s="2">
        <v>1</v>
      </c>
      <c r="S37" s="2">
        <v>1</v>
      </c>
      <c r="T37" s="2">
        <v>1</v>
      </c>
      <c r="U37" s="2">
        <v>1</v>
      </c>
      <c r="V37" s="2">
        <v>1</v>
      </c>
      <c r="W37" s="2">
        <v>1</v>
      </c>
      <c r="X37" s="2">
        <v>1</v>
      </c>
      <c r="Y37" s="2">
        <v>1</v>
      </c>
      <c r="Z37" s="2">
        <v>1</v>
      </c>
      <c r="AA37" s="1"/>
      <c r="AB37" s="1"/>
      <c r="AC37" s="1" t="str">
        <f t="shared" si="1"/>
        <v>南部秘境</v>
      </c>
      <c r="AD37" s="1" t="s">
        <v>413</v>
      </c>
      <c r="AE37" s="1" t="s">
        <v>286</v>
      </c>
      <c r="AF37" s="22" t="s">
        <v>482</v>
      </c>
      <c r="AG37" s="1"/>
      <c r="AH37" s="1"/>
      <c r="AI37" s="1"/>
      <c r="AJ37" s="1"/>
      <c r="AK37" s="1"/>
    </row>
    <row r="38" spans="1:37" x14ac:dyDescent="0.3">
      <c r="A38" s="1">
        <v>1036</v>
      </c>
      <c r="B38" s="8" t="s">
        <v>149</v>
      </c>
      <c r="C38" s="2">
        <v>0</v>
      </c>
      <c r="D38" s="2">
        <v>0</v>
      </c>
      <c r="E38" s="2">
        <v>119</v>
      </c>
      <c r="F38" s="1">
        <f>F31+1</f>
        <v>814006</v>
      </c>
      <c r="G38" s="2" t="s">
        <v>6</v>
      </c>
      <c r="H38" s="2">
        <v>0</v>
      </c>
      <c r="I38" s="2"/>
      <c r="J38" s="2"/>
      <c r="K38" s="2">
        <v>100</v>
      </c>
      <c r="L38" s="2">
        <v>500</v>
      </c>
      <c r="M38" s="2">
        <v>0</v>
      </c>
      <c r="N38" s="2">
        <v>1</v>
      </c>
      <c r="O38" s="2">
        <v>1</v>
      </c>
      <c r="P38" s="2">
        <v>1</v>
      </c>
      <c r="Q38" s="2">
        <v>1</v>
      </c>
      <c r="R38" s="2">
        <v>1</v>
      </c>
      <c r="S38" s="2">
        <v>1</v>
      </c>
      <c r="T38" s="2">
        <v>1</v>
      </c>
      <c r="U38" s="2">
        <v>1</v>
      </c>
      <c r="V38" s="2">
        <v>1</v>
      </c>
      <c r="W38" s="1">
        <v>1</v>
      </c>
      <c r="X38" s="1">
        <v>1</v>
      </c>
      <c r="Y38" s="2">
        <v>1</v>
      </c>
      <c r="Z38" s="2">
        <v>1</v>
      </c>
      <c r="AA38" s="1">
        <v>119</v>
      </c>
      <c r="AB38" s="2" t="s">
        <v>149</v>
      </c>
      <c r="AC38" s="1" t="str">
        <f t="shared" si="1"/>
        <v>帝国园艺场</v>
      </c>
      <c r="AD38" s="1" t="s">
        <v>414</v>
      </c>
      <c r="AE38" s="1" t="s">
        <v>287</v>
      </c>
      <c r="AF38" s="22" t="s">
        <v>483</v>
      </c>
      <c r="AG38" s="1"/>
      <c r="AH38" s="1"/>
      <c r="AI38" s="1"/>
      <c r="AJ38" s="1"/>
      <c r="AK38" s="1"/>
    </row>
    <row r="39" spans="1:37" x14ac:dyDescent="0.3">
      <c r="A39" s="1">
        <v>1037</v>
      </c>
      <c r="B39" s="8" t="s">
        <v>35</v>
      </c>
      <c r="C39" s="2">
        <v>0</v>
      </c>
      <c r="D39" s="2">
        <v>0</v>
      </c>
      <c r="E39" s="2">
        <v>126</v>
      </c>
      <c r="F39" s="1">
        <f t="shared" ref="F39:F44" si="3">F32+1</f>
        <v>814006</v>
      </c>
      <c r="G39" s="2" t="s">
        <v>6</v>
      </c>
      <c r="H39" s="2">
        <v>0</v>
      </c>
      <c r="I39" s="2"/>
      <c r="J39" s="2"/>
      <c r="K39" s="2">
        <v>100</v>
      </c>
      <c r="L39" s="2">
        <v>500</v>
      </c>
      <c r="M39" s="2">
        <v>0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  <c r="U39" s="2">
        <v>1</v>
      </c>
      <c r="V39" s="2">
        <v>1</v>
      </c>
      <c r="W39" s="2">
        <v>1</v>
      </c>
      <c r="X39" s="2">
        <v>2</v>
      </c>
      <c r="Y39" s="2">
        <v>1</v>
      </c>
      <c r="Z39" s="2">
        <v>1</v>
      </c>
      <c r="AA39" s="1">
        <v>126</v>
      </c>
      <c r="AB39" s="2" t="s">
        <v>35</v>
      </c>
      <c r="AC39" s="1" t="str">
        <f t="shared" si="1"/>
        <v>动物药剂坊</v>
      </c>
      <c r="AD39" s="1" t="s">
        <v>335</v>
      </c>
      <c r="AE39" s="1" t="s">
        <v>288</v>
      </c>
      <c r="AF39" s="22" t="s">
        <v>484</v>
      </c>
      <c r="AG39" s="1"/>
      <c r="AH39" s="1"/>
      <c r="AI39" s="1"/>
      <c r="AJ39" s="1"/>
      <c r="AK39" s="1"/>
    </row>
    <row r="40" spans="1:37" x14ac:dyDescent="0.3">
      <c r="A40" s="1">
        <v>1038</v>
      </c>
      <c r="B40" s="7" t="s">
        <v>154</v>
      </c>
      <c r="C40" s="2">
        <v>0</v>
      </c>
      <c r="D40" s="2">
        <v>1</v>
      </c>
      <c r="E40" s="2"/>
      <c r="F40" s="1">
        <f t="shared" si="3"/>
        <v>814006</v>
      </c>
      <c r="G40" s="2" t="s">
        <v>6</v>
      </c>
      <c r="H40" s="2">
        <v>3</v>
      </c>
      <c r="I40" s="2"/>
      <c r="J40" s="2"/>
      <c r="K40" s="2"/>
      <c r="L40" s="2"/>
      <c r="M40" s="2">
        <v>0</v>
      </c>
      <c r="N40" s="2">
        <v>1</v>
      </c>
      <c r="O40" s="2">
        <v>1</v>
      </c>
      <c r="P40" s="2">
        <v>1</v>
      </c>
      <c r="Q40" s="2">
        <v>1</v>
      </c>
      <c r="R40" s="2">
        <v>1</v>
      </c>
      <c r="S40" s="2">
        <v>1</v>
      </c>
      <c r="T40" s="2">
        <v>1</v>
      </c>
      <c r="U40" s="2">
        <v>1</v>
      </c>
      <c r="V40" s="2">
        <v>1</v>
      </c>
      <c r="W40" s="1">
        <v>1</v>
      </c>
      <c r="X40" s="1">
        <v>1</v>
      </c>
      <c r="Y40" s="2">
        <v>1</v>
      </c>
      <c r="Z40" s="2">
        <v>1</v>
      </c>
      <c r="AA40" s="1"/>
      <c r="AB40" s="1"/>
      <c r="AC40" s="1" t="str">
        <f t="shared" si="1"/>
        <v>迷雾战场</v>
      </c>
      <c r="AD40" s="1" t="s">
        <v>336</v>
      </c>
      <c r="AE40" s="1" t="s">
        <v>289</v>
      </c>
      <c r="AF40" s="22" t="s">
        <v>485</v>
      </c>
      <c r="AG40" s="1"/>
      <c r="AH40" s="1"/>
      <c r="AI40" s="1"/>
      <c r="AJ40" s="1"/>
      <c r="AK40" s="1"/>
    </row>
    <row r="41" spans="1:37" x14ac:dyDescent="0.3">
      <c r="A41" s="1">
        <v>1039</v>
      </c>
      <c r="B41" s="8" t="s">
        <v>393</v>
      </c>
      <c r="C41" s="2">
        <v>0</v>
      </c>
      <c r="D41" s="2">
        <v>1</v>
      </c>
      <c r="E41" s="2">
        <v>118</v>
      </c>
      <c r="F41" s="1">
        <f t="shared" si="3"/>
        <v>814006</v>
      </c>
      <c r="G41" s="2" t="s">
        <v>6</v>
      </c>
      <c r="H41" s="2">
        <v>0</v>
      </c>
      <c r="I41" s="2"/>
      <c r="J41" s="2"/>
      <c r="K41" s="2">
        <v>100</v>
      </c>
      <c r="L41" s="2">
        <v>500</v>
      </c>
      <c r="M41" s="2">
        <v>0</v>
      </c>
      <c r="N41" s="2">
        <v>1</v>
      </c>
      <c r="O41" s="2">
        <v>1</v>
      </c>
      <c r="P41" s="2">
        <v>1</v>
      </c>
      <c r="Q41" s="2">
        <v>1</v>
      </c>
      <c r="R41" s="2">
        <v>1</v>
      </c>
      <c r="S41" s="2">
        <v>1</v>
      </c>
      <c r="T41" s="2">
        <v>1</v>
      </c>
      <c r="U41" s="2">
        <v>1</v>
      </c>
      <c r="V41" s="2">
        <v>1</v>
      </c>
      <c r="W41" s="2">
        <v>1</v>
      </c>
      <c r="X41" s="2">
        <v>1</v>
      </c>
      <c r="Y41" s="2">
        <v>1</v>
      </c>
      <c r="Z41" s="2">
        <v>2</v>
      </c>
      <c r="AA41" s="1">
        <v>118</v>
      </c>
      <c r="AB41" s="2" t="s">
        <v>148</v>
      </c>
      <c r="AC41" s="1" t="str">
        <f t="shared" si="1"/>
        <v>山峰养蜂场</v>
      </c>
      <c r="AD41" s="1" t="s">
        <v>415</v>
      </c>
      <c r="AE41" s="1" t="s">
        <v>439</v>
      </c>
      <c r="AF41" s="22" t="s">
        <v>486</v>
      </c>
      <c r="AG41" s="1"/>
      <c r="AH41" s="1"/>
      <c r="AI41" s="1"/>
      <c r="AJ41" s="1"/>
      <c r="AK41" s="1"/>
    </row>
    <row r="42" spans="1:37" x14ac:dyDescent="0.3">
      <c r="A42" s="1">
        <v>1040</v>
      </c>
      <c r="B42" s="7" t="s">
        <v>158</v>
      </c>
      <c r="C42" s="2">
        <v>77</v>
      </c>
      <c r="D42" s="2">
        <v>0</v>
      </c>
      <c r="E42" s="1"/>
      <c r="F42" s="1">
        <f t="shared" si="3"/>
        <v>814006</v>
      </c>
      <c r="G42" s="2" t="s">
        <v>6</v>
      </c>
      <c r="H42" s="2">
        <v>4</v>
      </c>
      <c r="I42" s="2"/>
      <c r="J42" s="2"/>
      <c r="K42" s="2"/>
      <c r="L42" s="2"/>
      <c r="M42" s="2">
        <v>0</v>
      </c>
      <c r="N42" s="2">
        <v>1</v>
      </c>
      <c r="O42" s="2">
        <v>1</v>
      </c>
      <c r="P42" s="2">
        <v>1</v>
      </c>
      <c r="Q42" s="2">
        <v>1</v>
      </c>
      <c r="R42" s="2">
        <v>1</v>
      </c>
      <c r="S42" s="2">
        <v>1</v>
      </c>
      <c r="T42" s="2">
        <v>1</v>
      </c>
      <c r="U42" s="2">
        <v>1</v>
      </c>
      <c r="V42" s="2">
        <v>1</v>
      </c>
      <c r="W42" s="1">
        <v>1</v>
      </c>
      <c r="X42" s="1">
        <v>1</v>
      </c>
      <c r="Y42" s="2">
        <v>1</v>
      </c>
      <c r="Z42" s="2">
        <v>1</v>
      </c>
      <c r="AA42" s="1"/>
      <c r="AB42" s="1"/>
      <c r="AC42" s="1" t="str">
        <f t="shared" si="1"/>
        <v>迷雾巢穴</v>
      </c>
      <c r="AD42" s="1" t="s">
        <v>337</v>
      </c>
      <c r="AE42" s="1" t="s">
        <v>290</v>
      </c>
      <c r="AF42" s="22" t="s">
        <v>356</v>
      </c>
      <c r="AG42" s="1"/>
      <c r="AH42" s="1"/>
      <c r="AI42" s="1"/>
      <c r="AJ42" s="1"/>
      <c r="AK42" s="1"/>
    </row>
    <row r="43" spans="1:37" x14ac:dyDescent="0.3">
      <c r="A43" s="1">
        <v>1041</v>
      </c>
      <c r="B43" s="6" t="s">
        <v>128</v>
      </c>
      <c r="C43" s="2">
        <v>0</v>
      </c>
      <c r="D43" s="2">
        <v>1</v>
      </c>
      <c r="E43" s="1"/>
      <c r="F43" s="1">
        <f t="shared" si="3"/>
        <v>814006</v>
      </c>
      <c r="G43" s="2" t="s">
        <v>6</v>
      </c>
      <c r="H43" s="2">
        <v>1</v>
      </c>
      <c r="I43" s="2"/>
      <c r="J43" s="2"/>
      <c r="K43" s="2"/>
      <c r="L43" s="2"/>
      <c r="M43" s="2">
        <v>0</v>
      </c>
      <c r="N43" s="2">
        <v>1</v>
      </c>
      <c r="O43" s="2">
        <v>1</v>
      </c>
      <c r="P43" s="2">
        <v>1</v>
      </c>
      <c r="Q43" s="2">
        <v>1</v>
      </c>
      <c r="R43" s="2">
        <v>1</v>
      </c>
      <c r="S43" s="2">
        <v>1</v>
      </c>
      <c r="T43" s="2">
        <v>1</v>
      </c>
      <c r="U43" s="2">
        <v>1</v>
      </c>
      <c r="V43" s="2">
        <v>1</v>
      </c>
      <c r="W43" s="2">
        <v>1</v>
      </c>
      <c r="X43" s="2">
        <v>1</v>
      </c>
      <c r="Y43" s="2">
        <v>1</v>
      </c>
      <c r="Z43" s="2">
        <v>1</v>
      </c>
      <c r="AA43" s="1"/>
      <c r="AB43" s="1"/>
      <c r="AC43" s="1" t="str">
        <f t="shared" si="1"/>
        <v>山峰要塞</v>
      </c>
      <c r="AD43" s="1" t="s">
        <v>416</v>
      </c>
      <c r="AE43" s="1" t="s">
        <v>291</v>
      </c>
      <c r="AF43" s="22" t="s">
        <v>487</v>
      </c>
      <c r="AG43" s="1"/>
      <c r="AH43" s="1"/>
      <c r="AI43" s="1"/>
      <c r="AJ43" s="1"/>
      <c r="AK43" s="1"/>
    </row>
    <row r="44" spans="1:37" x14ac:dyDescent="0.3">
      <c r="A44" s="1">
        <v>1042</v>
      </c>
      <c r="B44" s="6" t="s">
        <v>132</v>
      </c>
      <c r="C44" s="2">
        <v>0</v>
      </c>
      <c r="D44" s="2">
        <v>0</v>
      </c>
      <c r="E44" s="1"/>
      <c r="F44" s="1">
        <f t="shared" si="3"/>
        <v>814006</v>
      </c>
      <c r="G44" s="2" t="s">
        <v>6</v>
      </c>
      <c r="H44" s="2">
        <v>2</v>
      </c>
      <c r="I44" s="2"/>
      <c r="J44" s="2"/>
      <c r="K44" s="2"/>
      <c r="L44" s="2"/>
      <c r="M44" s="2">
        <v>0</v>
      </c>
      <c r="N44" s="2">
        <v>1</v>
      </c>
      <c r="O44" s="2">
        <v>1</v>
      </c>
      <c r="P44" s="2">
        <v>1</v>
      </c>
      <c r="Q44" s="2">
        <v>1</v>
      </c>
      <c r="R44" s="2">
        <v>1</v>
      </c>
      <c r="S44" s="2">
        <v>1</v>
      </c>
      <c r="T44" s="2">
        <v>1</v>
      </c>
      <c r="U44" s="2">
        <v>1</v>
      </c>
      <c r="V44" s="2">
        <v>1</v>
      </c>
      <c r="W44" s="1">
        <v>1</v>
      </c>
      <c r="X44" s="1">
        <v>1</v>
      </c>
      <c r="Y44" s="2">
        <v>1</v>
      </c>
      <c r="Z44" s="2">
        <v>1</v>
      </c>
      <c r="AA44" s="1"/>
      <c r="AB44" s="1"/>
      <c r="AC44" s="1" t="str">
        <f t="shared" si="1"/>
        <v>山峰秘境</v>
      </c>
      <c r="AD44" s="1" t="s">
        <v>417</v>
      </c>
      <c r="AE44" s="1" t="s">
        <v>292</v>
      </c>
      <c r="AF44" s="22" t="s">
        <v>488</v>
      </c>
      <c r="AG44" s="1"/>
      <c r="AH44" s="1"/>
      <c r="AI44" s="1"/>
      <c r="AJ44" s="1"/>
      <c r="AK44" s="1"/>
    </row>
    <row r="45" spans="1:37" x14ac:dyDescent="0.3">
      <c r="A45" s="1">
        <v>1043</v>
      </c>
      <c r="B45" s="8" t="s">
        <v>392</v>
      </c>
      <c r="C45" s="2">
        <v>0</v>
      </c>
      <c r="D45" s="2">
        <v>1</v>
      </c>
      <c r="E45" s="1">
        <v>103</v>
      </c>
      <c r="F45" s="1">
        <f>F38+1</f>
        <v>814007</v>
      </c>
      <c r="G45" s="2" t="s">
        <v>145</v>
      </c>
      <c r="H45" s="2">
        <v>0</v>
      </c>
      <c r="I45" s="2"/>
      <c r="J45" s="2"/>
      <c r="K45" s="2">
        <v>100</v>
      </c>
      <c r="L45" s="2">
        <v>500</v>
      </c>
      <c r="M45" s="2">
        <v>0</v>
      </c>
      <c r="N45" s="2">
        <v>1</v>
      </c>
      <c r="O45" s="2">
        <v>1</v>
      </c>
      <c r="P45" s="2">
        <v>1</v>
      </c>
      <c r="Q45" s="2">
        <v>1</v>
      </c>
      <c r="R45" s="2">
        <v>1</v>
      </c>
      <c r="S45" s="2">
        <v>1</v>
      </c>
      <c r="T45" s="2">
        <v>1</v>
      </c>
      <c r="U45" s="2">
        <v>1</v>
      </c>
      <c r="V45" s="2">
        <v>1</v>
      </c>
      <c r="W45" s="2">
        <v>2.5</v>
      </c>
      <c r="X45" s="1">
        <v>1</v>
      </c>
      <c r="Y45" s="2">
        <v>1</v>
      </c>
      <c r="Z45" s="2">
        <v>1</v>
      </c>
      <c r="AA45" s="1">
        <v>103</v>
      </c>
      <c r="AB45" s="2" t="s">
        <v>70</v>
      </c>
      <c r="AC45" s="1" t="str">
        <f t="shared" si="1"/>
        <v>滨海蔬菜园</v>
      </c>
      <c r="AD45" s="1" t="s">
        <v>418</v>
      </c>
      <c r="AE45" s="1" t="s">
        <v>440</v>
      </c>
      <c r="AF45" s="22" t="s">
        <v>489</v>
      </c>
      <c r="AG45" s="1"/>
      <c r="AH45" s="1"/>
      <c r="AI45" s="1"/>
      <c r="AJ45" s="1"/>
      <c r="AK45" s="1"/>
    </row>
    <row r="46" spans="1:37" x14ac:dyDescent="0.3">
      <c r="A46" s="1">
        <v>1044</v>
      </c>
      <c r="B46" s="8" t="s">
        <v>390</v>
      </c>
      <c r="C46" s="2">
        <v>0</v>
      </c>
      <c r="D46" s="2">
        <v>1</v>
      </c>
      <c r="E46" s="1">
        <v>104</v>
      </c>
      <c r="F46" s="1">
        <f t="shared" ref="F46:F49" si="4">F39+1</f>
        <v>814007</v>
      </c>
      <c r="G46" s="2" t="s">
        <v>145</v>
      </c>
      <c r="H46" s="2">
        <v>0</v>
      </c>
      <c r="I46" s="2"/>
      <c r="J46" s="2"/>
      <c r="K46" s="2">
        <v>100</v>
      </c>
      <c r="L46" s="2">
        <v>500</v>
      </c>
      <c r="M46" s="2">
        <v>0</v>
      </c>
      <c r="N46" s="2">
        <v>1</v>
      </c>
      <c r="O46" s="2">
        <v>1</v>
      </c>
      <c r="P46" s="2">
        <v>1</v>
      </c>
      <c r="Q46" s="2">
        <v>1</v>
      </c>
      <c r="R46" s="2">
        <v>1</v>
      </c>
      <c r="S46" s="2">
        <v>1</v>
      </c>
      <c r="T46" s="2">
        <v>1</v>
      </c>
      <c r="U46" s="2">
        <v>1</v>
      </c>
      <c r="V46" s="2">
        <v>1</v>
      </c>
      <c r="W46" s="2">
        <v>2.5</v>
      </c>
      <c r="X46" s="1">
        <v>1</v>
      </c>
      <c r="Y46" s="2">
        <v>1</v>
      </c>
      <c r="Z46" s="2">
        <v>1</v>
      </c>
      <c r="AA46" s="1">
        <v>104</v>
      </c>
      <c r="AB46" s="2" t="s">
        <v>74</v>
      </c>
      <c r="AC46" s="1" t="str">
        <f t="shared" si="1"/>
        <v>滨海粮仓</v>
      </c>
      <c r="AD46" s="1" t="s">
        <v>419</v>
      </c>
      <c r="AE46" s="1" t="s">
        <v>441</v>
      </c>
      <c r="AF46" s="22" t="s">
        <v>490</v>
      </c>
      <c r="AG46" s="1"/>
      <c r="AH46" s="1"/>
      <c r="AI46" s="1"/>
      <c r="AJ46" s="1"/>
      <c r="AK46" s="1"/>
    </row>
    <row r="47" spans="1:37" x14ac:dyDescent="0.3">
      <c r="A47" s="1">
        <v>1045</v>
      </c>
      <c r="B47" s="7" t="s">
        <v>168</v>
      </c>
      <c r="C47" s="2">
        <v>78</v>
      </c>
      <c r="D47" s="2">
        <v>0</v>
      </c>
      <c r="E47" s="1"/>
      <c r="F47" s="1">
        <f t="shared" si="4"/>
        <v>814007</v>
      </c>
      <c r="G47" s="2" t="s">
        <v>145</v>
      </c>
      <c r="H47" s="2">
        <v>3</v>
      </c>
      <c r="I47" s="2"/>
      <c r="J47" s="2"/>
      <c r="K47" s="2"/>
      <c r="L47" s="2"/>
      <c r="M47" s="2">
        <v>0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  <c r="T47" s="2">
        <v>1</v>
      </c>
      <c r="U47" s="2">
        <v>1</v>
      </c>
      <c r="V47" s="2">
        <v>1</v>
      </c>
      <c r="W47" s="1">
        <v>1</v>
      </c>
      <c r="X47" s="1">
        <v>1</v>
      </c>
      <c r="Y47" s="2">
        <v>1</v>
      </c>
      <c r="Z47" s="2">
        <v>1</v>
      </c>
      <c r="AA47" s="1"/>
      <c r="AB47" s="1"/>
      <c r="AC47" s="1" t="str">
        <f t="shared" si="1"/>
        <v>滨海战场</v>
      </c>
      <c r="AD47" s="1" t="s">
        <v>338</v>
      </c>
      <c r="AE47" s="1" t="s">
        <v>293</v>
      </c>
      <c r="AF47" s="22" t="s">
        <v>491</v>
      </c>
      <c r="AG47" s="1"/>
      <c r="AH47" s="1"/>
      <c r="AI47" s="1"/>
      <c r="AJ47" s="1"/>
      <c r="AK47" s="1"/>
    </row>
    <row r="48" spans="1:37" x14ac:dyDescent="0.3">
      <c r="A48" s="1">
        <v>1046</v>
      </c>
      <c r="B48" s="8" t="s">
        <v>403</v>
      </c>
      <c r="C48" s="2">
        <v>0</v>
      </c>
      <c r="D48" s="2">
        <v>1</v>
      </c>
      <c r="E48" s="1">
        <v>124</v>
      </c>
      <c r="F48" s="1">
        <f t="shared" si="4"/>
        <v>814007</v>
      </c>
      <c r="G48" s="2" t="s">
        <v>145</v>
      </c>
      <c r="H48" s="2">
        <v>0</v>
      </c>
      <c r="I48" s="2"/>
      <c r="J48" s="2"/>
      <c r="K48" s="2">
        <v>100</v>
      </c>
      <c r="L48" s="2">
        <v>500</v>
      </c>
      <c r="M48" s="2">
        <v>0</v>
      </c>
      <c r="N48" s="2">
        <v>1</v>
      </c>
      <c r="O48" s="2">
        <v>1</v>
      </c>
      <c r="P48" s="2">
        <v>1</v>
      </c>
      <c r="Q48" s="2">
        <v>1</v>
      </c>
      <c r="R48" s="2">
        <v>1</v>
      </c>
      <c r="S48" s="2">
        <v>1</v>
      </c>
      <c r="T48" s="2">
        <v>1</v>
      </c>
      <c r="U48" s="2">
        <v>1</v>
      </c>
      <c r="V48" s="2">
        <v>2</v>
      </c>
      <c r="W48" s="2">
        <v>1</v>
      </c>
      <c r="X48" s="1">
        <v>1</v>
      </c>
      <c r="Y48" s="2">
        <v>1</v>
      </c>
      <c r="Z48" s="2">
        <v>1</v>
      </c>
      <c r="AA48" s="1">
        <v>124</v>
      </c>
      <c r="AB48" s="2" t="s">
        <v>147</v>
      </c>
      <c r="AC48" s="1" t="str">
        <f t="shared" si="1"/>
        <v>滨海捕蟹场</v>
      </c>
      <c r="AD48" s="1" t="s">
        <v>420</v>
      </c>
      <c r="AE48" s="1" t="s">
        <v>442</v>
      </c>
      <c r="AF48" s="22" t="s">
        <v>492</v>
      </c>
      <c r="AG48" s="1"/>
      <c r="AH48" s="1"/>
      <c r="AI48" s="1"/>
      <c r="AJ48" s="1"/>
      <c r="AK48" s="1"/>
    </row>
    <row r="49" spans="1:37" x14ac:dyDescent="0.3">
      <c r="A49" s="1">
        <v>1047</v>
      </c>
      <c r="B49" s="8" t="s">
        <v>401</v>
      </c>
      <c r="C49" s="2">
        <v>0</v>
      </c>
      <c r="D49" s="2">
        <v>0</v>
      </c>
      <c r="E49" s="1">
        <v>123</v>
      </c>
      <c r="F49" s="1">
        <f t="shared" si="4"/>
        <v>814007</v>
      </c>
      <c r="G49" s="2" t="s">
        <v>145</v>
      </c>
      <c r="H49" s="2">
        <v>0</v>
      </c>
      <c r="I49" s="2"/>
      <c r="J49" s="2"/>
      <c r="K49" s="2">
        <v>100</v>
      </c>
      <c r="L49" s="2">
        <v>500</v>
      </c>
      <c r="M49" s="2">
        <v>0</v>
      </c>
      <c r="N49" s="2">
        <v>1</v>
      </c>
      <c r="O49" s="2">
        <v>1</v>
      </c>
      <c r="P49" s="2">
        <v>1</v>
      </c>
      <c r="Q49" s="2">
        <v>1</v>
      </c>
      <c r="R49" s="2">
        <v>1</v>
      </c>
      <c r="S49" s="2">
        <v>1</v>
      </c>
      <c r="T49" s="2">
        <v>1</v>
      </c>
      <c r="U49" s="2">
        <v>2</v>
      </c>
      <c r="V49" s="2">
        <v>1</v>
      </c>
      <c r="W49" s="2">
        <v>1</v>
      </c>
      <c r="X49" s="1">
        <v>1</v>
      </c>
      <c r="Y49" s="2">
        <v>1</v>
      </c>
      <c r="Z49" s="2">
        <v>1</v>
      </c>
      <c r="AA49" s="1">
        <v>123</v>
      </c>
      <c r="AB49" s="2" t="s">
        <v>146</v>
      </c>
      <c r="AC49" s="1" t="str">
        <f t="shared" si="1"/>
        <v>滨海渔场</v>
      </c>
      <c r="AD49" s="1" t="s">
        <v>421</v>
      </c>
      <c r="AE49" s="1" t="s">
        <v>443</v>
      </c>
      <c r="AF49" s="22" t="s">
        <v>493</v>
      </c>
      <c r="AG49" s="1"/>
      <c r="AH49" s="1"/>
      <c r="AI49" s="1"/>
      <c r="AJ49" s="1"/>
      <c r="AK49" s="1"/>
    </row>
    <row r="50" spans="1:37" x14ac:dyDescent="0.3">
      <c r="A50" s="1">
        <v>1048</v>
      </c>
      <c r="B50" s="6" t="s">
        <v>129</v>
      </c>
      <c r="C50" s="2">
        <v>0</v>
      </c>
      <c r="D50" s="2">
        <v>1</v>
      </c>
      <c r="E50" s="1"/>
      <c r="F50" s="1">
        <f>F43+1</f>
        <v>814007</v>
      </c>
      <c r="G50" s="2" t="s">
        <v>145</v>
      </c>
      <c r="H50" s="2">
        <v>1</v>
      </c>
      <c r="I50" s="2"/>
      <c r="J50" s="2"/>
      <c r="K50" s="2"/>
      <c r="L50" s="2"/>
      <c r="M50" s="2">
        <v>0</v>
      </c>
      <c r="N50" s="2">
        <v>1</v>
      </c>
      <c r="O50" s="2">
        <v>1</v>
      </c>
      <c r="P50" s="2">
        <v>1</v>
      </c>
      <c r="Q50" s="2">
        <v>1</v>
      </c>
      <c r="R50" s="2">
        <v>1</v>
      </c>
      <c r="S50" s="2">
        <v>1</v>
      </c>
      <c r="T50" s="2">
        <v>1</v>
      </c>
      <c r="U50" s="2">
        <v>1</v>
      </c>
      <c r="V50" s="2">
        <v>1</v>
      </c>
      <c r="W50" s="2">
        <v>1</v>
      </c>
      <c r="X50" s="1">
        <v>1</v>
      </c>
      <c r="Y50" s="2">
        <v>1</v>
      </c>
      <c r="Z50" s="2">
        <v>1</v>
      </c>
      <c r="AA50" s="1"/>
      <c r="AB50" s="1"/>
      <c r="AC50" s="1" t="str">
        <f t="shared" si="1"/>
        <v>迷雾要塞</v>
      </c>
      <c r="AD50" s="1" t="s">
        <v>339</v>
      </c>
      <c r="AE50" s="1" t="s">
        <v>294</v>
      </c>
      <c r="AF50" s="22" t="s">
        <v>357</v>
      </c>
      <c r="AG50" s="1"/>
      <c r="AH50" s="1"/>
      <c r="AI50" s="1"/>
      <c r="AJ50" s="1"/>
      <c r="AK50" s="1"/>
    </row>
    <row r="51" spans="1:37" x14ac:dyDescent="0.3">
      <c r="A51" s="1">
        <v>1049</v>
      </c>
      <c r="B51" s="6" t="s">
        <v>133</v>
      </c>
      <c r="C51" s="2">
        <v>0</v>
      </c>
      <c r="D51" s="2">
        <v>0</v>
      </c>
      <c r="E51" s="1"/>
      <c r="F51" s="1">
        <f>F44+1</f>
        <v>814007</v>
      </c>
      <c r="G51" s="2" t="s">
        <v>145</v>
      </c>
      <c r="H51" s="2">
        <v>2</v>
      </c>
      <c r="I51" s="2"/>
      <c r="J51" s="2"/>
      <c r="K51" s="2"/>
      <c r="L51" s="2"/>
      <c r="M51" s="2">
        <v>0</v>
      </c>
      <c r="N51" s="2">
        <v>1</v>
      </c>
      <c r="O51" s="2">
        <v>1</v>
      </c>
      <c r="P51" s="2">
        <v>1</v>
      </c>
      <c r="Q51" s="2">
        <v>1</v>
      </c>
      <c r="R51" s="2">
        <v>1</v>
      </c>
      <c r="S51" s="2">
        <v>1</v>
      </c>
      <c r="T51" s="2">
        <v>1</v>
      </c>
      <c r="U51" s="2">
        <v>1</v>
      </c>
      <c r="V51" s="1">
        <v>1</v>
      </c>
      <c r="W51" s="1">
        <v>1</v>
      </c>
      <c r="X51" s="1">
        <v>1</v>
      </c>
      <c r="Y51" s="2">
        <v>1</v>
      </c>
      <c r="Z51" s="2">
        <v>1</v>
      </c>
      <c r="AA51" s="1"/>
      <c r="AB51" s="1"/>
      <c r="AC51" s="1" t="str">
        <f t="shared" si="1"/>
        <v>迷雾秘境</v>
      </c>
      <c r="AD51" s="1" t="s">
        <v>340</v>
      </c>
      <c r="AE51" s="1" t="s">
        <v>295</v>
      </c>
      <c r="AF51" s="22" t="s">
        <v>494</v>
      </c>
      <c r="AG51" s="1"/>
      <c r="AH51" s="1"/>
      <c r="AI51" s="1"/>
      <c r="AJ51" s="1"/>
      <c r="AK51" s="1"/>
    </row>
    <row r="52" spans="1:37" x14ac:dyDescent="0.3">
      <c r="A52" s="1">
        <v>1050</v>
      </c>
      <c r="B52" s="8" t="s">
        <v>402</v>
      </c>
      <c r="C52" s="2">
        <v>0</v>
      </c>
      <c r="D52" s="2">
        <v>1</v>
      </c>
      <c r="E52" s="1">
        <v>123</v>
      </c>
      <c r="F52" s="1">
        <f>F45+1</f>
        <v>814008</v>
      </c>
      <c r="G52" s="2" t="s">
        <v>5</v>
      </c>
      <c r="H52" s="2">
        <v>0</v>
      </c>
      <c r="I52" s="2"/>
      <c r="J52" s="2"/>
      <c r="K52" s="2">
        <v>100</v>
      </c>
      <c r="L52" s="2">
        <v>500</v>
      </c>
      <c r="M52" s="2">
        <v>0</v>
      </c>
      <c r="N52" s="2">
        <v>1</v>
      </c>
      <c r="O52" s="2">
        <v>1</v>
      </c>
      <c r="P52" s="2">
        <v>1</v>
      </c>
      <c r="Q52" s="2">
        <v>1</v>
      </c>
      <c r="R52" s="2">
        <v>1</v>
      </c>
      <c r="S52" s="2">
        <v>1</v>
      </c>
      <c r="T52" s="2">
        <v>1</v>
      </c>
      <c r="U52" s="2">
        <v>2</v>
      </c>
      <c r="V52" s="2">
        <v>1</v>
      </c>
      <c r="W52" s="2">
        <v>1</v>
      </c>
      <c r="X52" s="1">
        <v>1</v>
      </c>
      <c r="Y52" s="2">
        <v>1</v>
      </c>
      <c r="Z52" s="2">
        <v>1</v>
      </c>
      <c r="AA52" s="1">
        <v>123</v>
      </c>
      <c r="AB52" s="2" t="s">
        <v>146</v>
      </c>
      <c r="AC52" s="1" t="str">
        <f t="shared" si="1"/>
        <v>海角渔场</v>
      </c>
      <c r="AD52" s="1" t="s">
        <v>422</v>
      </c>
      <c r="AE52" s="1" t="s">
        <v>444</v>
      </c>
      <c r="AF52" s="22" t="s">
        <v>495</v>
      </c>
      <c r="AG52" s="1"/>
      <c r="AH52" s="1"/>
      <c r="AI52" s="1"/>
      <c r="AJ52" s="1"/>
      <c r="AK52" s="1"/>
    </row>
    <row r="53" spans="1:37" x14ac:dyDescent="0.3">
      <c r="A53" s="1">
        <v>1051</v>
      </c>
      <c r="B53" s="7" t="s">
        <v>155</v>
      </c>
      <c r="C53" s="2">
        <v>0</v>
      </c>
      <c r="D53" s="2">
        <v>1</v>
      </c>
      <c r="E53" s="1"/>
      <c r="F53" s="1">
        <f t="shared" ref="F53:F57" si="5">F46+1</f>
        <v>814008</v>
      </c>
      <c r="G53" s="2" t="s">
        <v>5</v>
      </c>
      <c r="H53" s="2">
        <v>3</v>
      </c>
      <c r="I53" s="2"/>
      <c r="J53" s="2"/>
      <c r="K53" s="2"/>
      <c r="L53" s="2"/>
      <c r="M53" s="2">
        <v>0</v>
      </c>
      <c r="N53" s="2">
        <v>1</v>
      </c>
      <c r="O53" s="2">
        <v>1</v>
      </c>
      <c r="P53" s="2">
        <v>1</v>
      </c>
      <c r="Q53" s="2">
        <v>1</v>
      </c>
      <c r="R53" s="2">
        <v>1</v>
      </c>
      <c r="S53" s="2">
        <v>1</v>
      </c>
      <c r="T53" s="2">
        <v>1</v>
      </c>
      <c r="U53" s="2">
        <v>1</v>
      </c>
      <c r="V53" s="2">
        <v>1</v>
      </c>
      <c r="W53" s="2">
        <v>1</v>
      </c>
      <c r="X53" s="1">
        <v>1</v>
      </c>
      <c r="Y53" s="2">
        <v>1</v>
      </c>
      <c r="Z53" s="2">
        <v>1</v>
      </c>
      <c r="AA53" s="1"/>
      <c r="AB53" s="1"/>
      <c r="AC53" s="1" t="str">
        <f t="shared" si="1"/>
        <v>恶魔战场</v>
      </c>
      <c r="AD53" s="1" t="s">
        <v>341</v>
      </c>
      <c r="AE53" s="1" t="s">
        <v>296</v>
      </c>
      <c r="AF53" s="22" t="s">
        <v>496</v>
      </c>
      <c r="AG53" s="1"/>
      <c r="AH53" s="1"/>
      <c r="AI53" s="1"/>
      <c r="AJ53" s="1"/>
      <c r="AK53" s="1"/>
    </row>
    <row r="54" spans="1:37" x14ac:dyDescent="0.3">
      <c r="A54" s="1">
        <v>1052</v>
      </c>
      <c r="B54" s="8" t="s">
        <v>404</v>
      </c>
      <c r="C54" s="2">
        <v>0</v>
      </c>
      <c r="D54" s="2">
        <v>0</v>
      </c>
      <c r="E54" s="1">
        <v>124</v>
      </c>
      <c r="F54" s="1">
        <f t="shared" si="5"/>
        <v>814008</v>
      </c>
      <c r="G54" s="2" t="s">
        <v>5</v>
      </c>
      <c r="H54" s="2">
        <v>0</v>
      </c>
      <c r="I54" s="2"/>
      <c r="J54" s="2"/>
      <c r="K54" s="2">
        <v>100</v>
      </c>
      <c r="L54" s="2">
        <v>500</v>
      </c>
      <c r="M54" s="2">
        <v>0</v>
      </c>
      <c r="N54" s="2">
        <v>1</v>
      </c>
      <c r="O54" s="2">
        <v>1</v>
      </c>
      <c r="P54" s="2">
        <v>1</v>
      </c>
      <c r="Q54" s="2">
        <v>1</v>
      </c>
      <c r="R54" s="2">
        <v>1</v>
      </c>
      <c r="S54" s="2">
        <v>1</v>
      </c>
      <c r="T54" s="2">
        <v>1</v>
      </c>
      <c r="U54" s="2">
        <v>1</v>
      </c>
      <c r="V54" s="2">
        <v>2</v>
      </c>
      <c r="W54" s="2">
        <v>1</v>
      </c>
      <c r="X54" s="1">
        <v>1</v>
      </c>
      <c r="Y54" s="2">
        <v>1</v>
      </c>
      <c r="Z54" s="2">
        <v>1</v>
      </c>
      <c r="AA54" s="1">
        <v>124</v>
      </c>
      <c r="AB54" s="2" t="s">
        <v>147</v>
      </c>
      <c r="AC54" s="1" t="str">
        <f t="shared" si="1"/>
        <v>海角捕蟹场</v>
      </c>
      <c r="AD54" s="1" t="s">
        <v>423</v>
      </c>
      <c r="AE54" s="1" t="s">
        <v>445</v>
      </c>
      <c r="AF54" s="22" t="s">
        <v>497</v>
      </c>
      <c r="AG54" s="1"/>
      <c r="AH54" s="1"/>
      <c r="AI54" s="1"/>
      <c r="AJ54" s="1"/>
      <c r="AK54" s="1"/>
    </row>
    <row r="55" spans="1:37" x14ac:dyDescent="0.3">
      <c r="A55" s="1">
        <v>1053</v>
      </c>
      <c r="B55" s="7" t="s">
        <v>162</v>
      </c>
      <c r="C55" s="2">
        <v>79</v>
      </c>
      <c r="D55" s="2">
        <v>0</v>
      </c>
      <c r="E55" s="1"/>
      <c r="F55" s="1">
        <f t="shared" si="5"/>
        <v>814008</v>
      </c>
      <c r="G55" s="2" t="s">
        <v>5</v>
      </c>
      <c r="H55" s="2">
        <v>4</v>
      </c>
      <c r="I55" s="2"/>
      <c r="J55" s="2"/>
      <c r="K55" s="2"/>
      <c r="L55" s="2"/>
      <c r="M55" s="2">
        <v>0</v>
      </c>
      <c r="N55" s="2">
        <v>1</v>
      </c>
      <c r="O55" s="2">
        <v>1</v>
      </c>
      <c r="P55" s="2">
        <v>1</v>
      </c>
      <c r="Q55" s="2">
        <v>1</v>
      </c>
      <c r="R55" s="2">
        <v>1</v>
      </c>
      <c r="S55" s="2">
        <v>1</v>
      </c>
      <c r="T55" s="2">
        <v>1</v>
      </c>
      <c r="U55" s="2">
        <v>1</v>
      </c>
      <c r="V55" s="2">
        <v>1</v>
      </c>
      <c r="W55" s="2">
        <v>1</v>
      </c>
      <c r="X55" s="1">
        <v>1</v>
      </c>
      <c r="Y55" s="2">
        <v>1</v>
      </c>
      <c r="Z55" s="2">
        <v>1</v>
      </c>
      <c r="AA55" s="1"/>
      <c r="AB55" s="1"/>
      <c r="AC55" s="1" t="str">
        <f t="shared" si="1"/>
        <v>恶魔巢穴</v>
      </c>
      <c r="AD55" s="1" t="s">
        <v>342</v>
      </c>
      <c r="AE55" s="1" t="s">
        <v>297</v>
      </c>
      <c r="AF55" s="22" t="s">
        <v>498</v>
      </c>
      <c r="AG55" s="1"/>
      <c r="AH55" s="1"/>
      <c r="AI55" s="1"/>
      <c r="AJ55" s="1"/>
      <c r="AK55" s="1"/>
    </row>
    <row r="56" spans="1:37" x14ac:dyDescent="0.3">
      <c r="A56" s="1">
        <v>1054</v>
      </c>
      <c r="B56" s="8" t="s">
        <v>106</v>
      </c>
      <c r="C56" s="2">
        <v>0</v>
      </c>
      <c r="D56" s="2">
        <v>0</v>
      </c>
      <c r="E56" s="1">
        <v>114</v>
      </c>
      <c r="F56" s="1">
        <f t="shared" si="5"/>
        <v>814008</v>
      </c>
      <c r="G56" s="2" t="s">
        <v>5</v>
      </c>
      <c r="H56" s="2">
        <v>0</v>
      </c>
      <c r="I56" s="2"/>
      <c r="J56" s="2"/>
      <c r="K56" s="2">
        <v>100</v>
      </c>
      <c r="L56" s="2">
        <v>500</v>
      </c>
      <c r="M56" s="2">
        <v>0</v>
      </c>
      <c r="N56" s="2">
        <v>1</v>
      </c>
      <c r="O56" s="2">
        <v>1</v>
      </c>
      <c r="P56" s="2">
        <v>1</v>
      </c>
      <c r="Q56" s="2">
        <v>1</v>
      </c>
      <c r="R56" s="2">
        <v>1</v>
      </c>
      <c r="S56" s="2">
        <v>1</v>
      </c>
      <c r="T56" s="2">
        <v>1</v>
      </c>
      <c r="U56" s="2">
        <v>1</v>
      </c>
      <c r="V56" s="2">
        <v>1</v>
      </c>
      <c r="W56" s="2">
        <v>1</v>
      </c>
      <c r="X56" s="2">
        <v>2</v>
      </c>
      <c r="Y56" s="2">
        <v>1</v>
      </c>
      <c r="Z56" s="2">
        <v>1</v>
      </c>
      <c r="AA56" s="1">
        <v>114</v>
      </c>
      <c r="AB56" s="2" t="s">
        <v>106</v>
      </c>
      <c r="AC56" s="1" t="str">
        <f t="shared" si="1"/>
        <v>帝国宝石工坊</v>
      </c>
      <c r="AD56" s="1" t="s">
        <v>424</v>
      </c>
      <c r="AE56" s="1" t="s">
        <v>298</v>
      </c>
      <c r="AF56" s="22" t="s">
        <v>499</v>
      </c>
      <c r="AG56" s="1"/>
      <c r="AH56" s="1"/>
      <c r="AI56" s="1"/>
      <c r="AJ56" s="1"/>
      <c r="AK56" s="1"/>
    </row>
    <row r="57" spans="1:37" x14ac:dyDescent="0.3">
      <c r="A57" s="1">
        <v>1055</v>
      </c>
      <c r="B57" s="6" t="s">
        <v>135</v>
      </c>
      <c r="C57" s="2">
        <v>0</v>
      </c>
      <c r="D57" s="2">
        <v>1</v>
      </c>
      <c r="E57" s="1"/>
      <c r="F57" s="1">
        <f t="shared" si="5"/>
        <v>814008</v>
      </c>
      <c r="G57" s="2" t="s">
        <v>5</v>
      </c>
      <c r="H57" s="2">
        <v>1</v>
      </c>
      <c r="I57" s="2"/>
      <c r="J57" s="2"/>
      <c r="K57" s="2"/>
      <c r="L57" s="2"/>
      <c r="M57" s="2">
        <v>0</v>
      </c>
      <c r="N57" s="2">
        <v>1</v>
      </c>
      <c r="O57" s="2">
        <v>1</v>
      </c>
      <c r="P57" s="2">
        <v>1</v>
      </c>
      <c r="Q57" s="2">
        <v>1</v>
      </c>
      <c r="R57" s="2">
        <v>1</v>
      </c>
      <c r="S57" s="2">
        <v>1</v>
      </c>
      <c r="T57" s="2">
        <v>1</v>
      </c>
      <c r="U57" s="2">
        <v>1</v>
      </c>
      <c r="V57" s="2">
        <v>1</v>
      </c>
      <c r="W57" s="2">
        <v>1</v>
      </c>
      <c r="X57" s="1">
        <v>1</v>
      </c>
      <c r="Y57" s="2">
        <v>1</v>
      </c>
      <c r="Z57" s="2">
        <v>1</v>
      </c>
      <c r="AA57" s="1"/>
      <c r="AB57" s="1"/>
      <c r="AC57" s="1" t="str">
        <f t="shared" si="1"/>
        <v>恶魔要塞</v>
      </c>
      <c r="AD57" s="1" t="s">
        <v>343</v>
      </c>
      <c r="AE57" s="1" t="s">
        <v>299</v>
      </c>
      <c r="AF57" s="22" t="s">
        <v>500</v>
      </c>
      <c r="AG57" s="1"/>
      <c r="AH57" s="1"/>
      <c r="AI57" s="1"/>
      <c r="AJ57" s="1"/>
      <c r="AK57" s="1"/>
    </row>
    <row r="58" spans="1:37" x14ac:dyDescent="0.3">
      <c r="A58" s="1">
        <v>1056</v>
      </c>
      <c r="B58" s="6" t="s">
        <v>136</v>
      </c>
      <c r="C58" s="2">
        <v>0</v>
      </c>
      <c r="D58" s="2">
        <v>0</v>
      </c>
      <c r="E58" s="1"/>
      <c r="F58" s="1">
        <f>F51+1</f>
        <v>814008</v>
      </c>
      <c r="G58" s="2" t="s">
        <v>5</v>
      </c>
      <c r="H58" s="2">
        <v>2</v>
      </c>
      <c r="I58" s="2"/>
      <c r="J58" s="2"/>
      <c r="K58" s="2"/>
      <c r="L58" s="2"/>
      <c r="M58" s="2">
        <v>0</v>
      </c>
      <c r="N58" s="2">
        <v>1</v>
      </c>
      <c r="O58" s="2">
        <v>1</v>
      </c>
      <c r="P58" s="2">
        <v>1</v>
      </c>
      <c r="Q58" s="2">
        <v>1</v>
      </c>
      <c r="R58" s="2">
        <v>1</v>
      </c>
      <c r="S58" s="2">
        <v>1</v>
      </c>
      <c r="T58" s="2">
        <v>1</v>
      </c>
      <c r="U58" s="2">
        <v>1</v>
      </c>
      <c r="V58" s="2">
        <v>1</v>
      </c>
      <c r="W58" s="2">
        <v>1</v>
      </c>
      <c r="X58" s="1">
        <v>1</v>
      </c>
      <c r="Y58" s="2">
        <v>1</v>
      </c>
      <c r="Z58" s="2">
        <v>1</v>
      </c>
      <c r="AA58" s="1"/>
      <c r="AB58" s="1"/>
      <c r="AC58" s="1" t="str">
        <f t="shared" si="1"/>
        <v>恶魔秘境</v>
      </c>
      <c r="AD58" s="1" t="s">
        <v>344</v>
      </c>
      <c r="AE58" s="1" t="s">
        <v>300</v>
      </c>
      <c r="AF58" s="22" t="s">
        <v>501</v>
      </c>
      <c r="AG58" s="1"/>
      <c r="AH58" s="1"/>
      <c r="AI58" s="1"/>
      <c r="AJ58" s="1"/>
      <c r="AK58" s="1"/>
    </row>
    <row r="59" spans="1:37" x14ac:dyDescent="0.3">
      <c r="A59" s="1">
        <v>1057</v>
      </c>
      <c r="B59" s="8" t="s">
        <v>115</v>
      </c>
      <c r="C59" s="2">
        <v>0</v>
      </c>
      <c r="D59" s="2">
        <v>0</v>
      </c>
      <c r="E59" s="1">
        <v>127</v>
      </c>
      <c r="F59" s="1">
        <f>F52+1</f>
        <v>814009</v>
      </c>
      <c r="G59" s="2" t="s">
        <v>8</v>
      </c>
      <c r="H59" s="2">
        <v>0</v>
      </c>
      <c r="I59" s="2"/>
      <c r="J59" s="2"/>
      <c r="K59" s="2">
        <v>100</v>
      </c>
      <c r="L59" s="2">
        <v>500</v>
      </c>
      <c r="M59" s="2">
        <v>0</v>
      </c>
      <c r="N59" s="2">
        <v>1</v>
      </c>
      <c r="O59" s="2">
        <v>1</v>
      </c>
      <c r="P59" s="2">
        <v>1</v>
      </c>
      <c r="Q59" s="2">
        <v>1</v>
      </c>
      <c r="R59" s="2">
        <v>1</v>
      </c>
      <c r="S59" s="2">
        <v>1</v>
      </c>
      <c r="T59" s="2">
        <v>1</v>
      </c>
      <c r="U59" s="2">
        <v>1</v>
      </c>
      <c r="V59" s="2">
        <v>1</v>
      </c>
      <c r="W59" s="2">
        <v>1</v>
      </c>
      <c r="X59" s="2">
        <v>2</v>
      </c>
      <c r="Y59" s="2">
        <v>1</v>
      </c>
      <c r="Z59" s="2">
        <v>1</v>
      </c>
      <c r="AA59" s="1">
        <v>127</v>
      </c>
      <c r="AB59" s="2" t="s">
        <v>115</v>
      </c>
      <c r="AC59" s="1" t="str">
        <f t="shared" si="1"/>
        <v>帝国书坊</v>
      </c>
      <c r="AD59" s="1" t="s">
        <v>425</v>
      </c>
      <c r="AE59" s="1" t="s">
        <v>301</v>
      </c>
      <c r="AF59" s="22" t="s">
        <v>358</v>
      </c>
      <c r="AG59" s="1"/>
      <c r="AH59" s="1"/>
      <c r="AI59" s="1"/>
      <c r="AJ59" s="1"/>
      <c r="AK59" s="1"/>
    </row>
    <row r="60" spans="1:37" x14ac:dyDescent="0.3">
      <c r="A60" s="1">
        <v>1058</v>
      </c>
      <c r="B60" s="8" t="s">
        <v>394</v>
      </c>
      <c r="C60" s="2">
        <v>0</v>
      </c>
      <c r="D60" s="2">
        <v>0</v>
      </c>
      <c r="E60" s="1">
        <v>118</v>
      </c>
      <c r="F60" s="1">
        <f t="shared" ref="F60:F65" si="6">F53+1</f>
        <v>814009</v>
      </c>
      <c r="G60" s="2" t="s">
        <v>8</v>
      </c>
      <c r="H60" s="2">
        <v>0</v>
      </c>
      <c r="I60" s="2"/>
      <c r="J60" s="2"/>
      <c r="K60" s="2">
        <v>100</v>
      </c>
      <c r="L60" s="2">
        <v>500</v>
      </c>
      <c r="M60" s="2">
        <v>0</v>
      </c>
      <c r="N60" s="2">
        <v>1</v>
      </c>
      <c r="O60" s="2">
        <v>1</v>
      </c>
      <c r="P60" s="2">
        <v>1</v>
      </c>
      <c r="Q60" s="2">
        <v>1</v>
      </c>
      <c r="R60" s="2">
        <v>1</v>
      </c>
      <c r="S60" s="2">
        <v>1</v>
      </c>
      <c r="T60" s="2">
        <v>1</v>
      </c>
      <c r="U60" s="2">
        <v>1</v>
      </c>
      <c r="V60" s="2">
        <v>1</v>
      </c>
      <c r="W60" s="2">
        <v>1</v>
      </c>
      <c r="X60" s="2">
        <v>1</v>
      </c>
      <c r="Y60" s="2">
        <v>1</v>
      </c>
      <c r="Z60" s="2">
        <v>2</v>
      </c>
      <c r="AA60" s="1">
        <v>118</v>
      </c>
      <c r="AB60" s="2" t="s">
        <v>148</v>
      </c>
      <c r="AC60" s="1" t="str">
        <f t="shared" si="1"/>
        <v>平原养蜂场</v>
      </c>
      <c r="AD60" s="1" t="s">
        <v>426</v>
      </c>
      <c r="AE60" s="1" t="s">
        <v>446</v>
      </c>
      <c r="AF60" s="22" t="s">
        <v>502</v>
      </c>
      <c r="AG60" s="1"/>
      <c r="AH60" s="1"/>
      <c r="AI60" s="1"/>
      <c r="AJ60" s="1"/>
      <c r="AK60" s="1"/>
    </row>
    <row r="61" spans="1:37" x14ac:dyDescent="0.3">
      <c r="A61" s="1">
        <v>1059</v>
      </c>
      <c r="B61" s="7" t="s">
        <v>156</v>
      </c>
      <c r="C61" s="2">
        <v>80</v>
      </c>
      <c r="D61" s="2">
        <v>0</v>
      </c>
      <c r="E61" s="1"/>
      <c r="F61" s="1">
        <f t="shared" si="6"/>
        <v>814009</v>
      </c>
      <c r="G61" s="2" t="s">
        <v>8</v>
      </c>
      <c r="H61" s="2">
        <v>3</v>
      </c>
      <c r="I61" s="2"/>
      <c r="J61" s="2"/>
      <c r="K61" s="2"/>
      <c r="L61" s="2"/>
      <c r="M61" s="2">
        <v>0</v>
      </c>
      <c r="N61" s="2">
        <v>1</v>
      </c>
      <c r="O61" s="2">
        <v>1</v>
      </c>
      <c r="P61" s="2">
        <v>1</v>
      </c>
      <c r="Q61" s="2">
        <v>1</v>
      </c>
      <c r="R61" s="2">
        <v>1</v>
      </c>
      <c r="S61" s="2">
        <v>1</v>
      </c>
      <c r="T61" s="2">
        <v>1</v>
      </c>
      <c r="U61" s="2">
        <v>1</v>
      </c>
      <c r="V61" s="2">
        <v>1</v>
      </c>
      <c r="W61" s="2">
        <v>1</v>
      </c>
      <c r="X61" s="2">
        <v>1</v>
      </c>
      <c r="Y61" s="2">
        <v>1</v>
      </c>
      <c r="Z61" s="2">
        <v>1</v>
      </c>
      <c r="AA61" s="1"/>
      <c r="AB61" s="1"/>
      <c r="AC61" s="1" t="str">
        <f t="shared" si="1"/>
        <v>恶龙战场</v>
      </c>
      <c r="AD61" s="1" t="s">
        <v>345</v>
      </c>
      <c r="AE61" s="1" t="s">
        <v>302</v>
      </c>
      <c r="AF61" s="22" t="s">
        <v>359</v>
      </c>
      <c r="AG61" s="1"/>
      <c r="AH61" s="1"/>
      <c r="AI61" s="1"/>
      <c r="AJ61" s="1"/>
      <c r="AK61" s="1"/>
    </row>
    <row r="62" spans="1:37" x14ac:dyDescent="0.3">
      <c r="A62" s="1">
        <v>1060</v>
      </c>
      <c r="B62" s="8" t="s">
        <v>400</v>
      </c>
      <c r="C62" s="2">
        <v>0</v>
      </c>
      <c r="D62" s="2">
        <v>1</v>
      </c>
      <c r="E62" s="1">
        <v>122</v>
      </c>
      <c r="F62" s="1">
        <f t="shared" si="6"/>
        <v>814009</v>
      </c>
      <c r="G62" s="2" t="s">
        <v>8</v>
      </c>
      <c r="H62" s="2">
        <v>0</v>
      </c>
      <c r="I62" s="2"/>
      <c r="J62" s="2"/>
      <c r="K62" s="2">
        <v>100</v>
      </c>
      <c r="L62" s="2">
        <v>500</v>
      </c>
      <c r="M62" s="2">
        <v>0</v>
      </c>
      <c r="N62" s="2">
        <v>1</v>
      </c>
      <c r="O62" s="2">
        <v>1</v>
      </c>
      <c r="P62" s="2">
        <v>1</v>
      </c>
      <c r="Q62" s="2">
        <v>1</v>
      </c>
      <c r="R62" s="2">
        <v>1</v>
      </c>
      <c r="S62" s="2">
        <v>2</v>
      </c>
      <c r="T62" s="2">
        <v>1</v>
      </c>
      <c r="U62" s="2">
        <v>1</v>
      </c>
      <c r="V62" s="2">
        <v>1</v>
      </c>
      <c r="W62" s="2">
        <v>1</v>
      </c>
      <c r="X62" s="2">
        <v>1</v>
      </c>
      <c r="Y62" s="2">
        <v>1</v>
      </c>
      <c r="Z62" s="2">
        <v>1</v>
      </c>
      <c r="AA62" s="1">
        <v>122</v>
      </c>
      <c r="AB62" s="2" t="s">
        <v>112</v>
      </c>
      <c r="AC62" s="1" t="str">
        <f t="shared" si="1"/>
        <v>平原养猪场</v>
      </c>
      <c r="AD62" s="1" t="s">
        <v>427</v>
      </c>
      <c r="AE62" s="1" t="s">
        <v>447</v>
      </c>
      <c r="AF62" s="22" t="s">
        <v>503</v>
      </c>
      <c r="AG62" s="1"/>
      <c r="AH62" s="1"/>
      <c r="AI62" s="1"/>
      <c r="AJ62" s="1"/>
      <c r="AK62" s="1"/>
    </row>
    <row r="63" spans="1:37" x14ac:dyDescent="0.3">
      <c r="A63" s="1">
        <v>1061</v>
      </c>
      <c r="B63" s="8" t="s">
        <v>391</v>
      </c>
      <c r="C63" s="2">
        <v>0</v>
      </c>
      <c r="D63" s="2">
        <v>1</v>
      </c>
      <c r="E63" s="1">
        <v>104</v>
      </c>
      <c r="F63" s="1">
        <f t="shared" si="6"/>
        <v>814009</v>
      </c>
      <c r="G63" s="2" t="s">
        <v>8</v>
      </c>
      <c r="H63" s="2">
        <v>0</v>
      </c>
      <c r="I63" s="2"/>
      <c r="J63" s="2"/>
      <c r="K63" s="2">
        <v>100</v>
      </c>
      <c r="L63" s="2">
        <v>500</v>
      </c>
      <c r="M63" s="2">
        <v>0</v>
      </c>
      <c r="N63" s="2">
        <v>1</v>
      </c>
      <c r="O63" s="2">
        <v>1</v>
      </c>
      <c r="P63" s="2">
        <v>1</v>
      </c>
      <c r="Q63" s="2">
        <v>1</v>
      </c>
      <c r="R63" s="2">
        <v>1</v>
      </c>
      <c r="S63" s="2">
        <v>1</v>
      </c>
      <c r="T63" s="2">
        <v>1</v>
      </c>
      <c r="U63" s="2">
        <v>1</v>
      </c>
      <c r="V63" s="2">
        <v>1</v>
      </c>
      <c r="W63" s="2">
        <v>2.5</v>
      </c>
      <c r="X63" s="2">
        <v>1</v>
      </c>
      <c r="Y63" s="2">
        <v>1</v>
      </c>
      <c r="Z63" s="2">
        <v>1</v>
      </c>
      <c r="AA63" s="1">
        <v>104</v>
      </c>
      <c r="AB63" s="2" t="s">
        <v>74</v>
      </c>
      <c r="AC63" s="1" t="str">
        <f t="shared" si="1"/>
        <v>平原粮仓</v>
      </c>
      <c r="AD63" s="1" t="s">
        <v>428</v>
      </c>
      <c r="AE63" s="1" t="s">
        <v>448</v>
      </c>
      <c r="AF63" s="22" t="s">
        <v>504</v>
      </c>
      <c r="AG63" s="1"/>
      <c r="AH63" s="1"/>
      <c r="AI63" s="1"/>
      <c r="AJ63" s="1"/>
      <c r="AK63" s="1"/>
    </row>
    <row r="64" spans="1:37" x14ac:dyDescent="0.3">
      <c r="A64" s="1">
        <v>1062</v>
      </c>
      <c r="B64" s="6" t="s">
        <v>139</v>
      </c>
      <c r="C64" s="2">
        <v>0</v>
      </c>
      <c r="D64" s="2">
        <v>1</v>
      </c>
      <c r="E64" s="1"/>
      <c r="F64" s="1">
        <f t="shared" si="6"/>
        <v>814009</v>
      </c>
      <c r="G64" s="2" t="s">
        <v>8</v>
      </c>
      <c r="H64" s="2">
        <v>1</v>
      </c>
      <c r="I64" s="2"/>
      <c r="J64" s="2"/>
      <c r="K64" s="2"/>
      <c r="L64" s="2"/>
      <c r="M64" s="2">
        <v>0</v>
      </c>
      <c r="N64" s="2">
        <v>1</v>
      </c>
      <c r="O64" s="2">
        <v>1</v>
      </c>
      <c r="P64" s="2">
        <v>1</v>
      </c>
      <c r="Q64" s="2">
        <v>1</v>
      </c>
      <c r="R64" s="2">
        <v>1</v>
      </c>
      <c r="S64" s="2">
        <v>1</v>
      </c>
      <c r="T64" s="2">
        <v>1</v>
      </c>
      <c r="U64" s="2">
        <v>1</v>
      </c>
      <c r="V64" s="2">
        <v>1</v>
      </c>
      <c r="W64" s="2">
        <v>1</v>
      </c>
      <c r="X64" s="2">
        <v>1</v>
      </c>
      <c r="Y64" s="2">
        <v>1</v>
      </c>
      <c r="Z64" s="2">
        <v>1</v>
      </c>
      <c r="AA64" s="1"/>
      <c r="AB64" s="1"/>
      <c r="AC64" s="1" t="str">
        <f t="shared" si="1"/>
        <v>龙之要塞</v>
      </c>
      <c r="AD64" s="1" t="s">
        <v>346</v>
      </c>
      <c r="AE64" s="1" t="s">
        <v>303</v>
      </c>
      <c r="AF64" s="22" t="s">
        <v>360</v>
      </c>
      <c r="AG64" s="1"/>
      <c r="AH64" s="1"/>
      <c r="AI64" s="1"/>
      <c r="AJ64" s="1"/>
      <c r="AK64" s="1"/>
    </row>
    <row r="65" spans="1:37" x14ac:dyDescent="0.3">
      <c r="A65" s="1">
        <v>1063</v>
      </c>
      <c r="B65" s="6" t="s">
        <v>140</v>
      </c>
      <c r="C65" s="2">
        <v>0</v>
      </c>
      <c r="D65" s="2">
        <v>0</v>
      </c>
      <c r="E65" s="1"/>
      <c r="F65" s="1">
        <f t="shared" si="6"/>
        <v>814009</v>
      </c>
      <c r="G65" s="2" t="s">
        <v>8</v>
      </c>
      <c r="H65" s="2">
        <v>2</v>
      </c>
      <c r="I65" s="2"/>
      <c r="J65" s="2"/>
      <c r="K65" s="2"/>
      <c r="L65" s="2"/>
      <c r="M65" s="2">
        <v>0</v>
      </c>
      <c r="N65" s="2">
        <v>1</v>
      </c>
      <c r="O65" s="2">
        <v>1</v>
      </c>
      <c r="P65" s="2">
        <v>1</v>
      </c>
      <c r="Q65" s="2">
        <v>1</v>
      </c>
      <c r="R65" s="2">
        <v>1</v>
      </c>
      <c r="S65" s="2">
        <v>1</v>
      </c>
      <c r="T65" s="2">
        <v>1</v>
      </c>
      <c r="U65" s="2">
        <v>1</v>
      </c>
      <c r="V65" s="2">
        <v>1</v>
      </c>
      <c r="W65" s="2">
        <v>1</v>
      </c>
      <c r="X65" s="2">
        <v>1</v>
      </c>
      <c r="Y65" s="2">
        <v>1</v>
      </c>
      <c r="Z65" s="2">
        <v>1</v>
      </c>
      <c r="AA65" s="1"/>
      <c r="AB65" s="1"/>
      <c r="AC65" s="1" t="str">
        <f t="shared" si="1"/>
        <v>龙之秘境</v>
      </c>
      <c r="AD65" s="1" t="s">
        <v>347</v>
      </c>
      <c r="AE65" s="1" t="s">
        <v>304</v>
      </c>
      <c r="AF65" s="22" t="s">
        <v>505</v>
      </c>
      <c r="AG65" s="1"/>
      <c r="AH65" s="1"/>
      <c r="AI65" s="1"/>
      <c r="AJ65" s="1"/>
      <c r="AK65" s="1"/>
    </row>
    <row r="66" spans="1:37" x14ac:dyDescent="0.3">
      <c r="A66" s="1">
        <v>1064</v>
      </c>
      <c r="B66" s="8" t="s">
        <v>398</v>
      </c>
      <c r="C66" s="2">
        <v>0</v>
      </c>
      <c r="D66" s="2">
        <v>1</v>
      </c>
      <c r="E66" s="1">
        <v>120</v>
      </c>
      <c r="F66" s="1">
        <f>F59+1</f>
        <v>814010</v>
      </c>
      <c r="G66" s="2" t="s">
        <v>4</v>
      </c>
      <c r="H66" s="2">
        <v>0</v>
      </c>
      <c r="I66" s="2"/>
      <c r="J66" s="2"/>
      <c r="K66" s="2">
        <v>100</v>
      </c>
      <c r="L66" s="2">
        <v>500</v>
      </c>
      <c r="M66" s="2">
        <v>0</v>
      </c>
      <c r="N66" s="2">
        <v>1</v>
      </c>
      <c r="O66" s="2">
        <v>1</v>
      </c>
      <c r="P66" s="2">
        <v>1</v>
      </c>
      <c r="Q66" s="2">
        <v>2</v>
      </c>
      <c r="R66" s="2">
        <v>1</v>
      </c>
      <c r="S66" s="2">
        <v>1</v>
      </c>
      <c r="T66" s="2">
        <v>1</v>
      </c>
      <c r="U66" s="2">
        <v>1</v>
      </c>
      <c r="V66" s="2">
        <v>1</v>
      </c>
      <c r="W66" s="2">
        <v>1</v>
      </c>
      <c r="X66" s="2">
        <v>1</v>
      </c>
      <c r="Y66" s="2">
        <v>1</v>
      </c>
      <c r="Z66" s="2">
        <v>1</v>
      </c>
      <c r="AA66" s="1">
        <v>120</v>
      </c>
      <c r="AB66" s="2" t="s">
        <v>110</v>
      </c>
      <c r="AC66" s="1" t="str">
        <f t="shared" si="1"/>
        <v>峡谷养牛场</v>
      </c>
      <c r="AD66" s="1" t="s">
        <v>429</v>
      </c>
      <c r="AE66" s="1" t="s">
        <v>449</v>
      </c>
      <c r="AF66" s="22" t="s">
        <v>506</v>
      </c>
      <c r="AG66" s="1"/>
      <c r="AH66" s="1"/>
      <c r="AI66" s="1"/>
      <c r="AJ66" s="1"/>
      <c r="AK66" s="1"/>
    </row>
    <row r="67" spans="1:37" x14ac:dyDescent="0.3">
      <c r="A67" s="1">
        <v>1065</v>
      </c>
      <c r="B67" s="7" t="s">
        <v>157</v>
      </c>
      <c r="C67" s="2">
        <v>0</v>
      </c>
      <c r="D67" s="2">
        <v>1</v>
      </c>
      <c r="E67" s="1"/>
      <c r="F67" s="1">
        <f>F60+1</f>
        <v>814010</v>
      </c>
      <c r="G67" s="2" t="s">
        <v>4</v>
      </c>
      <c r="H67" s="2">
        <v>3</v>
      </c>
      <c r="I67" s="2"/>
      <c r="J67" s="2"/>
      <c r="K67" s="2"/>
      <c r="L67" s="2"/>
      <c r="M67" s="2">
        <v>0</v>
      </c>
      <c r="N67" s="2">
        <v>1</v>
      </c>
      <c r="O67" s="2">
        <v>1</v>
      </c>
      <c r="P67" s="2">
        <v>1</v>
      </c>
      <c r="Q67" s="2">
        <v>1</v>
      </c>
      <c r="R67" s="2">
        <v>1</v>
      </c>
      <c r="S67" s="2">
        <v>1</v>
      </c>
      <c r="T67" s="2">
        <v>1</v>
      </c>
      <c r="U67" s="2">
        <v>1</v>
      </c>
      <c r="V67" s="2">
        <v>1</v>
      </c>
      <c r="W67" s="2">
        <v>1</v>
      </c>
      <c r="X67" s="2">
        <v>1</v>
      </c>
      <c r="Y67" s="2">
        <v>1</v>
      </c>
      <c r="Z67" s="2">
        <v>1</v>
      </c>
      <c r="AA67" s="1"/>
      <c r="AB67" s="1"/>
      <c r="AC67" s="1" t="str">
        <f t="shared" si="1"/>
        <v>峡谷战场</v>
      </c>
      <c r="AD67" s="1" t="s">
        <v>348</v>
      </c>
      <c r="AE67" s="1" t="s">
        <v>305</v>
      </c>
      <c r="AF67" s="22" t="s">
        <v>507</v>
      </c>
      <c r="AG67" s="1"/>
      <c r="AH67" s="1"/>
      <c r="AI67" s="1"/>
      <c r="AJ67" s="1"/>
      <c r="AK67" s="1"/>
    </row>
    <row r="68" spans="1:37" x14ac:dyDescent="0.3">
      <c r="A68" s="1">
        <v>1066</v>
      </c>
      <c r="B68" s="8" t="s">
        <v>399</v>
      </c>
      <c r="C68" s="2">
        <v>0</v>
      </c>
      <c r="D68" s="2">
        <v>0</v>
      </c>
      <c r="E68" s="1">
        <v>121</v>
      </c>
      <c r="F68" s="1">
        <f>F61+1</f>
        <v>814010</v>
      </c>
      <c r="G68" s="2" t="s">
        <v>4</v>
      </c>
      <c r="H68" s="2">
        <v>0</v>
      </c>
      <c r="I68" s="2"/>
      <c r="J68" s="2"/>
      <c r="K68" s="2">
        <v>100</v>
      </c>
      <c r="L68" s="2">
        <v>500</v>
      </c>
      <c r="M68" s="2">
        <v>0</v>
      </c>
      <c r="N68" s="2">
        <v>1</v>
      </c>
      <c r="O68" s="2">
        <v>1</v>
      </c>
      <c r="P68" s="2">
        <v>1</v>
      </c>
      <c r="Q68" s="2">
        <v>1</v>
      </c>
      <c r="R68" s="2">
        <v>2</v>
      </c>
      <c r="S68" s="2">
        <v>1</v>
      </c>
      <c r="T68" s="2">
        <v>1</v>
      </c>
      <c r="U68" s="2">
        <v>1</v>
      </c>
      <c r="V68" s="2">
        <v>1</v>
      </c>
      <c r="W68" s="2">
        <v>1</v>
      </c>
      <c r="X68" s="2">
        <v>1</v>
      </c>
      <c r="Y68" s="2">
        <v>1</v>
      </c>
      <c r="Z68" s="2">
        <v>1</v>
      </c>
      <c r="AA68" s="1">
        <v>121</v>
      </c>
      <c r="AB68" s="2" t="s">
        <v>111</v>
      </c>
      <c r="AC68" s="1" t="str">
        <f t="shared" ref="AC68:AC72" si="7">B68</f>
        <v>峡谷养羊场</v>
      </c>
      <c r="AD68" s="1" t="s">
        <v>430</v>
      </c>
      <c r="AE68" s="1" t="s">
        <v>450</v>
      </c>
      <c r="AF68" s="22" t="s">
        <v>508</v>
      </c>
      <c r="AG68" s="1"/>
      <c r="AH68" s="1"/>
      <c r="AI68" s="1"/>
      <c r="AJ68" s="1"/>
      <c r="AK68" s="1"/>
    </row>
    <row r="69" spans="1:37" x14ac:dyDescent="0.3">
      <c r="A69" s="1">
        <v>1067</v>
      </c>
      <c r="B69" s="8" t="s">
        <v>386</v>
      </c>
      <c r="C69" s="2">
        <v>0</v>
      </c>
      <c r="D69" s="2">
        <v>0</v>
      </c>
      <c r="E69" s="1">
        <v>116</v>
      </c>
      <c r="F69" s="1">
        <f>F62+1</f>
        <v>814010</v>
      </c>
      <c r="G69" s="2" t="s">
        <v>4</v>
      </c>
      <c r="H69" s="2">
        <v>0</v>
      </c>
      <c r="I69" s="2"/>
      <c r="J69" s="2"/>
      <c r="K69" s="2">
        <v>100</v>
      </c>
      <c r="L69" s="2">
        <v>500</v>
      </c>
      <c r="M69" s="2">
        <v>0</v>
      </c>
      <c r="N69" s="2">
        <v>1</v>
      </c>
      <c r="O69" s="2">
        <v>1</v>
      </c>
      <c r="P69" s="2">
        <v>1</v>
      </c>
      <c r="Q69" s="2">
        <v>1</v>
      </c>
      <c r="R69" s="2">
        <v>1</v>
      </c>
      <c r="S69" s="2">
        <v>1</v>
      </c>
      <c r="T69" s="2">
        <v>1</v>
      </c>
      <c r="U69" s="2">
        <v>1</v>
      </c>
      <c r="V69" s="2">
        <v>1</v>
      </c>
      <c r="W69" s="2">
        <v>1</v>
      </c>
      <c r="X69" s="2">
        <v>1</v>
      </c>
      <c r="Y69" s="2">
        <v>2</v>
      </c>
      <c r="Z69" s="2">
        <v>1</v>
      </c>
      <c r="AA69" s="1">
        <v>116</v>
      </c>
      <c r="AB69" s="2" t="s">
        <v>108</v>
      </c>
      <c r="AC69" s="1" t="str">
        <f t="shared" si="7"/>
        <v>峡谷采矿厂</v>
      </c>
      <c r="AD69" s="1" t="s">
        <v>431</v>
      </c>
      <c r="AE69" s="1" t="s">
        <v>451</v>
      </c>
      <c r="AF69" s="22" t="s">
        <v>509</v>
      </c>
      <c r="AG69" s="1"/>
      <c r="AH69" s="1"/>
      <c r="AI69" s="1"/>
      <c r="AJ69" s="1"/>
      <c r="AK69" s="1"/>
    </row>
    <row r="70" spans="1:37" x14ac:dyDescent="0.3">
      <c r="A70" s="1">
        <v>1068</v>
      </c>
      <c r="B70" s="7" t="s">
        <v>163</v>
      </c>
      <c r="C70" s="2">
        <v>81</v>
      </c>
      <c r="D70" s="2">
        <v>0</v>
      </c>
      <c r="E70" s="1"/>
      <c r="F70" s="1">
        <f>F63+1</f>
        <v>814010</v>
      </c>
      <c r="G70" s="2" t="s">
        <v>4</v>
      </c>
      <c r="H70" s="2">
        <v>4</v>
      </c>
      <c r="I70" s="2"/>
      <c r="J70" s="2"/>
      <c r="K70" s="2"/>
      <c r="L70" s="2"/>
      <c r="M70" s="2">
        <v>0</v>
      </c>
      <c r="N70" s="2">
        <v>1</v>
      </c>
      <c r="O70" s="2">
        <v>1</v>
      </c>
      <c r="P70" s="2">
        <v>1</v>
      </c>
      <c r="Q70" s="2">
        <v>1</v>
      </c>
      <c r="R70" s="2">
        <v>1</v>
      </c>
      <c r="S70" s="2">
        <v>1</v>
      </c>
      <c r="T70" s="2">
        <v>1</v>
      </c>
      <c r="U70" s="2">
        <v>1</v>
      </c>
      <c r="V70" s="2">
        <v>1</v>
      </c>
      <c r="W70" s="2">
        <v>1</v>
      </c>
      <c r="X70" s="2">
        <v>1</v>
      </c>
      <c r="Y70" s="1">
        <v>1</v>
      </c>
      <c r="Z70" s="2">
        <v>1</v>
      </c>
      <c r="AA70" s="1"/>
      <c r="AB70" s="1"/>
      <c r="AC70" s="1" t="str">
        <f t="shared" si="7"/>
        <v>恶龙巢穴</v>
      </c>
      <c r="AD70" s="1" t="s">
        <v>349</v>
      </c>
      <c r="AE70" s="1" t="s">
        <v>306</v>
      </c>
      <c r="AF70" s="22" t="s">
        <v>361</v>
      </c>
      <c r="AG70" s="1"/>
      <c r="AH70" s="1"/>
      <c r="AI70" s="1"/>
      <c r="AJ70" s="1"/>
      <c r="AK70" s="1"/>
    </row>
    <row r="71" spans="1:37" x14ac:dyDescent="0.3">
      <c r="A71" s="1">
        <v>1069</v>
      </c>
      <c r="B71" s="6" t="s">
        <v>137</v>
      </c>
      <c r="C71" s="2">
        <v>0</v>
      </c>
      <c r="D71" s="2">
        <v>1</v>
      </c>
      <c r="E71" s="1"/>
      <c r="F71" s="1">
        <f t="shared" ref="F71:F72" si="8">F64+1</f>
        <v>814010</v>
      </c>
      <c r="G71" s="2" t="s">
        <v>4</v>
      </c>
      <c r="H71" s="2">
        <v>1</v>
      </c>
      <c r="I71" s="2"/>
      <c r="J71" s="2"/>
      <c r="K71" s="2">
        <v>100</v>
      </c>
      <c r="L71" s="2">
        <v>500</v>
      </c>
      <c r="M71" s="2">
        <v>0</v>
      </c>
      <c r="N71" s="2">
        <v>1</v>
      </c>
      <c r="O71" s="2">
        <v>1</v>
      </c>
      <c r="P71" s="2">
        <v>1</v>
      </c>
      <c r="Q71" s="2">
        <v>1</v>
      </c>
      <c r="R71" s="2">
        <v>1</v>
      </c>
      <c r="S71" s="2">
        <v>1</v>
      </c>
      <c r="T71" s="2">
        <v>1</v>
      </c>
      <c r="U71" s="2">
        <v>1</v>
      </c>
      <c r="V71" s="2">
        <v>1</v>
      </c>
      <c r="W71" s="2">
        <v>1</v>
      </c>
      <c r="X71" s="2">
        <v>1</v>
      </c>
      <c r="Y71" s="1">
        <v>1</v>
      </c>
      <c r="Z71" s="2">
        <v>1</v>
      </c>
      <c r="AA71" s="1"/>
      <c r="AB71" s="1"/>
      <c r="AC71" s="1" t="str">
        <f t="shared" si="7"/>
        <v>峡谷要塞</v>
      </c>
      <c r="AD71" s="1" t="s">
        <v>350</v>
      </c>
      <c r="AE71" s="1" t="s">
        <v>307</v>
      </c>
      <c r="AF71" s="22" t="s">
        <v>510</v>
      </c>
      <c r="AG71" s="1"/>
      <c r="AH71" s="1"/>
      <c r="AI71" s="1"/>
      <c r="AJ71" s="1"/>
      <c r="AK71" s="1"/>
    </row>
    <row r="72" spans="1:37" x14ac:dyDescent="0.3">
      <c r="A72" s="1">
        <v>1070</v>
      </c>
      <c r="B72" s="6" t="s">
        <v>138</v>
      </c>
      <c r="C72" s="2">
        <v>0</v>
      </c>
      <c r="D72" s="2">
        <v>0</v>
      </c>
      <c r="E72" s="1"/>
      <c r="F72" s="1">
        <f t="shared" si="8"/>
        <v>814010</v>
      </c>
      <c r="G72" s="2" t="s">
        <v>4</v>
      </c>
      <c r="H72" s="2">
        <v>2</v>
      </c>
      <c r="I72" s="2"/>
      <c r="J72" s="2"/>
      <c r="K72" s="2">
        <v>100</v>
      </c>
      <c r="L72" s="2">
        <v>500</v>
      </c>
      <c r="M72" s="2">
        <v>0</v>
      </c>
      <c r="N72" s="2">
        <v>1</v>
      </c>
      <c r="O72" s="2">
        <v>1</v>
      </c>
      <c r="P72" s="2">
        <v>1</v>
      </c>
      <c r="Q72" s="2">
        <v>1</v>
      </c>
      <c r="R72" s="2">
        <v>1</v>
      </c>
      <c r="S72" s="2">
        <v>1</v>
      </c>
      <c r="T72" s="2">
        <v>1</v>
      </c>
      <c r="U72" s="2">
        <v>1</v>
      </c>
      <c r="V72" s="2">
        <v>1</v>
      </c>
      <c r="W72" s="2">
        <v>1</v>
      </c>
      <c r="X72" s="2">
        <v>1</v>
      </c>
      <c r="Y72" s="1">
        <v>1</v>
      </c>
      <c r="Z72" s="2">
        <v>1</v>
      </c>
      <c r="AA72" s="1"/>
      <c r="AB72" s="1"/>
      <c r="AC72" s="1" t="str">
        <f t="shared" si="7"/>
        <v>峡谷秘境</v>
      </c>
      <c r="AD72" s="1" t="s">
        <v>351</v>
      </c>
      <c r="AE72" s="1" t="s">
        <v>308</v>
      </c>
      <c r="AF72" s="22" t="s">
        <v>511</v>
      </c>
      <c r="AG72" s="1"/>
      <c r="AH72" s="1"/>
      <c r="AI72" s="1"/>
      <c r="AJ72" s="1"/>
      <c r="AK72" s="1"/>
    </row>
  </sheetData>
  <autoFilter ref="D1:D72" xr:uid="{FC6237E8-B793-44E1-904B-D9F00481D298}"/>
  <phoneticPr fontId="2" type="noConversion"/>
  <conditionalFormatting sqref="D1:D1048576">
    <cfRule type="colorScale" priority="1">
      <colorScale>
        <cfvo type="min"/>
        <cfvo type="max"/>
        <color rgb="FFFCFCFF"/>
        <color rgb="FFF8696B"/>
      </colorScale>
    </cfRule>
  </conditionalFormatting>
  <conditionalFormatting sqref="N1:Z104857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"/>
  <sheetViews>
    <sheetView workbookViewId="0">
      <selection activeCell="O24" sqref="O24"/>
    </sheetView>
  </sheetViews>
  <sheetFormatPr defaultColWidth="9" defaultRowHeight="13.5" x14ac:dyDescent="0.15"/>
  <cols>
    <col min="1" max="1" width="9.5" bestFit="1" customWidth="1"/>
    <col min="2" max="2" width="11.125" customWidth="1"/>
    <col min="3" max="15" width="8.125" customWidth="1"/>
  </cols>
  <sheetData>
    <row r="1" spans="1:21" s="5" customFormat="1" ht="39.75" customHeight="1" x14ac:dyDescent="0.15">
      <c r="A1" s="3" t="s">
        <v>118</v>
      </c>
      <c r="B1" s="3"/>
      <c r="C1" s="3" t="s">
        <v>166</v>
      </c>
      <c r="D1" s="3" t="s">
        <v>12</v>
      </c>
      <c r="E1" s="3"/>
      <c r="F1" s="3" t="s">
        <v>13</v>
      </c>
      <c r="G1" s="3"/>
      <c r="H1" s="3" t="s">
        <v>14</v>
      </c>
      <c r="I1" s="4"/>
      <c r="J1" s="3" t="s">
        <v>42</v>
      </c>
      <c r="K1" s="4"/>
      <c r="L1" s="3" t="s">
        <v>62</v>
      </c>
      <c r="M1" s="4"/>
      <c r="N1" s="3" t="s">
        <v>87</v>
      </c>
      <c r="O1" s="4"/>
      <c r="P1" s="3" t="s">
        <v>214</v>
      </c>
      <c r="Q1" s="4"/>
      <c r="R1" s="3" t="s">
        <v>215</v>
      </c>
      <c r="S1" s="4"/>
      <c r="T1" s="3" t="s">
        <v>216</v>
      </c>
      <c r="U1" s="4"/>
    </row>
    <row r="2" spans="1:21" x14ac:dyDescent="0.15">
      <c r="A2" s="2" t="s">
        <v>374</v>
      </c>
      <c r="B2" s="2" t="s">
        <v>11</v>
      </c>
      <c r="C2" s="2" t="s">
        <v>164</v>
      </c>
      <c r="D2" s="2" t="s">
        <v>23</v>
      </c>
      <c r="E2" s="2" t="s">
        <v>0</v>
      </c>
      <c r="F2" s="2" t="s">
        <v>24</v>
      </c>
      <c r="G2" s="2" t="s">
        <v>0</v>
      </c>
      <c r="H2" s="2" t="s">
        <v>25</v>
      </c>
      <c r="I2" s="2" t="s">
        <v>0</v>
      </c>
      <c r="J2" s="2" t="s">
        <v>43</v>
      </c>
      <c r="K2" s="2" t="s">
        <v>0</v>
      </c>
      <c r="L2" s="2" t="s">
        <v>63</v>
      </c>
      <c r="M2" s="2" t="s">
        <v>0</v>
      </c>
      <c r="N2" s="2" t="s">
        <v>88</v>
      </c>
      <c r="O2" s="2" t="s">
        <v>0</v>
      </c>
      <c r="P2" s="2" t="s">
        <v>217</v>
      </c>
      <c r="Q2" s="2" t="s">
        <v>0</v>
      </c>
      <c r="R2" s="2" t="s">
        <v>218</v>
      </c>
      <c r="S2" s="2" t="s">
        <v>0</v>
      </c>
      <c r="T2" s="2" t="s">
        <v>219</v>
      </c>
      <c r="U2" s="2" t="s">
        <v>0</v>
      </c>
    </row>
    <row r="3" spans="1:21" x14ac:dyDescent="0.15">
      <c r="A3" s="1">
        <v>101</v>
      </c>
      <c r="B3" s="2" t="s">
        <v>165</v>
      </c>
      <c r="C3" s="2">
        <v>2</v>
      </c>
      <c r="D3" s="1">
        <v>303009</v>
      </c>
      <c r="E3" s="2" t="s">
        <v>58</v>
      </c>
      <c r="F3" s="1">
        <v>301006</v>
      </c>
      <c r="G3" s="1" t="s">
        <v>59</v>
      </c>
      <c r="H3" s="1">
        <v>301007</v>
      </c>
      <c r="I3" s="1" t="s">
        <v>60</v>
      </c>
      <c r="J3" s="1">
        <v>302004</v>
      </c>
      <c r="K3" s="1" t="s">
        <v>61</v>
      </c>
      <c r="L3" s="1">
        <v>602001</v>
      </c>
      <c r="M3" s="2" t="s">
        <v>47</v>
      </c>
      <c r="N3" s="1">
        <v>604001</v>
      </c>
      <c r="O3" s="1" t="s">
        <v>362</v>
      </c>
      <c r="P3" s="1">
        <v>606001</v>
      </c>
      <c r="Q3" s="1" t="s">
        <v>21</v>
      </c>
      <c r="R3" s="1">
        <v>304002</v>
      </c>
      <c r="S3" s="1" t="s">
        <v>20</v>
      </c>
      <c r="T3" s="1">
        <v>306001</v>
      </c>
      <c r="U3" s="2" t="s">
        <v>48</v>
      </c>
    </row>
    <row r="4" spans="1:21" x14ac:dyDescent="0.15">
      <c r="A4" s="1">
        <v>102</v>
      </c>
      <c r="B4" s="2" t="s">
        <v>89</v>
      </c>
      <c r="C4" s="2">
        <v>2</v>
      </c>
      <c r="D4" s="1">
        <v>304002</v>
      </c>
      <c r="E4" s="1" t="s">
        <v>20</v>
      </c>
      <c r="F4" s="1">
        <v>606001</v>
      </c>
      <c r="G4" s="1" t="s">
        <v>21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15">
      <c r="A5" s="1">
        <v>103</v>
      </c>
      <c r="B5" s="2" t="s">
        <v>70</v>
      </c>
      <c r="C5" s="2">
        <v>2</v>
      </c>
      <c r="D5" s="1">
        <v>301001</v>
      </c>
      <c r="E5" s="1" t="s">
        <v>65</v>
      </c>
      <c r="F5" s="1">
        <v>301002</v>
      </c>
      <c r="G5" s="1" t="s">
        <v>66</v>
      </c>
      <c r="H5" s="1">
        <v>301003</v>
      </c>
      <c r="I5" s="1" t="s">
        <v>67</v>
      </c>
      <c r="J5" s="1">
        <v>301004</v>
      </c>
      <c r="K5" s="1" t="s">
        <v>68</v>
      </c>
      <c r="L5" s="1">
        <v>301005</v>
      </c>
      <c r="M5" s="1" t="s">
        <v>69</v>
      </c>
      <c r="N5" s="1"/>
      <c r="O5" s="1"/>
      <c r="P5" s="1"/>
      <c r="Q5" s="1"/>
      <c r="R5" s="1"/>
      <c r="S5" s="1"/>
      <c r="T5" s="1"/>
      <c r="U5" s="1"/>
    </row>
    <row r="6" spans="1:21" x14ac:dyDescent="0.15">
      <c r="A6" s="1">
        <v>104</v>
      </c>
      <c r="B6" s="2" t="s">
        <v>74</v>
      </c>
      <c r="C6" s="2">
        <v>3</v>
      </c>
      <c r="D6" s="1">
        <v>302001</v>
      </c>
      <c r="E6" s="1" t="s">
        <v>71</v>
      </c>
      <c r="F6" s="1">
        <v>302002</v>
      </c>
      <c r="G6" s="1" t="s">
        <v>72</v>
      </c>
      <c r="H6" s="1">
        <v>302003</v>
      </c>
      <c r="I6" s="1" t="s">
        <v>73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15">
      <c r="A7" s="1">
        <v>105</v>
      </c>
      <c r="B7" s="2" t="s">
        <v>64</v>
      </c>
      <c r="C7" s="2">
        <v>1</v>
      </c>
      <c r="D7" s="1">
        <v>305001</v>
      </c>
      <c r="E7" s="1" t="s">
        <v>18</v>
      </c>
      <c r="F7" s="1">
        <v>305002</v>
      </c>
      <c r="G7" s="2" t="s">
        <v>22</v>
      </c>
      <c r="H7" s="1">
        <v>305003</v>
      </c>
      <c r="I7" s="1" t="s">
        <v>83</v>
      </c>
      <c r="J7" s="1">
        <v>305004</v>
      </c>
      <c r="K7" s="1" t="s">
        <v>84</v>
      </c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15">
      <c r="A8" s="1">
        <v>106</v>
      </c>
      <c r="B8" s="2" t="s">
        <v>90</v>
      </c>
      <c r="C8" s="2">
        <v>1</v>
      </c>
      <c r="D8" s="1">
        <v>305005</v>
      </c>
      <c r="E8" s="2" t="s">
        <v>85</v>
      </c>
      <c r="F8" s="1">
        <v>305006</v>
      </c>
      <c r="G8" s="1" t="s">
        <v>86</v>
      </c>
      <c r="H8" s="1">
        <v>412001</v>
      </c>
      <c r="I8" s="2" t="s">
        <v>91</v>
      </c>
      <c r="J8" s="1">
        <v>412002</v>
      </c>
      <c r="K8" s="2" t="s">
        <v>92</v>
      </c>
      <c r="L8" s="1"/>
      <c r="M8" s="2"/>
      <c r="N8" s="1"/>
      <c r="O8" s="1"/>
      <c r="P8" s="1"/>
      <c r="Q8" s="1"/>
      <c r="R8" s="1"/>
      <c r="S8" s="1"/>
      <c r="T8" s="1"/>
      <c r="U8" s="1"/>
    </row>
    <row r="9" spans="1:21" x14ac:dyDescent="0.15">
      <c r="A9" s="1">
        <v>107</v>
      </c>
      <c r="B9" s="2" t="s">
        <v>75</v>
      </c>
      <c r="C9" s="2">
        <v>2</v>
      </c>
      <c r="D9" s="1">
        <v>303001</v>
      </c>
      <c r="E9" s="1" t="s">
        <v>76</v>
      </c>
      <c r="F9" s="1">
        <v>303002</v>
      </c>
      <c r="G9" s="1" t="s">
        <v>77</v>
      </c>
      <c r="H9" s="1">
        <v>303004</v>
      </c>
      <c r="I9" s="1" t="s">
        <v>78</v>
      </c>
      <c r="J9" s="1">
        <v>303006</v>
      </c>
      <c r="K9" s="1" t="s">
        <v>79</v>
      </c>
      <c r="L9" s="1">
        <v>303007</v>
      </c>
      <c r="M9" s="1" t="s">
        <v>80</v>
      </c>
      <c r="N9" s="1"/>
      <c r="O9" s="1"/>
      <c r="P9" s="1"/>
      <c r="Q9" s="1"/>
      <c r="R9" s="1"/>
      <c r="S9" s="1"/>
      <c r="T9" s="1"/>
      <c r="U9" s="1"/>
    </row>
    <row r="10" spans="1:21" x14ac:dyDescent="0.15">
      <c r="A10" s="1">
        <v>108</v>
      </c>
      <c r="B10" s="2" t="s">
        <v>81</v>
      </c>
      <c r="C10" s="2">
        <v>1</v>
      </c>
      <c r="D10" s="1">
        <v>611005</v>
      </c>
      <c r="E10" s="2" t="s">
        <v>82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15">
      <c r="A11" s="1">
        <v>109</v>
      </c>
      <c r="B11" s="2" t="s">
        <v>96</v>
      </c>
      <c r="C11" s="2">
        <v>1</v>
      </c>
      <c r="D11" s="1">
        <v>603001</v>
      </c>
      <c r="E11" s="1" t="s">
        <v>97</v>
      </c>
      <c r="F11" s="1">
        <v>603002</v>
      </c>
      <c r="G11" s="1" t="s">
        <v>98</v>
      </c>
      <c r="H11" s="1">
        <v>603003</v>
      </c>
      <c r="I11" s="1" t="s">
        <v>99</v>
      </c>
      <c r="J11" s="1">
        <v>603004</v>
      </c>
      <c r="K11" s="1" t="s">
        <v>100</v>
      </c>
      <c r="L11" s="1">
        <v>608001</v>
      </c>
      <c r="M11" s="1" t="s">
        <v>101</v>
      </c>
      <c r="N11" s="1">
        <v>607001</v>
      </c>
      <c r="O11" s="1" t="s">
        <v>102</v>
      </c>
      <c r="P11" s="1"/>
      <c r="Q11" s="1"/>
      <c r="R11" s="1"/>
      <c r="S11" s="1"/>
      <c r="T11" s="1"/>
      <c r="U11" s="1"/>
    </row>
    <row r="12" spans="1:21" x14ac:dyDescent="0.15">
      <c r="A12" s="1">
        <v>110</v>
      </c>
      <c r="B12" s="2" t="s">
        <v>120</v>
      </c>
      <c r="C12" s="2">
        <v>1</v>
      </c>
      <c r="D12" s="1">
        <v>403002</v>
      </c>
      <c r="E12" s="2" t="s">
        <v>26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15">
      <c r="A13" s="1">
        <v>111</v>
      </c>
      <c r="B13" s="2" t="s">
        <v>103</v>
      </c>
      <c r="C13" s="2">
        <v>1</v>
      </c>
      <c r="D13" s="1">
        <v>404001</v>
      </c>
      <c r="E13" s="1" t="s">
        <v>27</v>
      </c>
      <c r="F13" s="1">
        <v>404002</v>
      </c>
      <c r="G13" s="1" t="s">
        <v>28</v>
      </c>
      <c r="H13" s="1">
        <v>404003</v>
      </c>
      <c r="I13" s="1" t="s">
        <v>29</v>
      </c>
      <c r="J13" s="1">
        <v>420001</v>
      </c>
      <c r="K13" s="1" t="s">
        <v>116</v>
      </c>
      <c r="L13" s="1">
        <v>419001</v>
      </c>
      <c r="M13" s="1" t="s">
        <v>117</v>
      </c>
      <c r="N13" s="1"/>
      <c r="O13" s="1"/>
      <c r="P13" s="1"/>
      <c r="Q13" s="1"/>
      <c r="R13" s="1"/>
      <c r="S13" s="1"/>
      <c r="T13" s="1"/>
      <c r="U13" s="1"/>
    </row>
    <row r="14" spans="1:21" x14ac:dyDescent="0.15">
      <c r="A14" s="1">
        <v>112</v>
      </c>
      <c r="B14" s="2" t="s">
        <v>104</v>
      </c>
      <c r="C14" s="2">
        <v>1</v>
      </c>
      <c r="D14" s="1">
        <v>401001</v>
      </c>
      <c r="E14" s="1" t="s">
        <v>30</v>
      </c>
      <c r="F14" s="1">
        <v>401002</v>
      </c>
      <c r="G14" s="1" t="s">
        <v>19</v>
      </c>
      <c r="H14" s="1">
        <v>401003</v>
      </c>
      <c r="I14" s="2" t="s">
        <v>31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15">
      <c r="A15" s="1">
        <v>113</v>
      </c>
      <c r="B15" s="2" t="s">
        <v>105</v>
      </c>
      <c r="C15" s="2">
        <v>1</v>
      </c>
      <c r="D15" s="1">
        <v>602002</v>
      </c>
      <c r="E15" s="1" t="s">
        <v>32</v>
      </c>
      <c r="F15" s="1">
        <v>421001</v>
      </c>
      <c r="G15" s="2" t="s">
        <v>33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15">
      <c r="A16" s="1">
        <v>114</v>
      </c>
      <c r="B16" s="2" t="s">
        <v>106</v>
      </c>
      <c r="C16" s="2">
        <v>1</v>
      </c>
      <c r="D16" s="1">
        <v>612001</v>
      </c>
      <c r="E16" s="2" t="s">
        <v>15</v>
      </c>
      <c r="F16" s="1">
        <v>612002</v>
      </c>
      <c r="G16" s="1" t="s">
        <v>16</v>
      </c>
      <c r="H16" s="1">
        <v>612003</v>
      </c>
      <c r="I16" s="1" t="s">
        <v>17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15">
      <c r="A17" s="1">
        <v>115</v>
      </c>
      <c r="B17" s="2" t="s">
        <v>107</v>
      </c>
      <c r="C17" s="2">
        <v>1</v>
      </c>
      <c r="D17" s="1">
        <v>428001</v>
      </c>
      <c r="E17" s="2" t="s">
        <v>39</v>
      </c>
      <c r="F17" s="1">
        <v>423001</v>
      </c>
      <c r="G17" s="2" t="s">
        <v>40</v>
      </c>
      <c r="H17" s="1">
        <v>423003</v>
      </c>
      <c r="I17" s="2" t="s">
        <v>41</v>
      </c>
      <c r="J17" s="1">
        <v>423002</v>
      </c>
      <c r="K17" s="2" t="s">
        <v>44</v>
      </c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15">
      <c r="A18" s="1">
        <v>116</v>
      </c>
      <c r="B18" s="2" t="s">
        <v>108</v>
      </c>
      <c r="C18" s="2">
        <v>2</v>
      </c>
      <c r="D18" s="1">
        <v>616001</v>
      </c>
      <c r="E18" s="1" t="s">
        <v>45</v>
      </c>
      <c r="F18" s="1">
        <v>601001</v>
      </c>
      <c r="G18" s="1" t="s">
        <v>46</v>
      </c>
      <c r="H18" s="1">
        <v>616002</v>
      </c>
      <c r="I18" s="1" t="s">
        <v>159</v>
      </c>
      <c r="J18" s="1">
        <v>616003</v>
      </c>
      <c r="K18" s="1" t="s">
        <v>160</v>
      </c>
      <c r="L18" s="1">
        <v>616004</v>
      </c>
      <c r="M18" s="1" t="s">
        <v>161</v>
      </c>
      <c r="N18" s="1"/>
      <c r="O18" s="1"/>
      <c r="P18" s="1"/>
      <c r="Q18" s="1"/>
      <c r="R18" s="1"/>
      <c r="S18" s="1"/>
      <c r="T18" s="1"/>
      <c r="U18" s="1"/>
    </row>
    <row r="19" spans="1:21" x14ac:dyDescent="0.15">
      <c r="A19" s="1">
        <v>117</v>
      </c>
      <c r="B19" s="2" t="s">
        <v>207</v>
      </c>
      <c r="C19" s="2">
        <v>1</v>
      </c>
      <c r="D19" s="1">
        <v>413004</v>
      </c>
      <c r="E19" s="24" t="s">
        <v>548</v>
      </c>
      <c r="F19" s="1">
        <v>413005</v>
      </c>
      <c r="G19" s="1" t="s">
        <v>208</v>
      </c>
      <c r="H19" s="1">
        <v>413006</v>
      </c>
      <c r="I19" s="1" t="s">
        <v>209</v>
      </c>
      <c r="J19" s="1">
        <v>415004</v>
      </c>
      <c r="K19" s="24" t="s">
        <v>550</v>
      </c>
      <c r="L19" s="1">
        <v>415005</v>
      </c>
      <c r="M19" s="1" t="s">
        <v>210</v>
      </c>
      <c r="N19" s="1">
        <v>415006</v>
      </c>
      <c r="O19" s="1" t="s">
        <v>211</v>
      </c>
      <c r="P19" s="1">
        <v>414004</v>
      </c>
      <c r="Q19" s="24" t="s">
        <v>549</v>
      </c>
      <c r="R19" s="1">
        <v>414005</v>
      </c>
      <c r="S19" s="1" t="s">
        <v>212</v>
      </c>
      <c r="T19" s="1">
        <v>414006</v>
      </c>
      <c r="U19" s="1" t="s">
        <v>213</v>
      </c>
    </row>
    <row r="20" spans="1:21" x14ac:dyDescent="0.15">
      <c r="A20" s="1">
        <v>118</v>
      </c>
      <c r="B20" s="2" t="s">
        <v>148</v>
      </c>
      <c r="C20" s="2">
        <v>2</v>
      </c>
      <c r="D20" s="1">
        <v>306001</v>
      </c>
      <c r="E20" s="2" t="s">
        <v>48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15">
      <c r="A21" s="1">
        <v>119</v>
      </c>
      <c r="B21" s="2" t="s">
        <v>149</v>
      </c>
      <c r="C21" s="2">
        <v>1</v>
      </c>
      <c r="D21" s="1">
        <v>602003</v>
      </c>
      <c r="E21" s="2" t="s">
        <v>49</v>
      </c>
      <c r="F21" s="1">
        <v>602004</v>
      </c>
      <c r="G21" s="2" t="s">
        <v>50</v>
      </c>
      <c r="H21" s="1"/>
      <c r="I21" s="1"/>
      <c r="J21" s="1"/>
      <c r="K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15">
      <c r="A22" s="1">
        <v>120</v>
      </c>
      <c r="B22" s="2" t="s">
        <v>110</v>
      </c>
      <c r="C22" s="2">
        <v>2</v>
      </c>
      <c r="D22" s="1">
        <v>611004</v>
      </c>
      <c r="E22" s="2" t="s">
        <v>51</v>
      </c>
      <c r="F22" s="1">
        <v>606001</v>
      </c>
      <c r="G22" s="1" t="s">
        <v>21</v>
      </c>
      <c r="H22" s="1">
        <v>304002</v>
      </c>
      <c r="I22" s="1" t="s">
        <v>20</v>
      </c>
      <c r="J22" s="1">
        <v>609001</v>
      </c>
      <c r="K22" s="2" t="s">
        <v>113</v>
      </c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15">
      <c r="A23" s="1">
        <v>121</v>
      </c>
      <c r="B23" s="2" t="s">
        <v>111</v>
      </c>
      <c r="C23" s="2">
        <v>2</v>
      </c>
      <c r="D23" s="1">
        <v>606002</v>
      </c>
      <c r="E23" s="1" t="s">
        <v>54</v>
      </c>
      <c r="F23" s="1">
        <v>304002</v>
      </c>
      <c r="G23" s="1" t="s">
        <v>20</v>
      </c>
      <c r="H23" s="1">
        <v>609001</v>
      </c>
      <c r="I23" s="2" t="s">
        <v>113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15">
      <c r="A24" s="1">
        <v>122</v>
      </c>
      <c r="B24" s="2" t="s">
        <v>112</v>
      </c>
      <c r="C24" s="2">
        <v>2</v>
      </c>
      <c r="D24" s="1">
        <v>304002</v>
      </c>
      <c r="E24" s="2" t="s">
        <v>55</v>
      </c>
      <c r="F24" s="1">
        <v>606001</v>
      </c>
      <c r="G24" s="2" t="s">
        <v>56</v>
      </c>
      <c r="H24" s="1">
        <v>609001</v>
      </c>
      <c r="I24" s="2" t="s">
        <v>113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15">
      <c r="A25" s="1">
        <v>123</v>
      </c>
      <c r="B25" s="2" t="s">
        <v>146</v>
      </c>
      <c r="C25" s="2">
        <v>2</v>
      </c>
      <c r="D25" s="1">
        <v>304001</v>
      </c>
      <c r="E25" s="2" t="s">
        <v>52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15">
      <c r="A26" s="1">
        <v>124</v>
      </c>
      <c r="B26" s="2" t="s">
        <v>147</v>
      </c>
      <c r="C26" s="2">
        <v>2</v>
      </c>
      <c r="D26" s="1">
        <v>304007</v>
      </c>
      <c r="E26" s="1" t="s">
        <v>53</v>
      </c>
      <c r="F26" s="1">
        <v>304008</v>
      </c>
      <c r="G26" s="2" t="s">
        <v>57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15">
      <c r="A27" s="1">
        <v>125</v>
      </c>
      <c r="B27" s="2" t="s">
        <v>109</v>
      </c>
      <c r="C27" s="2">
        <v>1</v>
      </c>
      <c r="D27" s="1">
        <v>412003</v>
      </c>
      <c r="E27" s="2" t="s">
        <v>34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15">
      <c r="A28" s="1">
        <v>126</v>
      </c>
      <c r="B28" s="2" t="s">
        <v>35</v>
      </c>
      <c r="C28" s="2">
        <v>1</v>
      </c>
      <c r="D28" s="1">
        <v>429001</v>
      </c>
      <c r="E28" s="2" t="s">
        <v>36</v>
      </c>
      <c r="F28" s="1">
        <v>429002</v>
      </c>
      <c r="G28" s="2" t="s">
        <v>37</v>
      </c>
      <c r="H28" s="1">
        <v>429003</v>
      </c>
      <c r="I28" s="2" t="s">
        <v>38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15">
      <c r="A29" s="1">
        <v>127</v>
      </c>
      <c r="B29" s="2" t="s">
        <v>115</v>
      </c>
      <c r="C29" s="2">
        <v>1</v>
      </c>
      <c r="D29" s="1">
        <v>424001</v>
      </c>
      <c r="E29" s="2" t="s">
        <v>114</v>
      </c>
      <c r="F29" s="1">
        <v>424002</v>
      </c>
      <c r="G29" s="1" t="s">
        <v>93</v>
      </c>
      <c r="H29" s="1">
        <v>424003</v>
      </c>
      <c r="I29" s="1" t="s">
        <v>94</v>
      </c>
      <c r="J29" s="1">
        <v>424008</v>
      </c>
      <c r="K29" s="1" t="s">
        <v>95</v>
      </c>
      <c r="L29" s="1"/>
      <c r="M29" s="1"/>
      <c r="N29" s="1"/>
      <c r="O29" s="1"/>
      <c r="P29" s="1"/>
      <c r="Q29" s="1"/>
      <c r="R29" s="1"/>
      <c r="S29" s="1"/>
      <c r="T29" s="1"/>
      <c r="U29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F2319-6C6D-492D-BD55-08F9AED1F138}">
  <dimension ref="A1:Q12"/>
  <sheetViews>
    <sheetView workbookViewId="0">
      <selection activeCell="M20" sqref="M20"/>
    </sheetView>
  </sheetViews>
  <sheetFormatPr defaultRowHeight="13.5" x14ac:dyDescent="0.15"/>
  <cols>
    <col min="1" max="1" width="15.5" customWidth="1"/>
    <col min="5" max="6" width="7.125" customWidth="1"/>
    <col min="8" max="8" width="7.625" customWidth="1"/>
    <col min="9" max="9" width="6.625" customWidth="1"/>
    <col min="13" max="13" width="10.5" customWidth="1"/>
    <col min="14" max="14" width="9.25" customWidth="1"/>
    <col min="15" max="16" width="10.5" customWidth="1"/>
  </cols>
  <sheetData>
    <row r="1" spans="1:17" ht="40.5" x14ac:dyDescent="0.15">
      <c r="A1" s="3" t="s">
        <v>179</v>
      </c>
      <c r="B1" s="3"/>
      <c r="C1" s="3" t="s">
        <v>543</v>
      </c>
      <c r="D1" s="3" t="s">
        <v>532</v>
      </c>
      <c r="E1" s="3"/>
      <c r="F1" s="3" t="s">
        <v>533</v>
      </c>
      <c r="G1" s="3" t="s">
        <v>534</v>
      </c>
      <c r="H1" s="3"/>
      <c r="I1" s="3" t="s">
        <v>535</v>
      </c>
      <c r="J1" s="3" t="s">
        <v>512</v>
      </c>
      <c r="K1" s="3" t="s">
        <v>175</v>
      </c>
      <c r="L1" s="3" t="s">
        <v>176</v>
      </c>
      <c r="M1" s="3" t="s">
        <v>518</v>
      </c>
      <c r="N1" s="3"/>
      <c r="O1" s="3" t="s">
        <v>519</v>
      </c>
      <c r="P1" s="3"/>
      <c r="Q1" s="3" t="s">
        <v>514</v>
      </c>
    </row>
    <row r="2" spans="1:17" x14ac:dyDescent="0.15">
      <c r="A2" s="2" t="s">
        <v>1</v>
      </c>
      <c r="B2" s="2" t="s">
        <v>0</v>
      </c>
      <c r="C2" s="2" t="s">
        <v>544</v>
      </c>
      <c r="D2" s="2" t="s">
        <v>530</v>
      </c>
      <c r="E2" s="2" t="s">
        <v>529</v>
      </c>
      <c r="F2" s="2" t="s">
        <v>531</v>
      </c>
      <c r="G2" s="2" t="s">
        <v>541</v>
      </c>
      <c r="H2" s="2" t="s">
        <v>529</v>
      </c>
      <c r="I2" s="2" t="s">
        <v>542</v>
      </c>
      <c r="J2" s="2" t="s">
        <v>513</v>
      </c>
      <c r="K2" s="2" t="s">
        <v>177</v>
      </c>
      <c r="L2" s="2" t="s">
        <v>178</v>
      </c>
      <c r="M2" s="2" t="s">
        <v>516</v>
      </c>
      <c r="N2" s="2" t="s">
        <v>529</v>
      </c>
      <c r="O2" s="2" t="s">
        <v>517</v>
      </c>
      <c r="P2" s="2" t="s">
        <v>529</v>
      </c>
      <c r="Q2" s="2" t="s">
        <v>515</v>
      </c>
    </row>
    <row r="3" spans="1:17" x14ac:dyDescent="0.15">
      <c r="A3" s="1">
        <v>814001</v>
      </c>
      <c r="B3" s="2" t="s">
        <v>2</v>
      </c>
      <c r="C3" s="2">
        <v>0</v>
      </c>
      <c r="D3" s="1">
        <v>812000</v>
      </c>
      <c r="E3" s="3" t="s">
        <v>536</v>
      </c>
      <c r="F3" s="1">
        <v>20</v>
      </c>
      <c r="G3" s="2"/>
      <c r="H3" s="2"/>
      <c r="I3" s="1"/>
      <c r="J3" s="1">
        <v>1000</v>
      </c>
      <c r="K3" s="1">
        <v>30</v>
      </c>
      <c r="L3" s="1">
        <v>814001</v>
      </c>
      <c r="M3" s="1">
        <v>203046</v>
      </c>
      <c r="N3" s="25" t="s">
        <v>522</v>
      </c>
      <c r="O3" s="1"/>
      <c r="P3" s="1"/>
      <c r="Q3" s="1">
        <v>0.2</v>
      </c>
    </row>
    <row r="4" spans="1:17" x14ac:dyDescent="0.15">
      <c r="A4" s="1">
        <v>814002</v>
      </c>
      <c r="B4" s="2" t="s">
        <v>3</v>
      </c>
      <c r="C4" s="2">
        <v>0</v>
      </c>
      <c r="D4" s="1">
        <v>812000</v>
      </c>
      <c r="E4" s="3" t="s">
        <v>536</v>
      </c>
      <c r="F4" s="1">
        <v>20</v>
      </c>
      <c r="G4" s="2"/>
      <c r="H4" s="2"/>
      <c r="I4" s="1"/>
      <c r="J4" s="1">
        <v>2000</v>
      </c>
      <c r="K4" s="1">
        <v>30</v>
      </c>
      <c r="L4" s="1">
        <v>814002</v>
      </c>
      <c r="M4" s="1">
        <v>203045</v>
      </c>
      <c r="N4" s="8" t="s">
        <v>521</v>
      </c>
      <c r="O4" s="1"/>
      <c r="P4" s="1"/>
      <c r="Q4" s="1">
        <v>0.2</v>
      </c>
    </row>
    <row r="5" spans="1:17" x14ac:dyDescent="0.15">
      <c r="A5" s="1">
        <v>814003</v>
      </c>
      <c r="B5" s="2" t="s">
        <v>180</v>
      </c>
      <c r="C5" s="2">
        <v>0</v>
      </c>
      <c r="D5" s="1">
        <v>812000</v>
      </c>
      <c r="E5" s="3" t="s">
        <v>536</v>
      </c>
      <c r="F5" s="1">
        <v>20</v>
      </c>
      <c r="G5" s="1"/>
      <c r="H5" s="23"/>
      <c r="I5" s="1"/>
      <c r="J5" s="1">
        <v>3000</v>
      </c>
      <c r="K5" s="1">
        <v>30</v>
      </c>
      <c r="L5" s="1">
        <v>814003</v>
      </c>
      <c r="M5" s="1">
        <v>203042</v>
      </c>
      <c r="N5" s="25" t="s">
        <v>520</v>
      </c>
      <c r="O5" s="1"/>
      <c r="P5" s="1"/>
      <c r="Q5" s="1">
        <v>0.2</v>
      </c>
    </row>
    <row r="6" spans="1:17" x14ac:dyDescent="0.15">
      <c r="A6" s="1">
        <v>814004</v>
      </c>
      <c r="B6" s="2" t="s">
        <v>545</v>
      </c>
      <c r="C6" s="2">
        <v>0</v>
      </c>
      <c r="D6" s="1">
        <v>812000</v>
      </c>
      <c r="E6" s="3" t="s">
        <v>536</v>
      </c>
      <c r="F6" s="1">
        <v>20</v>
      </c>
      <c r="G6" s="1"/>
      <c r="H6" s="23"/>
      <c r="I6" s="1"/>
      <c r="J6" s="1">
        <v>4000</v>
      </c>
      <c r="K6" s="1">
        <v>30</v>
      </c>
      <c r="L6" s="1">
        <v>814004</v>
      </c>
      <c r="M6" s="1">
        <v>203044</v>
      </c>
      <c r="N6" s="8" t="s">
        <v>546</v>
      </c>
      <c r="O6" s="1"/>
      <c r="P6" s="1"/>
      <c r="Q6" s="1">
        <v>0.2</v>
      </c>
    </row>
    <row r="7" spans="1:17" x14ac:dyDescent="0.15">
      <c r="A7" s="1">
        <v>814005</v>
      </c>
      <c r="B7" s="2" t="s">
        <v>7</v>
      </c>
      <c r="C7" s="2">
        <v>0</v>
      </c>
      <c r="D7" s="1">
        <v>812000</v>
      </c>
      <c r="E7" s="3" t="s">
        <v>536</v>
      </c>
      <c r="F7" s="1">
        <f t="shared" ref="F7:F12" si="0">F5+10</f>
        <v>30</v>
      </c>
      <c r="G7" s="1">
        <v>812007</v>
      </c>
      <c r="H7" s="23" t="s">
        <v>538</v>
      </c>
      <c r="I7" s="1">
        <v>10</v>
      </c>
      <c r="J7" s="1">
        <v>5000</v>
      </c>
      <c r="K7" s="1">
        <v>30</v>
      </c>
      <c r="L7" s="1">
        <v>814005</v>
      </c>
      <c r="M7" s="1">
        <v>203043</v>
      </c>
      <c r="N7" s="8" t="s">
        <v>547</v>
      </c>
      <c r="O7" s="1">
        <v>203055</v>
      </c>
      <c r="P7" s="2" t="s">
        <v>551</v>
      </c>
      <c r="Q7" s="1">
        <v>0.2</v>
      </c>
    </row>
    <row r="8" spans="1:17" x14ac:dyDescent="0.15">
      <c r="A8" s="1">
        <v>814006</v>
      </c>
      <c r="B8" s="2" t="s">
        <v>6</v>
      </c>
      <c r="C8" s="2">
        <v>0</v>
      </c>
      <c r="D8" s="1">
        <v>812000</v>
      </c>
      <c r="E8" s="3" t="s">
        <v>536</v>
      </c>
      <c r="F8" s="1">
        <f t="shared" si="0"/>
        <v>30</v>
      </c>
      <c r="G8" s="1">
        <v>812005</v>
      </c>
      <c r="H8" s="23" t="s">
        <v>537</v>
      </c>
      <c r="I8" s="1">
        <v>15</v>
      </c>
      <c r="J8" s="1">
        <v>6000</v>
      </c>
      <c r="K8" s="1">
        <v>30</v>
      </c>
      <c r="L8" s="1">
        <v>814006</v>
      </c>
      <c r="M8" s="1">
        <v>203047</v>
      </c>
      <c r="N8" s="1" t="s">
        <v>523</v>
      </c>
      <c r="O8" s="1">
        <v>203054</v>
      </c>
      <c r="P8" s="2" t="s">
        <v>552</v>
      </c>
      <c r="Q8" s="1">
        <v>0.2</v>
      </c>
    </row>
    <row r="9" spans="1:17" x14ac:dyDescent="0.15">
      <c r="A9" s="1">
        <v>814007</v>
      </c>
      <c r="B9" s="2" t="s">
        <v>182</v>
      </c>
      <c r="C9" s="2">
        <v>0</v>
      </c>
      <c r="D9" s="1">
        <v>812000</v>
      </c>
      <c r="E9" s="3" t="s">
        <v>536</v>
      </c>
      <c r="F9" s="1">
        <f t="shared" si="0"/>
        <v>40</v>
      </c>
      <c r="G9" s="1">
        <v>812009</v>
      </c>
      <c r="H9" s="23" t="s">
        <v>540</v>
      </c>
      <c r="I9" s="1">
        <v>15</v>
      </c>
      <c r="J9" s="1">
        <v>7000</v>
      </c>
      <c r="K9" s="1">
        <v>30</v>
      </c>
      <c r="L9" s="1">
        <v>814007</v>
      </c>
      <c r="M9" s="1">
        <v>203050</v>
      </c>
      <c r="N9" s="1" t="s">
        <v>526</v>
      </c>
      <c r="O9" s="1">
        <v>203051</v>
      </c>
      <c r="P9" s="2" t="s">
        <v>553</v>
      </c>
      <c r="Q9" s="1">
        <v>0.2</v>
      </c>
    </row>
    <row r="10" spans="1:17" x14ac:dyDescent="0.15">
      <c r="A10" s="1">
        <v>814008</v>
      </c>
      <c r="B10" s="2" t="s">
        <v>5</v>
      </c>
      <c r="C10" s="2">
        <v>0</v>
      </c>
      <c r="D10" s="1">
        <v>812000</v>
      </c>
      <c r="E10" s="3" t="s">
        <v>536</v>
      </c>
      <c r="F10" s="1">
        <f t="shared" si="0"/>
        <v>40</v>
      </c>
      <c r="G10" s="1">
        <v>812008</v>
      </c>
      <c r="H10" s="23" t="s">
        <v>539</v>
      </c>
      <c r="I10" s="1">
        <v>15</v>
      </c>
      <c r="J10" s="1">
        <v>8000</v>
      </c>
      <c r="K10" s="1">
        <v>30</v>
      </c>
      <c r="L10" s="1">
        <v>814008</v>
      </c>
      <c r="M10" s="1">
        <v>203048</v>
      </c>
      <c r="N10" s="1" t="s">
        <v>524</v>
      </c>
      <c r="O10" s="1">
        <v>203056</v>
      </c>
      <c r="P10" s="2" t="s">
        <v>554</v>
      </c>
      <c r="Q10" s="1">
        <v>0.2</v>
      </c>
    </row>
    <row r="11" spans="1:17" x14ac:dyDescent="0.15">
      <c r="A11" s="1">
        <v>814009</v>
      </c>
      <c r="B11" s="2" t="s">
        <v>8</v>
      </c>
      <c r="C11" s="2">
        <v>0</v>
      </c>
      <c r="D11" s="1">
        <v>812000</v>
      </c>
      <c r="E11" s="3" t="s">
        <v>536</v>
      </c>
      <c r="F11" s="1">
        <f t="shared" si="0"/>
        <v>50</v>
      </c>
      <c r="G11" s="1">
        <v>812007</v>
      </c>
      <c r="H11" s="23" t="s">
        <v>538</v>
      </c>
      <c r="I11" s="1">
        <v>15</v>
      </c>
      <c r="J11" s="1">
        <v>9000</v>
      </c>
      <c r="K11" s="1">
        <v>30</v>
      </c>
      <c r="L11" s="1">
        <v>814009</v>
      </c>
      <c r="M11" s="1">
        <v>203049</v>
      </c>
      <c r="N11" s="1" t="s">
        <v>525</v>
      </c>
      <c r="O11" s="1">
        <v>203053</v>
      </c>
      <c r="P11" s="1" t="s">
        <v>528</v>
      </c>
      <c r="Q11" s="1">
        <v>0.2</v>
      </c>
    </row>
    <row r="12" spans="1:17" x14ac:dyDescent="0.15">
      <c r="A12" s="1">
        <v>814010</v>
      </c>
      <c r="B12" s="2" t="s">
        <v>4</v>
      </c>
      <c r="C12" s="2">
        <v>0</v>
      </c>
      <c r="D12" s="1">
        <v>812000</v>
      </c>
      <c r="E12" s="3" t="s">
        <v>536</v>
      </c>
      <c r="F12" s="1">
        <f t="shared" si="0"/>
        <v>50</v>
      </c>
      <c r="G12" s="1">
        <v>812009</v>
      </c>
      <c r="H12" s="23" t="s">
        <v>540</v>
      </c>
      <c r="I12" s="1">
        <v>20</v>
      </c>
      <c r="J12" s="1">
        <v>10000</v>
      </c>
      <c r="K12" s="1">
        <v>30</v>
      </c>
      <c r="L12" s="1">
        <v>814010</v>
      </c>
      <c r="M12" s="1">
        <v>203052</v>
      </c>
      <c r="N12" s="1" t="s">
        <v>527</v>
      </c>
      <c r="O12" s="1">
        <v>203057</v>
      </c>
      <c r="P12" s="2" t="s">
        <v>555</v>
      </c>
      <c r="Q12" s="1">
        <v>0.2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3145C-2E21-4C3B-AA6F-7A06C1BA5971}">
  <dimension ref="A1:AJ52"/>
  <sheetViews>
    <sheetView workbookViewId="0">
      <selection activeCell="H26" sqref="H26"/>
    </sheetView>
  </sheetViews>
  <sheetFormatPr defaultRowHeight="13.5" x14ac:dyDescent="0.15"/>
  <cols>
    <col min="3" max="3" width="11.25" customWidth="1"/>
    <col min="7" max="7" width="9" style="16"/>
    <col min="8" max="8" width="9.875" customWidth="1"/>
    <col min="11" max="11" width="9" style="16"/>
    <col min="12" max="12" width="9" style="12"/>
    <col min="15" max="15" width="9" style="16"/>
    <col min="16" max="16" width="9" style="12"/>
    <col min="19" max="19" width="9" style="16"/>
    <col min="23" max="23" width="9" style="16"/>
    <col min="27" max="27" width="9" style="16"/>
    <col min="28" max="28" width="9" style="12"/>
    <col min="31" max="31" width="9" style="16"/>
    <col min="32" max="32" width="9" style="12" customWidth="1"/>
    <col min="35" max="35" width="9" style="16"/>
    <col min="36" max="36" width="9" style="12"/>
  </cols>
  <sheetData>
    <row r="1" spans="1:36" ht="40.5" x14ac:dyDescent="0.15">
      <c r="A1" s="3" t="s">
        <v>179</v>
      </c>
      <c r="B1" s="3"/>
      <c r="C1" s="3" t="s">
        <v>194</v>
      </c>
      <c r="D1" s="3" t="s">
        <v>187</v>
      </c>
      <c r="E1" s="3"/>
      <c r="F1" s="3" t="s">
        <v>236</v>
      </c>
      <c r="G1" s="13" t="s">
        <v>237</v>
      </c>
      <c r="H1" s="3" t="s">
        <v>188</v>
      </c>
      <c r="I1" s="3" t="s">
        <v>195</v>
      </c>
      <c r="J1" s="3"/>
      <c r="K1" s="13" t="s">
        <v>237</v>
      </c>
      <c r="L1" s="9" t="s">
        <v>196</v>
      </c>
      <c r="M1" s="3" t="s">
        <v>197</v>
      </c>
      <c r="N1" s="3"/>
      <c r="O1" s="13" t="s">
        <v>237</v>
      </c>
      <c r="P1" s="9" t="s">
        <v>198</v>
      </c>
      <c r="Q1" s="3" t="s">
        <v>202</v>
      </c>
      <c r="R1" s="3"/>
      <c r="S1" s="13" t="s">
        <v>237</v>
      </c>
      <c r="T1" s="3" t="s">
        <v>201</v>
      </c>
      <c r="U1" s="3" t="s">
        <v>203</v>
      </c>
      <c r="V1" s="3"/>
      <c r="W1" s="13" t="s">
        <v>237</v>
      </c>
      <c r="X1" s="3" t="s">
        <v>205</v>
      </c>
      <c r="Y1" s="3" t="s">
        <v>223</v>
      </c>
      <c r="Z1" s="3"/>
      <c r="AA1" s="13" t="s">
        <v>237</v>
      </c>
      <c r="AB1" s="9" t="s">
        <v>224</v>
      </c>
      <c r="AC1" s="3" t="s">
        <v>225</v>
      </c>
      <c r="AD1" s="3"/>
      <c r="AE1" s="13" t="s">
        <v>237</v>
      </c>
      <c r="AF1" s="9" t="s">
        <v>226</v>
      </c>
      <c r="AG1" s="3" t="s">
        <v>227</v>
      </c>
      <c r="AH1" s="3"/>
      <c r="AI1" s="13" t="s">
        <v>237</v>
      </c>
      <c r="AJ1" s="9" t="s">
        <v>233</v>
      </c>
    </row>
    <row r="2" spans="1:36" x14ac:dyDescent="0.15">
      <c r="A2" s="2" t="s">
        <v>183</v>
      </c>
      <c r="B2" s="2" t="s">
        <v>0</v>
      </c>
      <c r="C2" s="2" t="s">
        <v>184</v>
      </c>
      <c r="D2" s="2" t="s">
        <v>185</v>
      </c>
      <c r="E2" s="2" t="s">
        <v>11</v>
      </c>
      <c r="F2" s="2" t="s">
        <v>11</v>
      </c>
      <c r="G2" s="14" t="s">
        <v>11</v>
      </c>
      <c r="H2" s="2" t="s">
        <v>186</v>
      </c>
      <c r="I2" s="2" t="s">
        <v>189</v>
      </c>
      <c r="J2" s="2" t="s">
        <v>11</v>
      </c>
      <c r="K2" s="14" t="s">
        <v>11</v>
      </c>
      <c r="L2" s="10" t="s">
        <v>190</v>
      </c>
      <c r="M2" s="2" t="s">
        <v>191</v>
      </c>
      <c r="N2" s="2" t="s">
        <v>11</v>
      </c>
      <c r="O2" s="14" t="s">
        <v>11</v>
      </c>
      <c r="P2" s="10" t="s">
        <v>192</v>
      </c>
      <c r="Q2" s="2" t="s">
        <v>199</v>
      </c>
      <c r="R2" s="2" t="s">
        <v>11</v>
      </c>
      <c r="S2" s="14" t="s">
        <v>11</v>
      </c>
      <c r="T2" s="2" t="s">
        <v>200</v>
      </c>
      <c r="U2" s="2" t="s">
        <v>204</v>
      </c>
      <c r="V2" s="2" t="s">
        <v>11</v>
      </c>
      <c r="W2" s="14" t="s">
        <v>11</v>
      </c>
      <c r="X2" s="2" t="s">
        <v>206</v>
      </c>
      <c r="Y2" s="2" t="s">
        <v>228</v>
      </c>
      <c r="Z2" s="2" t="s">
        <v>11</v>
      </c>
      <c r="AA2" s="14" t="s">
        <v>11</v>
      </c>
      <c r="AB2" s="10" t="s">
        <v>229</v>
      </c>
      <c r="AC2" s="2" t="s">
        <v>230</v>
      </c>
      <c r="AD2" s="2" t="s">
        <v>11</v>
      </c>
      <c r="AE2" s="14" t="s">
        <v>11</v>
      </c>
      <c r="AF2" s="10" t="s">
        <v>231</v>
      </c>
      <c r="AG2" s="2" t="s">
        <v>232</v>
      </c>
      <c r="AH2" s="2" t="s">
        <v>11</v>
      </c>
      <c r="AI2" s="14" t="s">
        <v>11</v>
      </c>
      <c r="AJ2" s="10" t="s">
        <v>234</v>
      </c>
    </row>
    <row r="3" spans="1:36" x14ac:dyDescent="0.15">
      <c r="A3" s="1">
        <v>814001</v>
      </c>
      <c r="B3" s="2" t="s">
        <v>2</v>
      </c>
      <c r="C3" s="2">
        <v>1</v>
      </c>
      <c r="D3" s="1">
        <v>305001</v>
      </c>
      <c r="E3" s="1" t="s">
        <v>18</v>
      </c>
      <c r="F3" s="1">
        <v>1</v>
      </c>
      <c r="G3" s="15">
        <v>50000</v>
      </c>
      <c r="H3" s="1">
        <v>50000</v>
      </c>
      <c r="I3" s="1">
        <v>404001</v>
      </c>
      <c r="J3" s="1" t="s">
        <v>27</v>
      </c>
      <c r="K3" s="15">
        <v>500</v>
      </c>
      <c r="L3" s="11">
        <f>K3*F3</f>
        <v>500</v>
      </c>
      <c r="M3" s="1">
        <v>612001</v>
      </c>
      <c r="N3" s="2" t="s">
        <v>15</v>
      </c>
      <c r="O3" s="15">
        <v>100</v>
      </c>
      <c r="P3" s="11">
        <f>O3*F3</f>
        <v>100</v>
      </c>
      <c r="Q3" s="1">
        <v>602002</v>
      </c>
      <c r="R3" s="1" t="s">
        <v>32</v>
      </c>
      <c r="S3" s="15">
        <v>500</v>
      </c>
      <c r="T3" s="1">
        <f>S3*F3</f>
        <v>500</v>
      </c>
      <c r="U3" s="1">
        <v>423001</v>
      </c>
      <c r="V3" s="2" t="s">
        <v>40</v>
      </c>
      <c r="W3" s="15">
        <v>100</v>
      </c>
      <c r="X3" s="1">
        <f>W3*F3</f>
        <v>100</v>
      </c>
      <c r="Y3" s="1">
        <v>413005</v>
      </c>
      <c r="Z3" s="1" t="s">
        <v>208</v>
      </c>
      <c r="AA3" s="15">
        <v>50</v>
      </c>
      <c r="AB3" s="11">
        <f>AA3*F3</f>
        <v>50</v>
      </c>
      <c r="AC3" s="1">
        <v>415005</v>
      </c>
      <c r="AD3" s="1" t="s">
        <v>210</v>
      </c>
      <c r="AE3" s="15">
        <v>50</v>
      </c>
      <c r="AF3" s="11">
        <f>AE3*F3</f>
        <v>50</v>
      </c>
      <c r="AG3" s="1">
        <v>414005</v>
      </c>
      <c r="AH3" s="1" t="s">
        <v>212</v>
      </c>
      <c r="AI3" s="15">
        <v>10</v>
      </c>
      <c r="AJ3" s="11">
        <f>AI3*F3</f>
        <v>10</v>
      </c>
    </row>
    <row r="4" spans="1:36" x14ac:dyDescent="0.15">
      <c r="A4" s="1">
        <v>814002</v>
      </c>
      <c r="B4" s="2" t="s">
        <v>3</v>
      </c>
      <c r="C4" s="2">
        <v>1</v>
      </c>
      <c r="D4" s="1">
        <v>305001</v>
      </c>
      <c r="E4" s="1" t="s">
        <v>18</v>
      </c>
      <c r="F4" s="1">
        <v>1</v>
      </c>
      <c r="G4" s="15">
        <v>60000</v>
      </c>
      <c r="H4" s="1">
        <v>60000</v>
      </c>
      <c r="I4" s="1">
        <v>404002</v>
      </c>
      <c r="J4" s="1" t="s">
        <v>28</v>
      </c>
      <c r="K4" s="15">
        <v>550</v>
      </c>
      <c r="L4" s="11">
        <f t="shared" ref="L4:L52" si="0">K4*F4</f>
        <v>550</v>
      </c>
      <c r="M4" s="1">
        <v>612002</v>
      </c>
      <c r="N4" s="1" t="s">
        <v>16</v>
      </c>
      <c r="O4" s="15">
        <v>150</v>
      </c>
      <c r="P4" s="11">
        <f t="shared" ref="P4:P52" si="1">O4*F4</f>
        <v>150</v>
      </c>
      <c r="Q4" s="1">
        <v>602002</v>
      </c>
      <c r="R4" s="1" t="s">
        <v>32</v>
      </c>
      <c r="S4" s="15">
        <v>550</v>
      </c>
      <c r="T4" s="1">
        <f t="shared" ref="T4:T52" si="2">S4*F4</f>
        <v>550</v>
      </c>
      <c r="U4" s="1">
        <v>423003</v>
      </c>
      <c r="V4" s="2" t="s">
        <v>41</v>
      </c>
      <c r="W4" s="15">
        <v>50</v>
      </c>
      <c r="X4" s="1">
        <f t="shared" ref="X4:X52" si="3">W4*F4</f>
        <v>50</v>
      </c>
      <c r="Y4" s="1">
        <v>413005</v>
      </c>
      <c r="Z4" s="1" t="s">
        <v>208</v>
      </c>
      <c r="AA4" s="15">
        <v>55</v>
      </c>
      <c r="AB4" s="11">
        <f t="shared" ref="AB4:AB52" si="4">AA4*F4</f>
        <v>55</v>
      </c>
      <c r="AC4" s="1">
        <v>415005</v>
      </c>
      <c r="AD4" s="1" t="s">
        <v>210</v>
      </c>
      <c r="AE4" s="15">
        <v>55</v>
      </c>
      <c r="AF4" s="11">
        <f t="shared" ref="AF4:AF52" si="5">AE4*F4</f>
        <v>55</v>
      </c>
      <c r="AG4" s="1">
        <v>414005</v>
      </c>
      <c r="AH4" s="1" t="s">
        <v>212</v>
      </c>
      <c r="AI4" s="15">
        <v>15</v>
      </c>
      <c r="AJ4" s="11">
        <f t="shared" ref="AJ4:AJ52" si="6">AI4*F4</f>
        <v>15</v>
      </c>
    </row>
    <row r="5" spans="1:36" x14ac:dyDescent="0.15">
      <c r="A5" s="1">
        <v>814003</v>
      </c>
      <c r="B5" s="2" t="s">
        <v>180</v>
      </c>
      <c r="C5" s="2">
        <v>1</v>
      </c>
      <c r="D5" s="1">
        <v>305001</v>
      </c>
      <c r="E5" s="1" t="s">
        <v>18</v>
      </c>
      <c r="F5" s="1">
        <v>1</v>
      </c>
      <c r="G5" s="15">
        <v>70000</v>
      </c>
      <c r="H5" s="1">
        <v>70000</v>
      </c>
      <c r="I5" s="1">
        <v>404001</v>
      </c>
      <c r="J5" s="1" t="s">
        <v>27</v>
      </c>
      <c r="K5" s="15">
        <v>600</v>
      </c>
      <c r="L5" s="11">
        <f t="shared" si="0"/>
        <v>600</v>
      </c>
      <c r="M5" s="1">
        <v>612003</v>
      </c>
      <c r="N5" s="1" t="s">
        <v>17</v>
      </c>
      <c r="O5" s="15">
        <v>200</v>
      </c>
      <c r="P5" s="11">
        <f t="shared" si="1"/>
        <v>200</v>
      </c>
      <c r="Q5" s="1">
        <v>602002</v>
      </c>
      <c r="R5" s="1" t="s">
        <v>32</v>
      </c>
      <c r="S5" s="15">
        <v>600</v>
      </c>
      <c r="T5" s="1">
        <f t="shared" si="2"/>
        <v>600</v>
      </c>
      <c r="U5" s="1">
        <v>423001</v>
      </c>
      <c r="V5" s="2" t="s">
        <v>40</v>
      </c>
      <c r="W5" s="15">
        <v>200</v>
      </c>
      <c r="X5" s="1">
        <f t="shared" si="3"/>
        <v>200</v>
      </c>
      <c r="Y5" s="1">
        <v>413005</v>
      </c>
      <c r="Z5" s="1" t="s">
        <v>208</v>
      </c>
      <c r="AA5" s="15">
        <v>60</v>
      </c>
      <c r="AB5" s="11">
        <f t="shared" si="4"/>
        <v>60</v>
      </c>
      <c r="AC5" s="1">
        <v>415005</v>
      </c>
      <c r="AD5" s="1" t="s">
        <v>210</v>
      </c>
      <c r="AE5" s="15">
        <v>60</v>
      </c>
      <c r="AF5" s="11">
        <f t="shared" si="5"/>
        <v>60</v>
      </c>
      <c r="AG5" s="1">
        <v>414005</v>
      </c>
      <c r="AH5" s="1" t="s">
        <v>212</v>
      </c>
      <c r="AI5" s="15">
        <v>20</v>
      </c>
      <c r="AJ5" s="11">
        <f t="shared" si="6"/>
        <v>20</v>
      </c>
    </row>
    <row r="6" spans="1:36" x14ac:dyDescent="0.15">
      <c r="A6" s="1">
        <v>814004</v>
      </c>
      <c r="B6" s="2" t="s">
        <v>181</v>
      </c>
      <c r="C6" s="2">
        <v>1</v>
      </c>
      <c r="D6" s="1">
        <v>305001</v>
      </c>
      <c r="E6" s="1" t="s">
        <v>18</v>
      </c>
      <c r="F6" s="1">
        <v>1</v>
      </c>
      <c r="G6" s="15">
        <v>80000</v>
      </c>
      <c r="H6" s="1">
        <v>80000</v>
      </c>
      <c r="I6" s="1">
        <v>404002</v>
      </c>
      <c r="J6" s="2" t="s">
        <v>193</v>
      </c>
      <c r="K6" s="15">
        <v>650</v>
      </c>
      <c r="L6" s="11">
        <f t="shared" si="0"/>
        <v>650</v>
      </c>
      <c r="M6" s="1">
        <v>612001</v>
      </c>
      <c r="N6" s="2" t="s">
        <v>15</v>
      </c>
      <c r="O6" s="15">
        <v>250</v>
      </c>
      <c r="P6" s="11">
        <f t="shared" si="1"/>
        <v>250</v>
      </c>
      <c r="Q6" s="1">
        <v>602002</v>
      </c>
      <c r="R6" s="1" t="s">
        <v>32</v>
      </c>
      <c r="S6" s="15">
        <v>650</v>
      </c>
      <c r="T6" s="1">
        <f t="shared" si="2"/>
        <v>650</v>
      </c>
      <c r="U6" s="1">
        <v>423003</v>
      </c>
      <c r="V6" s="2" t="s">
        <v>41</v>
      </c>
      <c r="W6" s="15">
        <v>100</v>
      </c>
      <c r="X6" s="1">
        <f t="shared" si="3"/>
        <v>100</v>
      </c>
      <c r="Y6" s="1">
        <v>413006</v>
      </c>
      <c r="Z6" s="1" t="s">
        <v>209</v>
      </c>
      <c r="AA6" s="15">
        <v>65</v>
      </c>
      <c r="AB6" s="11">
        <f t="shared" si="4"/>
        <v>65</v>
      </c>
      <c r="AC6" s="1">
        <v>415006</v>
      </c>
      <c r="AD6" s="1" t="s">
        <v>211</v>
      </c>
      <c r="AE6" s="15">
        <v>65</v>
      </c>
      <c r="AF6" s="11">
        <f t="shared" si="5"/>
        <v>65</v>
      </c>
      <c r="AG6" s="1">
        <v>414006</v>
      </c>
      <c r="AH6" s="1" t="s">
        <v>213</v>
      </c>
      <c r="AI6" s="15">
        <v>25</v>
      </c>
      <c r="AJ6" s="11">
        <f t="shared" si="6"/>
        <v>25</v>
      </c>
    </row>
    <row r="7" spans="1:36" x14ac:dyDescent="0.15">
      <c r="A7" s="1">
        <v>814005</v>
      </c>
      <c r="B7" s="2" t="s">
        <v>7</v>
      </c>
      <c r="C7" s="2">
        <v>1</v>
      </c>
      <c r="D7" s="1">
        <v>305001</v>
      </c>
      <c r="E7" s="1" t="s">
        <v>18</v>
      </c>
      <c r="F7" s="1">
        <v>1</v>
      </c>
      <c r="G7" s="15">
        <v>90000</v>
      </c>
      <c r="H7" s="1">
        <v>90000</v>
      </c>
      <c r="I7" s="1">
        <v>404001</v>
      </c>
      <c r="J7" s="1" t="s">
        <v>27</v>
      </c>
      <c r="K7" s="15">
        <v>700</v>
      </c>
      <c r="L7" s="11">
        <f t="shared" si="0"/>
        <v>700</v>
      </c>
      <c r="M7" s="1">
        <v>612002</v>
      </c>
      <c r="N7" s="1" t="s">
        <v>16</v>
      </c>
      <c r="O7" s="15">
        <v>300</v>
      </c>
      <c r="P7" s="11">
        <f t="shared" si="1"/>
        <v>300</v>
      </c>
      <c r="Q7" s="1">
        <v>602002</v>
      </c>
      <c r="R7" s="1" t="s">
        <v>32</v>
      </c>
      <c r="S7" s="15">
        <v>700</v>
      </c>
      <c r="T7" s="1">
        <f t="shared" si="2"/>
        <v>700</v>
      </c>
      <c r="U7" s="1">
        <v>423001</v>
      </c>
      <c r="V7" s="2" t="s">
        <v>40</v>
      </c>
      <c r="W7" s="15">
        <v>300</v>
      </c>
      <c r="X7" s="1">
        <f t="shared" si="3"/>
        <v>300</v>
      </c>
      <c r="Y7" s="1">
        <v>413006</v>
      </c>
      <c r="Z7" s="1" t="s">
        <v>209</v>
      </c>
      <c r="AA7" s="15">
        <v>70</v>
      </c>
      <c r="AB7" s="11">
        <f t="shared" si="4"/>
        <v>70</v>
      </c>
      <c r="AC7" s="1">
        <v>415006</v>
      </c>
      <c r="AD7" s="1" t="s">
        <v>211</v>
      </c>
      <c r="AE7" s="15">
        <v>70</v>
      </c>
      <c r="AF7" s="11">
        <f t="shared" si="5"/>
        <v>70</v>
      </c>
      <c r="AG7" s="1">
        <v>414006</v>
      </c>
      <c r="AH7" s="1" t="s">
        <v>213</v>
      </c>
      <c r="AI7" s="15">
        <v>30</v>
      </c>
      <c r="AJ7" s="11">
        <f t="shared" si="6"/>
        <v>30</v>
      </c>
    </row>
    <row r="8" spans="1:36" x14ac:dyDescent="0.15">
      <c r="A8" s="1">
        <v>814006</v>
      </c>
      <c r="B8" s="2" t="s">
        <v>6</v>
      </c>
      <c r="C8" s="2">
        <v>1</v>
      </c>
      <c r="D8" s="1">
        <v>305001</v>
      </c>
      <c r="E8" s="1" t="s">
        <v>18</v>
      </c>
      <c r="F8" s="1">
        <v>1</v>
      </c>
      <c r="G8" s="15">
        <v>100000</v>
      </c>
      <c r="H8" s="1">
        <v>100000</v>
      </c>
      <c r="I8" s="1">
        <v>404003</v>
      </c>
      <c r="J8" s="1" t="s">
        <v>29</v>
      </c>
      <c r="K8" s="15">
        <v>750</v>
      </c>
      <c r="L8" s="11">
        <f t="shared" si="0"/>
        <v>750</v>
      </c>
      <c r="M8" s="1">
        <v>612003</v>
      </c>
      <c r="N8" s="1" t="s">
        <v>17</v>
      </c>
      <c r="O8" s="15">
        <v>350</v>
      </c>
      <c r="P8" s="11">
        <f t="shared" si="1"/>
        <v>350</v>
      </c>
      <c r="Q8" s="1">
        <v>602002</v>
      </c>
      <c r="R8" s="1" t="s">
        <v>32</v>
      </c>
      <c r="S8" s="15">
        <v>750</v>
      </c>
      <c r="T8" s="1">
        <f t="shared" si="2"/>
        <v>750</v>
      </c>
      <c r="U8" s="1">
        <v>423003</v>
      </c>
      <c r="V8" s="2" t="s">
        <v>41</v>
      </c>
      <c r="W8" s="15">
        <v>150</v>
      </c>
      <c r="X8" s="1">
        <f t="shared" si="3"/>
        <v>150</v>
      </c>
      <c r="Y8" s="1">
        <v>413006</v>
      </c>
      <c r="Z8" s="1" t="s">
        <v>209</v>
      </c>
      <c r="AA8" s="15">
        <v>75</v>
      </c>
      <c r="AB8" s="11">
        <f t="shared" si="4"/>
        <v>75</v>
      </c>
      <c r="AC8" s="1">
        <v>415006</v>
      </c>
      <c r="AD8" s="1" t="s">
        <v>211</v>
      </c>
      <c r="AE8" s="15">
        <v>75</v>
      </c>
      <c r="AF8" s="11">
        <f t="shared" si="5"/>
        <v>75</v>
      </c>
      <c r="AG8" s="1">
        <v>414006</v>
      </c>
      <c r="AH8" s="1" t="s">
        <v>213</v>
      </c>
      <c r="AI8" s="15">
        <v>35</v>
      </c>
      <c r="AJ8" s="11">
        <f t="shared" si="6"/>
        <v>35</v>
      </c>
    </row>
    <row r="9" spans="1:36" x14ac:dyDescent="0.15">
      <c r="A9" s="1">
        <v>814007</v>
      </c>
      <c r="B9" s="2" t="s">
        <v>182</v>
      </c>
      <c r="C9" s="2">
        <v>1</v>
      </c>
      <c r="D9" s="1">
        <v>305001</v>
      </c>
      <c r="E9" s="1" t="s">
        <v>18</v>
      </c>
      <c r="F9" s="1">
        <v>1</v>
      </c>
      <c r="G9" s="15">
        <v>110000</v>
      </c>
      <c r="H9" s="1">
        <v>110000</v>
      </c>
      <c r="I9" s="1">
        <v>404001</v>
      </c>
      <c r="J9" s="1" t="s">
        <v>27</v>
      </c>
      <c r="K9" s="15">
        <v>800</v>
      </c>
      <c r="L9" s="11">
        <f t="shared" si="0"/>
        <v>800</v>
      </c>
      <c r="M9" s="1">
        <v>612001</v>
      </c>
      <c r="N9" s="2" t="s">
        <v>15</v>
      </c>
      <c r="O9" s="15">
        <v>400</v>
      </c>
      <c r="P9" s="11">
        <f t="shared" si="1"/>
        <v>400</v>
      </c>
      <c r="Q9" s="1">
        <v>602002</v>
      </c>
      <c r="R9" s="1" t="s">
        <v>32</v>
      </c>
      <c r="S9" s="15">
        <v>800</v>
      </c>
      <c r="T9" s="1">
        <f t="shared" si="2"/>
        <v>800</v>
      </c>
      <c r="U9" s="1">
        <v>423001</v>
      </c>
      <c r="V9" s="2" t="s">
        <v>40</v>
      </c>
      <c r="W9" s="15">
        <v>400</v>
      </c>
      <c r="X9" s="1">
        <f t="shared" si="3"/>
        <v>400</v>
      </c>
      <c r="Y9" s="1">
        <v>413007</v>
      </c>
      <c r="Z9" s="1" t="s">
        <v>220</v>
      </c>
      <c r="AA9" s="15">
        <v>80</v>
      </c>
      <c r="AB9" s="11">
        <f t="shared" si="4"/>
        <v>80</v>
      </c>
      <c r="AC9" s="1">
        <v>415007</v>
      </c>
      <c r="AD9" s="1" t="s">
        <v>221</v>
      </c>
      <c r="AE9" s="15">
        <v>80</v>
      </c>
      <c r="AF9" s="11">
        <f t="shared" si="5"/>
        <v>80</v>
      </c>
      <c r="AG9" s="1">
        <v>414007</v>
      </c>
      <c r="AH9" s="1" t="s">
        <v>222</v>
      </c>
      <c r="AI9" s="15">
        <v>40</v>
      </c>
      <c r="AJ9" s="11">
        <f t="shared" si="6"/>
        <v>40</v>
      </c>
    </row>
    <row r="10" spans="1:36" x14ac:dyDescent="0.15">
      <c r="A10" s="1">
        <v>814008</v>
      </c>
      <c r="B10" s="2" t="s">
        <v>5</v>
      </c>
      <c r="C10" s="2">
        <v>1</v>
      </c>
      <c r="D10" s="1">
        <v>305002</v>
      </c>
      <c r="E10" s="2" t="s">
        <v>22</v>
      </c>
      <c r="F10" s="1">
        <v>1</v>
      </c>
      <c r="G10" s="15">
        <v>120000</v>
      </c>
      <c r="H10" s="1">
        <v>120000</v>
      </c>
      <c r="I10" s="1">
        <v>404003</v>
      </c>
      <c r="J10" s="1" t="s">
        <v>29</v>
      </c>
      <c r="K10" s="15">
        <v>850</v>
      </c>
      <c r="L10" s="11">
        <f t="shared" si="0"/>
        <v>850</v>
      </c>
      <c r="M10" s="1">
        <v>612002</v>
      </c>
      <c r="N10" s="1" t="s">
        <v>16</v>
      </c>
      <c r="O10" s="15">
        <v>450</v>
      </c>
      <c r="P10" s="11">
        <f t="shared" si="1"/>
        <v>450</v>
      </c>
      <c r="Q10" s="1">
        <v>602002</v>
      </c>
      <c r="R10" s="1" t="s">
        <v>32</v>
      </c>
      <c r="S10" s="15">
        <v>850</v>
      </c>
      <c r="T10" s="1">
        <f t="shared" si="2"/>
        <v>850</v>
      </c>
      <c r="U10" s="1">
        <v>423003</v>
      </c>
      <c r="V10" s="2" t="s">
        <v>41</v>
      </c>
      <c r="W10" s="15">
        <v>200</v>
      </c>
      <c r="X10" s="1">
        <f t="shared" si="3"/>
        <v>200</v>
      </c>
      <c r="Y10" s="1">
        <v>413007</v>
      </c>
      <c r="Z10" s="1" t="s">
        <v>220</v>
      </c>
      <c r="AA10" s="15">
        <v>85</v>
      </c>
      <c r="AB10" s="11">
        <f t="shared" si="4"/>
        <v>85</v>
      </c>
      <c r="AC10" s="1">
        <v>415007</v>
      </c>
      <c r="AD10" s="1" t="s">
        <v>221</v>
      </c>
      <c r="AE10" s="15">
        <v>85</v>
      </c>
      <c r="AF10" s="11">
        <f t="shared" si="5"/>
        <v>85</v>
      </c>
      <c r="AG10" s="1">
        <v>414007</v>
      </c>
      <c r="AH10" s="1" t="s">
        <v>222</v>
      </c>
      <c r="AI10" s="15">
        <v>45</v>
      </c>
      <c r="AJ10" s="11">
        <f t="shared" si="6"/>
        <v>45</v>
      </c>
    </row>
    <row r="11" spans="1:36" x14ac:dyDescent="0.15">
      <c r="A11" s="1">
        <v>814009</v>
      </c>
      <c r="B11" s="2" t="s">
        <v>8</v>
      </c>
      <c r="C11" s="2">
        <v>1</v>
      </c>
      <c r="D11" s="1">
        <v>305002</v>
      </c>
      <c r="E11" s="2" t="s">
        <v>22</v>
      </c>
      <c r="F11" s="1">
        <v>1</v>
      </c>
      <c r="G11" s="15">
        <v>130000</v>
      </c>
      <c r="H11" s="1">
        <v>130000</v>
      </c>
      <c r="I11" s="1">
        <v>404002</v>
      </c>
      <c r="J11" s="2" t="s">
        <v>193</v>
      </c>
      <c r="K11" s="15">
        <v>900</v>
      </c>
      <c r="L11" s="11">
        <f t="shared" si="0"/>
        <v>900</v>
      </c>
      <c r="M11" s="1">
        <v>612003</v>
      </c>
      <c r="N11" s="1" t="s">
        <v>17</v>
      </c>
      <c r="O11" s="15">
        <v>500</v>
      </c>
      <c r="P11" s="11">
        <f t="shared" si="1"/>
        <v>500</v>
      </c>
      <c r="Q11" s="1">
        <v>602002</v>
      </c>
      <c r="R11" s="1" t="s">
        <v>32</v>
      </c>
      <c r="S11" s="15">
        <v>900</v>
      </c>
      <c r="T11" s="1">
        <f t="shared" si="2"/>
        <v>900</v>
      </c>
      <c r="U11" s="1">
        <v>423001</v>
      </c>
      <c r="V11" s="2" t="s">
        <v>40</v>
      </c>
      <c r="W11" s="15">
        <v>500</v>
      </c>
      <c r="X11" s="1">
        <f t="shared" si="3"/>
        <v>500</v>
      </c>
      <c r="Y11" s="1">
        <v>413007</v>
      </c>
      <c r="Z11" s="1" t="s">
        <v>220</v>
      </c>
      <c r="AA11" s="15">
        <v>90</v>
      </c>
      <c r="AB11" s="11">
        <f t="shared" si="4"/>
        <v>90</v>
      </c>
      <c r="AC11" s="1">
        <v>415007</v>
      </c>
      <c r="AD11" s="1" t="s">
        <v>221</v>
      </c>
      <c r="AE11" s="15">
        <v>90</v>
      </c>
      <c r="AF11" s="11">
        <f t="shared" si="5"/>
        <v>90</v>
      </c>
      <c r="AG11" s="1">
        <v>414007</v>
      </c>
      <c r="AH11" s="1" t="s">
        <v>222</v>
      </c>
      <c r="AI11" s="15">
        <v>50</v>
      </c>
      <c r="AJ11" s="11">
        <f t="shared" si="6"/>
        <v>50</v>
      </c>
    </row>
    <row r="12" spans="1:36" x14ac:dyDescent="0.15">
      <c r="A12" s="1">
        <v>814010</v>
      </c>
      <c r="B12" s="2" t="s">
        <v>4</v>
      </c>
      <c r="C12" s="2">
        <v>1</v>
      </c>
      <c r="D12" s="1">
        <v>305002</v>
      </c>
      <c r="E12" s="2" t="s">
        <v>22</v>
      </c>
      <c r="F12" s="1">
        <v>1</v>
      </c>
      <c r="G12" s="15">
        <v>140000</v>
      </c>
      <c r="H12" s="1">
        <v>140000</v>
      </c>
      <c r="I12" s="1">
        <v>404003</v>
      </c>
      <c r="J12" s="1" t="s">
        <v>29</v>
      </c>
      <c r="K12" s="15">
        <v>950</v>
      </c>
      <c r="L12" s="11">
        <f t="shared" si="0"/>
        <v>950</v>
      </c>
      <c r="M12" s="1">
        <v>612001</v>
      </c>
      <c r="N12" s="2" t="s">
        <v>15</v>
      </c>
      <c r="O12" s="15">
        <v>550</v>
      </c>
      <c r="P12" s="11">
        <f t="shared" si="1"/>
        <v>550</v>
      </c>
      <c r="Q12" s="1">
        <v>602002</v>
      </c>
      <c r="R12" s="1" t="s">
        <v>32</v>
      </c>
      <c r="S12" s="15">
        <v>950</v>
      </c>
      <c r="T12" s="1">
        <f t="shared" si="2"/>
        <v>950</v>
      </c>
      <c r="U12" s="1">
        <v>423003</v>
      </c>
      <c r="V12" s="2" t="s">
        <v>41</v>
      </c>
      <c r="W12" s="15">
        <v>250</v>
      </c>
      <c r="X12" s="1">
        <f t="shared" si="3"/>
        <v>250</v>
      </c>
      <c r="Y12" s="1">
        <v>413007</v>
      </c>
      <c r="Z12" s="1" t="s">
        <v>220</v>
      </c>
      <c r="AA12" s="15">
        <v>95</v>
      </c>
      <c r="AB12" s="11">
        <f t="shared" si="4"/>
        <v>95</v>
      </c>
      <c r="AC12" s="1">
        <v>415007</v>
      </c>
      <c r="AD12" s="1" t="s">
        <v>221</v>
      </c>
      <c r="AE12" s="15">
        <v>95</v>
      </c>
      <c r="AF12" s="11">
        <f t="shared" si="5"/>
        <v>95</v>
      </c>
      <c r="AG12" s="1">
        <v>414007</v>
      </c>
      <c r="AH12" s="1" t="s">
        <v>222</v>
      </c>
      <c r="AI12" s="15">
        <v>55</v>
      </c>
      <c r="AJ12" s="11">
        <f t="shared" si="6"/>
        <v>55</v>
      </c>
    </row>
    <row r="13" spans="1:36" x14ac:dyDescent="0.15">
      <c r="A13" s="1">
        <v>814001</v>
      </c>
      <c r="B13" s="2" t="s">
        <v>2</v>
      </c>
      <c r="C13" s="2">
        <f>C3+1</f>
        <v>2</v>
      </c>
      <c r="D13" s="1">
        <v>305001</v>
      </c>
      <c r="E13" s="1" t="s">
        <v>18</v>
      </c>
      <c r="F13" s="1">
        <v>1.3</v>
      </c>
      <c r="G13" s="15">
        <f>G3</f>
        <v>50000</v>
      </c>
      <c r="H13" s="1">
        <f>G13*F13</f>
        <v>65000</v>
      </c>
      <c r="I13" s="1">
        <v>404001</v>
      </c>
      <c r="J13" s="1" t="s">
        <v>27</v>
      </c>
      <c r="K13" s="15">
        <f>K3</f>
        <v>500</v>
      </c>
      <c r="L13" s="11">
        <f t="shared" si="0"/>
        <v>650</v>
      </c>
      <c r="M13" s="1">
        <v>612001</v>
      </c>
      <c r="N13" s="2" t="s">
        <v>15</v>
      </c>
      <c r="O13" s="14">
        <f>O3</f>
        <v>100</v>
      </c>
      <c r="P13" s="11">
        <f t="shared" si="1"/>
        <v>130</v>
      </c>
      <c r="Q13" s="1">
        <v>602002</v>
      </c>
      <c r="R13" s="1" t="s">
        <v>32</v>
      </c>
      <c r="S13" s="14">
        <f>S3</f>
        <v>500</v>
      </c>
      <c r="T13" s="1">
        <f t="shared" si="2"/>
        <v>650</v>
      </c>
      <c r="U13" s="1">
        <v>423001</v>
      </c>
      <c r="V13" s="2" t="s">
        <v>40</v>
      </c>
      <c r="W13" s="14">
        <f>W3</f>
        <v>100</v>
      </c>
      <c r="X13" s="1">
        <f t="shared" si="3"/>
        <v>130</v>
      </c>
      <c r="Y13" s="1">
        <v>413005</v>
      </c>
      <c r="Z13" s="1" t="s">
        <v>208</v>
      </c>
      <c r="AA13" s="14">
        <f>AA3</f>
        <v>50</v>
      </c>
      <c r="AB13" s="11">
        <f t="shared" si="4"/>
        <v>65</v>
      </c>
      <c r="AC13" s="1">
        <v>415005</v>
      </c>
      <c r="AD13" s="1" t="s">
        <v>210</v>
      </c>
      <c r="AE13" s="14">
        <f>AE3</f>
        <v>50</v>
      </c>
      <c r="AF13" s="11">
        <f t="shared" si="5"/>
        <v>65</v>
      </c>
      <c r="AG13" s="1">
        <v>414005</v>
      </c>
      <c r="AH13" s="1" t="s">
        <v>212</v>
      </c>
      <c r="AI13" s="14">
        <f>AI3</f>
        <v>10</v>
      </c>
      <c r="AJ13" s="11">
        <f t="shared" si="6"/>
        <v>13</v>
      </c>
    </row>
    <row r="14" spans="1:36" x14ac:dyDescent="0.15">
      <c r="A14" s="1">
        <v>814002</v>
      </c>
      <c r="B14" s="2" t="s">
        <v>3</v>
      </c>
      <c r="C14" s="2">
        <f t="shared" ref="C14:C52" si="7">C4+1</f>
        <v>2</v>
      </c>
      <c r="D14" s="1">
        <v>305001</v>
      </c>
      <c r="E14" s="1" t="s">
        <v>18</v>
      </c>
      <c r="F14" s="1">
        <v>1.3</v>
      </c>
      <c r="G14" s="15">
        <f t="shared" ref="G14:G52" si="8">G4</f>
        <v>60000</v>
      </c>
      <c r="H14" s="1">
        <f t="shared" ref="H14:H52" si="9">G14*F14</f>
        <v>78000</v>
      </c>
      <c r="I14" s="1">
        <v>404002</v>
      </c>
      <c r="J14" s="1" t="s">
        <v>28</v>
      </c>
      <c r="K14" s="15">
        <f t="shared" ref="K14:K52" si="10">K4</f>
        <v>550</v>
      </c>
      <c r="L14" s="11">
        <f t="shared" si="0"/>
        <v>715</v>
      </c>
      <c r="M14" s="1">
        <v>612002</v>
      </c>
      <c r="N14" s="1" t="s">
        <v>16</v>
      </c>
      <c r="O14" s="14">
        <f t="shared" ref="O14:O52" si="11">O4</f>
        <v>150</v>
      </c>
      <c r="P14" s="11">
        <f t="shared" si="1"/>
        <v>195</v>
      </c>
      <c r="Q14" s="1">
        <v>602002</v>
      </c>
      <c r="R14" s="1" t="s">
        <v>32</v>
      </c>
      <c r="S14" s="14">
        <f t="shared" ref="S14:S52" si="12">S4</f>
        <v>550</v>
      </c>
      <c r="T14" s="1">
        <f t="shared" si="2"/>
        <v>715</v>
      </c>
      <c r="U14" s="1">
        <v>423003</v>
      </c>
      <c r="V14" s="2" t="s">
        <v>41</v>
      </c>
      <c r="W14" s="14">
        <f t="shared" ref="W14:W52" si="13">W4</f>
        <v>50</v>
      </c>
      <c r="X14" s="1">
        <f t="shared" si="3"/>
        <v>65</v>
      </c>
      <c r="Y14" s="1">
        <v>413005</v>
      </c>
      <c r="Z14" s="1" t="s">
        <v>208</v>
      </c>
      <c r="AA14" s="14">
        <f t="shared" ref="AA14:AA52" si="14">AA4</f>
        <v>55</v>
      </c>
      <c r="AB14" s="11">
        <f t="shared" si="4"/>
        <v>71.5</v>
      </c>
      <c r="AC14" s="1">
        <v>415005</v>
      </c>
      <c r="AD14" s="1" t="s">
        <v>210</v>
      </c>
      <c r="AE14" s="14">
        <f t="shared" ref="AE14:AE52" si="15">AE4</f>
        <v>55</v>
      </c>
      <c r="AF14" s="11">
        <f t="shared" si="5"/>
        <v>71.5</v>
      </c>
      <c r="AG14" s="1">
        <v>414005</v>
      </c>
      <c r="AH14" s="1" t="s">
        <v>212</v>
      </c>
      <c r="AI14" s="14">
        <f t="shared" ref="AI14:AI52" si="16">AI4</f>
        <v>15</v>
      </c>
      <c r="AJ14" s="11">
        <f t="shared" si="6"/>
        <v>19.5</v>
      </c>
    </row>
    <row r="15" spans="1:36" x14ac:dyDescent="0.15">
      <c r="A15" s="1">
        <v>814003</v>
      </c>
      <c r="B15" s="2" t="s">
        <v>180</v>
      </c>
      <c r="C15" s="2">
        <f t="shared" si="7"/>
        <v>2</v>
      </c>
      <c r="D15" s="1">
        <v>305001</v>
      </c>
      <c r="E15" s="1" t="s">
        <v>18</v>
      </c>
      <c r="F15" s="1">
        <v>1.3</v>
      </c>
      <c r="G15" s="15">
        <f t="shared" si="8"/>
        <v>70000</v>
      </c>
      <c r="H15" s="1">
        <f t="shared" si="9"/>
        <v>91000</v>
      </c>
      <c r="I15" s="1">
        <v>404001</v>
      </c>
      <c r="J15" s="1" t="s">
        <v>27</v>
      </c>
      <c r="K15" s="15">
        <f t="shared" si="10"/>
        <v>600</v>
      </c>
      <c r="L15" s="11">
        <f t="shared" si="0"/>
        <v>780</v>
      </c>
      <c r="M15" s="1">
        <v>612003</v>
      </c>
      <c r="N15" s="1" t="s">
        <v>17</v>
      </c>
      <c r="O15" s="14">
        <f t="shared" si="11"/>
        <v>200</v>
      </c>
      <c r="P15" s="11">
        <f t="shared" si="1"/>
        <v>260</v>
      </c>
      <c r="Q15" s="1">
        <v>602002</v>
      </c>
      <c r="R15" s="1" t="s">
        <v>32</v>
      </c>
      <c r="S15" s="14">
        <f t="shared" si="12"/>
        <v>600</v>
      </c>
      <c r="T15" s="1">
        <f t="shared" si="2"/>
        <v>780</v>
      </c>
      <c r="U15" s="1">
        <v>423001</v>
      </c>
      <c r="V15" s="2" t="s">
        <v>40</v>
      </c>
      <c r="W15" s="14">
        <f t="shared" si="13"/>
        <v>200</v>
      </c>
      <c r="X15" s="1">
        <f t="shared" si="3"/>
        <v>260</v>
      </c>
      <c r="Y15" s="1">
        <v>413005</v>
      </c>
      <c r="Z15" s="1" t="s">
        <v>208</v>
      </c>
      <c r="AA15" s="14">
        <f t="shared" si="14"/>
        <v>60</v>
      </c>
      <c r="AB15" s="11">
        <f t="shared" si="4"/>
        <v>78</v>
      </c>
      <c r="AC15" s="1">
        <v>415005</v>
      </c>
      <c r="AD15" s="1" t="s">
        <v>210</v>
      </c>
      <c r="AE15" s="14">
        <f t="shared" si="15"/>
        <v>60</v>
      </c>
      <c r="AF15" s="11">
        <f t="shared" si="5"/>
        <v>78</v>
      </c>
      <c r="AG15" s="1">
        <v>414005</v>
      </c>
      <c r="AH15" s="1" t="s">
        <v>212</v>
      </c>
      <c r="AI15" s="14">
        <f t="shared" si="16"/>
        <v>20</v>
      </c>
      <c r="AJ15" s="11">
        <f t="shared" si="6"/>
        <v>26</v>
      </c>
    </row>
    <row r="16" spans="1:36" x14ac:dyDescent="0.15">
      <c r="A16" s="1">
        <v>814004</v>
      </c>
      <c r="B16" s="2" t="s">
        <v>181</v>
      </c>
      <c r="C16" s="2">
        <f t="shared" si="7"/>
        <v>2</v>
      </c>
      <c r="D16" s="1">
        <v>305001</v>
      </c>
      <c r="E16" s="1" t="s">
        <v>18</v>
      </c>
      <c r="F16" s="1">
        <v>1.3</v>
      </c>
      <c r="G16" s="15">
        <f t="shared" si="8"/>
        <v>80000</v>
      </c>
      <c r="H16" s="1">
        <f t="shared" si="9"/>
        <v>104000</v>
      </c>
      <c r="I16" s="1">
        <v>404002</v>
      </c>
      <c r="J16" s="2" t="s">
        <v>193</v>
      </c>
      <c r="K16" s="15">
        <f t="shared" si="10"/>
        <v>650</v>
      </c>
      <c r="L16" s="11">
        <f t="shared" si="0"/>
        <v>845</v>
      </c>
      <c r="M16" s="1">
        <v>612001</v>
      </c>
      <c r="N16" s="2" t="s">
        <v>15</v>
      </c>
      <c r="O16" s="14">
        <f t="shared" si="11"/>
        <v>250</v>
      </c>
      <c r="P16" s="11">
        <f t="shared" si="1"/>
        <v>325</v>
      </c>
      <c r="Q16" s="1">
        <v>602002</v>
      </c>
      <c r="R16" s="1" t="s">
        <v>32</v>
      </c>
      <c r="S16" s="14">
        <f t="shared" si="12"/>
        <v>650</v>
      </c>
      <c r="T16" s="1">
        <f t="shared" si="2"/>
        <v>845</v>
      </c>
      <c r="U16" s="1">
        <v>423003</v>
      </c>
      <c r="V16" s="2" t="s">
        <v>41</v>
      </c>
      <c r="W16" s="14">
        <f t="shared" si="13"/>
        <v>100</v>
      </c>
      <c r="X16" s="1">
        <f t="shared" si="3"/>
        <v>130</v>
      </c>
      <c r="Y16" s="1">
        <v>413006</v>
      </c>
      <c r="Z16" s="1" t="s">
        <v>209</v>
      </c>
      <c r="AA16" s="14">
        <f t="shared" si="14"/>
        <v>65</v>
      </c>
      <c r="AB16" s="11">
        <f t="shared" si="4"/>
        <v>84.5</v>
      </c>
      <c r="AC16" s="1">
        <v>415006</v>
      </c>
      <c r="AD16" s="1" t="s">
        <v>211</v>
      </c>
      <c r="AE16" s="14">
        <f t="shared" si="15"/>
        <v>65</v>
      </c>
      <c r="AF16" s="11">
        <f t="shared" si="5"/>
        <v>84.5</v>
      </c>
      <c r="AG16" s="1">
        <v>414006</v>
      </c>
      <c r="AH16" s="1" t="s">
        <v>213</v>
      </c>
      <c r="AI16" s="14">
        <f t="shared" si="16"/>
        <v>25</v>
      </c>
      <c r="AJ16" s="11">
        <f t="shared" si="6"/>
        <v>32.5</v>
      </c>
    </row>
    <row r="17" spans="1:36" x14ac:dyDescent="0.15">
      <c r="A17" s="1">
        <v>814005</v>
      </c>
      <c r="B17" s="2" t="s">
        <v>7</v>
      </c>
      <c r="C17" s="2">
        <f t="shared" si="7"/>
        <v>2</v>
      </c>
      <c r="D17" s="1">
        <v>305001</v>
      </c>
      <c r="E17" s="1" t="s">
        <v>18</v>
      </c>
      <c r="F17" s="1">
        <v>1.3</v>
      </c>
      <c r="G17" s="15">
        <f t="shared" si="8"/>
        <v>90000</v>
      </c>
      <c r="H17" s="1">
        <f t="shared" si="9"/>
        <v>117000</v>
      </c>
      <c r="I17" s="1">
        <v>404001</v>
      </c>
      <c r="J17" s="1" t="s">
        <v>27</v>
      </c>
      <c r="K17" s="15">
        <f t="shared" si="10"/>
        <v>700</v>
      </c>
      <c r="L17" s="11">
        <f t="shared" si="0"/>
        <v>910</v>
      </c>
      <c r="M17" s="1">
        <v>612002</v>
      </c>
      <c r="N17" s="1" t="s">
        <v>16</v>
      </c>
      <c r="O17" s="14">
        <f t="shared" si="11"/>
        <v>300</v>
      </c>
      <c r="P17" s="11">
        <f t="shared" si="1"/>
        <v>390</v>
      </c>
      <c r="Q17" s="1">
        <v>602002</v>
      </c>
      <c r="R17" s="1" t="s">
        <v>32</v>
      </c>
      <c r="S17" s="14">
        <f t="shared" si="12"/>
        <v>700</v>
      </c>
      <c r="T17" s="1">
        <f t="shared" si="2"/>
        <v>910</v>
      </c>
      <c r="U17" s="1">
        <v>423001</v>
      </c>
      <c r="V17" s="2" t="s">
        <v>40</v>
      </c>
      <c r="W17" s="14">
        <f t="shared" si="13"/>
        <v>300</v>
      </c>
      <c r="X17" s="1">
        <f t="shared" si="3"/>
        <v>390</v>
      </c>
      <c r="Y17" s="1">
        <v>413006</v>
      </c>
      <c r="Z17" s="1" t="s">
        <v>209</v>
      </c>
      <c r="AA17" s="14">
        <f t="shared" si="14"/>
        <v>70</v>
      </c>
      <c r="AB17" s="11">
        <f t="shared" si="4"/>
        <v>91</v>
      </c>
      <c r="AC17" s="1">
        <v>415006</v>
      </c>
      <c r="AD17" s="1" t="s">
        <v>211</v>
      </c>
      <c r="AE17" s="14">
        <f t="shared" si="15"/>
        <v>70</v>
      </c>
      <c r="AF17" s="11">
        <f t="shared" si="5"/>
        <v>91</v>
      </c>
      <c r="AG17" s="1">
        <v>414006</v>
      </c>
      <c r="AH17" s="1" t="s">
        <v>213</v>
      </c>
      <c r="AI17" s="14">
        <f t="shared" si="16"/>
        <v>30</v>
      </c>
      <c r="AJ17" s="11">
        <f t="shared" si="6"/>
        <v>39</v>
      </c>
    </row>
    <row r="18" spans="1:36" x14ac:dyDescent="0.15">
      <c r="A18" s="1">
        <v>814006</v>
      </c>
      <c r="B18" s="2" t="s">
        <v>6</v>
      </c>
      <c r="C18" s="2">
        <f t="shared" si="7"/>
        <v>2</v>
      </c>
      <c r="D18" s="1">
        <v>305001</v>
      </c>
      <c r="E18" s="1" t="s">
        <v>18</v>
      </c>
      <c r="F18" s="1">
        <v>1.3</v>
      </c>
      <c r="G18" s="15">
        <f t="shared" si="8"/>
        <v>100000</v>
      </c>
      <c r="H18" s="1">
        <f t="shared" si="9"/>
        <v>130000</v>
      </c>
      <c r="I18" s="1">
        <v>404003</v>
      </c>
      <c r="J18" s="1" t="s">
        <v>29</v>
      </c>
      <c r="K18" s="15">
        <f t="shared" si="10"/>
        <v>750</v>
      </c>
      <c r="L18" s="11">
        <f t="shared" si="0"/>
        <v>975</v>
      </c>
      <c r="M18" s="1">
        <v>612003</v>
      </c>
      <c r="N18" s="1" t="s">
        <v>17</v>
      </c>
      <c r="O18" s="14">
        <f t="shared" si="11"/>
        <v>350</v>
      </c>
      <c r="P18" s="11">
        <f t="shared" si="1"/>
        <v>455</v>
      </c>
      <c r="Q18" s="1">
        <v>602002</v>
      </c>
      <c r="R18" s="1" t="s">
        <v>32</v>
      </c>
      <c r="S18" s="14">
        <f t="shared" si="12"/>
        <v>750</v>
      </c>
      <c r="T18" s="1">
        <f t="shared" si="2"/>
        <v>975</v>
      </c>
      <c r="U18" s="1">
        <v>423003</v>
      </c>
      <c r="V18" s="2" t="s">
        <v>41</v>
      </c>
      <c r="W18" s="14">
        <f t="shared" si="13"/>
        <v>150</v>
      </c>
      <c r="X18" s="1">
        <f t="shared" si="3"/>
        <v>195</v>
      </c>
      <c r="Y18" s="1">
        <v>413006</v>
      </c>
      <c r="Z18" s="1" t="s">
        <v>209</v>
      </c>
      <c r="AA18" s="14">
        <f t="shared" si="14"/>
        <v>75</v>
      </c>
      <c r="AB18" s="11">
        <f t="shared" si="4"/>
        <v>97.5</v>
      </c>
      <c r="AC18" s="1">
        <v>415006</v>
      </c>
      <c r="AD18" s="1" t="s">
        <v>211</v>
      </c>
      <c r="AE18" s="14">
        <f t="shared" si="15"/>
        <v>75</v>
      </c>
      <c r="AF18" s="11">
        <f t="shared" si="5"/>
        <v>97.5</v>
      </c>
      <c r="AG18" s="1">
        <v>414006</v>
      </c>
      <c r="AH18" s="1" t="s">
        <v>213</v>
      </c>
      <c r="AI18" s="14">
        <f t="shared" si="16"/>
        <v>35</v>
      </c>
      <c r="AJ18" s="11">
        <f t="shared" si="6"/>
        <v>45.5</v>
      </c>
    </row>
    <row r="19" spans="1:36" x14ac:dyDescent="0.15">
      <c r="A19" s="1">
        <v>814007</v>
      </c>
      <c r="B19" s="2" t="s">
        <v>182</v>
      </c>
      <c r="C19" s="2">
        <f t="shared" si="7"/>
        <v>2</v>
      </c>
      <c r="D19" s="1">
        <v>305001</v>
      </c>
      <c r="E19" s="1" t="s">
        <v>18</v>
      </c>
      <c r="F19" s="1">
        <v>1.3</v>
      </c>
      <c r="G19" s="15">
        <f t="shared" si="8"/>
        <v>110000</v>
      </c>
      <c r="H19" s="1">
        <f t="shared" si="9"/>
        <v>143000</v>
      </c>
      <c r="I19" s="1">
        <v>404001</v>
      </c>
      <c r="J19" s="1" t="s">
        <v>27</v>
      </c>
      <c r="K19" s="15">
        <f t="shared" si="10"/>
        <v>800</v>
      </c>
      <c r="L19" s="11">
        <f t="shared" si="0"/>
        <v>1040</v>
      </c>
      <c r="M19" s="1">
        <v>612001</v>
      </c>
      <c r="N19" s="2" t="s">
        <v>15</v>
      </c>
      <c r="O19" s="14">
        <f t="shared" si="11"/>
        <v>400</v>
      </c>
      <c r="P19" s="11">
        <f t="shared" si="1"/>
        <v>520</v>
      </c>
      <c r="Q19" s="1">
        <v>602002</v>
      </c>
      <c r="R19" s="1" t="s">
        <v>32</v>
      </c>
      <c r="S19" s="14">
        <f t="shared" si="12"/>
        <v>800</v>
      </c>
      <c r="T19" s="1">
        <f t="shared" si="2"/>
        <v>1040</v>
      </c>
      <c r="U19" s="1">
        <v>423001</v>
      </c>
      <c r="V19" s="2" t="s">
        <v>40</v>
      </c>
      <c r="W19" s="14">
        <f t="shared" si="13"/>
        <v>400</v>
      </c>
      <c r="X19" s="1">
        <f t="shared" si="3"/>
        <v>520</v>
      </c>
      <c r="Y19" s="1">
        <v>413007</v>
      </c>
      <c r="Z19" s="1" t="s">
        <v>220</v>
      </c>
      <c r="AA19" s="14">
        <f t="shared" si="14"/>
        <v>80</v>
      </c>
      <c r="AB19" s="11">
        <f t="shared" si="4"/>
        <v>104</v>
      </c>
      <c r="AC19" s="1">
        <v>415007</v>
      </c>
      <c r="AD19" s="1" t="s">
        <v>221</v>
      </c>
      <c r="AE19" s="14">
        <f t="shared" si="15"/>
        <v>80</v>
      </c>
      <c r="AF19" s="11">
        <f t="shared" si="5"/>
        <v>104</v>
      </c>
      <c r="AG19" s="1">
        <v>414007</v>
      </c>
      <c r="AH19" s="1" t="s">
        <v>222</v>
      </c>
      <c r="AI19" s="14">
        <f t="shared" si="16"/>
        <v>40</v>
      </c>
      <c r="AJ19" s="11">
        <f t="shared" si="6"/>
        <v>52</v>
      </c>
    </row>
    <row r="20" spans="1:36" x14ac:dyDescent="0.15">
      <c r="A20" s="1">
        <v>814008</v>
      </c>
      <c r="B20" s="2" t="s">
        <v>5</v>
      </c>
      <c r="C20" s="2">
        <f t="shared" si="7"/>
        <v>2</v>
      </c>
      <c r="D20" s="1">
        <v>305002</v>
      </c>
      <c r="E20" s="2" t="s">
        <v>22</v>
      </c>
      <c r="F20" s="1">
        <v>1.3</v>
      </c>
      <c r="G20" s="15">
        <f t="shared" si="8"/>
        <v>120000</v>
      </c>
      <c r="H20" s="1">
        <f t="shared" si="9"/>
        <v>156000</v>
      </c>
      <c r="I20" s="1">
        <v>404003</v>
      </c>
      <c r="J20" s="1" t="s">
        <v>29</v>
      </c>
      <c r="K20" s="15">
        <f t="shared" si="10"/>
        <v>850</v>
      </c>
      <c r="L20" s="11">
        <f t="shared" si="0"/>
        <v>1105</v>
      </c>
      <c r="M20" s="1">
        <v>612002</v>
      </c>
      <c r="N20" s="1" t="s">
        <v>16</v>
      </c>
      <c r="O20" s="14">
        <f t="shared" si="11"/>
        <v>450</v>
      </c>
      <c r="P20" s="11">
        <f t="shared" si="1"/>
        <v>585</v>
      </c>
      <c r="Q20" s="1">
        <v>602002</v>
      </c>
      <c r="R20" s="1" t="s">
        <v>32</v>
      </c>
      <c r="S20" s="14">
        <f t="shared" si="12"/>
        <v>850</v>
      </c>
      <c r="T20" s="1">
        <f t="shared" si="2"/>
        <v>1105</v>
      </c>
      <c r="U20" s="1">
        <v>423003</v>
      </c>
      <c r="V20" s="2" t="s">
        <v>41</v>
      </c>
      <c r="W20" s="14">
        <f t="shared" si="13"/>
        <v>200</v>
      </c>
      <c r="X20" s="1">
        <f t="shared" si="3"/>
        <v>260</v>
      </c>
      <c r="Y20" s="1">
        <v>413007</v>
      </c>
      <c r="Z20" s="1" t="s">
        <v>220</v>
      </c>
      <c r="AA20" s="14">
        <f t="shared" si="14"/>
        <v>85</v>
      </c>
      <c r="AB20" s="11">
        <f t="shared" si="4"/>
        <v>110.5</v>
      </c>
      <c r="AC20" s="1">
        <v>415007</v>
      </c>
      <c r="AD20" s="1" t="s">
        <v>221</v>
      </c>
      <c r="AE20" s="14">
        <f t="shared" si="15"/>
        <v>85</v>
      </c>
      <c r="AF20" s="11">
        <f t="shared" si="5"/>
        <v>110.5</v>
      </c>
      <c r="AG20" s="1">
        <v>414007</v>
      </c>
      <c r="AH20" s="1" t="s">
        <v>222</v>
      </c>
      <c r="AI20" s="14">
        <f t="shared" si="16"/>
        <v>45</v>
      </c>
      <c r="AJ20" s="11">
        <f t="shared" si="6"/>
        <v>58.5</v>
      </c>
    </row>
    <row r="21" spans="1:36" x14ac:dyDescent="0.15">
      <c r="A21" s="1">
        <v>814009</v>
      </c>
      <c r="B21" s="2" t="s">
        <v>8</v>
      </c>
      <c r="C21" s="2">
        <f t="shared" si="7"/>
        <v>2</v>
      </c>
      <c r="D21" s="1">
        <v>305002</v>
      </c>
      <c r="E21" s="2" t="s">
        <v>22</v>
      </c>
      <c r="F21" s="1">
        <v>1.3</v>
      </c>
      <c r="G21" s="15">
        <f t="shared" si="8"/>
        <v>130000</v>
      </c>
      <c r="H21" s="1">
        <f t="shared" si="9"/>
        <v>169000</v>
      </c>
      <c r="I21" s="1">
        <v>404002</v>
      </c>
      <c r="J21" s="2" t="s">
        <v>193</v>
      </c>
      <c r="K21" s="15">
        <f t="shared" si="10"/>
        <v>900</v>
      </c>
      <c r="L21" s="11">
        <f t="shared" si="0"/>
        <v>1170</v>
      </c>
      <c r="M21" s="1">
        <v>612003</v>
      </c>
      <c r="N21" s="1" t="s">
        <v>17</v>
      </c>
      <c r="O21" s="14">
        <f t="shared" si="11"/>
        <v>500</v>
      </c>
      <c r="P21" s="11">
        <f t="shared" si="1"/>
        <v>650</v>
      </c>
      <c r="Q21" s="1">
        <v>602002</v>
      </c>
      <c r="R21" s="1" t="s">
        <v>32</v>
      </c>
      <c r="S21" s="14">
        <f t="shared" si="12"/>
        <v>900</v>
      </c>
      <c r="T21" s="1">
        <f t="shared" si="2"/>
        <v>1170</v>
      </c>
      <c r="U21" s="1">
        <v>423001</v>
      </c>
      <c r="V21" s="2" t="s">
        <v>40</v>
      </c>
      <c r="W21" s="14">
        <f t="shared" si="13"/>
        <v>500</v>
      </c>
      <c r="X21" s="1">
        <f t="shared" si="3"/>
        <v>650</v>
      </c>
      <c r="Y21" s="1">
        <v>413007</v>
      </c>
      <c r="Z21" s="1" t="s">
        <v>220</v>
      </c>
      <c r="AA21" s="14">
        <f t="shared" si="14"/>
        <v>90</v>
      </c>
      <c r="AB21" s="11">
        <f t="shared" si="4"/>
        <v>117</v>
      </c>
      <c r="AC21" s="1">
        <v>415007</v>
      </c>
      <c r="AD21" s="1" t="s">
        <v>221</v>
      </c>
      <c r="AE21" s="14">
        <f t="shared" si="15"/>
        <v>90</v>
      </c>
      <c r="AF21" s="11">
        <f t="shared" si="5"/>
        <v>117</v>
      </c>
      <c r="AG21" s="1">
        <v>414007</v>
      </c>
      <c r="AH21" s="1" t="s">
        <v>222</v>
      </c>
      <c r="AI21" s="14">
        <f t="shared" si="16"/>
        <v>50</v>
      </c>
      <c r="AJ21" s="11">
        <f t="shared" si="6"/>
        <v>65</v>
      </c>
    </row>
    <row r="22" spans="1:36" x14ac:dyDescent="0.15">
      <c r="A22" s="1">
        <v>814010</v>
      </c>
      <c r="B22" s="2" t="s">
        <v>4</v>
      </c>
      <c r="C22" s="2">
        <f t="shared" si="7"/>
        <v>2</v>
      </c>
      <c r="D22" s="1">
        <v>305002</v>
      </c>
      <c r="E22" s="2" t="s">
        <v>22</v>
      </c>
      <c r="F22" s="1">
        <v>1.3</v>
      </c>
      <c r="G22" s="15">
        <f t="shared" si="8"/>
        <v>140000</v>
      </c>
      <c r="H22" s="1">
        <f t="shared" si="9"/>
        <v>182000</v>
      </c>
      <c r="I22" s="1">
        <v>404003</v>
      </c>
      <c r="J22" s="1" t="s">
        <v>29</v>
      </c>
      <c r="K22" s="15">
        <f t="shared" si="10"/>
        <v>950</v>
      </c>
      <c r="L22" s="11">
        <f t="shared" si="0"/>
        <v>1235</v>
      </c>
      <c r="M22" s="1">
        <v>612001</v>
      </c>
      <c r="N22" s="2" t="s">
        <v>15</v>
      </c>
      <c r="O22" s="14">
        <f t="shared" si="11"/>
        <v>550</v>
      </c>
      <c r="P22" s="11">
        <f t="shared" si="1"/>
        <v>715</v>
      </c>
      <c r="Q22" s="1">
        <v>602002</v>
      </c>
      <c r="R22" s="1" t="s">
        <v>32</v>
      </c>
      <c r="S22" s="14">
        <f t="shared" si="12"/>
        <v>950</v>
      </c>
      <c r="T22" s="1">
        <f t="shared" si="2"/>
        <v>1235</v>
      </c>
      <c r="U22" s="1">
        <v>423003</v>
      </c>
      <c r="V22" s="2" t="s">
        <v>41</v>
      </c>
      <c r="W22" s="14">
        <f t="shared" si="13"/>
        <v>250</v>
      </c>
      <c r="X22" s="1">
        <f t="shared" si="3"/>
        <v>325</v>
      </c>
      <c r="Y22" s="1">
        <v>413007</v>
      </c>
      <c r="Z22" s="1" t="s">
        <v>220</v>
      </c>
      <c r="AA22" s="14">
        <f t="shared" si="14"/>
        <v>95</v>
      </c>
      <c r="AB22" s="11">
        <f t="shared" si="4"/>
        <v>123.5</v>
      </c>
      <c r="AC22" s="1">
        <v>415007</v>
      </c>
      <c r="AD22" s="1" t="s">
        <v>221</v>
      </c>
      <c r="AE22" s="14">
        <f t="shared" si="15"/>
        <v>95</v>
      </c>
      <c r="AF22" s="11">
        <f t="shared" si="5"/>
        <v>123.5</v>
      </c>
      <c r="AG22" s="1">
        <v>414007</v>
      </c>
      <c r="AH22" s="1" t="s">
        <v>222</v>
      </c>
      <c r="AI22" s="14">
        <f t="shared" si="16"/>
        <v>55</v>
      </c>
      <c r="AJ22" s="11">
        <f t="shared" si="6"/>
        <v>71.5</v>
      </c>
    </row>
    <row r="23" spans="1:36" x14ac:dyDescent="0.15">
      <c r="A23" s="1">
        <v>814001</v>
      </c>
      <c r="B23" s="2" t="s">
        <v>2</v>
      </c>
      <c r="C23" s="2">
        <f t="shared" si="7"/>
        <v>3</v>
      </c>
      <c r="D23" s="1">
        <v>305001</v>
      </c>
      <c r="E23" s="1" t="s">
        <v>18</v>
      </c>
      <c r="F23" s="1">
        <v>1.5</v>
      </c>
      <c r="G23" s="15">
        <f t="shared" si="8"/>
        <v>50000</v>
      </c>
      <c r="H23" s="1">
        <f t="shared" si="9"/>
        <v>75000</v>
      </c>
      <c r="I23" s="1">
        <v>404001</v>
      </c>
      <c r="J23" s="1" t="s">
        <v>27</v>
      </c>
      <c r="K23" s="15">
        <f t="shared" si="10"/>
        <v>500</v>
      </c>
      <c r="L23" s="11">
        <f t="shared" si="0"/>
        <v>750</v>
      </c>
      <c r="M23" s="1">
        <v>612001</v>
      </c>
      <c r="N23" s="2" t="s">
        <v>15</v>
      </c>
      <c r="O23" s="14">
        <f t="shared" si="11"/>
        <v>100</v>
      </c>
      <c r="P23" s="11">
        <f t="shared" si="1"/>
        <v>150</v>
      </c>
      <c r="Q23" s="1">
        <v>602002</v>
      </c>
      <c r="R23" s="1" t="s">
        <v>32</v>
      </c>
      <c r="S23" s="14">
        <f t="shared" si="12"/>
        <v>500</v>
      </c>
      <c r="T23" s="1">
        <f t="shared" si="2"/>
        <v>750</v>
      </c>
      <c r="U23" s="1">
        <v>423001</v>
      </c>
      <c r="V23" s="2" t="s">
        <v>40</v>
      </c>
      <c r="W23" s="14">
        <f t="shared" si="13"/>
        <v>100</v>
      </c>
      <c r="X23" s="1">
        <f t="shared" si="3"/>
        <v>150</v>
      </c>
      <c r="Y23" s="1">
        <v>413005</v>
      </c>
      <c r="Z23" s="1" t="s">
        <v>208</v>
      </c>
      <c r="AA23" s="14">
        <f t="shared" si="14"/>
        <v>50</v>
      </c>
      <c r="AB23" s="11">
        <f t="shared" si="4"/>
        <v>75</v>
      </c>
      <c r="AC23" s="1">
        <v>415005</v>
      </c>
      <c r="AD23" s="1" t="s">
        <v>210</v>
      </c>
      <c r="AE23" s="14">
        <f t="shared" si="15"/>
        <v>50</v>
      </c>
      <c r="AF23" s="11">
        <f t="shared" si="5"/>
        <v>75</v>
      </c>
      <c r="AG23" s="1">
        <v>414005</v>
      </c>
      <c r="AH23" s="1" t="s">
        <v>212</v>
      </c>
      <c r="AI23" s="14">
        <f t="shared" si="16"/>
        <v>10</v>
      </c>
      <c r="AJ23" s="11">
        <f t="shared" si="6"/>
        <v>15</v>
      </c>
    </row>
    <row r="24" spans="1:36" x14ac:dyDescent="0.15">
      <c r="A24" s="1">
        <v>814002</v>
      </c>
      <c r="B24" s="2" t="s">
        <v>3</v>
      </c>
      <c r="C24" s="2">
        <f t="shared" si="7"/>
        <v>3</v>
      </c>
      <c r="D24" s="1">
        <v>305001</v>
      </c>
      <c r="E24" s="1" t="s">
        <v>18</v>
      </c>
      <c r="F24" s="1">
        <v>1.5</v>
      </c>
      <c r="G24" s="15">
        <f t="shared" si="8"/>
        <v>60000</v>
      </c>
      <c r="H24" s="1">
        <f t="shared" si="9"/>
        <v>90000</v>
      </c>
      <c r="I24" s="1">
        <v>404002</v>
      </c>
      <c r="J24" s="1" t="s">
        <v>28</v>
      </c>
      <c r="K24" s="15">
        <f t="shared" si="10"/>
        <v>550</v>
      </c>
      <c r="L24" s="11">
        <f t="shared" si="0"/>
        <v>825</v>
      </c>
      <c r="M24" s="1">
        <v>612002</v>
      </c>
      <c r="N24" s="1" t="s">
        <v>16</v>
      </c>
      <c r="O24" s="14">
        <f t="shared" si="11"/>
        <v>150</v>
      </c>
      <c r="P24" s="11">
        <f t="shared" si="1"/>
        <v>225</v>
      </c>
      <c r="Q24" s="1">
        <v>602002</v>
      </c>
      <c r="R24" s="1" t="s">
        <v>32</v>
      </c>
      <c r="S24" s="14">
        <f t="shared" si="12"/>
        <v>550</v>
      </c>
      <c r="T24" s="1">
        <f t="shared" si="2"/>
        <v>825</v>
      </c>
      <c r="U24" s="1">
        <v>423003</v>
      </c>
      <c r="V24" s="2" t="s">
        <v>41</v>
      </c>
      <c r="W24" s="14">
        <f t="shared" si="13"/>
        <v>50</v>
      </c>
      <c r="X24" s="1">
        <f t="shared" si="3"/>
        <v>75</v>
      </c>
      <c r="Y24" s="1">
        <v>413005</v>
      </c>
      <c r="Z24" s="1" t="s">
        <v>208</v>
      </c>
      <c r="AA24" s="14">
        <f t="shared" si="14"/>
        <v>55</v>
      </c>
      <c r="AB24" s="11">
        <f t="shared" si="4"/>
        <v>82.5</v>
      </c>
      <c r="AC24" s="1">
        <v>415005</v>
      </c>
      <c r="AD24" s="1" t="s">
        <v>210</v>
      </c>
      <c r="AE24" s="14">
        <f t="shared" si="15"/>
        <v>55</v>
      </c>
      <c r="AF24" s="11">
        <f t="shared" si="5"/>
        <v>82.5</v>
      </c>
      <c r="AG24" s="1">
        <v>414005</v>
      </c>
      <c r="AH24" s="1" t="s">
        <v>212</v>
      </c>
      <c r="AI24" s="14">
        <f t="shared" si="16"/>
        <v>15</v>
      </c>
      <c r="AJ24" s="11">
        <f t="shared" si="6"/>
        <v>22.5</v>
      </c>
    </row>
    <row r="25" spans="1:36" x14ac:dyDescent="0.15">
      <c r="A25" s="1">
        <v>814003</v>
      </c>
      <c r="B25" s="2" t="s">
        <v>180</v>
      </c>
      <c r="C25" s="2">
        <f t="shared" si="7"/>
        <v>3</v>
      </c>
      <c r="D25" s="1">
        <v>305001</v>
      </c>
      <c r="E25" s="1" t="s">
        <v>18</v>
      </c>
      <c r="F25" s="1">
        <v>1.5</v>
      </c>
      <c r="G25" s="15">
        <f t="shared" si="8"/>
        <v>70000</v>
      </c>
      <c r="H25" s="1">
        <f t="shared" si="9"/>
        <v>105000</v>
      </c>
      <c r="I25" s="1">
        <v>404001</v>
      </c>
      <c r="J25" s="1" t="s">
        <v>27</v>
      </c>
      <c r="K25" s="15">
        <f t="shared" si="10"/>
        <v>600</v>
      </c>
      <c r="L25" s="11">
        <f t="shared" si="0"/>
        <v>900</v>
      </c>
      <c r="M25" s="1">
        <v>612003</v>
      </c>
      <c r="N25" s="1" t="s">
        <v>17</v>
      </c>
      <c r="O25" s="14">
        <f t="shared" si="11"/>
        <v>200</v>
      </c>
      <c r="P25" s="11">
        <f t="shared" si="1"/>
        <v>300</v>
      </c>
      <c r="Q25" s="1">
        <v>602002</v>
      </c>
      <c r="R25" s="1" t="s">
        <v>32</v>
      </c>
      <c r="S25" s="14">
        <f t="shared" si="12"/>
        <v>600</v>
      </c>
      <c r="T25" s="1">
        <f t="shared" si="2"/>
        <v>900</v>
      </c>
      <c r="U25" s="1">
        <v>423001</v>
      </c>
      <c r="V25" s="2" t="s">
        <v>40</v>
      </c>
      <c r="W25" s="14">
        <f t="shared" si="13"/>
        <v>200</v>
      </c>
      <c r="X25" s="1">
        <f t="shared" si="3"/>
        <v>300</v>
      </c>
      <c r="Y25" s="1">
        <v>413005</v>
      </c>
      <c r="Z25" s="1" t="s">
        <v>208</v>
      </c>
      <c r="AA25" s="14">
        <f t="shared" si="14"/>
        <v>60</v>
      </c>
      <c r="AB25" s="11">
        <f t="shared" si="4"/>
        <v>90</v>
      </c>
      <c r="AC25" s="1">
        <v>415005</v>
      </c>
      <c r="AD25" s="1" t="s">
        <v>210</v>
      </c>
      <c r="AE25" s="14">
        <f t="shared" si="15"/>
        <v>60</v>
      </c>
      <c r="AF25" s="11">
        <f t="shared" si="5"/>
        <v>90</v>
      </c>
      <c r="AG25" s="1">
        <v>414005</v>
      </c>
      <c r="AH25" s="1" t="s">
        <v>212</v>
      </c>
      <c r="AI25" s="14">
        <f t="shared" si="16"/>
        <v>20</v>
      </c>
      <c r="AJ25" s="11">
        <f t="shared" si="6"/>
        <v>30</v>
      </c>
    </row>
    <row r="26" spans="1:36" x14ac:dyDescent="0.15">
      <c r="A26" s="1">
        <v>814004</v>
      </c>
      <c r="B26" s="2" t="s">
        <v>181</v>
      </c>
      <c r="C26" s="2">
        <f t="shared" si="7"/>
        <v>3</v>
      </c>
      <c r="D26" s="1">
        <v>305001</v>
      </c>
      <c r="E26" s="1" t="s">
        <v>18</v>
      </c>
      <c r="F26" s="1">
        <v>1.5</v>
      </c>
      <c r="G26" s="15">
        <f t="shared" si="8"/>
        <v>80000</v>
      </c>
      <c r="H26" s="1">
        <f t="shared" si="9"/>
        <v>120000</v>
      </c>
      <c r="I26" s="1">
        <v>404002</v>
      </c>
      <c r="J26" s="2" t="s">
        <v>193</v>
      </c>
      <c r="K26" s="15">
        <f t="shared" si="10"/>
        <v>650</v>
      </c>
      <c r="L26" s="11">
        <f t="shared" si="0"/>
        <v>975</v>
      </c>
      <c r="M26" s="1">
        <v>612001</v>
      </c>
      <c r="N26" s="2" t="s">
        <v>15</v>
      </c>
      <c r="O26" s="14">
        <f t="shared" si="11"/>
        <v>250</v>
      </c>
      <c r="P26" s="11">
        <f t="shared" si="1"/>
        <v>375</v>
      </c>
      <c r="Q26" s="1">
        <v>602002</v>
      </c>
      <c r="R26" s="1" t="s">
        <v>32</v>
      </c>
      <c r="S26" s="14">
        <f t="shared" si="12"/>
        <v>650</v>
      </c>
      <c r="T26" s="1">
        <f t="shared" si="2"/>
        <v>975</v>
      </c>
      <c r="U26" s="1">
        <v>423003</v>
      </c>
      <c r="V26" s="2" t="s">
        <v>41</v>
      </c>
      <c r="W26" s="14">
        <f t="shared" si="13"/>
        <v>100</v>
      </c>
      <c r="X26" s="1">
        <f t="shared" si="3"/>
        <v>150</v>
      </c>
      <c r="Y26" s="1">
        <v>413006</v>
      </c>
      <c r="Z26" s="1" t="s">
        <v>209</v>
      </c>
      <c r="AA26" s="14">
        <f t="shared" si="14"/>
        <v>65</v>
      </c>
      <c r="AB26" s="11">
        <f t="shared" si="4"/>
        <v>97.5</v>
      </c>
      <c r="AC26" s="1">
        <v>415006</v>
      </c>
      <c r="AD26" s="1" t="s">
        <v>211</v>
      </c>
      <c r="AE26" s="14">
        <f t="shared" si="15"/>
        <v>65</v>
      </c>
      <c r="AF26" s="11">
        <f t="shared" si="5"/>
        <v>97.5</v>
      </c>
      <c r="AG26" s="1">
        <v>414006</v>
      </c>
      <c r="AH26" s="1" t="s">
        <v>213</v>
      </c>
      <c r="AI26" s="14">
        <f t="shared" si="16"/>
        <v>25</v>
      </c>
      <c r="AJ26" s="11">
        <f t="shared" si="6"/>
        <v>37.5</v>
      </c>
    </row>
    <row r="27" spans="1:36" x14ac:dyDescent="0.15">
      <c r="A27" s="1">
        <v>814005</v>
      </c>
      <c r="B27" s="2" t="s">
        <v>7</v>
      </c>
      <c r="C27" s="2">
        <f t="shared" si="7"/>
        <v>3</v>
      </c>
      <c r="D27" s="1">
        <v>305001</v>
      </c>
      <c r="E27" s="1" t="s">
        <v>18</v>
      </c>
      <c r="F27" s="1">
        <v>1.5</v>
      </c>
      <c r="G27" s="15">
        <f t="shared" si="8"/>
        <v>90000</v>
      </c>
      <c r="H27" s="1">
        <f t="shared" si="9"/>
        <v>135000</v>
      </c>
      <c r="I27" s="1">
        <v>404001</v>
      </c>
      <c r="J27" s="1" t="s">
        <v>27</v>
      </c>
      <c r="K27" s="15">
        <f t="shared" si="10"/>
        <v>700</v>
      </c>
      <c r="L27" s="11">
        <f t="shared" si="0"/>
        <v>1050</v>
      </c>
      <c r="M27" s="1">
        <v>612002</v>
      </c>
      <c r="N27" s="1" t="s">
        <v>16</v>
      </c>
      <c r="O27" s="14">
        <f t="shared" si="11"/>
        <v>300</v>
      </c>
      <c r="P27" s="11">
        <f t="shared" si="1"/>
        <v>450</v>
      </c>
      <c r="Q27" s="1">
        <v>602002</v>
      </c>
      <c r="R27" s="1" t="s">
        <v>32</v>
      </c>
      <c r="S27" s="14">
        <f t="shared" si="12"/>
        <v>700</v>
      </c>
      <c r="T27" s="1">
        <f t="shared" si="2"/>
        <v>1050</v>
      </c>
      <c r="U27" s="1">
        <v>423001</v>
      </c>
      <c r="V27" s="2" t="s">
        <v>40</v>
      </c>
      <c r="W27" s="14">
        <f t="shared" si="13"/>
        <v>300</v>
      </c>
      <c r="X27" s="1">
        <f t="shared" si="3"/>
        <v>450</v>
      </c>
      <c r="Y27" s="1">
        <v>413006</v>
      </c>
      <c r="Z27" s="1" t="s">
        <v>209</v>
      </c>
      <c r="AA27" s="14">
        <f t="shared" si="14"/>
        <v>70</v>
      </c>
      <c r="AB27" s="11">
        <f t="shared" si="4"/>
        <v>105</v>
      </c>
      <c r="AC27" s="1">
        <v>415006</v>
      </c>
      <c r="AD27" s="1" t="s">
        <v>211</v>
      </c>
      <c r="AE27" s="14">
        <f t="shared" si="15"/>
        <v>70</v>
      </c>
      <c r="AF27" s="11">
        <f t="shared" si="5"/>
        <v>105</v>
      </c>
      <c r="AG27" s="1">
        <v>414006</v>
      </c>
      <c r="AH27" s="1" t="s">
        <v>213</v>
      </c>
      <c r="AI27" s="14">
        <f t="shared" si="16"/>
        <v>30</v>
      </c>
      <c r="AJ27" s="11">
        <f t="shared" si="6"/>
        <v>45</v>
      </c>
    </row>
    <row r="28" spans="1:36" x14ac:dyDescent="0.15">
      <c r="A28" s="1">
        <v>814006</v>
      </c>
      <c r="B28" s="2" t="s">
        <v>6</v>
      </c>
      <c r="C28" s="2">
        <f t="shared" si="7"/>
        <v>3</v>
      </c>
      <c r="D28" s="1">
        <v>305001</v>
      </c>
      <c r="E28" s="1" t="s">
        <v>18</v>
      </c>
      <c r="F28" s="1">
        <v>1.5</v>
      </c>
      <c r="G28" s="15">
        <f t="shared" si="8"/>
        <v>100000</v>
      </c>
      <c r="H28" s="1">
        <f t="shared" si="9"/>
        <v>150000</v>
      </c>
      <c r="I28" s="1">
        <v>404003</v>
      </c>
      <c r="J28" s="1" t="s">
        <v>29</v>
      </c>
      <c r="K28" s="15">
        <f t="shared" si="10"/>
        <v>750</v>
      </c>
      <c r="L28" s="11">
        <f t="shared" si="0"/>
        <v>1125</v>
      </c>
      <c r="M28" s="1">
        <v>612003</v>
      </c>
      <c r="N28" s="1" t="s">
        <v>17</v>
      </c>
      <c r="O28" s="14">
        <f t="shared" si="11"/>
        <v>350</v>
      </c>
      <c r="P28" s="11">
        <f t="shared" si="1"/>
        <v>525</v>
      </c>
      <c r="Q28" s="1">
        <v>602002</v>
      </c>
      <c r="R28" s="1" t="s">
        <v>32</v>
      </c>
      <c r="S28" s="14">
        <f t="shared" si="12"/>
        <v>750</v>
      </c>
      <c r="T28" s="1">
        <f t="shared" si="2"/>
        <v>1125</v>
      </c>
      <c r="U28" s="1">
        <v>423003</v>
      </c>
      <c r="V28" s="2" t="s">
        <v>41</v>
      </c>
      <c r="W28" s="14">
        <f t="shared" si="13"/>
        <v>150</v>
      </c>
      <c r="X28" s="1">
        <f t="shared" si="3"/>
        <v>225</v>
      </c>
      <c r="Y28" s="1">
        <v>413006</v>
      </c>
      <c r="Z28" s="1" t="s">
        <v>209</v>
      </c>
      <c r="AA28" s="14">
        <f t="shared" si="14"/>
        <v>75</v>
      </c>
      <c r="AB28" s="11">
        <f t="shared" si="4"/>
        <v>112.5</v>
      </c>
      <c r="AC28" s="1">
        <v>415006</v>
      </c>
      <c r="AD28" s="1" t="s">
        <v>211</v>
      </c>
      <c r="AE28" s="14">
        <f t="shared" si="15"/>
        <v>75</v>
      </c>
      <c r="AF28" s="11">
        <f t="shared" si="5"/>
        <v>112.5</v>
      </c>
      <c r="AG28" s="1">
        <v>414006</v>
      </c>
      <c r="AH28" s="1" t="s">
        <v>213</v>
      </c>
      <c r="AI28" s="14">
        <f t="shared" si="16"/>
        <v>35</v>
      </c>
      <c r="AJ28" s="11">
        <f t="shared" si="6"/>
        <v>52.5</v>
      </c>
    </row>
    <row r="29" spans="1:36" x14ac:dyDescent="0.15">
      <c r="A29" s="1">
        <v>814007</v>
      </c>
      <c r="B29" s="2" t="s">
        <v>182</v>
      </c>
      <c r="C29" s="2">
        <f t="shared" si="7"/>
        <v>3</v>
      </c>
      <c r="D29" s="1">
        <v>305001</v>
      </c>
      <c r="E29" s="1" t="s">
        <v>18</v>
      </c>
      <c r="F29" s="1">
        <v>1.5</v>
      </c>
      <c r="G29" s="15">
        <f t="shared" si="8"/>
        <v>110000</v>
      </c>
      <c r="H29" s="1">
        <f t="shared" si="9"/>
        <v>165000</v>
      </c>
      <c r="I29" s="1">
        <v>404001</v>
      </c>
      <c r="J29" s="1" t="s">
        <v>27</v>
      </c>
      <c r="K29" s="15">
        <f t="shared" si="10"/>
        <v>800</v>
      </c>
      <c r="L29" s="11">
        <f t="shared" si="0"/>
        <v>1200</v>
      </c>
      <c r="M29" s="1">
        <v>612001</v>
      </c>
      <c r="N29" s="2" t="s">
        <v>15</v>
      </c>
      <c r="O29" s="14">
        <f t="shared" si="11"/>
        <v>400</v>
      </c>
      <c r="P29" s="11">
        <f t="shared" si="1"/>
        <v>600</v>
      </c>
      <c r="Q29" s="1">
        <v>602002</v>
      </c>
      <c r="R29" s="1" t="s">
        <v>32</v>
      </c>
      <c r="S29" s="14">
        <f t="shared" si="12"/>
        <v>800</v>
      </c>
      <c r="T29" s="1">
        <f t="shared" si="2"/>
        <v>1200</v>
      </c>
      <c r="U29" s="1">
        <v>423001</v>
      </c>
      <c r="V29" s="2" t="s">
        <v>40</v>
      </c>
      <c r="W29" s="14">
        <f t="shared" si="13"/>
        <v>400</v>
      </c>
      <c r="X29" s="1">
        <f t="shared" si="3"/>
        <v>600</v>
      </c>
      <c r="Y29" s="1">
        <v>413007</v>
      </c>
      <c r="Z29" s="1" t="s">
        <v>220</v>
      </c>
      <c r="AA29" s="14">
        <f t="shared" si="14"/>
        <v>80</v>
      </c>
      <c r="AB29" s="11">
        <f t="shared" si="4"/>
        <v>120</v>
      </c>
      <c r="AC29" s="1">
        <v>415007</v>
      </c>
      <c r="AD29" s="1" t="s">
        <v>221</v>
      </c>
      <c r="AE29" s="14">
        <f t="shared" si="15"/>
        <v>80</v>
      </c>
      <c r="AF29" s="11">
        <f t="shared" si="5"/>
        <v>120</v>
      </c>
      <c r="AG29" s="1">
        <v>414007</v>
      </c>
      <c r="AH29" s="1" t="s">
        <v>222</v>
      </c>
      <c r="AI29" s="14">
        <f t="shared" si="16"/>
        <v>40</v>
      </c>
      <c r="AJ29" s="11">
        <f t="shared" si="6"/>
        <v>60</v>
      </c>
    </row>
    <row r="30" spans="1:36" x14ac:dyDescent="0.15">
      <c r="A30" s="1">
        <v>814008</v>
      </c>
      <c r="B30" s="2" t="s">
        <v>5</v>
      </c>
      <c r="C30" s="2">
        <f t="shared" si="7"/>
        <v>3</v>
      </c>
      <c r="D30" s="1">
        <v>305002</v>
      </c>
      <c r="E30" s="2" t="s">
        <v>22</v>
      </c>
      <c r="F30" s="1">
        <v>1.5</v>
      </c>
      <c r="G30" s="15">
        <f t="shared" si="8"/>
        <v>120000</v>
      </c>
      <c r="H30" s="1">
        <f t="shared" si="9"/>
        <v>180000</v>
      </c>
      <c r="I30" s="1">
        <v>404003</v>
      </c>
      <c r="J30" s="1" t="s">
        <v>29</v>
      </c>
      <c r="K30" s="15">
        <f t="shared" si="10"/>
        <v>850</v>
      </c>
      <c r="L30" s="11">
        <f t="shared" si="0"/>
        <v>1275</v>
      </c>
      <c r="M30" s="1">
        <v>612002</v>
      </c>
      <c r="N30" s="1" t="s">
        <v>16</v>
      </c>
      <c r="O30" s="14">
        <f t="shared" si="11"/>
        <v>450</v>
      </c>
      <c r="P30" s="11">
        <f t="shared" si="1"/>
        <v>675</v>
      </c>
      <c r="Q30" s="1">
        <v>602002</v>
      </c>
      <c r="R30" s="1" t="s">
        <v>32</v>
      </c>
      <c r="S30" s="14">
        <f t="shared" si="12"/>
        <v>850</v>
      </c>
      <c r="T30" s="1">
        <f t="shared" si="2"/>
        <v>1275</v>
      </c>
      <c r="U30" s="1">
        <v>423003</v>
      </c>
      <c r="V30" s="2" t="s">
        <v>41</v>
      </c>
      <c r="W30" s="14">
        <f t="shared" si="13"/>
        <v>200</v>
      </c>
      <c r="X30" s="1">
        <f t="shared" si="3"/>
        <v>300</v>
      </c>
      <c r="Y30" s="1">
        <v>413007</v>
      </c>
      <c r="Z30" s="1" t="s">
        <v>220</v>
      </c>
      <c r="AA30" s="14">
        <f t="shared" si="14"/>
        <v>85</v>
      </c>
      <c r="AB30" s="11">
        <f t="shared" si="4"/>
        <v>127.5</v>
      </c>
      <c r="AC30" s="1">
        <v>415007</v>
      </c>
      <c r="AD30" s="1" t="s">
        <v>221</v>
      </c>
      <c r="AE30" s="14">
        <f t="shared" si="15"/>
        <v>85</v>
      </c>
      <c r="AF30" s="11">
        <f t="shared" si="5"/>
        <v>127.5</v>
      </c>
      <c r="AG30" s="1">
        <v>414007</v>
      </c>
      <c r="AH30" s="1" t="s">
        <v>222</v>
      </c>
      <c r="AI30" s="14">
        <f t="shared" si="16"/>
        <v>45</v>
      </c>
      <c r="AJ30" s="11">
        <f t="shared" si="6"/>
        <v>67.5</v>
      </c>
    </row>
    <row r="31" spans="1:36" x14ac:dyDescent="0.15">
      <c r="A31" s="1">
        <v>814009</v>
      </c>
      <c r="B31" s="2" t="s">
        <v>8</v>
      </c>
      <c r="C31" s="2">
        <f t="shared" si="7"/>
        <v>3</v>
      </c>
      <c r="D31" s="1">
        <v>305002</v>
      </c>
      <c r="E31" s="2" t="s">
        <v>22</v>
      </c>
      <c r="F31" s="1">
        <v>1.5</v>
      </c>
      <c r="G31" s="15">
        <f t="shared" si="8"/>
        <v>130000</v>
      </c>
      <c r="H31" s="1">
        <f t="shared" si="9"/>
        <v>195000</v>
      </c>
      <c r="I31" s="1">
        <v>404002</v>
      </c>
      <c r="J31" s="2" t="s">
        <v>193</v>
      </c>
      <c r="K31" s="15">
        <f t="shared" si="10"/>
        <v>900</v>
      </c>
      <c r="L31" s="11">
        <f t="shared" si="0"/>
        <v>1350</v>
      </c>
      <c r="M31" s="1">
        <v>612003</v>
      </c>
      <c r="N31" s="1" t="s">
        <v>17</v>
      </c>
      <c r="O31" s="14">
        <f t="shared" si="11"/>
        <v>500</v>
      </c>
      <c r="P31" s="11">
        <f t="shared" si="1"/>
        <v>750</v>
      </c>
      <c r="Q31" s="1">
        <v>602002</v>
      </c>
      <c r="R31" s="1" t="s">
        <v>32</v>
      </c>
      <c r="S31" s="14">
        <f t="shared" si="12"/>
        <v>900</v>
      </c>
      <c r="T31" s="1">
        <f t="shared" si="2"/>
        <v>1350</v>
      </c>
      <c r="U31" s="1">
        <v>423001</v>
      </c>
      <c r="V31" s="2" t="s">
        <v>40</v>
      </c>
      <c r="W31" s="14">
        <f t="shared" si="13"/>
        <v>500</v>
      </c>
      <c r="X31" s="1">
        <f t="shared" si="3"/>
        <v>750</v>
      </c>
      <c r="Y31" s="1">
        <v>413007</v>
      </c>
      <c r="Z31" s="1" t="s">
        <v>220</v>
      </c>
      <c r="AA31" s="14">
        <f t="shared" si="14"/>
        <v>90</v>
      </c>
      <c r="AB31" s="11">
        <f t="shared" si="4"/>
        <v>135</v>
      </c>
      <c r="AC31" s="1">
        <v>415007</v>
      </c>
      <c r="AD31" s="1" t="s">
        <v>221</v>
      </c>
      <c r="AE31" s="14">
        <f t="shared" si="15"/>
        <v>90</v>
      </c>
      <c r="AF31" s="11">
        <f t="shared" si="5"/>
        <v>135</v>
      </c>
      <c r="AG31" s="1">
        <v>414007</v>
      </c>
      <c r="AH31" s="1" t="s">
        <v>222</v>
      </c>
      <c r="AI31" s="14">
        <f t="shared" si="16"/>
        <v>50</v>
      </c>
      <c r="AJ31" s="11">
        <f t="shared" si="6"/>
        <v>75</v>
      </c>
    </row>
    <row r="32" spans="1:36" x14ac:dyDescent="0.15">
      <c r="A32" s="1">
        <v>814010</v>
      </c>
      <c r="B32" s="2" t="s">
        <v>4</v>
      </c>
      <c r="C32" s="2">
        <f t="shared" si="7"/>
        <v>3</v>
      </c>
      <c r="D32" s="1">
        <v>305002</v>
      </c>
      <c r="E32" s="2" t="s">
        <v>22</v>
      </c>
      <c r="F32" s="1">
        <v>1.5</v>
      </c>
      <c r="G32" s="15">
        <f t="shared" si="8"/>
        <v>140000</v>
      </c>
      <c r="H32" s="1">
        <f t="shared" si="9"/>
        <v>210000</v>
      </c>
      <c r="I32" s="1">
        <v>404003</v>
      </c>
      <c r="J32" s="1" t="s">
        <v>29</v>
      </c>
      <c r="K32" s="15">
        <f t="shared" si="10"/>
        <v>950</v>
      </c>
      <c r="L32" s="11">
        <f t="shared" si="0"/>
        <v>1425</v>
      </c>
      <c r="M32" s="1">
        <v>612001</v>
      </c>
      <c r="N32" s="2" t="s">
        <v>15</v>
      </c>
      <c r="O32" s="14">
        <f t="shared" si="11"/>
        <v>550</v>
      </c>
      <c r="P32" s="11">
        <f t="shared" si="1"/>
        <v>825</v>
      </c>
      <c r="Q32" s="1">
        <v>602002</v>
      </c>
      <c r="R32" s="1" t="s">
        <v>32</v>
      </c>
      <c r="S32" s="14">
        <f t="shared" si="12"/>
        <v>950</v>
      </c>
      <c r="T32" s="1">
        <f t="shared" si="2"/>
        <v>1425</v>
      </c>
      <c r="U32" s="1">
        <v>423003</v>
      </c>
      <c r="V32" s="2" t="s">
        <v>41</v>
      </c>
      <c r="W32" s="14">
        <f t="shared" si="13"/>
        <v>250</v>
      </c>
      <c r="X32" s="1">
        <f t="shared" si="3"/>
        <v>375</v>
      </c>
      <c r="Y32" s="1">
        <v>413007</v>
      </c>
      <c r="Z32" s="1" t="s">
        <v>220</v>
      </c>
      <c r="AA32" s="14">
        <f t="shared" si="14"/>
        <v>95</v>
      </c>
      <c r="AB32" s="11">
        <f t="shared" si="4"/>
        <v>142.5</v>
      </c>
      <c r="AC32" s="1">
        <v>415007</v>
      </c>
      <c r="AD32" s="1" t="s">
        <v>221</v>
      </c>
      <c r="AE32" s="14">
        <f t="shared" si="15"/>
        <v>95</v>
      </c>
      <c r="AF32" s="11">
        <f t="shared" si="5"/>
        <v>142.5</v>
      </c>
      <c r="AG32" s="1">
        <v>414007</v>
      </c>
      <c r="AH32" s="1" t="s">
        <v>222</v>
      </c>
      <c r="AI32" s="14">
        <f t="shared" si="16"/>
        <v>55</v>
      </c>
      <c r="AJ32" s="11">
        <f t="shared" si="6"/>
        <v>82.5</v>
      </c>
    </row>
    <row r="33" spans="1:36" x14ac:dyDescent="0.15">
      <c r="A33" s="1">
        <v>814001</v>
      </c>
      <c r="B33" s="2" t="s">
        <v>2</v>
      </c>
      <c r="C33" s="2">
        <f t="shared" si="7"/>
        <v>4</v>
      </c>
      <c r="D33" s="1">
        <v>305001</v>
      </c>
      <c r="E33" s="1" t="s">
        <v>18</v>
      </c>
      <c r="F33" s="1">
        <v>1.8</v>
      </c>
      <c r="G33" s="15">
        <f t="shared" si="8"/>
        <v>50000</v>
      </c>
      <c r="H33" s="1">
        <f t="shared" si="9"/>
        <v>90000</v>
      </c>
      <c r="I33" s="1">
        <v>404001</v>
      </c>
      <c r="J33" s="1" t="s">
        <v>27</v>
      </c>
      <c r="K33" s="15">
        <f t="shared" si="10"/>
        <v>500</v>
      </c>
      <c r="L33" s="11">
        <f t="shared" si="0"/>
        <v>900</v>
      </c>
      <c r="M33" s="1">
        <v>612001</v>
      </c>
      <c r="N33" s="2" t="s">
        <v>15</v>
      </c>
      <c r="O33" s="14">
        <f t="shared" si="11"/>
        <v>100</v>
      </c>
      <c r="P33" s="11">
        <f t="shared" si="1"/>
        <v>180</v>
      </c>
      <c r="Q33" s="1">
        <v>602002</v>
      </c>
      <c r="R33" s="1" t="s">
        <v>32</v>
      </c>
      <c r="S33" s="14">
        <f t="shared" si="12"/>
        <v>500</v>
      </c>
      <c r="T33" s="1">
        <f t="shared" si="2"/>
        <v>900</v>
      </c>
      <c r="U33" s="1">
        <v>423001</v>
      </c>
      <c r="V33" s="2" t="s">
        <v>40</v>
      </c>
      <c r="W33" s="14">
        <f t="shared" si="13"/>
        <v>100</v>
      </c>
      <c r="X33" s="1">
        <f t="shared" si="3"/>
        <v>180</v>
      </c>
      <c r="Y33" s="1">
        <v>413005</v>
      </c>
      <c r="Z33" s="1" t="s">
        <v>208</v>
      </c>
      <c r="AA33" s="14">
        <f t="shared" si="14"/>
        <v>50</v>
      </c>
      <c r="AB33" s="11">
        <f t="shared" si="4"/>
        <v>90</v>
      </c>
      <c r="AC33" s="1">
        <v>415005</v>
      </c>
      <c r="AD33" s="1" t="s">
        <v>210</v>
      </c>
      <c r="AE33" s="14">
        <f t="shared" si="15"/>
        <v>50</v>
      </c>
      <c r="AF33" s="11">
        <f t="shared" si="5"/>
        <v>90</v>
      </c>
      <c r="AG33" s="1">
        <v>414005</v>
      </c>
      <c r="AH33" s="1" t="s">
        <v>212</v>
      </c>
      <c r="AI33" s="14">
        <f t="shared" si="16"/>
        <v>10</v>
      </c>
      <c r="AJ33" s="11">
        <f t="shared" si="6"/>
        <v>18</v>
      </c>
    </row>
    <row r="34" spans="1:36" x14ac:dyDescent="0.15">
      <c r="A34" s="1">
        <v>814002</v>
      </c>
      <c r="B34" s="2" t="s">
        <v>3</v>
      </c>
      <c r="C34" s="2">
        <f t="shared" si="7"/>
        <v>4</v>
      </c>
      <c r="D34" s="1">
        <v>305001</v>
      </c>
      <c r="E34" s="1" t="s">
        <v>18</v>
      </c>
      <c r="F34" s="1">
        <v>1.8</v>
      </c>
      <c r="G34" s="15">
        <f t="shared" si="8"/>
        <v>60000</v>
      </c>
      <c r="H34" s="1">
        <f t="shared" si="9"/>
        <v>108000</v>
      </c>
      <c r="I34" s="1">
        <v>404002</v>
      </c>
      <c r="J34" s="1" t="s">
        <v>28</v>
      </c>
      <c r="K34" s="15">
        <f t="shared" si="10"/>
        <v>550</v>
      </c>
      <c r="L34" s="11">
        <f t="shared" si="0"/>
        <v>990</v>
      </c>
      <c r="M34" s="1">
        <v>612002</v>
      </c>
      <c r="N34" s="1" t="s">
        <v>16</v>
      </c>
      <c r="O34" s="14">
        <f t="shared" si="11"/>
        <v>150</v>
      </c>
      <c r="P34" s="11">
        <f t="shared" si="1"/>
        <v>270</v>
      </c>
      <c r="Q34" s="1">
        <v>602002</v>
      </c>
      <c r="R34" s="1" t="s">
        <v>32</v>
      </c>
      <c r="S34" s="14">
        <f t="shared" si="12"/>
        <v>550</v>
      </c>
      <c r="T34" s="1">
        <f t="shared" si="2"/>
        <v>990</v>
      </c>
      <c r="U34" s="1">
        <v>423003</v>
      </c>
      <c r="V34" s="2" t="s">
        <v>41</v>
      </c>
      <c r="W34" s="14">
        <f t="shared" si="13"/>
        <v>50</v>
      </c>
      <c r="X34" s="1">
        <f t="shared" si="3"/>
        <v>90</v>
      </c>
      <c r="Y34" s="1">
        <v>413005</v>
      </c>
      <c r="Z34" s="1" t="s">
        <v>208</v>
      </c>
      <c r="AA34" s="14">
        <f t="shared" si="14"/>
        <v>55</v>
      </c>
      <c r="AB34" s="11">
        <f t="shared" si="4"/>
        <v>99</v>
      </c>
      <c r="AC34" s="1">
        <v>415005</v>
      </c>
      <c r="AD34" s="1" t="s">
        <v>210</v>
      </c>
      <c r="AE34" s="14">
        <f t="shared" si="15"/>
        <v>55</v>
      </c>
      <c r="AF34" s="11">
        <f t="shared" si="5"/>
        <v>99</v>
      </c>
      <c r="AG34" s="1">
        <v>414005</v>
      </c>
      <c r="AH34" s="1" t="s">
        <v>212</v>
      </c>
      <c r="AI34" s="14">
        <f t="shared" si="16"/>
        <v>15</v>
      </c>
      <c r="AJ34" s="11">
        <f t="shared" si="6"/>
        <v>27</v>
      </c>
    </row>
    <row r="35" spans="1:36" x14ac:dyDescent="0.15">
      <c r="A35" s="1">
        <v>814003</v>
      </c>
      <c r="B35" s="2" t="s">
        <v>180</v>
      </c>
      <c r="C35" s="2">
        <f t="shared" si="7"/>
        <v>4</v>
      </c>
      <c r="D35" s="1">
        <v>305001</v>
      </c>
      <c r="E35" s="1" t="s">
        <v>18</v>
      </c>
      <c r="F35" s="1">
        <v>1.8</v>
      </c>
      <c r="G35" s="15">
        <f t="shared" si="8"/>
        <v>70000</v>
      </c>
      <c r="H35" s="1">
        <f t="shared" si="9"/>
        <v>126000</v>
      </c>
      <c r="I35" s="1">
        <v>404001</v>
      </c>
      <c r="J35" s="1" t="s">
        <v>27</v>
      </c>
      <c r="K35" s="15">
        <f t="shared" si="10"/>
        <v>600</v>
      </c>
      <c r="L35" s="11">
        <f t="shared" si="0"/>
        <v>1080</v>
      </c>
      <c r="M35" s="1">
        <v>612003</v>
      </c>
      <c r="N35" s="1" t="s">
        <v>17</v>
      </c>
      <c r="O35" s="14">
        <f t="shared" si="11"/>
        <v>200</v>
      </c>
      <c r="P35" s="11">
        <f t="shared" si="1"/>
        <v>360</v>
      </c>
      <c r="Q35" s="1">
        <v>602002</v>
      </c>
      <c r="R35" s="1" t="s">
        <v>32</v>
      </c>
      <c r="S35" s="14">
        <f t="shared" si="12"/>
        <v>600</v>
      </c>
      <c r="T35" s="1">
        <f t="shared" si="2"/>
        <v>1080</v>
      </c>
      <c r="U35" s="1">
        <v>423001</v>
      </c>
      <c r="V35" s="2" t="s">
        <v>40</v>
      </c>
      <c r="W35" s="14">
        <f t="shared" si="13"/>
        <v>200</v>
      </c>
      <c r="X35" s="1">
        <f t="shared" si="3"/>
        <v>360</v>
      </c>
      <c r="Y35" s="1">
        <v>413005</v>
      </c>
      <c r="Z35" s="1" t="s">
        <v>208</v>
      </c>
      <c r="AA35" s="14">
        <f t="shared" si="14"/>
        <v>60</v>
      </c>
      <c r="AB35" s="11">
        <f t="shared" si="4"/>
        <v>108</v>
      </c>
      <c r="AC35" s="1">
        <v>415005</v>
      </c>
      <c r="AD35" s="1" t="s">
        <v>210</v>
      </c>
      <c r="AE35" s="14">
        <f t="shared" si="15"/>
        <v>60</v>
      </c>
      <c r="AF35" s="11">
        <f t="shared" si="5"/>
        <v>108</v>
      </c>
      <c r="AG35" s="1">
        <v>414005</v>
      </c>
      <c r="AH35" s="1" t="s">
        <v>212</v>
      </c>
      <c r="AI35" s="14">
        <f t="shared" si="16"/>
        <v>20</v>
      </c>
      <c r="AJ35" s="11">
        <f t="shared" si="6"/>
        <v>36</v>
      </c>
    </row>
    <row r="36" spans="1:36" x14ac:dyDescent="0.15">
      <c r="A36" s="1">
        <v>814004</v>
      </c>
      <c r="B36" s="2" t="s">
        <v>181</v>
      </c>
      <c r="C36" s="2">
        <f t="shared" si="7"/>
        <v>4</v>
      </c>
      <c r="D36" s="1">
        <v>305001</v>
      </c>
      <c r="E36" s="1" t="s">
        <v>18</v>
      </c>
      <c r="F36" s="1">
        <v>1.8</v>
      </c>
      <c r="G36" s="15">
        <f t="shared" si="8"/>
        <v>80000</v>
      </c>
      <c r="H36" s="1">
        <f t="shared" si="9"/>
        <v>144000</v>
      </c>
      <c r="I36" s="1">
        <v>404002</v>
      </c>
      <c r="J36" s="2" t="s">
        <v>193</v>
      </c>
      <c r="K36" s="15">
        <f t="shared" si="10"/>
        <v>650</v>
      </c>
      <c r="L36" s="11">
        <f t="shared" si="0"/>
        <v>1170</v>
      </c>
      <c r="M36" s="1">
        <v>612001</v>
      </c>
      <c r="N36" s="2" t="s">
        <v>15</v>
      </c>
      <c r="O36" s="14">
        <f t="shared" si="11"/>
        <v>250</v>
      </c>
      <c r="P36" s="11">
        <f t="shared" si="1"/>
        <v>450</v>
      </c>
      <c r="Q36" s="1">
        <v>602002</v>
      </c>
      <c r="R36" s="1" t="s">
        <v>32</v>
      </c>
      <c r="S36" s="14">
        <f t="shared" si="12"/>
        <v>650</v>
      </c>
      <c r="T36" s="1">
        <f t="shared" si="2"/>
        <v>1170</v>
      </c>
      <c r="U36" s="1">
        <v>423003</v>
      </c>
      <c r="V36" s="2" t="s">
        <v>41</v>
      </c>
      <c r="W36" s="14">
        <f t="shared" si="13"/>
        <v>100</v>
      </c>
      <c r="X36" s="1">
        <f t="shared" si="3"/>
        <v>180</v>
      </c>
      <c r="Y36" s="1">
        <v>413006</v>
      </c>
      <c r="Z36" s="1" t="s">
        <v>209</v>
      </c>
      <c r="AA36" s="14">
        <f t="shared" si="14"/>
        <v>65</v>
      </c>
      <c r="AB36" s="11">
        <f t="shared" si="4"/>
        <v>117</v>
      </c>
      <c r="AC36" s="1">
        <v>415006</v>
      </c>
      <c r="AD36" s="1" t="s">
        <v>211</v>
      </c>
      <c r="AE36" s="14">
        <f t="shared" si="15"/>
        <v>65</v>
      </c>
      <c r="AF36" s="11">
        <f t="shared" si="5"/>
        <v>117</v>
      </c>
      <c r="AG36" s="1">
        <v>414006</v>
      </c>
      <c r="AH36" s="1" t="s">
        <v>213</v>
      </c>
      <c r="AI36" s="14">
        <f t="shared" si="16"/>
        <v>25</v>
      </c>
      <c r="AJ36" s="11">
        <f t="shared" si="6"/>
        <v>45</v>
      </c>
    </row>
    <row r="37" spans="1:36" x14ac:dyDescent="0.15">
      <c r="A37" s="1">
        <v>814005</v>
      </c>
      <c r="B37" s="2" t="s">
        <v>7</v>
      </c>
      <c r="C37" s="2">
        <f t="shared" si="7"/>
        <v>4</v>
      </c>
      <c r="D37" s="1">
        <v>305001</v>
      </c>
      <c r="E37" s="1" t="s">
        <v>18</v>
      </c>
      <c r="F37" s="1">
        <v>1.8</v>
      </c>
      <c r="G37" s="15">
        <f t="shared" si="8"/>
        <v>90000</v>
      </c>
      <c r="H37" s="1">
        <f t="shared" si="9"/>
        <v>162000</v>
      </c>
      <c r="I37" s="1">
        <v>404001</v>
      </c>
      <c r="J37" s="1" t="s">
        <v>27</v>
      </c>
      <c r="K37" s="15">
        <f t="shared" si="10"/>
        <v>700</v>
      </c>
      <c r="L37" s="11">
        <f t="shared" si="0"/>
        <v>1260</v>
      </c>
      <c r="M37" s="1">
        <v>612002</v>
      </c>
      <c r="N37" s="1" t="s">
        <v>16</v>
      </c>
      <c r="O37" s="14">
        <f t="shared" si="11"/>
        <v>300</v>
      </c>
      <c r="P37" s="11">
        <f t="shared" si="1"/>
        <v>540</v>
      </c>
      <c r="Q37" s="1">
        <v>602002</v>
      </c>
      <c r="R37" s="1" t="s">
        <v>32</v>
      </c>
      <c r="S37" s="14">
        <f t="shared" si="12"/>
        <v>700</v>
      </c>
      <c r="T37" s="1">
        <f t="shared" si="2"/>
        <v>1260</v>
      </c>
      <c r="U37" s="1">
        <v>423001</v>
      </c>
      <c r="V37" s="2" t="s">
        <v>40</v>
      </c>
      <c r="W37" s="14">
        <f t="shared" si="13"/>
        <v>300</v>
      </c>
      <c r="X37" s="1">
        <f t="shared" si="3"/>
        <v>540</v>
      </c>
      <c r="Y37" s="1">
        <v>413006</v>
      </c>
      <c r="Z37" s="1" t="s">
        <v>209</v>
      </c>
      <c r="AA37" s="14">
        <f t="shared" si="14"/>
        <v>70</v>
      </c>
      <c r="AB37" s="11">
        <f t="shared" si="4"/>
        <v>126</v>
      </c>
      <c r="AC37" s="1">
        <v>415006</v>
      </c>
      <c r="AD37" s="1" t="s">
        <v>211</v>
      </c>
      <c r="AE37" s="14">
        <f t="shared" si="15"/>
        <v>70</v>
      </c>
      <c r="AF37" s="11">
        <f t="shared" si="5"/>
        <v>126</v>
      </c>
      <c r="AG37" s="1">
        <v>414006</v>
      </c>
      <c r="AH37" s="1" t="s">
        <v>213</v>
      </c>
      <c r="AI37" s="14">
        <f t="shared" si="16"/>
        <v>30</v>
      </c>
      <c r="AJ37" s="11">
        <f t="shared" si="6"/>
        <v>54</v>
      </c>
    </row>
    <row r="38" spans="1:36" x14ac:dyDescent="0.15">
      <c r="A38" s="1">
        <v>814006</v>
      </c>
      <c r="B38" s="2" t="s">
        <v>6</v>
      </c>
      <c r="C38" s="2">
        <f t="shared" si="7"/>
        <v>4</v>
      </c>
      <c r="D38" s="1">
        <v>305001</v>
      </c>
      <c r="E38" s="1" t="s">
        <v>18</v>
      </c>
      <c r="F38" s="1">
        <v>1.8</v>
      </c>
      <c r="G38" s="15">
        <f t="shared" si="8"/>
        <v>100000</v>
      </c>
      <c r="H38" s="1">
        <f t="shared" si="9"/>
        <v>180000</v>
      </c>
      <c r="I38" s="1">
        <v>404003</v>
      </c>
      <c r="J38" s="1" t="s">
        <v>29</v>
      </c>
      <c r="K38" s="15">
        <f t="shared" si="10"/>
        <v>750</v>
      </c>
      <c r="L38" s="11">
        <f t="shared" si="0"/>
        <v>1350</v>
      </c>
      <c r="M38" s="1">
        <v>612003</v>
      </c>
      <c r="N38" s="1" t="s">
        <v>17</v>
      </c>
      <c r="O38" s="14">
        <f t="shared" si="11"/>
        <v>350</v>
      </c>
      <c r="P38" s="11">
        <f t="shared" si="1"/>
        <v>630</v>
      </c>
      <c r="Q38" s="1">
        <v>602002</v>
      </c>
      <c r="R38" s="1" t="s">
        <v>32</v>
      </c>
      <c r="S38" s="14">
        <f t="shared" si="12"/>
        <v>750</v>
      </c>
      <c r="T38" s="1">
        <f t="shared" si="2"/>
        <v>1350</v>
      </c>
      <c r="U38" s="1">
        <v>423003</v>
      </c>
      <c r="V38" s="2" t="s">
        <v>41</v>
      </c>
      <c r="W38" s="14">
        <f t="shared" si="13"/>
        <v>150</v>
      </c>
      <c r="X38" s="1">
        <f t="shared" si="3"/>
        <v>270</v>
      </c>
      <c r="Y38" s="1">
        <v>413006</v>
      </c>
      <c r="Z38" s="1" t="s">
        <v>209</v>
      </c>
      <c r="AA38" s="14">
        <f t="shared" si="14"/>
        <v>75</v>
      </c>
      <c r="AB38" s="11">
        <f t="shared" si="4"/>
        <v>135</v>
      </c>
      <c r="AC38" s="1">
        <v>415006</v>
      </c>
      <c r="AD38" s="1" t="s">
        <v>211</v>
      </c>
      <c r="AE38" s="14">
        <f t="shared" si="15"/>
        <v>75</v>
      </c>
      <c r="AF38" s="11">
        <f t="shared" si="5"/>
        <v>135</v>
      </c>
      <c r="AG38" s="1">
        <v>414006</v>
      </c>
      <c r="AH38" s="1" t="s">
        <v>213</v>
      </c>
      <c r="AI38" s="14">
        <f t="shared" si="16"/>
        <v>35</v>
      </c>
      <c r="AJ38" s="11">
        <f t="shared" si="6"/>
        <v>63</v>
      </c>
    </row>
    <row r="39" spans="1:36" x14ac:dyDescent="0.15">
      <c r="A39" s="1">
        <v>814007</v>
      </c>
      <c r="B39" s="2" t="s">
        <v>182</v>
      </c>
      <c r="C39" s="2">
        <f t="shared" si="7"/>
        <v>4</v>
      </c>
      <c r="D39" s="1">
        <v>305001</v>
      </c>
      <c r="E39" s="1" t="s">
        <v>18</v>
      </c>
      <c r="F39" s="1">
        <v>1.8</v>
      </c>
      <c r="G39" s="15">
        <f t="shared" si="8"/>
        <v>110000</v>
      </c>
      <c r="H39" s="1">
        <f t="shared" si="9"/>
        <v>198000</v>
      </c>
      <c r="I39" s="1">
        <v>404001</v>
      </c>
      <c r="J39" s="1" t="s">
        <v>27</v>
      </c>
      <c r="K39" s="15">
        <f t="shared" si="10"/>
        <v>800</v>
      </c>
      <c r="L39" s="11">
        <f t="shared" si="0"/>
        <v>1440</v>
      </c>
      <c r="M39" s="1">
        <v>612001</v>
      </c>
      <c r="N39" s="2" t="s">
        <v>15</v>
      </c>
      <c r="O39" s="14">
        <f t="shared" si="11"/>
        <v>400</v>
      </c>
      <c r="P39" s="11">
        <f t="shared" si="1"/>
        <v>720</v>
      </c>
      <c r="Q39" s="1">
        <v>602002</v>
      </c>
      <c r="R39" s="1" t="s">
        <v>32</v>
      </c>
      <c r="S39" s="14">
        <f t="shared" si="12"/>
        <v>800</v>
      </c>
      <c r="T39" s="1">
        <f t="shared" si="2"/>
        <v>1440</v>
      </c>
      <c r="U39" s="1">
        <v>423001</v>
      </c>
      <c r="V39" s="2" t="s">
        <v>40</v>
      </c>
      <c r="W39" s="14">
        <f t="shared" si="13"/>
        <v>400</v>
      </c>
      <c r="X39" s="1">
        <f t="shared" si="3"/>
        <v>720</v>
      </c>
      <c r="Y39" s="1">
        <v>413007</v>
      </c>
      <c r="Z39" s="1" t="s">
        <v>220</v>
      </c>
      <c r="AA39" s="14">
        <f t="shared" si="14"/>
        <v>80</v>
      </c>
      <c r="AB39" s="11">
        <f t="shared" si="4"/>
        <v>144</v>
      </c>
      <c r="AC39" s="1">
        <v>415007</v>
      </c>
      <c r="AD39" s="1" t="s">
        <v>221</v>
      </c>
      <c r="AE39" s="14">
        <f t="shared" si="15"/>
        <v>80</v>
      </c>
      <c r="AF39" s="11">
        <f t="shared" si="5"/>
        <v>144</v>
      </c>
      <c r="AG39" s="1">
        <v>414007</v>
      </c>
      <c r="AH39" s="1" t="s">
        <v>222</v>
      </c>
      <c r="AI39" s="14">
        <f t="shared" si="16"/>
        <v>40</v>
      </c>
      <c r="AJ39" s="11">
        <f t="shared" si="6"/>
        <v>72</v>
      </c>
    </row>
    <row r="40" spans="1:36" x14ac:dyDescent="0.15">
      <c r="A40" s="1">
        <v>814008</v>
      </c>
      <c r="B40" s="2" t="s">
        <v>5</v>
      </c>
      <c r="C40" s="2">
        <f t="shared" si="7"/>
        <v>4</v>
      </c>
      <c r="D40" s="1">
        <v>305002</v>
      </c>
      <c r="E40" s="2" t="s">
        <v>22</v>
      </c>
      <c r="F40" s="1">
        <v>1.8</v>
      </c>
      <c r="G40" s="15">
        <f t="shared" si="8"/>
        <v>120000</v>
      </c>
      <c r="H40" s="1">
        <f t="shared" si="9"/>
        <v>216000</v>
      </c>
      <c r="I40" s="1">
        <v>404003</v>
      </c>
      <c r="J40" s="1" t="s">
        <v>29</v>
      </c>
      <c r="K40" s="15">
        <f t="shared" si="10"/>
        <v>850</v>
      </c>
      <c r="L40" s="11">
        <f t="shared" si="0"/>
        <v>1530</v>
      </c>
      <c r="M40" s="1">
        <v>612002</v>
      </c>
      <c r="N40" s="1" t="s">
        <v>16</v>
      </c>
      <c r="O40" s="14">
        <f t="shared" si="11"/>
        <v>450</v>
      </c>
      <c r="P40" s="11">
        <f t="shared" si="1"/>
        <v>810</v>
      </c>
      <c r="Q40" s="1">
        <v>602002</v>
      </c>
      <c r="R40" s="1" t="s">
        <v>32</v>
      </c>
      <c r="S40" s="14">
        <f t="shared" si="12"/>
        <v>850</v>
      </c>
      <c r="T40" s="1">
        <f t="shared" si="2"/>
        <v>1530</v>
      </c>
      <c r="U40" s="1">
        <v>423003</v>
      </c>
      <c r="V40" s="2" t="s">
        <v>41</v>
      </c>
      <c r="W40" s="14">
        <f t="shared" si="13"/>
        <v>200</v>
      </c>
      <c r="X40" s="1">
        <f t="shared" si="3"/>
        <v>360</v>
      </c>
      <c r="Y40" s="1">
        <v>413007</v>
      </c>
      <c r="Z40" s="1" t="s">
        <v>220</v>
      </c>
      <c r="AA40" s="14">
        <f t="shared" si="14"/>
        <v>85</v>
      </c>
      <c r="AB40" s="11">
        <f t="shared" si="4"/>
        <v>153</v>
      </c>
      <c r="AC40" s="1">
        <v>415007</v>
      </c>
      <c r="AD40" s="1" t="s">
        <v>221</v>
      </c>
      <c r="AE40" s="14">
        <f t="shared" si="15"/>
        <v>85</v>
      </c>
      <c r="AF40" s="11">
        <f t="shared" si="5"/>
        <v>153</v>
      </c>
      <c r="AG40" s="1">
        <v>414007</v>
      </c>
      <c r="AH40" s="1" t="s">
        <v>222</v>
      </c>
      <c r="AI40" s="14">
        <f t="shared" si="16"/>
        <v>45</v>
      </c>
      <c r="AJ40" s="11">
        <f t="shared" si="6"/>
        <v>81</v>
      </c>
    </row>
    <row r="41" spans="1:36" x14ac:dyDescent="0.15">
      <c r="A41" s="1">
        <v>814009</v>
      </c>
      <c r="B41" s="2" t="s">
        <v>8</v>
      </c>
      <c r="C41" s="2">
        <f t="shared" si="7"/>
        <v>4</v>
      </c>
      <c r="D41" s="1">
        <v>305002</v>
      </c>
      <c r="E41" s="2" t="s">
        <v>22</v>
      </c>
      <c r="F41" s="1">
        <v>1.8</v>
      </c>
      <c r="G41" s="15">
        <f t="shared" si="8"/>
        <v>130000</v>
      </c>
      <c r="H41" s="1">
        <f t="shared" si="9"/>
        <v>234000</v>
      </c>
      <c r="I41" s="1">
        <v>404002</v>
      </c>
      <c r="J41" s="2" t="s">
        <v>193</v>
      </c>
      <c r="K41" s="15">
        <f t="shared" si="10"/>
        <v>900</v>
      </c>
      <c r="L41" s="11">
        <f t="shared" si="0"/>
        <v>1620</v>
      </c>
      <c r="M41" s="1">
        <v>612003</v>
      </c>
      <c r="N41" s="1" t="s">
        <v>17</v>
      </c>
      <c r="O41" s="14">
        <f t="shared" si="11"/>
        <v>500</v>
      </c>
      <c r="P41" s="11">
        <f t="shared" si="1"/>
        <v>900</v>
      </c>
      <c r="Q41" s="1">
        <v>602002</v>
      </c>
      <c r="R41" s="1" t="s">
        <v>32</v>
      </c>
      <c r="S41" s="14">
        <f t="shared" si="12"/>
        <v>900</v>
      </c>
      <c r="T41" s="1">
        <f t="shared" si="2"/>
        <v>1620</v>
      </c>
      <c r="U41" s="1">
        <v>423001</v>
      </c>
      <c r="V41" s="2" t="s">
        <v>40</v>
      </c>
      <c r="W41" s="14">
        <f t="shared" si="13"/>
        <v>500</v>
      </c>
      <c r="X41" s="1">
        <f t="shared" si="3"/>
        <v>900</v>
      </c>
      <c r="Y41" s="1">
        <v>413007</v>
      </c>
      <c r="Z41" s="1" t="s">
        <v>220</v>
      </c>
      <c r="AA41" s="14">
        <f t="shared" si="14"/>
        <v>90</v>
      </c>
      <c r="AB41" s="11">
        <f t="shared" si="4"/>
        <v>162</v>
      </c>
      <c r="AC41" s="1">
        <v>415007</v>
      </c>
      <c r="AD41" s="1" t="s">
        <v>221</v>
      </c>
      <c r="AE41" s="14">
        <f t="shared" si="15"/>
        <v>90</v>
      </c>
      <c r="AF41" s="11">
        <f t="shared" si="5"/>
        <v>162</v>
      </c>
      <c r="AG41" s="1">
        <v>414007</v>
      </c>
      <c r="AH41" s="1" t="s">
        <v>222</v>
      </c>
      <c r="AI41" s="14">
        <f t="shared" si="16"/>
        <v>50</v>
      </c>
      <c r="AJ41" s="11">
        <f t="shared" si="6"/>
        <v>90</v>
      </c>
    </row>
    <row r="42" spans="1:36" x14ac:dyDescent="0.15">
      <c r="A42" s="1">
        <v>814010</v>
      </c>
      <c r="B42" s="2" t="s">
        <v>4</v>
      </c>
      <c r="C42" s="2">
        <f t="shared" si="7"/>
        <v>4</v>
      </c>
      <c r="D42" s="1">
        <v>305002</v>
      </c>
      <c r="E42" s="2" t="s">
        <v>22</v>
      </c>
      <c r="F42" s="1">
        <v>1.8</v>
      </c>
      <c r="G42" s="15">
        <f t="shared" si="8"/>
        <v>140000</v>
      </c>
      <c r="H42" s="1">
        <f t="shared" si="9"/>
        <v>252000</v>
      </c>
      <c r="I42" s="1">
        <v>404003</v>
      </c>
      <c r="J42" s="1" t="s">
        <v>29</v>
      </c>
      <c r="K42" s="15">
        <f t="shared" si="10"/>
        <v>950</v>
      </c>
      <c r="L42" s="11">
        <f t="shared" si="0"/>
        <v>1710</v>
      </c>
      <c r="M42" s="1">
        <v>612001</v>
      </c>
      <c r="N42" s="2" t="s">
        <v>15</v>
      </c>
      <c r="O42" s="14">
        <f t="shared" si="11"/>
        <v>550</v>
      </c>
      <c r="P42" s="11">
        <f t="shared" si="1"/>
        <v>990</v>
      </c>
      <c r="Q42" s="1">
        <v>602002</v>
      </c>
      <c r="R42" s="1" t="s">
        <v>32</v>
      </c>
      <c r="S42" s="14">
        <f t="shared" si="12"/>
        <v>950</v>
      </c>
      <c r="T42" s="1">
        <f t="shared" si="2"/>
        <v>1710</v>
      </c>
      <c r="U42" s="1">
        <v>423003</v>
      </c>
      <c r="V42" s="2" t="s">
        <v>41</v>
      </c>
      <c r="W42" s="14">
        <f t="shared" si="13"/>
        <v>250</v>
      </c>
      <c r="X42" s="1">
        <f t="shared" si="3"/>
        <v>450</v>
      </c>
      <c r="Y42" s="1">
        <v>413007</v>
      </c>
      <c r="Z42" s="1" t="s">
        <v>220</v>
      </c>
      <c r="AA42" s="14">
        <f t="shared" si="14"/>
        <v>95</v>
      </c>
      <c r="AB42" s="11">
        <f t="shared" si="4"/>
        <v>171</v>
      </c>
      <c r="AC42" s="1">
        <v>415007</v>
      </c>
      <c r="AD42" s="1" t="s">
        <v>221</v>
      </c>
      <c r="AE42" s="14">
        <f t="shared" si="15"/>
        <v>95</v>
      </c>
      <c r="AF42" s="11">
        <f t="shared" si="5"/>
        <v>171</v>
      </c>
      <c r="AG42" s="1">
        <v>414007</v>
      </c>
      <c r="AH42" s="1" t="s">
        <v>222</v>
      </c>
      <c r="AI42" s="14">
        <f t="shared" si="16"/>
        <v>55</v>
      </c>
      <c r="AJ42" s="11">
        <f t="shared" si="6"/>
        <v>99</v>
      </c>
    </row>
    <row r="43" spans="1:36" x14ac:dyDescent="0.15">
      <c r="A43" s="1">
        <v>814001</v>
      </c>
      <c r="B43" s="2" t="s">
        <v>2</v>
      </c>
      <c r="C43" s="2">
        <f t="shared" si="7"/>
        <v>5</v>
      </c>
      <c r="D43" s="1">
        <v>305001</v>
      </c>
      <c r="E43" s="1" t="s">
        <v>18</v>
      </c>
      <c r="F43" s="1">
        <v>2</v>
      </c>
      <c r="G43" s="15">
        <f t="shared" si="8"/>
        <v>50000</v>
      </c>
      <c r="H43" s="1">
        <f t="shared" si="9"/>
        <v>100000</v>
      </c>
      <c r="I43" s="1">
        <v>404001</v>
      </c>
      <c r="J43" s="1" t="s">
        <v>27</v>
      </c>
      <c r="K43" s="15">
        <f t="shared" si="10"/>
        <v>500</v>
      </c>
      <c r="L43" s="11">
        <f t="shared" si="0"/>
        <v>1000</v>
      </c>
      <c r="M43" s="1">
        <v>612001</v>
      </c>
      <c r="N43" s="2" t="s">
        <v>15</v>
      </c>
      <c r="O43" s="14">
        <f t="shared" si="11"/>
        <v>100</v>
      </c>
      <c r="P43" s="11">
        <f t="shared" si="1"/>
        <v>200</v>
      </c>
      <c r="Q43" s="1">
        <v>602002</v>
      </c>
      <c r="R43" s="1" t="s">
        <v>32</v>
      </c>
      <c r="S43" s="14">
        <f t="shared" si="12"/>
        <v>500</v>
      </c>
      <c r="T43" s="1">
        <f t="shared" si="2"/>
        <v>1000</v>
      </c>
      <c r="U43" s="1">
        <v>423001</v>
      </c>
      <c r="V43" s="2" t="s">
        <v>40</v>
      </c>
      <c r="W43" s="14">
        <f t="shared" si="13"/>
        <v>100</v>
      </c>
      <c r="X43" s="1">
        <f t="shared" si="3"/>
        <v>200</v>
      </c>
      <c r="Y43" s="1">
        <v>413005</v>
      </c>
      <c r="Z43" s="1" t="s">
        <v>208</v>
      </c>
      <c r="AA43" s="14">
        <f t="shared" si="14"/>
        <v>50</v>
      </c>
      <c r="AB43" s="11">
        <f t="shared" si="4"/>
        <v>100</v>
      </c>
      <c r="AC43" s="1">
        <v>415005</v>
      </c>
      <c r="AD43" s="1" t="s">
        <v>210</v>
      </c>
      <c r="AE43" s="14">
        <f t="shared" si="15"/>
        <v>50</v>
      </c>
      <c r="AF43" s="11">
        <f t="shared" si="5"/>
        <v>100</v>
      </c>
      <c r="AG43" s="1">
        <v>414005</v>
      </c>
      <c r="AH43" s="1" t="s">
        <v>212</v>
      </c>
      <c r="AI43" s="14">
        <f t="shared" si="16"/>
        <v>10</v>
      </c>
      <c r="AJ43" s="11">
        <f t="shared" si="6"/>
        <v>20</v>
      </c>
    </row>
    <row r="44" spans="1:36" x14ac:dyDescent="0.15">
      <c r="A44" s="1">
        <v>814002</v>
      </c>
      <c r="B44" s="2" t="s">
        <v>3</v>
      </c>
      <c r="C44" s="2">
        <f t="shared" si="7"/>
        <v>5</v>
      </c>
      <c r="D44" s="1">
        <v>305001</v>
      </c>
      <c r="E44" s="1" t="s">
        <v>18</v>
      </c>
      <c r="F44" s="1">
        <v>2</v>
      </c>
      <c r="G44" s="15">
        <f t="shared" si="8"/>
        <v>60000</v>
      </c>
      <c r="H44" s="1">
        <f t="shared" si="9"/>
        <v>120000</v>
      </c>
      <c r="I44" s="1">
        <v>404002</v>
      </c>
      <c r="J44" s="1" t="s">
        <v>28</v>
      </c>
      <c r="K44" s="15">
        <f t="shared" si="10"/>
        <v>550</v>
      </c>
      <c r="L44" s="11">
        <f t="shared" si="0"/>
        <v>1100</v>
      </c>
      <c r="M44" s="1">
        <v>612002</v>
      </c>
      <c r="N44" s="1" t="s">
        <v>16</v>
      </c>
      <c r="O44" s="14">
        <f t="shared" si="11"/>
        <v>150</v>
      </c>
      <c r="P44" s="11">
        <f t="shared" si="1"/>
        <v>300</v>
      </c>
      <c r="Q44" s="1">
        <v>602002</v>
      </c>
      <c r="R44" s="1" t="s">
        <v>32</v>
      </c>
      <c r="S44" s="14">
        <f t="shared" si="12"/>
        <v>550</v>
      </c>
      <c r="T44" s="1">
        <f t="shared" si="2"/>
        <v>1100</v>
      </c>
      <c r="U44" s="1">
        <v>423003</v>
      </c>
      <c r="V44" s="2" t="s">
        <v>41</v>
      </c>
      <c r="W44" s="14">
        <f t="shared" si="13"/>
        <v>50</v>
      </c>
      <c r="X44" s="1">
        <f t="shared" si="3"/>
        <v>100</v>
      </c>
      <c r="Y44" s="1">
        <v>413005</v>
      </c>
      <c r="Z44" s="1" t="s">
        <v>208</v>
      </c>
      <c r="AA44" s="14">
        <f t="shared" si="14"/>
        <v>55</v>
      </c>
      <c r="AB44" s="11">
        <f t="shared" si="4"/>
        <v>110</v>
      </c>
      <c r="AC44" s="1">
        <v>415005</v>
      </c>
      <c r="AD44" s="1" t="s">
        <v>210</v>
      </c>
      <c r="AE44" s="14">
        <f t="shared" si="15"/>
        <v>55</v>
      </c>
      <c r="AF44" s="11">
        <f t="shared" si="5"/>
        <v>110</v>
      </c>
      <c r="AG44" s="1">
        <v>414005</v>
      </c>
      <c r="AH44" s="1" t="s">
        <v>212</v>
      </c>
      <c r="AI44" s="14">
        <f t="shared" si="16"/>
        <v>15</v>
      </c>
      <c r="AJ44" s="11">
        <f t="shared" si="6"/>
        <v>30</v>
      </c>
    </row>
    <row r="45" spans="1:36" x14ac:dyDescent="0.15">
      <c r="A45" s="1">
        <v>814003</v>
      </c>
      <c r="B45" s="2" t="s">
        <v>180</v>
      </c>
      <c r="C45" s="2">
        <f t="shared" si="7"/>
        <v>5</v>
      </c>
      <c r="D45" s="1">
        <v>305001</v>
      </c>
      <c r="E45" s="1" t="s">
        <v>18</v>
      </c>
      <c r="F45" s="1">
        <v>2</v>
      </c>
      <c r="G45" s="15">
        <f t="shared" si="8"/>
        <v>70000</v>
      </c>
      <c r="H45" s="1">
        <f t="shared" si="9"/>
        <v>140000</v>
      </c>
      <c r="I45" s="1">
        <v>404001</v>
      </c>
      <c r="J45" s="1" t="s">
        <v>27</v>
      </c>
      <c r="K45" s="15">
        <f t="shared" si="10"/>
        <v>600</v>
      </c>
      <c r="L45" s="11">
        <f t="shared" si="0"/>
        <v>1200</v>
      </c>
      <c r="M45" s="1">
        <v>612003</v>
      </c>
      <c r="N45" s="1" t="s">
        <v>17</v>
      </c>
      <c r="O45" s="14">
        <f t="shared" si="11"/>
        <v>200</v>
      </c>
      <c r="P45" s="11">
        <f t="shared" si="1"/>
        <v>400</v>
      </c>
      <c r="Q45" s="1">
        <v>602002</v>
      </c>
      <c r="R45" s="1" t="s">
        <v>32</v>
      </c>
      <c r="S45" s="14">
        <f t="shared" si="12"/>
        <v>600</v>
      </c>
      <c r="T45" s="1">
        <f t="shared" si="2"/>
        <v>1200</v>
      </c>
      <c r="U45" s="1">
        <v>423001</v>
      </c>
      <c r="V45" s="2" t="s">
        <v>40</v>
      </c>
      <c r="W45" s="14">
        <f t="shared" si="13"/>
        <v>200</v>
      </c>
      <c r="X45" s="1">
        <f t="shared" si="3"/>
        <v>400</v>
      </c>
      <c r="Y45" s="1">
        <v>413005</v>
      </c>
      <c r="Z45" s="1" t="s">
        <v>208</v>
      </c>
      <c r="AA45" s="14">
        <f t="shared" si="14"/>
        <v>60</v>
      </c>
      <c r="AB45" s="11">
        <f t="shared" si="4"/>
        <v>120</v>
      </c>
      <c r="AC45" s="1">
        <v>415005</v>
      </c>
      <c r="AD45" s="1" t="s">
        <v>210</v>
      </c>
      <c r="AE45" s="14">
        <f t="shared" si="15"/>
        <v>60</v>
      </c>
      <c r="AF45" s="11">
        <f t="shared" si="5"/>
        <v>120</v>
      </c>
      <c r="AG45" s="1">
        <v>414005</v>
      </c>
      <c r="AH45" s="1" t="s">
        <v>212</v>
      </c>
      <c r="AI45" s="14">
        <f t="shared" si="16"/>
        <v>20</v>
      </c>
      <c r="AJ45" s="11">
        <f t="shared" si="6"/>
        <v>40</v>
      </c>
    </row>
    <row r="46" spans="1:36" x14ac:dyDescent="0.15">
      <c r="A46" s="1">
        <v>814004</v>
      </c>
      <c r="B46" s="2" t="s">
        <v>181</v>
      </c>
      <c r="C46" s="2">
        <f t="shared" si="7"/>
        <v>5</v>
      </c>
      <c r="D46" s="1">
        <v>305001</v>
      </c>
      <c r="E46" s="1" t="s">
        <v>18</v>
      </c>
      <c r="F46" s="1">
        <v>2</v>
      </c>
      <c r="G46" s="15">
        <f t="shared" si="8"/>
        <v>80000</v>
      </c>
      <c r="H46" s="1">
        <f t="shared" si="9"/>
        <v>160000</v>
      </c>
      <c r="I46" s="1">
        <v>404002</v>
      </c>
      <c r="J46" s="2" t="s">
        <v>193</v>
      </c>
      <c r="K46" s="15">
        <f t="shared" si="10"/>
        <v>650</v>
      </c>
      <c r="L46" s="11">
        <f t="shared" si="0"/>
        <v>1300</v>
      </c>
      <c r="M46" s="1">
        <v>612001</v>
      </c>
      <c r="N46" s="2" t="s">
        <v>15</v>
      </c>
      <c r="O46" s="14">
        <f t="shared" si="11"/>
        <v>250</v>
      </c>
      <c r="P46" s="11">
        <f t="shared" si="1"/>
        <v>500</v>
      </c>
      <c r="Q46" s="1">
        <v>602002</v>
      </c>
      <c r="R46" s="1" t="s">
        <v>32</v>
      </c>
      <c r="S46" s="14">
        <f t="shared" si="12"/>
        <v>650</v>
      </c>
      <c r="T46" s="1">
        <f t="shared" si="2"/>
        <v>1300</v>
      </c>
      <c r="U46" s="1">
        <v>423003</v>
      </c>
      <c r="V46" s="2" t="s">
        <v>41</v>
      </c>
      <c r="W46" s="14">
        <f t="shared" si="13"/>
        <v>100</v>
      </c>
      <c r="X46" s="1">
        <f t="shared" si="3"/>
        <v>200</v>
      </c>
      <c r="Y46" s="1">
        <v>413006</v>
      </c>
      <c r="Z46" s="1" t="s">
        <v>209</v>
      </c>
      <c r="AA46" s="14">
        <f t="shared" si="14"/>
        <v>65</v>
      </c>
      <c r="AB46" s="11">
        <f t="shared" si="4"/>
        <v>130</v>
      </c>
      <c r="AC46" s="1">
        <v>415006</v>
      </c>
      <c r="AD46" s="1" t="s">
        <v>211</v>
      </c>
      <c r="AE46" s="14">
        <f t="shared" si="15"/>
        <v>65</v>
      </c>
      <c r="AF46" s="11">
        <f t="shared" si="5"/>
        <v>130</v>
      </c>
      <c r="AG46" s="1">
        <v>414006</v>
      </c>
      <c r="AH46" s="1" t="s">
        <v>213</v>
      </c>
      <c r="AI46" s="14">
        <f t="shared" si="16"/>
        <v>25</v>
      </c>
      <c r="AJ46" s="11">
        <f t="shared" si="6"/>
        <v>50</v>
      </c>
    </row>
    <row r="47" spans="1:36" x14ac:dyDescent="0.15">
      <c r="A47" s="1">
        <v>814005</v>
      </c>
      <c r="B47" s="2" t="s">
        <v>7</v>
      </c>
      <c r="C47" s="2">
        <f t="shared" si="7"/>
        <v>5</v>
      </c>
      <c r="D47" s="1">
        <v>305001</v>
      </c>
      <c r="E47" s="1" t="s">
        <v>18</v>
      </c>
      <c r="F47" s="1">
        <v>2</v>
      </c>
      <c r="G47" s="15">
        <f t="shared" si="8"/>
        <v>90000</v>
      </c>
      <c r="H47" s="1">
        <f t="shared" si="9"/>
        <v>180000</v>
      </c>
      <c r="I47" s="1">
        <v>404001</v>
      </c>
      <c r="J47" s="1" t="s">
        <v>27</v>
      </c>
      <c r="K47" s="15">
        <f t="shared" si="10"/>
        <v>700</v>
      </c>
      <c r="L47" s="11">
        <f t="shared" si="0"/>
        <v>1400</v>
      </c>
      <c r="M47" s="1">
        <v>612002</v>
      </c>
      <c r="N47" s="1" t="s">
        <v>16</v>
      </c>
      <c r="O47" s="14">
        <f t="shared" si="11"/>
        <v>300</v>
      </c>
      <c r="P47" s="11">
        <f t="shared" si="1"/>
        <v>600</v>
      </c>
      <c r="Q47" s="1">
        <v>602002</v>
      </c>
      <c r="R47" s="1" t="s">
        <v>32</v>
      </c>
      <c r="S47" s="14">
        <f t="shared" si="12"/>
        <v>700</v>
      </c>
      <c r="T47" s="1">
        <f t="shared" si="2"/>
        <v>1400</v>
      </c>
      <c r="U47" s="1">
        <v>423001</v>
      </c>
      <c r="V47" s="2" t="s">
        <v>40</v>
      </c>
      <c r="W47" s="14">
        <f t="shared" si="13"/>
        <v>300</v>
      </c>
      <c r="X47" s="1">
        <f t="shared" si="3"/>
        <v>600</v>
      </c>
      <c r="Y47" s="1">
        <v>413006</v>
      </c>
      <c r="Z47" s="1" t="s">
        <v>209</v>
      </c>
      <c r="AA47" s="14">
        <f t="shared" si="14"/>
        <v>70</v>
      </c>
      <c r="AB47" s="11">
        <f t="shared" si="4"/>
        <v>140</v>
      </c>
      <c r="AC47" s="1">
        <v>415006</v>
      </c>
      <c r="AD47" s="1" t="s">
        <v>211</v>
      </c>
      <c r="AE47" s="14">
        <f t="shared" si="15"/>
        <v>70</v>
      </c>
      <c r="AF47" s="11">
        <f t="shared" si="5"/>
        <v>140</v>
      </c>
      <c r="AG47" s="1">
        <v>414006</v>
      </c>
      <c r="AH47" s="1" t="s">
        <v>213</v>
      </c>
      <c r="AI47" s="14">
        <f t="shared" si="16"/>
        <v>30</v>
      </c>
      <c r="AJ47" s="11">
        <f t="shared" si="6"/>
        <v>60</v>
      </c>
    </row>
    <row r="48" spans="1:36" x14ac:dyDescent="0.15">
      <c r="A48" s="1">
        <v>814006</v>
      </c>
      <c r="B48" s="2" t="s">
        <v>6</v>
      </c>
      <c r="C48" s="2">
        <f t="shared" si="7"/>
        <v>5</v>
      </c>
      <c r="D48" s="1">
        <v>305001</v>
      </c>
      <c r="E48" s="1" t="s">
        <v>18</v>
      </c>
      <c r="F48" s="1">
        <v>2</v>
      </c>
      <c r="G48" s="15">
        <f t="shared" si="8"/>
        <v>100000</v>
      </c>
      <c r="H48" s="1">
        <f t="shared" si="9"/>
        <v>200000</v>
      </c>
      <c r="I48" s="1">
        <v>404003</v>
      </c>
      <c r="J48" s="1" t="s">
        <v>29</v>
      </c>
      <c r="K48" s="15">
        <f t="shared" si="10"/>
        <v>750</v>
      </c>
      <c r="L48" s="11">
        <f t="shared" si="0"/>
        <v>1500</v>
      </c>
      <c r="M48" s="1">
        <v>612003</v>
      </c>
      <c r="N48" s="1" t="s">
        <v>17</v>
      </c>
      <c r="O48" s="14">
        <f t="shared" si="11"/>
        <v>350</v>
      </c>
      <c r="P48" s="11">
        <f t="shared" si="1"/>
        <v>700</v>
      </c>
      <c r="Q48" s="1">
        <v>602002</v>
      </c>
      <c r="R48" s="1" t="s">
        <v>32</v>
      </c>
      <c r="S48" s="14">
        <f t="shared" si="12"/>
        <v>750</v>
      </c>
      <c r="T48" s="1">
        <f t="shared" si="2"/>
        <v>1500</v>
      </c>
      <c r="U48" s="1">
        <v>423003</v>
      </c>
      <c r="V48" s="2" t="s">
        <v>41</v>
      </c>
      <c r="W48" s="14">
        <f t="shared" si="13"/>
        <v>150</v>
      </c>
      <c r="X48" s="1">
        <f t="shared" si="3"/>
        <v>300</v>
      </c>
      <c r="Y48" s="1">
        <v>413006</v>
      </c>
      <c r="Z48" s="1" t="s">
        <v>209</v>
      </c>
      <c r="AA48" s="14">
        <f t="shared" si="14"/>
        <v>75</v>
      </c>
      <c r="AB48" s="11">
        <f t="shared" si="4"/>
        <v>150</v>
      </c>
      <c r="AC48" s="1">
        <v>415006</v>
      </c>
      <c r="AD48" s="1" t="s">
        <v>211</v>
      </c>
      <c r="AE48" s="14">
        <f t="shared" si="15"/>
        <v>75</v>
      </c>
      <c r="AF48" s="11">
        <f t="shared" si="5"/>
        <v>150</v>
      </c>
      <c r="AG48" s="1">
        <v>414006</v>
      </c>
      <c r="AH48" s="1" t="s">
        <v>213</v>
      </c>
      <c r="AI48" s="14">
        <f t="shared" si="16"/>
        <v>35</v>
      </c>
      <c r="AJ48" s="11">
        <f t="shared" si="6"/>
        <v>70</v>
      </c>
    </row>
    <row r="49" spans="1:36" x14ac:dyDescent="0.15">
      <c r="A49" s="1">
        <v>814007</v>
      </c>
      <c r="B49" s="2" t="s">
        <v>182</v>
      </c>
      <c r="C49" s="2">
        <f t="shared" si="7"/>
        <v>5</v>
      </c>
      <c r="D49" s="1">
        <v>305001</v>
      </c>
      <c r="E49" s="1" t="s">
        <v>18</v>
      </c>
      <c r="F49" s="1">
        <v>2</v>
      </c>
      <c r="G49" s="15">
        <f t="shared" si="8"/>
        <v>110000</v>
      </c>
      <c r="H49" s="1">
        <f t="shared" si="9"/>
        <v>220000</v>
      </c>
      <c r="I49" s="1">
        <v>404001</v>
      </c>
      <c r="J49" s="1" t="s">
        <v>27</v>
      </c>
      <c r="K49" s="15">
        <f t="shared" si="10"/>
        <v>800</v>
      </c>
      <c r="L49" s="11">
        <f t="shared" si="0"/>
        <v>1600</v>
      </c>
      <c r="M49" s="1">
        <v>612001</v>
      </c>
      <c r="N49" s="2" t="s">
        <v>15</v>
      </c>
      <c r="O49" s="14">
        <f t="shared" si="11"/>
        <v>400</v>
      </c>
      <c r="P49" s="11">
        <f t="shared" si="1"/>
        <v>800</v>
      </c>
      <c r="Q49" s="1">
        <v>602002</v>
      </c>
      <c r="R49" s="1" t="s">
        <v>32</v>
      </c>
      <c r="S49" s="14">
        <f t="shared" si="12"/>
        <v>800</v>
      </c>
      <c r="T49" s="1">
        <f t="shared" si="2"/>
        <v>1600</v>
      </c>
      <c r="U49" s="1">
        <v>423001</v>
      </c>
      <c r="V49" s="2" t="s">
        <v>40</v>
      </c>
      <c r="W49" s="14">
        <f t="shared" si="13"/>
        <v>400</v>
      </c>
      <c r="X49" s="1">
        <f t="shared" si="3"/>
        <v>800</v>
      </c>
      <c r="Y49" s="1">
        <v>413007</v>
      </c>
      <c r="Z49" s="1" t="s">
        <v>220</v>
      </c>
      <c r="AA49" s="14">
        <f t="shared" si="14"/>
        <v>80</v>
      </c>
      <c r="AB49" s="11">
        <f t="shared" si="4"/>
        <v>160</v>
      </c>
      <c r="AC49" s="1">
        <v>415007</v>
      </c>
      <c r="AD49" s="1" t="s">
        <v>221</v>
      </c>
      <c r="AE49" s="14">
        <f t="shared" si="15"/>
        <v>80</v>
      </c>
      <c r="AF49" s="11">
        <f t="shared" si="5"/>
        <v>160</v>
      </c>
      <c r="AG49" s="1">
        <v>414007</v>
      </c>
      <c r="AH49" s="1" t="s">
        <v>222</v>
      </c>
      <c r="AI49" s="14">
        <f t="shared" si="16"/>
        <v>40</v>
      </c>
      <c r="AJ49" s="11">
        <f t="shared" si="6"/>
        <v>80</v>
      </c>
    </row>
    <row r="50" spans="1:36" x14ac:dyDescent="0.15">
      <c r="A50" s="1">
        <v>814008</v>
      </c>
      <c r="B50" s="2" t="s">
        <v>5</v>
      </c>
      <c r="C50" s="2">
        <f t="shared" si="7"/>
        <v>5</v>
      </c>
      <c r="D50" s="1">
        <v>305002</v>
      </c>
      <c r="E50" s="2" t="s">
        <v>22</v>
      </c>
      <c r="F50" s="1">
        <v>2</v>
      </c>
      <c r="G50" s="15">
        <f t="shared" si="8"/>
        <v>120000</v>
      </c>
      <c r="H50" s="1">
        <f t="shared" si="9"/>
        <v>240000</v>
      </c>
      <c r="I50" s="1">
        <v>404003</v>
      </c>
      <c r="J50" s="1" t="s">
        <v>29</v>
      </c>
      <c r="K50" s="15">
        <f t="shared" si="10"/>
        <v>850</v>
      </c>
      <c r="L50" s="11">
        <f t="shared" si="0"/>
        <v>1700</v>
      </c>
      <c r="M50" s="1">
        <v>612002</v>
      </c>
      <c r="N50" s="1" t="s">
        <v>16</v>
      </c>
      <c r="O50" s="14">
        <f t="shared" si="11"/>
        <v>450</v>
      </c>
      <c r="P50" s="11">
        <f t="shared" si="1"/>
        <v>900</v>
      </c>
      <c r="Q50" s="1">
        <v>602002</v>
      </c>
      <c r="R50" s="1" t="s">
        <v>32</v>
      </c>
      <c r="S50" s="14">
        <f t="shared" si="12"/>
        <v>850</v>
      </c>
      <c r="T50" s="1">
        <f t="shared" si="2"/>
        <v>1700</v>
      </c>
      <c r="U50" s="1">
        <v>423003</v>
      </c>
      <c r="V50" s="2" t="s">
        <v>41</v>
      </c>
      <c r="W50" s="14">
        <f t="shared" si="13"/>
        <v>200</v>
      </c>
      <c r="X50" s="1">
        <f t="shared" si="3"/>
        <v>400</v>
      </c>
      <c r="Y50" s="1">
        <v>413007</v>
      </c>
      <c r="Z50" s="1" t="s">
        <v>220</v>
      </c>
      <c r="AA50" s="14">
        <f t="shared" si="14"/>
        <v>85</v>
      </c>
      <c r="AB50" s="11">
        <f t="shared" si="4"/>
        <v>170</v>
      </c>
      <c r="AC50" s="1">
        <v>415007</v>
      </c>
      <c r="AD50" s="1" t="s">
        <v>221</v>
      </c>
      <c r="AE50" s="14">
        <f t="shared" si="15"/>
        <v>85</v>
      </c>
      <c r="AF50" s="11">
        <f t="shared" si="5"/>
        <v>170</v>
      </c>
      <c r="AG50" s="1">
        <v>414007</v>
      </c>
      <c r="AH50" s="1" t="s">
        <v>222</v>
      </c>
      <c r="AI50" s="14">
        <f t="shared" si="16"/>
        <v>45</v>
      </c>
      <c r="AJ50" s="11">
        <f t="shared" si="6"/>
        <v>90</v>
      </c>
    </row>
    <row r="51" spans="1:36" x14ac:dyDescent="0.15">
      <c r="A51" s="1">
        <v>814009</v>
      </c>
      <c r="B51" s="2" t="s">
        <v>8</v>
      </c>
      <c r="C51" s="2">
        <f t="shared" si="7"/>
        <v>5</v>
      </c>
      <c r="D51" s="1">
        <v>305002</v>
      </c>
      <c r="E51" s="2" t="s">
        <v>22</v>
      </c>
      <c r="F51" s="1">
        <v>2</v>
      </c>
      <c r="G51" s="15">
        <f t="shared" si="8"/>
        <v>130000</v>
      </c>
      <c r="H51" s="1">
        <f t="shared" si="9"/>
        <v>260000</v>
      </c>
      <c r="I51" s="1">
        <v>404002</v>
      </c>
      <c r="J51" s="2" t="s">
        <v>193</v>
      </c>
      <c r="K51" s="15">
        <f t="shared" si="10"/>
        <v>900</v>
      </c>
      <c r="L51" s="11">
        <f t="shared" si="0"/>
        <v>1800</v>
      </c>
      <c r="M51" s="1">
        <v>612003</v>
      </c>
      <c r="N51" s="1" t="s">
        <v>17</v>
      </c>
      <c r="O51" s="14">
        <f t="shared" si="11"/>
        <v>500</v>
      </c>
      <c r="P51" s="11">
        <f t="shared" si="1"/>
        <v>1000</v>
      </c>
      <c r="Q51" s="1">
        <v>602002</v>
      </c>
      <c r="R51" s="1" t="s">
        <v>32</v>
      </c>
      <c r="S51" s="14">
        <f t="shared" si="12"/>
        <v>900</v>
      </c>
      <c r="T51" s="1">
        <f t="shared" si="2"/>
        <v>1800</v>
      </c>
      <c r="U51" s="1">
        <v>423001</v>
      </c>
      <c r="V51" s="2" t="s">
        <v>40</v>
      </c>
      <c r="W51" s="14">
        <f t="shared" si="13"/>
        <v>500</v>
      </c>
      <c r="X51" s="1">
        <f t="shared" si="3"/>
        <v>1000</v>
      </c>
      <c r="Y51" s="1">
        <v>413007</v>
      </c>
      <c r="Z51" s="1" t="s">
        <v>220</v>
      </c>
      <c r="AA51" s="14">
        <f t="shared" si="14"/>
        <v>90</v>
      </c>
      <c r="AB51" s="11">
        <f t="shared" si="4"/>
        <v>180</v>
      </c>
      <c r="AC51" s="1">
        <v>415007</v>
      </c>
      <c r="AD51" s="1" t="s">
        <v>221</v>
      </c>
      <c r="AE51" s="14">
        <f t="shared" si="15"/>
        <v>90</v>
      </c>
      <c r="AF51" s="11">
        <f t="shared" si="5"/>
        <v>180</v>
      </c>
      <c r="AG51" s="1">
        <v>414007</v>
      </c>
      <c r="AH51" s="1" t="s">
        <v>222</v>
      </c>
      <c r="AI51" s="14">
        <f t="shared" si="16"/>
        <v>50</v>
      </c>
      <c r="AJ51" s="11">
        <f t="shared" si="6"/>
        <v>100</v>
      </c>
    </row>
    <row r="52" spans="1:36" x14ac:dyDescent="0.15">
      <c r="A52" s="1">
        <v>814010</v>
      </c>
      <c r="B52" s="2" t="s">
        <v>4</v>
      </c>
      <c r="C52" s="2">
        <f t="shared" si="7"/>
        <v>5</v>
      </c>
      <c r="D52" s="1">
        <v>305002</v>
      </c>
      <c r="E52" s="2" t="s">
        <v>22</v>
      </c>
      <c r="F52" s="1">
        <v>2</v>
      </c>
      <c r="G52" s="15">
        <f t="shared" si="8"/>
        <v>140000</v>
      </c>
      <c r="H52" s="1">
        <f t="shared" si="9"/>
        <v>280000</v>
      </c>
      <c r="I52" s="1">
        <v>404003</v>
      </c>
      <c r="J52" s="1" t="s">
        <v>29</v>
      </c>
      <c r="K52" s="15">
        <f t="shared" si="10"/>
        <v>950</v>
      </c>
      <c r="L52" s="11">
        <f t="shared" si="0"/>
        <v>1900</v>
      </c>
      <c r="M52" s="1">
        <v>612001</v>
      </c>
      <c r="N52" s="2" t="s">
        <v>15</v>
      </c>
      <c r="O52" s="14">
        <f t="shared" si="11"/>
        <v>550</v>
      </c>
      <c r="P52" s="11">
        <f t="shared" si="1"/>
        <v>1100</v>
      </c>
      <c r="Q52" s="1">
        <v>602002</v>
      </c>
      <c r="R52" s="1" t="s">
        <v>32</v>
      </c>
      <c r="S52" s="14">
        <f t="shared" si="12"/>
        <v>950</v>
      </c>
      <c r="T52" s="1">
        <f t="shared" si="2"/>
        <v>1900</v>
      </c>
      <c r="U52" s="1">
        <v>423003</v>
      </c>
      <c r="V52" s="2" t="s">
        <v>41</v>
      </c>
      <c r="W52" s="14">
        <f t="shared" si="13"/>
        <v>250</v>
      </c>
      <c r="X52" s="1">
        <f t="shared" si="3"/>
        <v>500</v>
      </c>
      <c r="Y52" s="1">
        <v>413007</v>
      </c>
      <c r="Z52" s="1" t="s">
        <v>220</v>
      </c>
      <c r="AA52" s="14">
        <f t="shared" si="14"/>
        <v>95</v>
      </c>
      <c r="AB52" s="11">
        <f t="shared" si="4"/>
        <v>190</v>
      </c>
      <c r="AC52" s="1">
        <v>415007</v>
      </c>
      <c r="AD52" s="1" t="s">
        <v>221</v>
      </c>
      <c r="AE52" s="14">
        <f t="shared" si="15"/>
        <v>95</v>
      </c>
      <c r="AF52" s="11">
        <f t="shared" si="5"/>
        <v>190</v>
      </c>
      <c r="AG52" s="1">
        <v>414007</v>
      </c>
      <c r="AH52" s="1" t="s">
        <v>222</v>
      </c>
      <c r="AI52" s="14">
        <f t="shared" si="16"/>
        <v>55</v>
      </c>
      <c r="AJ52" s="11">
        <f t="shared" si="6"/>
        <v>110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empire_village</vt:lpstr>
      <vt:lpstr>empire_village_product_target</vt:lpstr>
      <vt:lpstr>secret_realm</vt:lpstr>
      <vt:lpstr>stronghold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2025-08-04T01:53:23Z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B02CF89B5DF34311BD449D1E7251A49F_12</vt:lpwstr>
  </property>
  <property fmtid="{D5CDD505-2E9C-101B-9397-08002B2CF9AE}" pid="3" name="KSOProductBuildVer">
    <vt:lpwstr>2052-11.1.0.14309</vt:lpwstr>
  </property>
</Properties>
</file>