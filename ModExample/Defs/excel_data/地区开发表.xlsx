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62613C7E-00A2-4DF1-AA07-8447F879CB03}" xr6:coauthVersionLast="47" xr6:coauthVersionMax="47" xr10:uidLastSave="{00000000-0000-0000-0000-000000000000}"/>
  <bookViews>
    <workbookView xWindow="1695" yWindow="930" windowWidth="26835" windowHeight="13815" xr2:uid="{00000000-000D-0000-FFFF-FFFF00000000}"/>
  </bookViews>
  <sheets>
    <sheet name="area_development" sheetId="1" r:id="rId1"/>
  </sheets>
  <externalReferences>
    <externalReference r:id="rId2"/>
  </externalReferences>
  <definedNames>
    <definedName name="_xlnm._FilterDatabase" localSheetId="0" hidden="1">area_development!$F$1:$F$290</definedName>
  </definedNames>
  <calcPr calcId="181029"/>
</workbook>
</file>

<file path=xl/calcChain.xml><?xml version="1.0" encoding="utf-8"?>
<calcChain xmlns="http://schemas.openxmlformats.org/spreadsheetml/2006/main">
  <c r="K3" i="1" l="1"/>
  <c r="H3" i="1"/>
  <c r="X127" i="1"/>
  <c r="X132" i="1" s="1"/>
  <c r="X137" i="1" s="1"/>
  <c r="X142" i="1" s="1"/>
  <c r="X147" i="1" s="1"/>
  <c r="X152" i="1" s="1"/>
  <c r="X157" i="1" s="1"/>
  <c r="X162" i="1" s="1"/>
  <c r="X167" i="1" s="1"/>
  <c r="X172" i="1" s="1"/>
  <c r="X177" i="1" s="1"/>
  <c r="X182" i="1" s="1"/>
  <c r="X187" i="1" s="1"/>
  <c r="X192" i="1" s="1"/>
  <c r="X197" i="1" s="1"/>
  <c r="X202" i="1" s="1"/>
  <c r="X207" i="1" s="1"/>
  <c r="X212" i="1" s="1"/>
  <c r="X217" i="1" s="1"/>
  <c r="X222" i="1" s="1"/>
  <c r="X227" i="1" s="1"/>
  <c r="X232" i="1" s="1"/>
  <c r="X237" i="1" s="1"/>
  <c r="X242" i="1" s="1"/>
  <c r="X247" i="1" s="1"/>
  <c r="X252" i="1" s="1"/>
  <c r="X257" i="1" s="1"/>
  <c r="X262" i="1" s="1"/>
  <c r="X267" i="1" s="1"/>
  <c r="X272" i="1" s="1"/>
  <c r="X277" i="1" s="1"/>
  <c r="X282" i="1" s="1"/>
  <c r="X287" i="1" s="1"/>
  <c r="Y127" i="1"/>
  <c r="Z127" i="1"/>
  <c r="Z132" i="1" s="1"/>
  <c r="AA127" i="1"/>
  <c r="AB127" i="1"/>
  <c r="AB132" i="1" s="1"/>
  <c r="AB137" i="1" s="1"/>
  <c r="AB142" i="1" s="1"/>
  <c r="AB147" i="1" s="1"/>
  <c r="AB152" i="1" s="1"/>
  <c r="AB157" i="1" s="1"/>
  <c r="AB162" i="1" s="1"/>
  <c r="AB167" i="1" s="1"/>
  <c r="AB172" i="1" s="1"/>
  <c r="AB177" i="1" s="1"/>
  <c r="AB182" i="1" s="1"/>
  <c r="AB187" i="1" s="1"/>
  <c r="AB192" i="1" s="1"/>
  <c r="AB197" i="1" s="1"/>
  <c r="AB202" i="1" s="1"/>
  <c r="AB207" i="1" s="1"/>
  <c r="AB212" i="1" s="1"/>
  <c r="AB217" i="1" s="1"/>
  <c r="AB222" i="1" s="1"/>
  <c r="AB227" i="1" s="1"/>
  <c r="AB232" i="1" s="1"/>
  <c r="AB237" i="1" s="1"/>
  <c r="AB242" i="1" s="1"/>
  <c r="AB247" i="1" s="1"/>
  <c r="AB252" i="1" s="1"/>
  <c r="AB257" i="1" s="1"/>
  <c r="AB262" i="1" s="1"/>
  <c r="AB267" i="1" s="1"/>
  <c r="AB272" i="1" s="1"/>
  <c r="AB277" i="1" s="1"/>
  <c r="AB282" i="1" s="1"/>
  <c r="AB287" i="1" s="1"/>
  <c r="AC127" i="1"/>
  <c r="AC132" i="1" s="1"/>
  <c r="AC137" i="1" s="1"/>
  <c r="X128" i="1"/>
  <c r="X133" i="1" s="1"/>
  <c r="X138" i="1" s="1"/>
  <c r="X143" i="1" s="1"/>
  <c r="X148" i="1" s="1"/>
  <c r="X153" i="1" s="1"/>
  <c r="X158" i="1" s="1"/>
  <c r="X163" i="1" s="1"/>
  <c r="X168" i="1" s="1"/>
  <c r="X173" i="1" s="1"/>
  <c r="X178" i="1" s="1"/>
  <c r="X183" i="1" s="1"/>
  <c r="X188" i="1" s="1"/>
  <c r="X193" i="1" s="1"/>
  <c r="X198" i="1" s="1"/>
  <c r="X203" i="1" s="1"/>
  <c r="X208" i="1" s="1"/>
  <c r="X213" i="1" s="1"/>
  <c r="X218" i="1" s="1"/>
  <c r="X223" i="1" s="1"/>
  <c r="X228" i="1" s="1"/>
  <c r="X233" i="1" s="1"/>
  <c r="X238" i="1" s="1"/>
  <c r="X243" i="1" s="1"/>
  <c r="X248" i="1" s="1"/>
  <c r="X253" i="1" s="1"/>
  <c r="X258" i="1" s="1"/>
  <c r="X263" i="1" s="1"/>
  <c r="X268" i="1" s="1"/>
  <c r="X273" i="1" s="1"/>
  <c r="X278" i="1" s="1"/>
  <c r="X283" i="1" s="1"/>
  <c r="X288" i="1" s="1"/>
  <c r="Y128" i="1"/>
  <c r="Y133" i="1" s="1"/>
  <c r="Y138" i="1" s="1"/>
  <c r="Y143" i="1" s="1"/>
  <c r="Y148" i="1" s="1"/>
  <c r="Y153" i="1" s="1"/>
  <c r="Y158" i="1" s="1"/>
  <c r="Y163" i="1" s="1"/>
  <c r="Y168" i="1" s="1"/>
  <c r="Y173" i="1" s="1"/>
  <c r="Y178" i="1" s="1"/>
  <c r="Y183" i="1" s="1"/>
  <c r="Y188" i="1" s="1"/>
  <c r="Y193" i="1" s="1"/>
  <c r="Y198" i="1" s="1"/>
  <c r="Y203" i="1" s="1"/>
  <c r="Y208" i="1" s="1"/>
  <c r="Y213" i="1" s="1"/>
  <c r="Y218" i="1" s="1"/>
  <c r="Y223" i="1" s="1"/>
  <c r="Y228" i="1" s="1"/>
  <c r="Y233" i="1" s="1"/>
  <c r="Y238" i="1" s="1"/>
  <c r="Y243" i="1" s="1"/>
  <c r="Y248" i="1" s="1"/>
  <c r="Y253" i="1" s="1"/>
  <c r="Y258" i="1" s="1"/>
  <c r="Y263" i="1" s="1"/>
  <c r="Y268" i="1" s="1"/>
  <c r="Y273" i="1" s="1"/>
  <c r="Y278" i="1" s="1"/>
  <c r="Y283" i="1" s="1"/>
  <c r="Y288" i="1" s="1"/>
  <c r="Z128" i="1"/>
  <c r="Z133" i="1" s="1"/>
  <c r="Z138" i="1" s="1"/>
  <c r="Z143" i="1" s="1"/>
  <c r="Z148" i="1" s="1"/>
  <c r="Z153" i="1" s="1"/>
  <c r="Z158" i="1" s="1"/>
  <c r="Z163" i="1" s="1"/>
  <c r="Z168" i="1" s="1"/>
  <c r="Z173" i="1" s="1"/>
  <c r="Z178" i="1" s="1"/>
  <c r="Z183" i="1" s="1"/>
  <c r="Z188" i="1" s="1"/>
  <c r="Z193" i="1" s="1"/>
  <c r="Z198" i="1" s="1"/>
  <c r="Z203" i="1" s="1"/>
  <c r="Z208" i="1" s="1"/>
  <c r="Z213" i="1" s="1"/>
  <c r="Z218" i="1" s="1"/>
  <c r="Z223" i="1" s="1"/>
  <c r="Z228" i="1" s="1"/>
  <c r="Z233" i="1" s="1"/>
  <c r="Z238" i="1" s="1"/>
  <c r="Z243" i="1" s="1"/>
  <c r="Z248" i="1" s="1"/>
  <c r="Z253" i="1" s="1"/>
  <c r="Z258" i="1" s="1"/>
  <c r="Z263" i="1" s="1"/>
  <c r="Z268" i="1" s="1"/>
  <c r="Z273" i="1" s="1"/>
  <c r="Z278" i="1" s="1"/>
  <c r="Z283" i="1" s="1"/>
  <c r="Z288" i="1" s="1"/>
  <c r="AA128" i="1"/>
  <c r="AA133" i="1" s="1"/>
  <c r="AA138" i="1" s="1"/>
  <c r="AA143" i="1" s="1"/>
  <c r="AA148" i="1" s="1"/>
  <c r="AA153" i="1" s="1"/>
  <c r="AA158" i="1" s="1"/>
  <c r="AA163" i="1" s="1"/>
  <c r="AA168" i="1" s="1"/>
  <c r="AA173" i="1" s="1"/>
  <c r="AA178" i="1" s="1"/>
  <c r="AA183" i="1" s="1"/>
  <c r="AA188" i="1" s="1"/>
  <c r="AA193" i="1" s="1"/>
  <c r="AA198" i="1" s="1"/>
  <c r="AA203" i="1" s="1"/>
  <c r="AA208" i="1" s="1"/>
  <c r="AA213" i="1" s="1"/>
  <c r="AA218" i="1" s="1"/>
  <c r="AA223" i="1" s="1"/>
  <c r="AA228" i="1" s="1"/>
  <c r="AA233" i="1" s="1"/>
  <c r="AA238" i="1" s="1"/>
  <c r="AA243" i="1" s="1"/>
  <c r="AA248" i="1" s="1"/>
  <c r="AA253" i="1" s="1"/>
  <c r="AA258" i="1" s="1"/>
  <c r="AA263" i="1" s="1"/>
  <c r="AA268" i="1" s="1"/>
  <c r="AA273" i="1" s="1"/>
  <c r="AA278" i="1" s="1"/>
  <c r="AA283" i="1" s="1"/>
  <c r="AA288" i="1" s="1"/>
  <c r="AB128" i="1"/>
  <c r="AB133" i="1" s="1"/>
  <c r="AB138" i="1" s="1"/>
  <c r="AB143" i="1" s="1"/>
  <c r="AB148" i="1" s="1"/>
  <c r="AB153" i="1" s="1"/>
  <c r="AB158" i="1" s="1"/>
  <c r="AB163" i="1" s="1"/>
  <c r="AB168" i="1" s="1"/>
  <c r="AB173" i="1" s="1"/>
  <c r="AB178" i="1" s="1"/>
  <c r="AB183" i="1" s="1"/>
  <c r="AB188" i="1" s="1"/>
  <c r="AB193" i="1" s="1"/>
  <c r="AB198" i="1" s="1"/>
  <c r="AB203" i="1" s="1"/>
  <c r="AB208" i="1" s="1"/>
  <c r="AB213" i="1" s="1"/>
  <c r="AB218" i="1" s="1"/>
  <c r="AB223" i="1" s="1"/>
  <c r="AB228" i="1" s="1"/>
  <c r="AB233" i="1" s="1"/>
  <c r="AB238" i="1" s="1"/>
  <c r="AB243" i="1" s="1"/>
  <c r="AB248" i="1" s="1"/>
  <c r="AB253" i="1" s="1"/>
  <c r="AB258" i="1" s="1"/>
  <c r="AB263" i="1" s="1"/>
  <c r="AB268" i="1" s="1"/>
  <c r="AB273" i="1" s="1"/>
  <c r="AB278" i="1" s="1"/>
  <c r="AB283" i="1" s="1"/>
  <c r="AB288" i="1" s="1"/>
  <c r="AC128" i="1"/>
  <c r="AC133" i="1" s="1"/>
  <c r="AC138" i="1" s="1"/>
  <c r="AC143" i="1" s="1"/>
  <c r="AC148" i="1" s="1"/>
  <c r="AC153" i="1" s="1"/>
  <c r="AC158" i="1" s="1"/>
  <c r="AC163" i="1" s="1"/>
  <c r="AC168" i="1" s="1"/>
  <c r="AC173" i="1" s="1"/>
  <c r="AC178" i="1" s="1"/>
  <c r="AC183" i="1" s="1"/>
  <c r="AC188" i="1" s="1"/>
  <c r="AC193" i="1" s="1"/>
  <c r="AC198" i="1" s="1"/>
  <c r="AC203" i="1" s="1"/>
  <c r="AC208" i="1" s="1"/>
  <c r="AC213" i="1" s="1"/>
  <c r="AC218" i="1" s="1"/>
  <c r="AC223" i="1" s="1"/>
  <c r="AC228" i="1" s="1"/>
  <c r="AC233" i="1" s="1"/>
  <c r="AC238" i="1" s="1"/>
  <c r="AC243" i="1" s="1"/>
  <c r="AC248" i="1" s="1"/>
  <c r="AC253" i="1" s="1"/>
  <c r="AC258" i="1" s="1"/>
  <c r="AC263" i="1" s="1"/>
  <c r="AC268" i="1" s="1"/>
  <c r="AC273" i="1" s="1"/>
  <c r="AC278" i="1" s="1"/>
  <c r="AC283" i="1" s="1"/>
  <c r="AC288" i="1" s="1"/>
  <c r="X129" i="1"/>
  <c r="X134" i="1" s="1"/>
  <c r="X139" i="1" s="1"/>
  <c r="X144" i="1" s="1"/>
  <c r="X149" i="1" s="1"/>
  <c r="X154" i="1" s="1"/>
  <c r="X159" i="1" s="1"/>
  <c r="X164" i="1" s="1"/>
  <c r="X169" i="1" s="1"/>
  <c r="X174" i="1" s="1"/>
  <c r="X179" i="1" s="1"/>
  <c r="X184" i="1" s="1"/>
  <c r="X189" i="1" s="1"/>
  <c r="X194" i="1" s="1"/>
  <c r="X199" i="1" s="1"/>
  <c r="X204" i="1" s="1"/>
  <c r="X209" i="1" s="1"/>
  <c r="X214" i="1" s="1"/>
  <c r="X219" i="1" s="1"/>
  <c r="X224" i="1" s="1"/>
  <c r="X229" i="1" s="1"/>
  <c r="X234" i="1" s="1"/>
  <c r="X239" i="1" s="1"/>
  <c r="X244" i="1" s="1"/>
  <c r="X249" i="1" s="1"/>
  <c r="X254" i="1" s="1"/>
  <c r="X259" i="1" s="1"/>
  <c r="X264" i="1" s="1"/>
  <c r="X269" i="1" s="1"/>
  <c r="X274" i="1" s="1"/>
  <c r="X279" i="1" s="1"/>
  <c r="X284" i="1" s="1"/>
  <c r="X289" i="1" s="1"/>
  <c r="Y129" i="1"/>
  <c r="Y134" i="1" s="1"/>
  <c r="Y139" i="1" s="1"/>
  <c r="Y144" i="1" s="1"/>
  <c r="Y149" i="1" s="1"/>
  <c r="Y154" i="1" s="1"/>
  <c r="Y159" i="1" s="1"/>
  <c r="Y164" i="1" s="1"/>
  <c r="Y169" i="1" s="1"/>
  <c r="Y174" i="1" s="1"/>
  <c r="Y179" i="1" s="1"/>
  <c r="Y184" i="1" s="1"/>
  <c r="Y189" i="1" s="1"/>
  <c r="Y194" i="1" s="1"/>
  <c r="Y199" i="1" s="1"/>
  <c r="Y204" i="1" s="1"/>
  <c r="Y209" i="1" s="1"/>
  <c r="Y214" i="1" s="1"/>
  <c r="Y219" i="1" s="1"/>
  <c r="Y224" i="1" s="1"/>
  <c r="Y229" i="1" s="1"/>
  <c r="Y234" i="1" s="1"/>
  <c r="Y239" i="1" s="1"/>
  <c r="Y244" i="1" s="1"/>
  <c r="Y249" i="1" s="1"/>
  <c r="Y254" i="1" s="1"/>
  <c r="Y259" i="1" s="1"/>
  <c r="Y264" i="1" s="1"/>
  <c r="Y269" i="1" s="1"/>
  <c r="Y274" i="1" s="1"/>
  <c r="Y279" i="1" s="1"/>
  <c r="Y284" i="1" s="1"/>
  <c r="Y289" i="1" s="1"/>
  <c r="Z129" i="1"/>
  <c r="Z134" i="1" s="1"/>
  <c r="Z139" i="1" s="1"/>
  <c r="Z144" i="1" s="1"/>
  <c r="Z149" i="1" s="1"/>
  <c r="Z154" i="1" s="1"/>
  <c r="Z159" i="1" s="1"/>
  <c r="Z164" i="1" s="1"/>
  <c r="Z169" i="1" s="1"/>
  <c r="Z174" i="1" s="1"/>
  <c r="Z179" i="1" s="1"/>
  <c r="Z184" i="1" s="1"/>
  <c r="Z189" i="1" s="1"/>
  <c r="Z194" i="1" s="1"/>
  <c r="Z199" i="1" s="1"/>
  <c r="Z204" i="1" s="1"/>
  <c r="Z209" i="1" s="1"/>
  <c r="Z214" i="1" s="1"/>
  <c r="Z219" i="1" s="1"/>
  <c r="Z224" i="1" s="1"/>
  <c r="Z229" i="1" s="1"/>
  <c r="Z234" i="1" s="1"/>
  <c r="Z239" i="1" s="1"/>
  <c r="Z244" i="1" s="1"/>
  <c r="Z249" i="1" s="1"/>
  <c r="Z254" i="1" s="1"/>
  <c r="Z259" i="1" s="1"/>
  <c r="Z264" i="1" s="1"/>
  <c r="Z269" i="1" s="1"/>
  <c r="Z274" i="1" s="1"/>
  <c r="Z279" i="1" s="1"/>
  <c r="Z284" i="1" s="1"/>
  <c r="Z289" i="1" s="1"/>
  <c r="AA129" i="1"/>
  <c r="AA134" i="1" s="1"/>
  <c r="AA139" i="1" s="1"/>
  <c r="AA144" i="1" s="1"/>
  <c r="AA149" i="1" s="1"/>
  <c r="AA154" i="1" s="1"/>
  <c r="AA159" i="1" s="1"/>
  <c r="AA164" i="1" s="1"/>
  <c r="AA169" i="1" s="1"/>
  <c r="AA174" i="1" s="1"/>
  <c r="AA179" i="1" s="1"/>
  <c r="AA184" i="1" s="1"/>
  <c r="AA189" i="1" s="1"/>
  <c r="AA194" i="1" s="1"/>
  <c r="AA199" i="1" s="1"/>
  <c r="AA204" i="1" s="1"/>
  <c r="AA209" i="1" s="1"/>
  <c r="AA214" i="1" s="1"/>
  <c r="AA219" i="1" s="1"/>
  <c r="AA224" i="1" s="1"/>
  <c r="AA229" i="1" s="1"/>
  <c r="AA234" i="1" s="1"/>
  <c r="AA239" i="1" s="1"/>
  <c r="AA244" i="1" s="1"/>
  <c r="AA249" i="1" s="1"/>
  <c r="AA254" i="1" s="1"/>
  <c r="AA259" i="1" s="1"/>
  <c r="AA264" i="1" s="1"/>
  <c r="AA269" i="1" s="1"/>
  <c r="AA274" i="1" s="1"/>
  <c r="AA279" i="1" s="1"/>
  <c r="AA284" i="1" s="1"/>
  <c r="AA289" i="1" s="1"/>
  <c r="AB129" i="1"/>
  <c r="AB134" i="1" s="1"/>
  <c r="AB139" i="1" s="1"/>
  <c r="AB144" i="1" s="1"/>
  <c r="AB149" i="1" s="1"/>
  <c r="AB154" i="1" s="1"/>
  <c r="AB159" i="1" s="1"/>
  <c r="AB164" i="1" s="1"/>
  <c r="AB169" i="1" s="1"/>
  <c r="AB174" i="1" s="1"/>
  <c r="AB179" i="1" s="1"/>
  <c r="AB184" i="1" s="1"/>
  <c r="AB189" i="1" s="1"/>
  <c r="AB194" i="1" s="1"/>
  <c r="AB199" i="1" s="1"/>
  <c r="AB204" i="1" s="1"/>
  <c r="AB209" i="1" s="1"/>
  <c r="AB214" i="1" s="1"/>
  <c r="AB219" i="1" s="1"/>
  <c r="AB224" i="1" s="1"/>
  <c r="AB229" i="1" s="1"/>
  <c r="AB234" i="1" s="1"/>
  <c r="AB239" i="1" s="1"/>
  <c r="AB244" i="1" s="1"/>
  <c r="AB249" i="1" s="1"/>
  <c r="AB254" i="1" s="1"/>
  <c r="AB259" i="1" s="1"/>
  <c r="AB264" i="1" s="1"/>
  <c r="AB269" i="1" s="1"/>
  <c r="AB274" i="1" s="1"/>
  <c r="AB279" i="1" s="1"/>
  <c r="AB284" i="1" s="1"/>
  <c r="AB289" i="1" s="1"/>
  <c r="AC129" i="1"/>
  <c r="AC134" i="1" s="1"/>
  <c r="AC139" i="1" s="1"/>
  <c r="AC144" i="1" s="1"/>
  <c r="AC149" i="1" s="1"/>
  <c r="AC154" i="1" s="1"/>
  <c r="AC159" i="1" s="1"/>
  <c r="AC164" i="1" s="1"/>
  <c r="AC169" i="1" s="1"/>
  <c r="AC174" i="1" s="1"/>
  <c r="AC179" i="1" s="1"/>
  <c r="AC184" i="1" s="1"/>
  <c r="AC189" i="1" s="1"/>
  <c r="AC194" i="1" s="1"/>
  <c r="AC199" i="1" s="1"/>
  <c r="AC204" i="1" s="1"/>
  <c r="AC209" i="1" s="1"/>
  <c r="AC214" i="1" s="1"/>
  <c r="AC219" i="1" s="1"/>
  <c r="AC224" i="1" s="1"/>
  <c r="AC229" i="1" s="1"/>
  <c r="AC234" i="1" s="1"/>
  <c r="AC239" i="1" s="1"/>
  <c r="AC244" i="1" s="1"/>
  <c r="AC249" i="1" s="1"/>
  <c r="AC254" i="1" s="1"/>
  <c r="AC259" i="1" s="1"/>
  <c r="AC264" i="1" s="1"/>
  <c r="AC269" i="1" s="1"/>
  <c r="AC274" i="1" s="1"/>
  <c r="AC279" i="1" s="1"/>
  <c r="AC284" i="1" s="1"/>
  <c r="AC289" i="1" s="1"/>
  <c r="X130" i="1"/>
  <c r="X135" i="1" s="1"/>
  <c r="X140" i="1" s="1"/>
  <c r="X145" i="1" s="1"/>
  <c r="X150" i="1" s="1"/>
  <c r="X155" i="1" s="1"/>
  <c r="X160" i="1" s="1"/>
  <c r="X165" i="1" s="1"/>
  <c r="X170" i="1" s="1"/>
  <c r="X175" i="1" s="1"/>
  <c r="X180" i="1" s="1"/>
  <c r="X185" i="1" s="1"/>
  <c r="X190" i="1" s="1"/>
  <c r="X195" i="1" s="1"/>
  <c r="X200" i="1" s="1"/>
  <c r="X205" i="1" s="1"/>
  <c r="X210" i="1" s="1"/>
  <c r="X215" i="1" s="1"/>
  <c r="X220" i="1" s="1"/>
  <c r="X225" i="1" s="1"/>
  <c r="X230" i="1" s="1"/>
  <c r="X235" i="1" s="1"/>
  <c r="X240" i="1" s="1"/>
  <c r="X245" i="1" s="1"/>
  <c r="X250" i="1" s="1"/>
  <c r="X255" i="1" s="1"/>
  <c r="X260" i="1" s="1"/>
  <c r="X265" i="1" s="1"/>
  <c r="X270" i="1" s="1"/>
  <c r="X275" i="1" s="1"/>
  <c r="X280" i="1" s="1"/>
  <c r="X285" i="1" s="1"/>
  <c r="X290" i="1" s="1"/>
  <c r="Y130" i="1"/>
  <c r="Y135" i="1" s="1"/>
  <c r="Y140" i="1" s="1"/>
  <c r="Y145" i="1" s="1"/>
  <c r="Y150" i="1" s="1"/>
  <c r="Y155" i="1" s="1"/>
  <c r="Y160" i="1" s="1"/>
  <c r="Y165" i="1" s="1"/>
  <c r="Y170" i="1" s="1"/>
  <c r="Y175" i="1" s="1"/>
  <c r="Y180" i="1" s="1"/>
  <c r="Y185" i="1" s="1"/>
  <c r="Y190" i="1" s="1"/>
  <c r="Y195" i="1" s="1"/>
  <c r="Y200" i="1" s="1"/>
  <c r="Y205" i="1" s="1"/>
  <c r="Y210" i="1" s="1"/>
  <c r="Y215" i="1" s="1"/>
  <c r="Y220" i="1" s="1"/>
  <c r="Y225" i="1" s="1"/>
  <c r="Y230" i="1" s="1"/>
  <c r="Y235" i="1" s="1"/>
  <c r="Y240" i="1" s="1"/>
  <c r="Y245" i="1" s="1"/>
  <c r="Y250" i="1" s="1"/>
  <c r="Y255" i="1" s="1"/>
  <c r="Y260" i="1" s="1"/>
  <c r="Y265" i="1" s="1"/>
  <c r="Y270" i="1" s="1"/>
  <c r="Y275" i="1" s="1"/>
  <c r="Y280" i="1" s="1"/>
  <c r="Y285" i="1" s="1"/>
  <c r="Y290" i="1" s="1"/>
  <c r="Z130" i="1"/>
  <c r="Z135" i="1" s="1"/>
  <c r="Z140" i="1" s="1"/>
  <c r="Z145" i="1" s="1"/>
  <c r="Z150" i="1" s="1"/>
  <c r="Z155" i="1" s="1"/>
  <c r="Z160" i="1" s="1"/>
  <c r="Z165" i="1" s="1"/>
  <c r="Z170" i="1" s="1"/>
  <c r="Z175" i="1" s="1"/>
  <c r="Z180" i="1" s="1"/>
  <c r="Z185" i="1" s="1"/>
  <c r="Z190" i="1" s="1"/>
  <c r="Z195" i="1" s="1"/>
  <c r="Z200" i="1" s="1"/>
  <c r="Z205" i="1" s="1"/>
  <c r="Z210" i="1" s="1"/>
  <c r="Z215" i="1" s="1"/>
  <c r="Z220" i="1" s="1"/>
  <c r="Z225" i="1" s="1"/>
  <c r="Z230" i="1" s="1"/>
  <c r="Z235" i="1" s="1"/>
  <c r="Z240" i="1" s="1"/>
  <c r="Z245" i="1" s="1"/>
  <c r="Z250" i="1" s="1"/>
  <c r="Z255" i="1" s="1"/>
  <c r="Z260" i="1" s="1"/>
  <c r="Z265" i="1" s="1"/>
  <c r="Z270" i="1" s="1"/>
  <c r="Z275" i="1" s="1"/>
  <c r="Z280" i="1" s="1"/>
  <c r="Z285" i="1" s="1"/>
  <c r="Z290" i="1" s="1"/>
  <c r="AA130" i="1"/>
  <c r="AA135" i="1" s="1"/>
  <c r="AA140" i="1" s="1"/>
  <c r="AA145" i="1" s="1"/>
  <c r="AA150" i="1" s="1"/>
  <c r="AA155" i="1" s="1"/>
  <c r="AA160" i="1" s="1"/>
  <c r="AA165" i="1" s="1"/>
  <c r="AA170" i="1" s="1"/>
  <c r="AA175" i="1" s="1"/>
  <c r="AA180" i="1" s="1"/>
  <c r="AA185" i="1" s="1"/>
  <c r="AA190" i="1" s="1"/>
  <c r="AA195" i="1" s="1"/>
  <c r="AA200" i="1" s="1"/>
  <c r="AA205" i="1" s="1"/>
  <c r="AA210" i="1" s="1"/>
  <c r="AA215" i="1" s="1"/>
  <c r="AA220" i="1" s="1"/>
  <c r="AA225" i="1" s="1"/>
  <c r="AA230" i="1" s="1"/>
  <c r="AA235" i="1" s="1"/>
  <c r="AA240" i="1" s="1"/>
  <c r="AA245" i="1" s="1"/>
  <c r="AA250" i="1" s="1"/>
  <c r="AA255" i="1" s="1"/>
  <c r="AA260" i="1" s="1"/>
  <c r="AA265" i="1" s="1"/>
  <c r="AA270" i="1" s="1"/>
  <c r="AA275" i="1" s="1"/>
  <c r="AA280" i="1" s="1"/>
  <c r="AA285" i="1" s="1"/>
  <c r="AA290" i="1" s="1"/>
  <c r="AB130" i="1"/>
  <c r="AB135" i="1" s="1"/>
  <c r="AB140" i="1" s="1"/>
  <c r="AB145" i="1" s="1"/>
  <c r="AB150" i="1" s="1"/>
  <c r="AB155" i="1" s="1"/>
  <c r="AB160" i="1" s="1"/>
  <c r="AB165" i="1" s="1"/>
  <c r="AB170" i="1" s="1"/>
  <c r="AB175" i="1" s="1"/>
  <c r="AB180" i="1" s="1"/>
  <c r="AB185" i="1" s="1"/>
  <c r="AB190" i="1" s="1"/>
  <c r="AB195" i="1" s="1"/>
  <c r="AB200" i="1" s="1"/>
  <c r="AB205" i="1" s="1"/>
  <c r="AB210" i="1" s="1"/>
  <c r="AB215" i="1" s="1"/>
  <c r="AB220" i="1" s="1"/>
  <c r="AB225" i="1" s="1"/>
  <c r="AB230" i="1" s="1"/>
  <c r="AB235" i="1" s="1"/>
  <c r="AB240" i="1" s="1"/>
  <c r="AB245" i="1" s="1"/>
  <c r="AB250" i="1" s="1"/>
  <c r="AB255" i="1" s="1"/>
  <c r="AB260" i="1" s="1"/>
  <c r="AB265" i="1" s="1"/>
  <c r="AB270" i="1" s="1"/>
  <c r="AB275" i="1" s="1"/>
  <c r="AB280" i="1" s="1"/>
  <c r="AB285" i="1" s="1"/>
  <c r="AB290" i="1" s="1"/>
  <c r="AC130" i="1"/>
  <c r="AC135" i="1" s="1"/>
  <c r="AC140" i="1" s="1"/>
  <c r="AC145" i="1" s="1"/>
  <c r="AC150" i="1" s="1"/>
  <c r="AC155" i="1" s="1"/>
  <c r="AC160" i="1" s="1"/>
  <c r="AC165" i="1" s="1"/>
  <c r="AC170" i="1" s="1"/>
  <c r="AC175" i="1" s="1"/>
  <c r="AC180" i="1" s="1"/>
  <c r="AC185" i="1" s="1"/>
  <c r="AC190" i="1" s="1"/>
  <c r="AC195" i="1" s="1"/>
  <c r="AC200" i="1" s="1"/>
  <c r="AC205" i="1" s="1"/>
  <c r="AC210" i="1" s="1"/>
  <c r="AC215" i="1" s="1"/>
  <c r="AC220" i="1" s="1"/>
  <c r="AC225" i="1" s="1"/>
  <c r="AC230" i="1" s="1"/>
  <c r="AC235" i="1" s="1"/>
  <c r="AC240" i="1" s="1"/>
  <c r="AC245" i="1" s="1"/>
  <c r="AC250" i="1" s="1"/>
  <c r="AC255" i="1" s="1"/>
  <c r="AC260" i="1" s="1"/>
  <c r="AC265" i="1" s="1"/>
  <c r="AC270" i="1" s="1"/>
  <c r="AC275" i="1" s="1"/>
  <c r="AC280" i="1" s="1"/>
  <c r="AC285" i="1" s="1"/>
  <c r="AC290" i="1" s="1"/>
  <c r="X131" i="1"/>
  <c r="X136" i="1" s="1"/>
  <c r="X141" i="1" s="1"/>
  <c r="X146" i="1" s="1"/>
  <c r="X151" i="1" s="1"/>
  <c r="X156" i="1" s="1"/>
  <c r="X161" i="1" s="1"/>
  <c r="X166" i="1" s="1"/>
  <c r="X171" i="1" s="1"/>
  <c r="X176" i="1" s="1"/>
  <c r="X181" i="1" s="1"/>
  <c r="X186" i="1" s="1"/>
  <c r="X191" i="1" s="1"/>
  <c r="X196" i="1" s="1"/>
  <c r="X201" i="1" s="1"/>
  <c r="X206" i="1" s="1"/>
  <c r="X211" i="1" s="1"/>
  <c r="X216" i="1" s="1"/>
  <c r="X221" i="1" s="1"/>
  <c r="X226" i="1" s="1"/>
  <c r="X231" i="1" s="1"/>
  <c r="X236" i="1" s="1"/>
  <c r="X241" i="1" s="1"/>
  <c r="X246" i="1" s="1"/>
  <c r="X251" i="1" s="1"/>
  <c r="X256" i="1" s="1"/>
  <c r="X261" i="1" s="1"/>
  <c r="X266" i="1" s="1"/>
  <c r="X271" i="1" s="1"/>
  <c r="X276" i="1" s="1"/>
  <c r="X281" i="1" s="1"/>
  <c r="X286" i="1" s="1"/>
  <c r="Y131" i="1"/>
  <c r="Y136" i="1" s="1"/>
  <c r="Y141" i="1" s="1"/>
  <c r="Y146" i="1" s="1"/>
  <c r="Y151" i="1" s="1"/>
  <c r="Y156" i="1" s="1"/>
  <c r="Y161" i="1" s="1"/>
  <c r="Y166" i="1" s="1"/>
  <c r="Y171" i="1" s="1"/>
  <c r="Y176" i="1" s="1"/>
  <c r="Y181" i="1" s="1"/>
  <c r="Y186" i="1" s="1"/>
  <c r="Y191" i="1" s="1"/>
  <c r="Y196" i="1" s="1"/>
  <c r="Y201" i="1" s="1"/>
  <c r="Y206" i="1" s="1"/>
  <c r="Y211" i="1" s="1"/>
  <c r="Y216" i="1" s="1"/>
  <c r="Y221" i="1" s="1"/>
  <c r="Y226" i="1" s="1"/>
  <c r="Y231" i="1" s="1"/>
  <c r="Y236" i="1" s="1"/>
  <c r="Y241" i="1" s="1"/>
  <c r="Y246" i="1" s="1"/>
  <c r="Y251" i="1" s="1"/>
  <c r="Y256" i="1" s="1"/>
  <c r="Y261" i="1" s="1"/>
  <c r="Y266" i="1" s="1"/>
  <c r="Y271" i="1" s="1"/>
  <c r="Y276" i="1" s="1"/>
  <c r="Y281" i="1" s="1"/>
  <c r="Y286" i="1" s="1"/>
  <c r="Z131" i="1"/>
  <c r="Z136" i="1" s="1"/>
  <c r="Z141" i="1" s="1"/>
  <c r="Z146" i="1" s="1"/>
  <c r="Z151" i="1" s="1"/>
  <c r="Z156" i="1" s="1"/>
  <c r="Z161" i="1" s="1"/>
  <c r="Z166" i="1" s="1"/>
  <c r="Z171" i="1" s="1"/>
  <c r="Z176" i="1" s="1"/>
  <c r="Z181" i="1" s="1"/>
  <c r="Z186" i="1" s="1"/>
  <c r="Z191" i="1" s="1"/>
  <c r="Z196" i="1" s="1"/>
  <c r="Z201" i="1" s="1"/>
  <c r="Z206" i="1" s="1"/>
  <c r="Z211" i="1" s="1"/>
  <c r="Z216" i="1" s="1"/>
  <c r="Z221" i="1" s="1"/>
  <c r="Z226" i="1" s="1"/>
  <c r="Z231" i="1" s="1"/>
  <c r="Z236" i="1" s="1"/>
  <c r="Z241" i="1" s="1"/>
  <c r="Z246" i="1" s="1"/>
  <c r="Z251" i="1" s="1"/>
  <c r="Z256" i="1" s="1"/>
  <c r="Z261" i="1" s="1"/>
  <c r="Z266" i="1" s="1"/>
  <c r="Z271" i="1" s="1"/>
  <c r="Z276" i="1" s="1"/>
  <c r="Z281" i="1" s="1"/>
  <c r="Z286" i="1" s="1"/>
  <c r="Y132" i="1"/>
  <c r="Y137" i="1" s="1"/>
  <c r="Y142" i="1" s="1"/>
  <c r="Y147" i="1" s="1"/>
  <c r="Y152" i="1" s="1"/>
  <c r="Y157" i="1" s="1"/>
  <c r="Y162" i="1" s="1"/>
  <c r="Y167" i="1" s="1"/>
  <c r="Y172" i="1" s="1"/>
  <c r="Y177" i="1" s="1"/>
  <c r="Y182" i="1" s="1"/>
  <c r="Y187" i="1" s="1"/>
  <c r="Y192" i="1" s="1"/>
  <c r="Y197" i="1" s="1"/>
  <c r="Y202" i="1" s="1"/>
  <c r="Y207" i="1" s="1"/>
  <c r="Y212" i="1" s="1"/>
  <c r="Y217" i="1" s="1"/>
  <c r="Y222" i="1" s="1"/>
  <c r="Y227" i="1" s="1"/>
  <c r="Y232" i="1" s="1"/>
  <c r="Y237" i="1" s="1"/>
  <c r="Y242" i="1" s="1"/>
  <c r="Y247" i="1" s="1"/>
  <c r="Y252" i="1" s="1"/>
  <c r="Y257" i="1" s="1"/>
  <c r="Y262" i="1" s="1"/>
  <c r="Y267" i="1" s="1"/>
  <c r="Y272" i="1" s="1"/>
  <c r="Y277" i="1" s="1"/>
  <c r="Y282" i="1" s="1"/>
  <c r="Y287" i="1" s="1"/>
  <c r="AA132" i="1"/>
  <c r="Z137" i="1"/>
  <c r="Z142" i="1" s="1"/>
  <c r="Z147" i="1" s="1"/>
  <c r="Z152" i="1" s="1"/>
  <c r="Z157" i="1" s="1"/>
  <c r="Z162" i="1" s="1"/>
  <c r="Z167" i="1" s="1"/>
  <c r="Z172" i="1" s="1"/>
  <c r="Z177" i="1" s="1"/>
  <c r="Z182" i="1" s="1"/>
  <c r="Z187" i="1" s="1"/>
  <c r="Z192" i="1" s="1"/>
  <c r="Z197" i="1" s="1"/>
  <c r="Z202" i="1" s="1"/>
  <c r="Z207" i="1" s="1"/>
  <c r="Z212" i="1" s="1"/>
  <c r="Z217" i="1" s="1"/>
  <c r="Z222" i="1" s="1"/>
  <c r="Z227" i="1" s="1"/>
  <c r="Z232" i="1" s="1"/>
  <c r="Z237" i="1" s="1"/>
  <c r="Z242" i="1" s="1"/>
  <c r="Z247" i="1" s="1"/>
  <c r="Z252" i="1" s="1"/>
  <c r="Z257" i="1" s="1"/>
  <c r="Z262" i="1" s="1"/>
  <c r="Z267" i="1" s="1"/>
  <c r="Z272" i="1" s="1"/>
  <c r="Z277" i="1" s="1"/>
  <c r="Z282" i="1" s="1"/>
  <c r="Z287" i="1" s="1"/>
  <c r="AA137" i="1"/>
  <c r="AA142" i="1" s="1"/>
  <c r="AA147" i="1" s="1"/>
  <c r="AA152" i="1" s="1"/>
  <c r="AA157" i="1" s="1"/>
  <c r="AA162" i="1" s="1"/>
  <c r="AA167" i="1" s="1"/>
  <c r="AA172" i="1" s="1"/>
  <c r="AA177" i="1" s="1"/>
  <c r="AA182" i="1" s="1"/>
  <c r="AA187" i="1" s="1"/>
  <c r="AA192" i="1" s="1"/>
  <c r="AA197" i="1" s="1"/>
  <c r="AA202" i="1" s="1"/>
  <c r="AA207" i="1" s="1"/>
  <c r="AA212" i="1" s="1"/>
  <c r="AA217" i="1" s="1"/>
  <c r="AA222" i="1" s="1"/>
  <c r="AA227" i="1" s="1"/>
  <c r="AA232" i="1" s="1"/>
  <c r="AA237" i="1" s="1"/>
  <c r="AA242" i="1" s="1"/>
  <c r="AA247" i="1" s="1"/>
  <c r="AA252" i="1" s="1"/>
  <c r="AA257" i="1" s="1"/>
  <c r="AA262" i="1" s="1"/>
  <c r="AA267" i="1" s="1"/>
  <c r="AA272" i="1" s="1"/>
  <c r="AA277" i="1" s="1"/>
  <c r="AA282" i="1" s="1"/>
  <c r="AA287" i="1" s="1"/>
  <c r="AC142" i="1"/>
  <c r="AC147" i="1" s="1"/>
  <c r="AC152" i="1" s="1"/>
  <c r="AC157" i="1" s="1"/>
  <c r="AC162" i="1" s="1"/>
  <c r="AC167" i="1" s="1"/>
  <c r="AC172" i="1" s="1"/>
  <c r="AC177" i="1" s="1"/>
  <c r="AC182" i="1" s="1"/>
  <c r="AC187" i="1" s="1"/>
  <c r="AC192" i="1" s="1"/>
  <c r="AC197" i="1" s="1"/>
  <c r="AC202" i="1" s="1"/>
  <c r="AC207" i="1" s="1"/>
  <c r="AC212" i="1" s="1"/>
  <c r="AC217" i="1" s="1"/>
  <c r="AC222" i="1" s="1"/>
  <c r="AC227" i="1" s="1"/>
  <c r="AC232" i="1" s="1"/>
  <c r="AC237" i="1" s="1"/>
  <c r="AC242" i="1" s="1"/>
  <c r="AC247" i="1" s="1"/>
  <c r="AC252" i="1" s="1"/>
  <c r="AC257" i="1" s="1"/>
  <c r="AC262" i="1" s="1"/>
  <c r="AC267" i="1" s="1"/>
  <c r="AC272" i="1" s="1"/>
  <c r="AC277" i="1" s="1"/>
  <c r="AC282" i="1" s="1"/>
  <c r="AC287" i="1" s="1"/>
  <c r="AC126" i="1"/>
  <c r="AC131" i="1" s="1"/>
  <c r="AC136" i="1" s="1"/>
  <c r="AC141" i="1" s="1"/>
  <c r="AC146" i="1" s="1"/>
  <c r="AC151" i="1" s="1"/>
  <c r="AC156" i="1" s="1"/>
  <c r="AC161" i="1" s="1"/>
  <c r="AC166" i="1" s="1"/>
  <c r="AC171" i="1" s="1"/>
  <c r="AC176" i="1" s="1"/>
  <c r="AC181" i="1" s="1"/>
  <c r="AC186" i="1" s="1"/>
  <c r="AC191" i="1" s="1"/>
  <c r="AC196" i="1" s="1"/>
  <c r="AC201" i="1" s="1"/>
  <c r="AC206" i="1" s="1"/>
  <c r="AC211" i="1" s="1"/>
  <c r="AC216" i="1" s="1"/>
  <c r="AC221" i="1" s="1"/>
  <c r="AC226" i="1" s="1"/>
  <c r="AC231" i="1" s="1"/>
  <c r="AC236" i="1" s="1"/>
  <c r="AC241" i="1" s="1"/>
  <c r="AC246" i="1" s="1"/>
  <c r="AC251" i="1" s="1"/>
  <c r="AC256" i="1" s="1"/>
  <c r="AC261" i="1" s="1"/>
  <c r="AC266" i="1" s="1"/>
  <c r="AC271" i="1" s="1"/>
  <c r="AC276" i="1" s="1"/>
  <c r="AC281" i="1" s="1"/>
  <c r="AC286" i="1" s="1"/>
  <c r="AB126" i="1"/>
  <c r="AB131" i="1" s="1"/>
  <c r="AB136" i="1" s="1"/>
  <c r="AB141" i="1" s="1"/>
  <c r="AB146" i="1" s="1"/>
  <c r="AB151" i="1" s="1"/>
  <c r="AB156" i="1" s="1"/>
  <c r="AB161" i="1" s="1"/>
  <c r="AB166" i="1" s="1"/>
  <c r="AB171" i="1" s="1"/>
  <c r="AB176" i="1" s="1"/>
  <c r="AB181" i="1" s="1"/>
  <c r="AB186" i="1" s="1"/>
  <c r="AB191" i="1" s="1"/>
  <c r="AB196" i="1" s="1"/>
  <c r="AB201" i="1" s="1"/>
  <c r="AB206" i="1" s="1"/>
  <c r="AB211" i="1" s="1"/>
  <c r="AB216" i="1" s="1"/>
  <c r="AB221" i="1" s="1"/>
  <c r="AB226" i="1" s="1"/>
  <c r="AB231" i="1" s="1"/>
  <c r="AB236" i="1" s="1"/>
  <c r="AB241" i="1" s="1"/>
  <c r="AB246" i="1" s="1"/>
  <c r="AB251" i="1" s="1"/>
  <c r="AB256" i="1" s="1"/>
  <c r="AB261" i="1" s="1"/>
  <c r="AB266" i="1" s="1"/>
  <c r="AB271" i="1" s="1"/>
  <c r="AB276" i="1" s="1"/>
  <c r="AB281" i="1" s="1"/>
  <c r="AB286" i="1" s="1"/>
  <c r="AA126" i="1"/>
  <c r="AA131" i="1" s="1"/>
  <c r="AA136" i="1" s="1"/>
  <c r="AA141" i="1" s="1"/>
  <c r="AA146" i="1" s="1"/>
  <c r="AA151" i="1" s="1"/>
  <c r="AA156" i="1" s="1"/>
  <c r="AA161" i="1" s="1"/>
  <c r="AA166" i="1" s="1"/>
  <c r="AA171" i="1" s="1"/>
  <c r="AA176" i="1" s="1"/>
  <c r="AA181" i="1" s="1"/>
  <c r="AA186" i="1" s="1"/>
  <c r="AA191" i="1" s="1"/>
  <c r="AA196" i="1" s="1"/>
  <c r="AA201" i="1" s="1"/>
  <c r="AA206" i="1" s="1"/>
  <c r="AA211" i="1" s="1"/>
  <c r="AA216" i="1" s="1"/>
  <c r="AA221" i="1" s="1"/>
  <c r="AA226" i="1" s="1"/>
  <c r="AA231" i="1" s="1"/>
  <c r="AA236" i="1" s="1"/>
  <c r="AA241" i="1" s="1"/>
  <c r="AA246" i="1" s="1"/>
  <c r="AA251" i="1" s="1"/>
  <c r="AA256" i="1" s="1"/>
  <c r="AA261" i="1" s="1"/>
  <c r="AA266" i="1" s="1"/>
  <c r="AA271" i="1" s="1"/>
  <c r="AA276" i="1" s="1"/>
  <c r="AA281" i="1" s="1"/>
  <c r="AA286" i="1" s="1"/>
  <c r="Z126" i="1"/>
  <c r="Y126" i="1"/>
  <c r="X126" i="1"/>
  <c r="L3" i="1" l="1"/>
  <c r="M3" i="1" s="1"/>
  <c r="G44" i="1"/>
  <c r="G83" i="1" s="1"/>
  <c r="G45" i="1"/>
  <c r="G84" i="1" s="1"/>
  <c r="G46" i="1"/>
  <c r="G85" i="1" s="1"/>
  <c r="G47" i="1"/>
  <c r="G86" i="1" s="1"/>
  <c r="G48" i="1"/>
  <c r="G87" i="1" s="1"/>
  <c r="G49" i="1"/>
  <c r="G88" i="1" s="1"/>
  <c r="G50" i="1"/>
  <c r="G89" i="1" s="1"/>
  <c r="G51" i="1"/>
  <c r="G90" i="1" s="1"/>
  <c r="G52" i="1"/>
  <c r="G91" i="1" s="1"/>
  <c r="G53" i="1"/>
  <c r="G92" i="1" s="1"/>
  <c r="G54" i="1"/>
  <c r="G93" i="1" s="1"/>
  <c r="G55" i="1"/>
  <c r="G94" i="1" s="1"/>
  <c r="G56" i="1"/>
  <c r="G95" i="1" s="1"/>
  <c r="G57" i="1"/>
  <c r="G96" i="1" s="1"/>
  <c r="G58" i="1"/>
  <c r="G97" i="1" s="1"/>
  <c r="G59" i="1"/>
  <c r="G98" i="1" s="1"/>
  <c r="G60" i="1"/>
  <c r="G99" i="1" s="1"/>
  <c r="G61" i="1"/>
  <c r="G100" i="1" s="1"/>
  <c r="G62" i="1"/>
  <c r="G101" i="1" s="1"/>
  <c r="G63" i="1"/>
  <c r="G102" i="1" s="1"/>
  <c r="G64" i="1"/>
  <c r="G103" i="1" s="1"/>
  <c r="G65" i="1"/>
  <c r="G104" i="1" s="1"/>
  <c r="G66" i="1"/>
  <c r="G105" i="1" s="1"/>
  <c r="G67" i="1"/>
  <c r="G106" i="1" s="1"/>
  <c r="G68" i="1"/>
  <c r="G107" i="1" s="1"/>
  <c r="G69" i="1"/>
  <c r="G108" i="1" s="1"/>
  <c r="G70" i="1"/>
  <c r="G109" i="1" s="1"/>
  <c r="G71" i="1"/>
  <c r="G110" i="1" s="1"/>
  <c r="G72" i="1"/>
  <c r="G111" i="1" s="1"/>
  <c r="G73" i="1"/>
  <c r="G112" i="1" s="1"/>
  <c r="G74" i="1"/>
  <c r="G75" i="1"/>
  <c r="G114" i="1" s="1"/>
  <c r="G76" i="1"/>
  <c r="G115" i="1" s="1"/>
  <c r="G77" i="1"/>
  <c r="G116" i="1" s="1"/>
  <c r="G78" i="1"/>
  <c r="G117" i="1" s="1"/>
  <c r="G79" i="1"/>
  <c r="G118" i="1" s="1"/>
  <c r="G80" i="1"/>
  <c r="G119" i="1" s="1"/>
  <c r="G81" i="1"/>
  <c r="G120" i="1" s="1"/>
  <c r="G43" i="1"/>
  <c r="G82" i="1" s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L81" i="1" s="1"/>
  <c r="M81" i="1" s="1"/>
  <c r="K80" i="1"/>
  <c r="H80" i="1"/>
  <c r="L80" i="1" s="1"/>
  <c r="M80" i="1" s="1"/>
  <c r="K79" i="1"/>
  <c r="H79" i="1"/>
  <c r="K78" i="1"/>
  <c r="H78" i="1"/>
  <c r="K77" i="1"/>
  <c r="H77" i="1"/>
  <c r="L77" i="1" s="1"/>
  <c r="M77" i="1" s="1"/>
  <c r="K76" i="1"/>
  <c r="H76" i="1"/>
  <c r="L76" i="1" s="1"/>
  <c r="M76" i="1" s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L64" i="1" s="1"/>
  <c r="M64" i="1" s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L53" i="1" s="1"/>
  <c r="M53" i="1" s="1"/>
  <c r="K52" i="1"/>
  <c r="H52" i="1"/>
  <c r="L52" i="1" s="1"/>
  <c r="M52" i="1" s="1"/>
  <c r="K51" i="1"/>
  <c r="H51" i="1"/>
  <c r="L51" i="1" s="1"/>
  <c r="M51" i="1" s="1"/>
  <c r="K50" i="1"/>
  <c r="H50" i="1"/>
  <c r="K49" i="1"/>
  <c r="H49" i="1"/>
  <c r="L49" i="1" s="1"/>
  <c r="M49" i="1" s="1"/>
  <c r="K48" i="1"/>
  <c r="H48" i="1"/>
  <c r="L48" i="1" s="1"/>
  <c r="M48" i="1" s="1"/>
  <c r="K47" i="1"/>
  <c r="H47" i="1"/>
  <c r="K46" i="1"/>
  <c r="H46" i="1"/>
  <c r="K45" i="1"/>
  <c r="H45" i="1"/>
  <c r="L45" i="1" s="1"/>
  <c r="M45" i="1" s="1"/>
  <c r="K44" i="1"/>
  <c r="H44" i="1"/>
  <c r="L44" i="1" s="1"/>
  <c r="M44" i="1" s="1"/>
  <c r="K43" i="1"/>
  <c r="H4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4" i="1"/>
  <c r="H5" i="1"/>
  <c r="L5" i="1" s="1"/>
  <c r="M5" i="1" s="1"/>
  <c r="H6" i="1"/>
  <c r="L6" i="1" s="1"/>
  <c r="M6" i="1" s="1"/>
  <c r="H7" i="1"/>
  <c r="L7" i="1" s="1"/>
  <c r="M7" i="1" s="1"/>
  <c r="H8" i="1"/>
  <c r="L8" i="1" s="1"/>
  <c r="M8" i="1" s="1"/>
  <c r="H9" i="1"/>
  <c r="L9" i="1" s="1"/>
  <c r="M9" i="1" s="1"/>
  <c r="H10" i="1"/>
  <c r="L10" i="1" s="1"/>
  <c r="M10" i="1" s="1"/>
  <c r="H11" i="1"/>
  <c r="L11" i="1" s="1"/>
  <c r="M11" i="1" s="1"/>
  <c r="H12" i="1"/>
  <c r="L12" i="1" s="1"/>
  <c r="M12" i="1" s="1"/>
  <c r="H13" i="1"/>
  <c r="L13" i="1" s="1"/>
  <c r="M13" i="1" s="1"/>
  <c r="H14" i="1"/>
  <c r="L14" i="1" s="1"/>
  <c r="M14" i="1" s="1"/>
  <c r="H15" i="1"/>
  <c r="L15" i="1" s="1"/>
  <c r="M15" i="1" s="1"/>
  <c r="H16" i="1"/>
  <c r="L16" i="1" s="1"/>
  <c r="M16" i="1" s="1"/>
  <c r="H17" i="1"/>
  <c r="L17" i="1" s="1"/>
  <c r="M17" i="1" s="1"/>
  <c r="H18" i="1"/>
  <c r="L18" i="1" s="1"/>
  <c r="M18" i="1" s="1"/>
  <c r="H19" i="1"/>
  <c r="L19" i="1" s="1"/>
  <c r="M19" i="1" s="1"/>
  <c r="H20" i="1"/>
  <c r="L20" i="1" s="1"/>
  <c r="M20" i="1" s="1"/>
  <c r="H21" i="1"/>
  <c r="L21" i="1" s="1"/>
  <c r="M21" i="1" s="1"/>
  <c r="H22" i="1"/>
  <c r="L22" i="1" s="1"/>
  <c r="M22" i="1" s="1"/>
  <c r="H23" i="1"/>
  <c r="L23" i="1" s="1"/>
  <c r="M23" i="1" s="1"/>
  <c r="H24" i="1"/>
  <c r="L24" i="1" s="1"/>
  <c r="M24" i="1" s="1"/>
  <c r="H25" i="1"/>
  <c r="L25" i="1" s="1"/>
  <c r="M25" i="1" s="1"/>
  <c r="H26" i="1"/>
  <c r="L26" i="1" s="1"/>
  <c r="M26" i="1" s="1"/>
  <c r="H27" i="1"/>
  <c r="L27" i="1" s="1"/>
  <c r="M27" i="1" s="1"/>
  <c r="H28" i="1"/>
  <c r="L28" i="1" s="1"/>
  <c r="M28" i="1" s="1"/>
  <c r="H29" i="1"/>
  <c r="L29" i="1" s="1"/>
  <c r="M29" i="1" s="1"/>
  <c r="H30" i="1"/>
  <c r="L30" i="1" s="1"/>
  <c r="M30" i="1" s="1"/>
  <c r="H31" i="1"/>
  <c r="L31" i="1" s="1"/>
  <c r="M31" i="1" s="1"/>
  <c r="H32" i="1"/>
  <c r="L32" i="1" s="1"/>
  <c r="M32" i="1" s="1"/>
  <c r="H33" i="1"/>
  <c r="L33" i="1" s="1"/>
  <c r="M33" i="1" s="1"/>
  <c r="H34" i="1"/>
  <c r="L34" i="1" s="1"/>
  <c r="M34" i="1" s="1"/>
  <c r="H35" i="1"/>
  <c r="L35" i="1" s="1"/>
  <c r="M35" i="1" s="1"/>
  <c r="H36" i="1"/>
  <c r="L36" i="1" s="1"/>
  <c r="M36" i="1" s="1"/>
  <c r="H37" i="1"/>
  <c r="L37" i="1" s="1"/>
  <c r="M37" i="1" s="1"/>
  <c r="H38" i="1"/>
  <c r="L38" i="1" s="1"/>
  <c r="M38" i="1" s="1"/>
  <c r="H39" i="1"/>
  <c r="L39" i="1" s="1"/>
  <c r="M39" i="1" s="1"/>
  <c r="H40" i="1"/>
  <c r="L40" i="1" s="1"/>
  <c r="M40" i="1" s="1"/>
  <c r="H41" i="1"/>
  <c r="L41" i="1" s="1"/>
  <c r="M41" i="1" s="1"/>
  <c r="H42" i="1"/>
  <c r="L42" i="1" s="1"/>
  <c r="M42" i="1" s="1"/>
  <c r="H121" i="1"/>
  <c r="L121" i="1" s="1"/>
  <c r="M121" i="1" s="1"/>
  <c r="H122" i="1"/>
  <c r="L122" i="1" s="1"/>
  <c r="M122" i="1" s="1"/>
  <c r="H123" i="1"/>
  <c r="L123" i="1" s="1"/>
  <c r="M123" i="1" s="1"/>
  <c r="H124" i="1"/>
  <c r="L124" i="1" s="1"/>
  <c r="M124" i="1" s="1"/>
  <c r="H125" i="1"/>
  <c r="L125" i="1" s="1"/>
  <c r="M125" i="1" s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4" i="1"/>
  <c r="L4" i="1" s="1"/>
  <c r="M4" i="1" s="1"/>
  <c r="W127" i="1"/>
  <c r="W132" i="1" s="1"/>
  <c r="W137" i="1" s="1"/>
  <c r="W142" i="1" s="1"/>
  <c r="W147" i="1" s="1"/>
  <c r="W152" i="1" s="1"/>
  <c r="W157" i="1" s="1"/>
  <c r="W162" i="1" s="1"/>
  <c r="W167" i="1" s="1"/>
  <c r="W172" i="1" s="1"/>
  <c r="W177" i="1" s="1"/>
  <c r="W182" i="1" s="1"/>
  <c r="W187" i="1" s="1"/>
  <c r="W192" i="1" s="1"/>
  <c r="W197" i="1" s="1"/>
  <c r="W202" i="1" s="1"/>
  <c r="W207" i="1" s="1"/>
  <c r="W212" i="1" s="1"/>
  <c r="W217" i="1" s="1"/>
  <c r="W222" i="1" s="1"/>
  <c r="W227" i="1" s="1"/>
  <c r="W232" i="1" s="1"/>
  <c r="W237" i="1" s="1"/>
  <c r="W242" i="1" s="1"/>
  <c r="W247" i="1" s="1"/>
  <c r="W252" i="1" s="1"/>
  <c r="W257" i="1" s="1"/>
  <c r="W262" i="1" s="1"/>
  <c r="W267" i="1" s="1"/>
  <c r="W272" i="1" s="1"/>
  <c r="W277" i="1" s="1"/>
  <c r="W282" i="1" s="1"/>
  <c r="W287" i="1" s="1"/>
  <c r="W128" i="1"/>
  <c r="W133" i="1" s="1"/>
  <c r="W138" i="1" s="1"/>
  <c r="W143" i="1" s="1"/>
  <c r="W148" i="1" s="1"/>
  <c r="W153" i="1" s="1"/>
  <c r="W158" i="1" s="1"/>
  <c r="W163" i="1" s="1"/>
  <c r="W168" i="1" s="1"/>
  <c r="W173" i="1" s="1"/>
  <c r="W178" i="1" s="1"/>
  <c r="W183" i="1" s="1"/>
  <c r="W188" i="1" s="1"/>
  <c r="W193" i="1" s="1"/>
  <c r="W198" i="1" s="1"/>
  <c r="W203" i="1" s="1"/>
  <c r="W208" i="1" s="1"/>
  <c r="W213" i="1" s="1"/>
  <c r="W218" i="1" s="1"/>
  <c r="W223" i="1" s="1"/>
  <c r="W228" i="1" s="1"/>
  <c r="W233" i="1" s="1"/>
  <c r="W238" i="1" s="1"/>
  <c r="W243" i="1" s="1"/>
  <c r="W248" i="1" s="1"/>
  <c r="W253" i="1" s="1"/>
  <c r="W258" i="1" s="1"/>
  <c r="W263" i="1" s="1"/>
  <c r="W268" i="1" s="1"/>
  <c r="W273" i="1" s="1"/>
  <c r="W278" i="1" s="1"/>
  <c r="W283" i="1" s="1"/>
  <c r="W288" i="1" s="1"/>
  <c r="W129" i="1"/>
  <c r="W134" i="1" s="1"/>
  <c r="W139" i="1" s="1"/>
  <c r="W144" i="1" s="1"/>
  <c r="W149" i="1" s="1"/>
  <c r="W154" i="1" s="1"/>
  <c r="W159" i="1" s="1"/>
  <c r="W164" i="1" s="1"/>
  <c r="W169" i="1" s="1"/>
  <c r="W174" i="1" s="1"/>
  <c r="W179" i="1" s="1"/>
  <c r="W184" i="1" s="1"/>
  <c r="W189" i="1" s="1"/>
  <c r="W194" i="1" s="1"/>
  <c r="W199" i="1" s="1"/>
  <c r="W204" i="1" s="1"/>
  <c r="W209" i="1" s="1"/>
  <c r="W214" i="1" s="1"/>
  <c r="W219" i="1" s="1"/>
  <c r="W224" i="1" s="1"/>
  <c r="W229" i="1" s="1"/>
  <c r="W234" i="1" s="1"/>
  <c r="W239" i="1" s="1"/>
  <c r="W244" i="1" s="1"/>
  <c r="W249" i="1" s="1"/>
  <c r="W254" i="1" s="1"/>
  <c r="W259" i="1" s="1"/>
  <c r="W264" i="1" s="1"/>
  <c r="W269" i="1" s="1"/>
  <c r="W274" i="1" s="1"/>
  <c r="W279" i="1" s="1"/>
  <c r="W284" i="1" s="1"/>
  <c r="W289" i="1" s="1"/>
  <c r="W130" i="1"/>
  <c r="W135" i="1" s="1"/>
  <c r="W140" i="1" s="1"/>
  <c r="W145" i="1" s="1"/>
  <c r="W150" i="1" s="1"/>
  <c r="W155" i="1" s="1"/>
  <c r="W160" i="1" s="1"/>
  <c r="W165" i="1" s="1"/>
  <c r="W170" i="1" s="1"/>
  <c r="W175" i="1" s="1"/>
  <c r="W180" i="1" s="1"/>
  <c r="W185" i="1" s="1"/>
  <c r="W190" i="1" s="1"/>
  <c r="W195" i="1" s="1"/>
  <c r="W200" i="1" s="1"/>
  <c r="W205" i="1" s="1"/>
  <c r="W210" i="1" s="1"/>
  <c r="W215" i="1" s="1"/>
  <c r="W220" i="1" s="1"/>
  <c r="W225" i="1" s="1"/>
  <c r="W230" i="1" s="1"/>
  <c r="W235" i="1" s="1"/>
  <c r="W240" i="1" s="1"/>
  <c r="W245" i="1" s="1"/>
  <c r="W250" i="1" s="1"/>
  <c r="W255" i="1" s="1"/>
  <c r="W260" i="1" s="1"/>
  <c r="W265" i="1" s="1"/>
  <c r="W270" i="1" s="1"/>
  <c r="W275" i="1" s="1"/>
  <c r="W280" i="1" s="1"/>
  <c r="W285" i="1" s="1"/>
  <c r="W290" i="1" s="1"/>
  <c r="W126" i="1"/>
  <c r="W131" i="1" s="1"/>
  <c r="W136" i="1" s="1"/>
  <c r="W141" i="1" s="1"/>
  <c r="W146" i="1" s="1"/>
  <c r="W151" i="1" s="1"/>
  <c r="W156" i="1" s="1"/>
  <c r="W161" i="1" s="1"/>
  <c r="W166" i="1" s="1"/>
  <c r="W171" i="1" s="1"/>
  <c r="W176" i="1" s="1"/>
  <c r="W181" i="1" s="1"/>
  <c r="W186" i="1" s="1"/>
  <c r="W191" i="1" s="1"/>
  <c r="W196" i="1" s="1"/>
  <c r="W201" i="1" s="1"/>
  <c r="W206" i="1" s="1"/>
  <c r="W211" i="1" s="1"/>
  <c r="W216" i="1" s="1"/>
  <c r="W221" i="1" s="1"/>
  <c r="W226" i="1" s="1"/>
  <c r="W231" i="1" s="1"/>
  <c r="W236" i="1" s="1"/>
  <c r="W241" i="1" s="1"/>
  <c r="W246" i="1" s="1"/>
  <c r="W251" i="1" s="1"/>
  <c r="W256" i="1" s="1"/>
  <c r="W261" i="1" s="1"/>
  <c r="W266" i="1" s="1"/>
  <c r="W271" i="1" s="1"/>
  <c r="W276" i="1" s="1"/>
  <c r="W281" i="1" s="1"/>
  <c r="W286" i="1" s="1"/>
  <c r="L65" i="1" l="1"/>
  <c r="M65" i="1" s="1"/>
  <c r="L75" i="1"/>
  <c r="M75" i="1" s="1"/>
  <c r="L55" i="1"/>
  <c r="M55" i="1" s="1"/>
  <c r="L61" i="1"/>
  <c r="M61" i="1" s="1"/>
  <c r="L46" i="1"/>
  <c r="M46" i="1" s="1"/>
  <c r="L62" i="1"/>
  <c r="M62" i="1" s="1"/>
  <c r="L78" i="1"/>
  <c r="M78" i="1" s="1"/>
  <c r="L56" i="1"/>
  <c r="M56" i="1" s="1"/>
  <c r="L47" i="1"/>
  <c r="M47" i="1" s="1"/>
  <c r="L79" i="1"/>
  <c r="M79" i="1" s="1"/>
  <c r="L96" i="1"/>
  <c r="M96" i="1" s="1"/>
  <c r="L50" i="1"/>
  <c r="M50" i="1" s="1"/>
  <c r="L66" i="1"/>
  <c r="M66" i="1" s="1"/>
  <c r="L82" i="1"/>
  <c r="M82" i="1" s="1"/>
  <c r="L98" i="1"/>
  <c r="M98" i="1" s="1"/>
  <c r="L111" i="1"/>
  <c r="M111" i="1" s="1"/>
  <c r="L100" i="1"/>
  <c r="M100" i="1" s="1"/>
  <c r="L101" i="1"/>
  <c r="M101" i="1" s="1"/>
  <c r="L117" i="1"/>
  <c r="M117" i="1" s="1"/>
  <c r="L84" i="1"/>
  <c r="M84" i="1" s="1"/>
  <c r="L54" i="1"/>
  <c r="M54" i="1" s="1"/>
  <c r="L70" i="1"/>
  <c r="M70" i="1" s="1"/>
  <c r="L86" i="1"/>
  <c r="M86" i="1" s="1"/>
  <c r="L118" i="1"/>
  <c r="M118" i="1" s="1"/>
  <c r="L99" i="1"/>
  <c r="M99" i="1" s="1"/>
  <c r="L103" i="1"/>
  <c r="M103" i="1" s="1"/>
  <c r="L94" i="1"/>
  <c r="M94" i="1" s="1"/>
  <c r="L119" i="1"/>
  <c r="M119" i="1" s="1"/>
  <c r="L110" i="1"/>
  <c r="M110" i="1" s="1"/>
  <c r="L93" i="1"/>
  <c r="M93" i="1" s="1"/>
  <c r="L95" i="1"/>
  <c r="M95" i="1" s="1"/>
  <c r="L116" i="1"/>
  <c r="M116" i="1" s="1"/>
  <c r="L87" i="1"/>
  <c r="M87" i="1" s="1"/>
  <c r="L83" i="1"/>
  <c r="M83" i="1" s="1"/>
  <c r="L112" i="1"/>
  <c r="M112" i="1" s="1"/>
  <c r="L71" i="1"/>
  <c r="M71" i="1" s="1"/>
  <c r="L89" i="1"/>
  <c r="M89" i="1" s="1"/>
  <c r="L67" i="1"/>
  <c r="M67" i="1" s="1"/>
  <c r="L90" i="1"/>
  <c r="M90" i="1" s="1"/>
  <c r="L68" i="1"/>
  <c r="M68" i="1" s="1"/>
  <c r="L120" i="1"/>
  <c r="M120" i="1" s="1"/>
  <c r="L57" i="1"/>
  <c r="M57" i="1" s="1"/>
  <c r="L88" i="1"/>
  <c r="M88" i="1" s="1"/>
  <c r="L43" i="1"/>
  <c r="M43" i="1" s="1"/>
  <c r="L59" i="1"/>
  <c r="M59" i="1" s="1"/>
  <c r="L91" i="1"/>
  <c r="M91" i="1" s="1"/>
  <c r="L107" i="1"/>
  <c r="M107" i="1" s="1"/>
  <c r="L109" i="1"/>
  <c r="M109" i="1" s="1"/>
  <c r="L69" i="1"/>
  <c r="M69" i="1" s="1"/>
  <c r="L104" i="1"/>
  <c r="M104" i="1" s="1"/>
  <c r="L105" i="1"/>
  <c r="M105" i="1" s="1"/>
  <c r="L60" i="1"/>
  <c r="M60" i="1" s="1"/>
  <c r="L92" i="1"/>
  <c r="M92" i="1" s="1"/>
  <c r="L108" i="1"/>
  <c r="M108" i="1" s="1"/>
  <c r="L85" i="1"/>
  <c r="M85" i="1" s="1"/>
  <c r="L72" i="1"/>
  <c r="M72" i="1" s="1"/>
  <c r="L73" i="1"/>
  <c r="M73" i="1" s="1"/>
  <c r="L106" i="1"/>
  <c r="M106" i="1" s="1"/>
  <c r="L102" i="1"/>
  <c r="M102" i="1" s="1"/>
  <c r="L115" i="1"/>
  <c r="M115" i="1" s="1"/>
  <c r="L114" i="1"/>
  <c r="M114" i="1" s="1"/>
  <c r="L74" i="1"/>
  <c r="M74" i="1" s="1"/>
  <c r="L97" i="1"/>
  <c r="M97" i="1" s="1"/>
  <c r="L63" i="1"/>
  <c r="M63" i="1" s="1"/>
  <c r="L58" i="1"/>
  <c r="M58" i="1" s="1"/>
  <c r="G113" i="1"/>
  <c r="L113" i="1" s="1"/>
  <c r="M113" i="1" s="1"/>
  <c r="I127" i="1"/>
  <c r="I128" i="1"/>
  <c r="I129" i="1"/>
  <c r="L129" i="1" s="1"/>
  <c r="M129" i="1" s="1"/>
  <c r="I130" i="1"/>
  <c r="L130" i="1" s="1"/>
  <c r="M130" i="1" s="1"/>
  <c r="I134" i="1"/>
  <c r="I126" i="1"/>
  <c r="I135" i="1" l="1"/>
  <c r="I133" i="1"/>
  <c r="L128" i="1"/>
  <c r="M128" i="1" s="1"/>
  <c r="I140" i="1"/>
  <c r="L135" i="1"/>
  <c r="M135" i="1" s="1"/>
  <c r="I139" i="1"/>
  <c r="L134" i="1"/>
  <c r="M134" i="1" s="1"/>
  <c r="I132" i="1"/>
  <c r="L127" i="1"/>
  <c r="M127" i="1" s="1"/>
  <c r="I131" i="1"/>
  <c r="L126" i="1"/>
  <c r="M126" i="1" s="1"/>
  <c r="I145" i="1" l="1"/>
  <c r="L140" i="1"/>
  <c r="M140" i="1" s="1"/>
  <c r="I136" i="1"/>
  <c r="L131" i="1"/>
  <c r="M131" i="1" s="1"/>
  <c r="I137" i="1"/>
  <c r="L132" i="1"/>
  <c r="M132" i="1" s="1"/>
  <c r="I144" i="1"/>
  <c r="L139" i="1"/>
  <c r="M139" i="1" s="1"/>
  <c r="I138" i="1"/>
  <c r="L133" i="1"/>
  <c r="M133" i="1" s="1"/>
  <c r="I149" i="1" l="1"/>
  <c r="L144" i="1"/>
  <c r="M144" i="1" s="1"/>
  <c r="I141" i="1"/>
  <c r="L136" i="1"/>
  <c r="M136" i="1" s="1"/>
  <c r="I142" i="1"/>
  <c r="L137" i="1"/>
  <c r="M137" i="1" s="1"/>
  <c r="I143" i="1"/>
  <c r="L138" i="1"/>
  <c r="M138" i="1" s="1"/>
  <c r="I150" i="1"/>
  <c r="L145" i="1"/>
  <c r="M145" i="1" s="1"/>
  <c r="I148" i="1" l="1"/>
  <c r="L143" i="1"/>
  <c r="M143" i="1" s="1"/>
  <c r="I155" i="1"/>
  <c r="L150" i="1"/>
  <c r="M150" i="1" s="1"/>
  <c r="I147" i="1"/>
  <c r="L142" i="1"/>
  <c r="M142" i="1" s="1"/>
  <c r="I146" i="1"/>
  <c r="L141" i="1"/>
  <c r="M141" i="1" s="1"/>
  <c r="I154" i="1"/>
  <c r="L149" i="1"/>
  <c r="M149" i="1" s="1"/>
  <c r="I159" i="1" l="1"/>
  <c r="L154" i="1"/>
  <c r="M154" i="1" s="1"/>
  <c r="I151" i="1"/>
  <c r="L146" i="1"/>
  <c r="M146" i="1" s="1"/>
  <c r="I152" i="1"/>
  <c r="L147" i="1"/>
  <c r="M147" i="1" s="1"/>
  <c r="I160" i="1"/>
  <c r="L155" i="1"/>
  <c r="M155" i="1" s="1"/>
  <c r="I153" i="1"/>
  <c r="L148" i="1"/>
  <c r="M148" i="1" s="1"/>
  <c r="I158" i="1" l="1"/>
  <c r="L153" i="1"/>
  <c r="M153" i="1" s="1"/>
  <c r="I165" i="1"/>
  <c r="L160" i="1"/>
  <c r="M160" i="1" s="1"/>
  <c r="I157" i="1"/>
  <c r="L152" i="1"/>
  <c r="M152" i="1" s="1"/>
  <c r="I156" i="1"/>
  <c r="L151" i="1"/>
  <c r="M151" i="1" s="1"/>
  <c r="I164" i="1"/>
  <c r="L159" i="1"/>
  <c r="M159" i="1" s="1"/>
  <c r="I161" i="1" l="1"/>
  <c r="L156" i="1"/>
  <c r="M156" i="1" s="1"/>
  <c r="I170" i="1"/>
  <c r="L165" i="1"/>
  <c r="M165" i="1" s="1"/>
  <c r="I169" i="1"/>
  <c r="L164" i="1"/>
  <c r="M164" i="1" s="1"/>
  <c r="I162" i="1"/>
  <c r="L157" i="1"/>
  <c r="M157" i="1" s="1"/>
  <c r="I163" i="1"/>
  <c r="L158" i="1"/>
  <c r="M158" i="1" s="1"/>
  <c r="I167" i="1" l="1"/>
  <c r="L162" i="1"/>
  <c r="M162" i="1" s="1"/>
  <c r="I174" i="1"/>
  <c r="L169" i="1"/>
  <c r="M169" i="1" s="1"/>
  <c r="I168" i="1"/>
  <c r="L163" i="1"/>
  <c r="M163" i="1" s="1"/>
  <c r="I175" i="1"/>
  <c r="L170" i="1"/>
  <c r="M170" i="1" s="1"/>
  <c r="I166" i="1"/>
  <c r="L161" i="1"/>
  <c r="M161" i="1" s="1"/>
  <c r="I180" i="1" l="1"/>
  <c r="L175" i="1"/>
  <c r="M175" i="1" s="1"/>
  <c r="I171" i="1"/>
  <c r="L166" i="1"/>
  <c r="M166" i="1" s="1"/>
  <c r="I173" i="1"/>
  <c r="L168" i="1"/>
  <c r="M168" i="1" s="1"/>
  <c r="I179" i="1"/>
  <c r="L174" i="1"/>
  <c r="M174" i="1" s="1"/>
  <c r="I172" i="1"/>
  <c r="L167" i="1"/>
  <c r="M167" i="1" s="1"/>
  <c r="I184" i="1" l="1"/>
  <c r="L179" i="1"/>
  <c r="M179" i="1" s="1"/>
  <c r="I178" i="1"/>
  <c r="L173" i="1"/>
  <c r="M173" i="1" s="1"/>
  <c r="I177" i="1"/>
  <c r="L172" i="1"/>
  <c r="M172" i="1" s="1"/>
  <c r="I176" i="1"/>
  <c r="L171" i="1"/>
  <c r="M171" i="1" s="1"/>
  <c r="I185" i="1"/>
  <c r="L180" i="1"/>
  <c r="M180" i="1" s="1"/>
  <c r="I190" i="1" l="1"/>
  <c r="L185" i="1"/>
  <c r="M185" i="1" s="1"/>
  <c r="I181" i="1"/>
  <c r="L176" i="1"/>
  <c r="M176" i="1" s="1"/>
  <c r="I182" i="1"/>
  <c r="L177" i="1"/>
  <c r="M177" i="1" s="1"/>
  <c r="I183" i="1"/>
  <c r="L178" i="1"/>
  <c r="M178" i="1" s="1"/>
  <c r="I189" i="1"/>
  <c r="L184" i="1"/>
  <c r="M184" i="1" s="1"/>
  <c r="I187" i="1" l="1"/>
  <c r="L182" i="1"/>
  <c r="M182" i="1" s="1"/>
  <c r="I194" i="1"/>
  <c r="L189" i="1"/>
  <c r="M189" i="1" s="1"/>
  <c r="I188" i="1"/>
  <c r="L183" i="1"/>
  <c r="M183" i="1" s="1"/>
  <c r="I186" i="1"/>
  <c r="L181" i="1"/>
  <c r="M181" i="1" s="1"/>
  <c r="I195" i="1"/>
  <c r="L190" i="1"/>
  <c r="M190" i="1" s="1"/>
  <c r="I200" i="1" l="1"/>
  <c r="L195" i="1"/>
  <c r="M195" i="1" s="1"/>
  <c r="I191" i="1"/>
  <c r="L186" i="1"/>
  <c r="M186" i="1" s="1"/>
  <c r="I193" i="1"/>
  <c r="L188" i="1"/>
  <c r="M188" i="1" s="1"/>
  <c r="I199" i="1"/>
  <c r="L194" i="1"/>
  <c r="M194" i="1" s="1"/>
  <c r="I192" i="1"/>
  <c r="L187" i="1"/>
  <c r="M187" i="1" s="1"/>
  <c r="I197" i="1" l="1"/>
  <c r="L192" i="1"/>
  <c r="M192" i="1" s="1"/>
  <c r="I204" i="1"/>
  <c r="L199" i="1"/>
  <c r="M199" i="1" s="1"/>
  <c r="I198" i="1"/>
  <c r="L193" i="1"/>
  <c r="M193" i="1" s="1"/>
  <c r="I196" i="1"/>
  <c r="L191" i="1"/>
  <c r="M191" i="1" s="1"/>
  <c r="I205" i="1"/>
  <c r="L200" i="1"/>
  <c r="M200" i="1" s="1"/>
  <c r="I210" i="1" l="1"/>
  <c r="L205" i="1"/>
  <c r="M205" i="1" s="1"/>
  <c r="I201" i="1"/>
  <c r="L196" i="1"/>
  <c r="M196" i="1" s="1"/>
  <c r="I203" i="1"/>
  <c r="L198" i="1"/>
  <c r="M198" i="1" s="1"/>
  <c r="I209" i="1"/>
  <c r="L204" i="1"/>
  <c r="M204" i="1" s="1"/>
  <c r="I202" i="1"/>
  <c r="L197" i="1"/>
  <c r="M197" i="1" s="1"/>
  <c r="I207" i="1" l="1"/>
  <c r="L202" i="1"/>
  <c r="M202" i="1" s="1"/>
  <c r="I214" i="1"/>
  <c r="L209" i="1"/>
  <c r="M209" i="1" s="1"/>
  <c r="I208" i="1"/>
  <c r="L203" i="1"/>
  <c r="M203" i="1" s="1"/>
  <c r="I206" i="1"/>
  <c r="L201" i="1"/>
  <c r="M201" i="1" s="1"/>
  <c r="I215" i="1"/>
  <c r="L210" i="1"/>
  <c r="M210" i="1" s="1"/>
  <c r="I220" i="1" l="1"/>
  <c r="L215" i="1"/>
  <c r="M215" i="1" s="1"/>
  <c r="I211" i="1"/>
  <c r="L206" i="1"/>
  <c r="M206" i="1" s="1"/>
  <c r="I213" i="1"/>
  <c r="L208" i="1"/>
  <c r="M208" i="1" s="1"/>
  <c r="I219" i="1"/>
  <c r="L214" i="1"/>
  <c r="M214" i="1" s="1"/>
  <c r="I212" i="1"/>
  <c r="L207" i="1"/>
  <c r="M207" i="1" s="1"/>
  <c r="I217" i="1" l="1"/>
  <c r="L212" i="1"/>
  <c r="M212" i="1" s="1"/>
  <c r="I224" i="1"/>
  <c r="L219" i="1"/>
  <c r="M219" i="1" s="1"/>
  <c r="I218" i="1"/>
  <c r="L213" i="1"/>
  <c r="M213" i="1" s="1"/>
  <c r="I216" i="1"/>
  <c r="L211" i="1"/>
  <c r="M211" i="1" s="1"/>
  <c r="I225" i="1"/>
  <c r="L220" i="1"/>
  <c r="M220" i="1" s="1"/>
  <c r="I221" i="1" l="1"/>
  <c r="L216" i="1"/>
  <c r="M216" i="1" s="1"/>
  <c r="I230" i="1"/>
  <c r="L225" i="1"/>
  <c r="M225" i="1" s="1"/>
  <c r="I223" i="1"/>
  <c r="L218" i="1"/>
  <c r="M218" i="1" s="1"/>
  <c r="I229" i="1"/>
  <c r="L224" i="1"/>
  <c r="M224" i="1" s="1"/>
  <c r="I222" i="1"/>
  <c r="L217" i="1"/>
  <c r="M217" i="1" s="1"/>
  <c r="I234" i="1" l="1"/>
  <c r="L229" i="1"/>
  <c r="M229" i="1" s="1"/>
  <c r="I228" i="1"/>
  <c r="L223" i="1"/>
  <c r="M223" i="1" s="1"/>
  <c r="I227" i="1"/>
  <c r="L222" i="1"/>
  <c r="M222" i="1" s="1"/>
  <c r="I235" i="1"/>
  <c r="L230" i="1"/>
  <c r="M230" i="1" s="1"/>
  <c r="I226" i="1"/>
  <c r="L221" i="1"/>
  <c r="M221" i="1" s="1"/>
  <c r="I231" i="1" l="1"/>
  <c r="L226" i="1"/>
  <c r="M226" i="1" s="1"/>
  <c r="I232" i="1"/>
  <c r="L227" i="1"/>
  <c r="M227" i="1" s="1"/>
  <c r="I240" i="1"/>
  <c r="L235" i="1"/>
  <c r="M235" i="1" s="1"/>
  <c r="I233" i="1"/>
  <c r="L228" i="1"/>
  <c r="M228" i="1" s="1"/>
  <c r="I239" i="1"/>
  <c r="L234" i="1"/>
  <c r="M234" i="1" s="1"/>
  <c r="I238" i="1" l="1"/>
  <c r="L233" i="1"/>
  <c r="M233" i="1" s="1"/>
  <c r="I245" i="1"/>
  <c r="L240" i="1"/>
  <c r="M240" i="1" s="1"/>
  <c r="I244" i="1"/>
  <c r="L239" i="1"/>
  <c r="M239" i="1" s="1"/>
  <c r="I237" i="1"/>
  <c r="L232" i="1"/>
  <c r="M232" i="1" s="1"/>
  <c r="I236" i="1"/>
  <c r="L231" i="1"/>
  <c r="M231" i="1" s="1"/>
  <c r="I249" i="1" l="1"/>
  <c r="L244" i="1"/>
  <c r="M244" i="1" s="1"/>
  <c r="I241" i="1"/>
  <c r="L236" i="1"/>
  <c r="M236" i="1" s="1"/>
  <c r="I242" i="1"/>
  <c r="L237" i="1"/>
  <c r="M237" i="1" s="1"/>
  <c r="I250" i="1"/>
  <c r="L245" i="1"/>
  <c r="M245" i="1" s="1"/>
  <c r="I243" i="1"/>
  <c r="L238" i="1"/>
  <c r="M238" i="1" s="1"/>
  <c r="I248" i="1" l="1"/>
  <c r="L243" i="1"/>
  <c r="M243" i="1" s="1"/>
  <c r="I255" i="1"/>
  <c r="L250" i="1"/>
  <c r="M250" i="1" s="1"/>
  <c r="I247" i="1"/>
  <c r="L242" i="1"/>
  <c r="M242" i="1" s="1"/>
  <c r="I246" i="1"/>
  <c r="L241" i="1"/>
  <c r="M241" i="1" s="1"/>
  <c r="I254" i="1"/>
  <c r="L249" i="1"/>
  <c r="M249" i="1" s="1"/>
  <c r="I260" i="1" l="1"/>
  <c r="L255" i="1"/>
  <c r="M255" i="1" s="1"/>
  <c r="I252" i="1"/>
  <c r="L247" i="1"/>
  <c r="M247" i="1" s="1"/>
  <c r="I259" i="1"/>
  <c r="L254" i="1"/>
  <c r="M254" i="1" s="1"/>
  <c r="I251" i="1"/>
  <c r="L246" i="1"/>
  <c r="M246" i="1" s="1"/>
  <c r="I253" i="1"/>
  <c r="L248" i="1"/>
  <c r="M248" i="1" s="1"/>
  <c r="I256" i="1" l="1"/>
  <c r="L251" i="1"/>
  <c r="M251" i="1" s="1"/>
  <c r="I264" i="1"/>
  <c r="L259" i="1"/>
  <c r="M259" i="1" s="1"/>
  <c r="I258" i="1"/>
  <c r="L253" i="1"/>
  <c r="M253" i="1" s="1"/>
  <c r="I257" i="1"/>
  <c r="L252" i="1"/>
  <c r="M252" i="1" s="1"/>
  <c r="I265" i="1"/>
  <c r="L260" i="1"/>
  <c r="M260" i="1" s="1"/>
  <c r="I270" i="1" l="1"/>
  <c r="L265" i="1"/>
  <c r="M265" i="1" s="1"/>
  <c r="I262" i="1"/>
  <c r="L257" i="1"/>
  <c r="M257" i="1" s="1"/>
  <c r="I263" i="1"/>
  <c r="L258" i="1"/>
  <c r="M258" i="1" s="1"/>
  <c r="I269" i="1"/>
  <c r="L264" i="1"/>
  <c r="M264" i="1" s="1"/>
  <c r="I261" i="1"/>
  <c r="L256" i="1"/>
  <c r="M256" i="1" s="1"/>
  <c r="I266" i="1" l="1"/>
  <c r="L261" i="1"/>
  <c r="M261" i="1" s="1"/>
  <c r="I274" i="1"/>
  <c r="L269" i="1"/>
  <c r="M269" i="1" s="1"/>
  <c r="I268" i="1"/>
  <c r="L263" i="1"/>
  <c r="M263" i="1" s="1"/>
  <c r="I267" i="1"/>
  <c r="L262" i="1"/>
  <c r="M262" i="1" s="1"/>
  <c r="I275" i="1"/>
  <c r="L270" i="1"/>
  <c r="M270" i="1" s="1"/>
  <c r="I272" i="1" l="1"/>
  <c r="L267" i="1"/>
  <c r="M267" i="1" s="1"/>
  <c r="I273" i="1"/>
  <c r="L268" i="1"/>
  <c r="M268" i="1" s="1"/>
  <c r="I280" i="1"/>
  <c r="L275" i="1"/>
  <c r="M275" i="1" s="1"/>
  <c r="I279" i="1"/>
  <c r="L274" i="1"/>
  <c r="M274" i="1" s="1"/>
  <c r="I271" i="1"/>
  <c r="L266" i="1"/>
  <c r="M266" i="1" s="1"/>
  <c r="I284" i="1" l="1"/>
  <c r="L279" i="1"/>
  <c r="M279" i="1" s="1"/>
  <c r="I285" i="1"/>
  <c r="L280" i="1"/>
  <c r="M280" i="1" s="1"/>
  <c r="I276" i="1"/>
  <c r="L271" i="1"/>
  <c r="M271" i="1" s="1"/>
  <c r="I278" i="1"/>
  <c r="L273" i="1"/>
  <c r="M273" i="1" s="1"/>
  <c r="I277" i="1"/>
  <c r="L272" i="1"/>
  <c r="M272" i="1" s="1"/>
  <c r="I283" i="1" l="1"/>
  <c r="L278" i="1"/>
  <c r="M278" i="1" s="1"/>
  <c r="I290" i="1"/>
  <c r="L290" i="1" s="1"/>
  <c r="M290" i="1" s="1"/>
  <c r="L285" i="1"/>
  <c r="M285" i="1" s="1"/>
  <c r="I281" i="1"/>
  <c r="L276" i="1"/>
  <c r="M276" i="1" s="1"/>
  <c r="I282" i="1"/>
  <c r="L277" i="1"/>
  <c r="M277" i="1" s="1"/>
  <c r="I289" i="1"/>
  <c r="L289" i="1" s="1"/>
  <c r="M289" i="1" s="1"/>
  <c r="L284" i="1"/>
  <c r="M284" i="1" s="1"/>
  <c r="I287" i="1" l="1"/>
  <c r="L287" i="1" s="1"/>
  <c r="M287" i="1" s="1"/>
  <c r="L282" i="1"/>
  <c r="M282" i="1" s="1"/>
  <c r="I286" i="1"/>
  <c r="L286" i="1" s="1"/>
  <c r="M286" i="1" s="1"/>
  <c r="L281" i="1"/>
  <c r="M281" i="1" s="1"/>
  <c r="I288" i="1"/>
  <c r="L288" i="1" s="1"/>
  <c r="M288" i="1" s="1"/>
  <c r="L283" i="1"/>
  <c r="M283" i="1" s="1"/>
</calcChain>
</file>

<file path=xl/sharedStrings.xml><?xml version="1.0" encoding="utf-8"?>
<sst xmlns="http://schemas.openxmlformats.org/spreadsheetml/2006/main" count="1042" uniqueCount="98">
  <si>
    <t>开发等级</t>
  </si>
  <si>
    <t>下一级</t>
  </si>
  <si>
    <t>等级</t>
  </si>
  <si>
    <t>税收物品</t>
  </si>
  <si>
    <t>征兵</t>
  </si>
  <si>
    <t>征兵数量</t>
  </si>
  <si>
    <t>征兵士兵等级</t>
  </si>
  <si>
    <t>单个士兵的征兵费用</t>
  </si>
  <si>
    <t>升级所需人口</t>
  </si>
  <si>
    <t>升级所需物品1</t>
  </si>
  <si>
    <t>升级所需物品1数量</t>
  </si>
  <si>
    <t>升级所需物品2</t>
  </si>
  <si>
    <t>升级所需物品2数量</t>
  </si>
  <si>
    <t>升级所需物品3</t>
  </si>
  <si>
    <t>升级所需物品3数量</t>
  </si>
  <si>
    <t>development_level#int</t>
  </si>
  <si>
    <t>next_development_level#int</t>
  </si>
  <si>
    <t>!tmp</t>
  </si>
  <si>
    <t>soldier_type_id#int</t>
  </si>
  <si>
    <t>soldier_count#int</t>
  </si>
  <si>
    <t>soldier_equip_level#int</t>
  </si>
  <si>
    <t>soldier_year_cost#int</t>
  </si>
  <si>
    <t>population#int</t>
  </si>
  <si>
    <t>_s1#int</t>
  </si>
  <si>
    <t>_n1#int</t>
  </si>
  <si>
    <t>_s2#int</t>
  </si>
  <si>
    <t>_n2#int</t>
  </si>
  <si>
    <t>_s3#int</t>
  </si>
  <si>
    <t>_n3#int</t>
  </si>
  <si>
    <t>卷心菜</t>
  </si>
  <si>
    <t>白银</t>
  </si>
  <si>
    <t>菜豆</t>
  </si>
  <si>
    <t>辣椒</t>
  </si>
  <si>
    <t>南瓜</t>
  </si>
  <si>
    <t>笋瓜</t>
  </si>
  <si>
    <t>蘑菇</t>
  </si>
  <si>
    <t>洋葱</t>
  </si>
  <si>
    <t>玉米</t>
  </si>
  <si>
    <t>土豆</t>
  </si>
  <si>
    <t>小麦</t>
  </si>
  <si>
    <t>木薯</t>
  </si>
  <si>
    <t>苹果</t>
  </si>
  <si>
    <t>樱桃</t>
  </si>
  <si>
    <t>梨</t>
  </si>
  <si>
    <t>梅子</t>
  </si>
  <si>
    <t>浆果</t>
  </si>
  <si>
    <t>鱼</t>
  </si>
  <si>
    <t>肉</t>
  </si>
  <si>
    <t>螃蟹</t>
  </si>
  <si>
    <t>蜂蜜</t>
  </si>
  <si>
    <t>煤</t>
  </si>
  <si>
    <t>草药</t>
  </si>
  <si>
    <t>火药</t>
  </si>
  <si>
    <t>原木</t>
  </si>
  <si>
    <t>皮革</t>
  </si>
  <si>
    <t>羊毛</t>
  </si>
  <si>
    <t>秘银矿</t>
  </si>
  <si>
    <t>精金矿</t>
  </si>
  <si>
    <t>山铜矿</t>
  </si>
  <si>
    <t>红宝石碎片</t>
  </si>
  <si>
    <t>蓝宝石碎片</t>
  </si>
  <si>
    <t>绿宝石碎片</t>
  </si>
  <si>
    <t>备注</t>
    <phoneticPr fontId="2" type="noConversion"/>
  </si>
  <si>
    <t>!tmp</t>
    <phoneticPr fontId="2" type="noConversion"/>
  </si>
  <si>
    <t>初始的无名村庄</t>
    <phoneticPr fontId="2" type="noConversion"/>
  </si>
  <si>
    <t>产品价格</t>
    <phoneticPr fontId="2" type="noConversion"/>
  </si>
  <si>
    <t>产值</t>
    <phoneticPr fontId="2" type="noConversion"/>
  </si>
  <si>
    <t>升级回本年数</t>
    <phoneticPr fontId="2" type="noConversion"/>
  </si>
  <si>
    <t>铁矿</t>
  </si>
  <si>
    <t>!tmp</t>
    <phoneticPr fontId="2" type="noConversion"/>
  </si>
  <si>
    <t>雇佣刀盾兵</t>
  </si>
  <si>
    <t>雇佣剑士</t>
  </si>
  <si>
    <t>雇佣长枪兵</t>
  </si>
  <si>
    <t>雇佣狼骑兵</t>
  </si>
  <si>
    <t>雇佣弓骑兵</t>
  </si>
  <si>
    <t>雇佣投石兵</t>
  </si>
  <si>
    <t>雇佣弓箭兵</t>
  </si>
  <si>
    <t>雇佣弩箭兵</t>
  </si>
  <si>
    <t>价格浮动</t>
    <phoneticPr fontId="2" type="noConversion"/>
  </si>
  <si>
    <t>特产物品数量</t>
    <phoneticPr fontId="2" type="noConversion"/>
  </si>
  <si>
    <t>product_count#int</t>
    <phoneticPr fontId="2" type="noConversion"/>
  </si>
  <si>
    <t>price_rate#int</t>
    <phoneticPr fontId="2" type="noConversion"/>
  </si>
  <si>
    <t>牧草</t>
  </si>
  <si>
    <t>税收</t>
    <phoneticPr fontId="2" type="noConversion"/>
  </si>
  <si>
    <t>tax#int</t>
    <phoneticPr fontId="2" type="noConversion"/>
  </si>
  <si>
    <t>山铜矿</t>
    <phoneticPr fontId="2" type="noConversion"/>
  </si>
  <si>
    <r>
      <t>!</t>
    </r>
    <r>
      <rPr>
        <sz val="11"/>
        <color theme="1"/>
        <rFont val="宋体"/>
        <family val="3"/>
        <charset val="134"/>
        <scheme val="minor"/>
      </rPr>
      <t>tmp</t>
    </r>
    <phoneticPr fontId="2" type="noConversion"/>
  </si>
  <si>
    <t>升级人口基数</t>
    <phoneticPr fontId="2" type="noConversion"/>
  </si>
  <si>
    <t>product_stuff_id#int</t>
    <phoneticPr fontId="2" type="noConversion"/>
  </si>
  <si>
    <t>总督薪水</t>
    <phoneticPr fontId="2" type="noConversion"/>
  </si>
  <si>
    <t>salary#int</t>
    <phoneticPr fontId="2" type="noConversion"/>
  </si>
  <si>
    <t>港口</t>
    <phoneticPr fontId="2" type="noConversion"/>
  </si>
  <si>
    <t>两轮马车</t>
  </si>
  <si>
    <t>优质工具</t>
  </si>
  <si>
    <t>四轮马车</t>
  </si>
  <si>
    <t>优质工具</t>
    <phoneticPr fontId="2" type="noConversion"/>
  </si>
  <si>
    <t>level#int</t>
    <phoneticPr fontId="2" type="noConversion"/>
  </si>
  <si>
    <t>龙魂石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</si>
</sst>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3D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35">
    <xf numFmtId="0" fontId="0" fillId="0" borderId="0">
      <alignment vertical="center"/>
    </xf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0" borderId="0"/>
    <xf numFmtId="0" fontId="5" fillId="0" borderId="0"/>
  </cellStyleXfs>
  <cellXfs count="14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/>
    <xf numFmtId="0" fontId="3" fillId="0" borderId="1" xfId="2" applyBorder="1"/>
    <xf numFmtId="0" fontId="3" fillId="3" borderId="1" xfId="2" applyFill="1" applyBorder="1"/>
    <xf numFmtId="0" fontId="3" fillId="0" borderId="1" xfId="3" applyBorder="1"/>
    <xf numFmtId="0" fontId="1" fillId="0" borderId="1" xfId="3" applyFont="1" applyBorder="1"/>
    <xf numFmtId="0" fontId="3" fillId="0" borderId="1" xfId="6" applyBorder="1"/>
    <xf numFmtId="0" fontId="3" fillId="0" borderId="1" xfId="8" applyBorder="1"/>
    <xf numFmtId="0" fontId="3" fillId="2" borderId="1" xfId="8" applyFill="1" applyBorder="1"/>
    <xf numFmtId="0" fontId="3" fillId="0" borderId="1" xfId="10" applyBorder="1"/>
    <xf numFmtId="0" fontId="3" fillId="0" borderId="1" xfId="12" applyBorder="1"/>
    <xf numFmtId="0" fontId="3" fillId="0" borderId="1" xfId="14" applyBorder="1"/>
    <xf numFmtId="0" fontId="3" fillId="0" borderId="1" xfId="16" applyBorder="1"/>
    <xf numFmtId="0" fontId="3" fillId="0" borderId="1" xfId="18" applyBorder="1"/>
    <xf numFmtId="0" fontId="3" fillId="0" borderId="1" xfId="32" applyBorder="1"/>
    <xf numFmtId="0" fontId="3" fillId="0" borderId="1" xfId="37" applyBorder="1"/>
    <xf numFmtId="0" fontId="3" fillId="0" borderId="1" xfId="38" applyBorder="1"/>
    <xf numFmtId="0" fontId="3" fillId="0" borderId="1" xfId="40" applyBorder="1"/>
    <xf numFmtId="0" fontId="3" fillId="0" borderId="1" xfId="42" applyBorder="1"/>
    <xf numFmtId="0" fontId="3" fillId="0" borderId="1" xfId="55" applyBorder="1"/>
    <xf numFmtId="0" fontId="3" fillId="0" borderId="1" xfId="56" applyBorder="1"/>
    <xf numFmtId="0" fontId="3" fillId="0" borderId="1" xfId="58" applyBorder="1"/>
    <xf numFmtId="0" fontId="3" fillId="0" borderId="1" xfId="60" applyBorder="1"/>
    <xf numFmtId="0" fontId="3" fillId="0" borderId="1" xfId="62" applyBorder="1"/>
    <xf numFmtId="0" fontId="3" fillId="0" borderId="1" xfId="74" applyBorder="1"/>
    <xf numFmtId="0" fontId="3" fillId="0" borderId="1" xfId="76" applyBorder="1"/>
    <xf numFmtId="0" fontId="3" fillId="0" borderId="1" xfId="78" applyBorder="1"/>
    <xf numFmtId="0" fontId="3" fillId="0" borderId="1" xfId="80" applyBorder="1"/>
    <xf numFmtId="0" fontId="3" fillId="0" borderId="1" xfId="82" applyBorder="1"/>
    <xf numFmtId="0" fontId="3" fillId="0" borderId="1" xfId="84" applyBorder="1"/>
    <xf numFmtId="0" fontId="3" fillId="0" borderId="1" xfId="86" applyBorder="1"/>
    <xf numFmtId="0" fontId="3" fillId="0" borderId="1" xfId="88" applyBorder="1"/>
    <xf numFmtId="0" fontId="3" fillId="0" borderId="1" xfId="90" applyBorder="1"/>
    <xf numFmtId="0" fontId="3" fillId="0" borderId="1" xfId="92" applyBorder="1"/>
    <xf numFmtId="0" fontId="3" fillId="0" borderId="1" xfId="94" applyBorder="1"/>
    <xf numFmtId="0" fontId="3" fillId="0" borderId="1" xfId="96" applyBorder="1"/>
    <xf numFmtId="0" fontId="3" fillId="0" borderId="1" xfId="98" applyBorder="1"/>
    <xf numFmtId="0" fontId="3" fillId="0" borderId="1" xfId="100" applyBorder="1"/>
    <xf numFmtId="0" fontId="3" fillId="0" borderId="1" xfId="102" applyBorder="1"/>
    <xf numFmtId="0" fontId="3" fillId="0" borderId="1" xfId="104" applyBorder="1"/>
    <xf numFmtId="0" fontId="3" fillId="0" borderId="1" xfId="106" applyBorder="1"/>
    <xf numFmtId="0" fontId="3" fillId="0" borderId="1" xfId="108" applyBorder="1"/>
    <xf numFmtId="0" fontId="3" fillId="0" borderId="1" xfId="110" applyBorder="1"/>
    <xf numFmtId="0" fontId="3" fillId="0" borderId="1" xfId="113" applyBorder="1"/>
    <xf numFmtId="0" fontId="3" fillId="0" borderId="1" xfId="114" applyBorder="1"/>
    <xf numFmtId="0" fontId="3" fillId="0" borderId="1" xfId="116" applyBorder="1"/>
    <xf numFmtId="0" fontId="3" fillId="0" borderId="1" xfId="118" applyBorder="1"/>
    <xf numFmtId="0" fontId="3" fillId="0" borderId="1" xfId="120" applyBorder="1"/>
    <xf numFmtId="0" fontId="3" fillId="0" borderId="1" xfId="122" applyBorder="1"/>
    <xf numFmtId="0" fontId="3" fillId="0" borderId="1" xfId="124" applyBorder="1"/>
    <xf numFmtId="0" fontId="3" fillId="0" borderId="1" xfId="126" applyBorder="1"/>
    <xf numFmtId="0" fontId="3" fillId="0" borderId="1" xfId="128" applyBorder="1"/>
    <xf numFmtId="0" fontId="3" fillId="0" borderId="1" xfId="130" applyBorder="1"/>
    <xf numFmtId="0" fontId="3" fillId="0" borderId="1" xfId="132" applyBorder="1"/>
    <xf numFmtId="0" fontId="3" fillId="0" borderId="1" xfId="134" applyBorder="1"/>
    <xf numFmtId="0" fontId="3" fillId="0" borderId="1" xfId="136" applyBorder="1"/>
    <xf numFmtId="0" fontId="3" fillId="0" borderId="1" xfId="138" applyBorder="1"/>
    <xf numFmtId="0" fontId="3" fillId="0" borderId="1" xfId="140" applyBorder="1"/>
    <xf numFmtId="0" fontId="3" fillId="0" borderId="1" xfId="142" applyBorder="1"/>
    <xf numFmtId="0" fontId="3" fillId="0" borderId="1" xfId="144" applyBorder="1"/>
    <xf numFmtId="0" fontId="3" fillId="0" borderId="1" xfId="146" applyBorder="1"/>
    <xf numFmtId="0" fontId="3" fillId="0" borderId="1" xfId="148" applyBorder="1"/>
    <xf numFmtId="0" fontId="3" fillId="0" borderId="1" xfId="150" applyBorder="1"/>
    <xf numFmtId="0" fontId="3" fillId="0" borderId="1" xfId="152" applyBorder="1"/>
    <xf numFmtId="0" fontId="3" fillId="0" borderId="1" xfId="154" applyBorder="1"/>
    <xf numFmtId="0" fontId="3" fillId="0" borderId="1" xfId="156" applyBorder="1"/>
    <xf numFmtId="0" fontId="3" fillId="0" borderId="1" xfId="158" applyBorder="1"/>
    <xf numFmtId="0" fontId="3" fillId="0" borderId="1" xfId="160" applyBorder="1"/>
    <xf numFmtId="0" fontId="3" fillId="0" borderId="1" xfId="162" applyBorder="1"/>
    <xf numFmtId="0" fontId="3" fillId="0" borderId="1" xfId="164" applyBorder="1"/>
    <xf numFmtId="0" fontId="3" fillId="0" borderId="1" xfId="166" applyBorder="1"/>
    <xf numFmtId="0" fontId="3" fillId="0" borderId="1" xfId="168" applyBorder="1"/>
    <xf numFmtId="0" fontId="3" fillId="0" borderId="1" xfId="170" applyBorder="1"/>
    <xf numFmtId="0" fontId="3" fillId="0" borderId="1" xfId="172" applyBorder="1"/>
    <xf numFmtId="0" fontId="3" fillId="0" borderId="1" xfId="174" applyBorder="1"/>
    <xf numFmtId="0" fontId="3" fillId="0" borderId="1" xfId="176" applyBorder="1"/>
    <xf numFmtId="0" fontId="3" fillId="0" borderId="1" xfId="178" applyBorder="1"/>
    <xf numFmtId="0" fontId="3" fillId="0" borderId="1" xfId="180" applyBorder="1"/>
    <xf numFmtId="0" fontId="3" fillId="0" borderId="1" xfId="182" applyBorder="1"/>
    <xf numFmtId="0" fontId="3" fillId="0" borderId="1" xfId="184" applyBorder="1"/>
    <xf numFmtId="0" fontId="3" fillId="0" borderId="1" xfId="186" applyBorder="1"/>
    <xf numFmtId="0" fontId="3" fillId="0" borderId="1" xfId="188" applyBorder="1"/>
    <xf numFmtId="0" fontId="3" fillId="0" borderId="1" xfId="190" applyBorder="1"/>
    <xf numFmtId="0" fontId="3" fillId="0" borderId="1" xfId="192" applyBorder="1"/>
    <xf numFmtId="0" fontId="3" fillId="0" borderId="1" xfId="194" applyBorder="1"/>
    <xf numFmtId="0" fontId="3" fillId="0" borderId="1" xfId="196" applyBorder="1"/>
    <xf numFmtId="0" fontId="3" fillId="0" borderId="1" xfId="198" applyBorder="1"/>
    <xf numFmtId="0" fontId="3" fillId="0" borderId="1" xfId="210" applyBorder="1"/>
    <xf numFmtId="0" fontId="3" fillId="0" borderId="1" xfId="212" applyBorder="1"/>
    <xf numFmtId="0" fontId="3" fillId="0" borderId="1" xfId="214" applyBorder="1"/>
    <xf numFmtId="0" fontId="3" fillId="0" borderId="1" xfId="216" applyBorder="1"/>
    <xf numFmtId="0" fontId="3" fillId="0" borderId="1" xfId="218" applyBorder="1"/>
    <xf numFmtId="0" fontId="3" fillId="0" borderId="1" xfId="220" applyBorder="1"/>
    <xf numFmtId="0" fontId="3" fillId="0" borderId="1" xfId="222" applyBorder="1"/>
    <xf numFmtId="0" fontId="3" fillId="0" borderId="1" xfId="224" applyBorder="1"/>
    <xf numFmtId="0" fontId="3" fillId="0" borderId="1" xfId="226" applyBorder="1"/>
    <xf numFmtId="0" fontId="3" fillId="0" borderId="1" xfId="228" applyBorder="1"/>
    <xf numFmtId="0" fontId="0" fillId="5" borderId="1" xfId="0" applyFill="1" applyBorder="1">
      <alignment vertical="center"/>
    </xf>
    <xf numFmtId="0" fontId="0" fillId="5" borderId="1" xfId="0" applyFill="1" applyBorder="1" applyAlignment="1"/>
    <xf numFmtId="0" fontId="0" fillId="5" borderId="0" xfId="0" applyFill="1">
      <alignment vertical="center"/>
    </xf>
    <xf numFmtId="0" fontId="3" fillId="5" borderId="1" xfId="74" applyFill="1" applyBorder="1"/>
    <xf numFmtId="0" fontId="3" fillId="5" borderId="1" xfId="76" applyFill="1" applyBorder="1"/>
    <xf numFmtId="0" fontId="3" fillId="5" borderId="1" xfId="78" applyFill="1" applyBorder="1"/>
    <xf numFmtId="0" fontId="3" fillId="5" borderId="1" xfId="80" applyFill="1" applyBorder="1"/>
    <xf numFmtId="0" fontId="3" fillId="5" borderId="1" xfId="82" applyFill="1" applyBorder="1"/>
    <xf numFmtId="0" fontId="3" fillId="5" borderId="1" xfId="102" applyFill="1" applyBorder="1"/>
    <xf numFmtId="0" fontId="3" fillId="5" borderId="1" xfId="104" applyFill="1" applyBorder="1"/>
    <xf numFmtId="0" fontId="3" fillId="5" borderId="1" xfId="106" applyFill="1" applyBorder="1"/>
    <xf numFmtId="0" fontId="3" fillId="5" borderId="1" xfId="108" applyFill="1" applyBorder="1"/>
    <xf numFmtId="0" fontId="3" fillId="5" borderId="1" xfId="110" applyFill="1" applyBorder="1"/>
    <xf numFmtId="0" fontId="3" fillId="5" borderId="1" xfId="55" applyFill="1" applyBorder="1"/>
    <xf numFmtId="0" fontId="3" fillId="5" borderId="1" xfId="56" applyFill="1" applyBorder="1"/>
    <xf numFmtId="0" fontId="3" fillId="5" borderId="1" xfId="58" applyFill="1" applyBorder="1"/>
    <xf numFmtId="0" fontId="3" fillId="5" borderId="1" xfId="60" applyFill="1" applyBorder="1"/>
    <xf numFmtId="0" fontId="3" fillId="5" borderId="1" xfId="62" applyFill="1" applyBorder="1"/>
    <xf numFmtId="0" fontId="3" fillId="5" borderId="1" xfId="160" applyFill="1" applyBorder="1"/>
    <xf numFmtId="0" fontId="3" fillId="5" borderId="1" xfId="162" applyFill="1" applyBorder="1"/>
    <xf numFmtId="0" fontId="3" fillId="5" borderId="1" xfId="164" applyFill="1" applyBorder="1"/>
    <xf numFmtId="0" fontId="3" fillId="5" borderId="1" xfId="166" applyFill="1" applyBorder="1"/>
    <xf numFmtId="0" fontId="3" fillId="5" borderId="1" xfId="168" applyFill="1" applyBorder="1"/>
    <xf numFmtId="0" fontId="3" fillId="5" borderId="1" xfId="140" applyFill="1" applyBorder="1"/>
    <xf numFmtId="0" fontId="3" fillId="5" borderId="1" xfId="142" applyFill="1" applyBorder="1"/>
    <xf numFmtId="0" fontId="3" fillId="5" borderId="1" xfId="144" applyFill="1" applyBorder="1"/>
    <xf numFmtId="0" fontId="3" fillId="5" borderId="1" xfId="148" applyFill="1" applyBorder="1"/>
    <xf numFmtId="0" fontId="3" fillId="5" borderId="1" xfId="146" applyFill="1" applyBorder="1"/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20" applyFont="1" applyBorder="1"/>
    <xf numFmtId="0" fontId="4" fillId="0" borderId="1" xfId="231" applyBorder="1"/>
    <xf numFmtId="0" fontId="1" fillId="0" borderId="1" xfId="231" applyFont="1" applyBorder="1"/>
    <xf numFmtId="0" fontId="1" fillId="0" borderId="1" xfId="10" applyFont="1" applyBorder="1"/>
    <xf numFmtId="0" fontId="1" fillId="4" borderId="1" xfId="0" applyFont="1" applyFill="1" applyBorder="1" applyAlignment="1"/>
    <xf numFmtId="0" fontId="0" fillId="6" borderId="1" xfId="0" applyFill="1" applyBorder="1">
      <alignment vertical="center"/>
    </xf>
    <xf numFmtId="0" fontId="1" fillId="6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1" fillId="0" borderId="1" xfId="0" applyFont="1" applyBorder="1" applyAlignment="1"/>
    <xf numFmtId="0" fontId="1" fillId="5" borderId="1" xfId="0" applyFont="1" applyFill="1" applyBorder="1" applyAlignment="1"/>
  </cellXfs>
  <cellStyles count="235">
    <cellStyle name="常规" xfId="0" builtinId="0"/>
    <cellStyle name="常规 10" xfId="14" xr:uid="{00000000-0005-0000-0000-000001000000}"/>
    <cellStyle name="常规 100" xfId="196" xr:uid="{00000000-0005-0000-0000-000002000000}"/>
    <cellStyle name="常规 101" xfId="198" xr:uid="{00000000-0005-0000-0000-000003000000}"/>
    <cellStyle name="常规 102" xfId="200" xr:uid="{00000000-0005-0000-0000-000004000000}"/>
    <cellStyle name="常规 103" xfId="202" xr:uid="{00000000-0005-0000-0000-000005000000}"/>
    <cellStyle name="常规 104" xfId="204" xr:uid="{00000000-0005-0000-0000-000006000000}"/>
    <cellStyle name="常规 105" xfId="206" xr:uid="{00000000-0005-0000-0000-000007000000}"/>
    <cellStyle name="常规 106" xfId="208" xr:uid="{00000000-0005-0000-0000-000008000000}"/>
    <cellStyle name="常规 107" xfId="210" xr:uid="{00000000-0005-0000-0000-000009000000}"/>
    <cellStyle name="常规 108" xfId="212" xr:uid="{00000000-0005-0000-0000-00000A000000}"/>
    <cellStyle name="常规 109" xfId="214" xr:uid="{00000000-0005-0000-0000-00000B000000}"/>
    <cellStyle name="常规 11" xfId="16" xr:uid="{00000000-0005-0000-0000-00000C000000}"/>
    <cellStyle name="常规 110" xfId="216" xr:uid="{00000000-0005-0000-0000-00000D000000}"/>
    <cellStyle name="常规 111" xfId="218" xr:uid="{00000000-0005-0000-0000-00000E000000}"/>
    <cellStyle name="常规 112" xfId="220" xr:uid="{00000000-0005-0000-0000-00000F000000}"/>
    <cellStyle name="常规 113" xfId="222" xr:uid="{00000000-0005-0000-0000-000010000000}"/>
    <cellStyle name="常规 114" xfId="224" xr:uid="{00000000-0005-0000-0000-000011000000}"/>
    <cellStyle name="常规 115" xfId="226" xr:uid="{00000000-0005-0000-0000-000012000000}"/>
    <cellStyle name="常规 116" xfId="228" xr:uid="{00000000-0005-0000-0000-000013000000}"/>
    <cellStyle name="常规 12" xfId="18" xr:uid="{00000000-0005-0000-0000-000014000000}"/>
    <cellStyle name="常规 13" xfId="20" xr:uid="{00000000-0005-0000-0000-000015000000}"/>
    <cellStyle name="常规 14" xfId="22" xr:uid="{00000000-0005-0000-0000-000016000000}"/>
    <cellStyle name="常规 15" xfId="27" xr:uid="{00000000-0005-0000-0000-000017000000}"/>
    <cellStyle name="常规 17" xfId="31" xr:uid="{00000000-0005-0000-0000-000018000000}"/>
    <cellStyle name="常规 18" xfId="30" xr:uid="{00000000-0005-0000-0000-000019000000}"/>
    <cellStyle name="常规 19" xfId="32" xr:uid="{00000000-0005-0000-0000-00001A000000}"/>
    <cellStyle name="常规 2" xfId="1" xr:uid="{00000000-0005-0000-0000-00001B000000}"/>
    <cellStyle name="常规 2 2" xfId="24" xr:uid="{00000000-0005-0000-0000-00001C000000}"/>
    <cellStyle name="常规 2 3" xfId="26" xr:uid="{00000000-0005-0000-0000-00001D000000}"/>
    <cellStyle name="常规 2 4" xfId="23" xr:uid="{00000000-0005-0000-0000-00001E000000}"/>
    <cellStyle name="常规 20" xfId="37" xr:uid="{00000000-0005-0000-0000-00001F000000}"/>
    <cellStyle name="常规 21" xfId="38" xr:uid="{00000000-0005-0000-0000-000020000000}"/>
    <cellStyle name="常规 22" xfId="40" xr:uid="{00000000-0005-0000-0000-000021000000}"/>
    <cellStyle name="常规 23" xfId="42" xr:uid="{00000000-0005-0000-0000-000022000000}"/>
    <cellStyle name="常规 24" xfId="44" xr:uid="{00000000-0005-0000-0000-000023000000}"/>
    <cellStyle name="常规 25" xfId="46" xr:uid="{00000000-0005-0000-0000-000024000000}"/>
    <cellStyle name="常规 26" xfId="48" xr:uid="{00000000-0005-0000-0000-000025000000}"/>
    <cellStyle name="常规 27" xfId="50" xr:uid="{00000000-0005-0000-0000-000026000000}"/>
    <cellStyle name="常规 28" xfId="52" xr:uid="{00000000-0005-0000-0000-000027000000}"/>
    <cellStyle name="常规 29" xfId="55" xr:uid="{00000000-0005-0000-0000-000028000000}"/>
    <cellStyle name="常规 3" xfId="2" xr:uid="{00000000-0005-0000-0000-000029000000}"/>
    <cellStyle name="常规 3 10" xfId="19" xr:uid="{00000000-0005-0000-0000-00002A000000}"/>
    <cellStyle name="常规 3 100" xfId="201" xr:uid="{00000000-0005-0000-0000-00002B000000}"/>
    <cellStyle name="常规 3 101" xfId="203" xr:uid="{00000000-0005-0000-0000-00002C000000}"/>
    <cellStyle name="常规 3 102" xfId="205" xr:uid="{00000000-0005-0000-0000-00002D000000}"/>
    <cellStyle name="常规 3 103" xfId="207" xr:uid="{00000000-0005-0000-0000-00002E000000}"/>
    <cellStyle name="常规 3 104" xfId="209" xr:uid="{00000000-0005-0000-0000-00002F000000}"/>
    <cellStyle name="常规 3 105" xfId="211" xr:uid="{00000000-0005-0000-0000-000030000000}"/>
    <cellStyle name="常规 3 106" xfId="213" xr:uid="{00000000-0005-0000-0000-000031000000}"/>
    <cellStyle name="常规 3 107" xfId="215" xr:uid="{00000000-0005-0000-0000-000032000000}"/>
    <cellStyle name="常规 3 108" xfId="217" xr:uid="{00000000-0005-0000-0000-000033000000}"/>
    <cellStyle name="常规 3 109" xfId="219" xr:uid="{00000000-0005-0000-0000-000034000000}"/>
    <cellStyle name="常规 3 11" xfId="21" xr:uid="{00000000-0005-0000-0000-000035000000}"/>
    <cellStyle name="常规 3 110" xfId="221" xr:uid="{00000000-0005-0000-0000-000036000000}"/>
    <cellStyle name="常规 3 111" xfId="223" xr:uid="{00000000-0005-0000-0000-000037000000}"/>
    <cellStyle name="常规 3 112" xfId="225" xr:uid="{00000000-0005-0000-0000-000038000000}"/>
    <cellStyle name="常规 3 113" xfId="227" xr:uid="{00000000-0005-0000-0000-000039000000}"/>
    <cellStyle name="常规 3 114" xfId="229" xr:uid="{00000000-0005-0000-0000-00003A000000}"/>
    <cellStyle name="常规 3 115" xfId="230" xr:uid="{00000000-0005-0000-0000-00003B000000}"/>
    <cellStyle name="常规 3 116" xfId="232" xr:uid="{00000000-0005-0000-0000-00003C000000}"/>
    <cellStyle name="常规 3 12" xfId="25" xr:uid="{00000000-0005-0000-0000-00003D000000}"/>
    <cellStyle name="常规 3 13" xfId="28" xr:uid="{00000000-0005-0000-0000-00003E000000}"/>
    <cellStyle name="常规 3 14" xfId="29" xr:uid="{00000000-0005-0000-0000-00003F000000}"/>
    <cellStyle name="常规 3 15" xfId="33" xr:uid="{00000000-0005-0000-0000-000040000000}"/>
    <cellStyle name="常规 3 16" xfId="34" xr:uid="{00000000-0005-0000-0000-000041000000}"/>
    <cellStyle name="常规 3 17" xfId="36" xr:uid="{00000000-0005-0000-0000-000042000000}"/>
    <cellStyle name="常规 3 18" xfId="35" xr:uid="{00000000-0005-0000-0000-000043000000}"/>
    <cellStyle name="常规 3 19" xfId="39" xr:uid="{00000000-0005-0000-0000-000044000000}"/>
    <cellStyle name="常规 3 2" xfId="4" xr:uid="{00000000-0005-0000-0000-000045000000}"/>
    <cellStyle name="常规 3 20" xfId="41" xr:uid="{00000000-0005-0000-0000-000046000000}"/>
    <cellStyle name="常规 3 21" xfId="43" xr:uid="{00000000-0005-0000-0000-000047000000}"/>
    <cellStyle name="常规 3 22" xfId="45" xr:uid="{00000000-0005-0000-0000-000048000000}"/>
    <cellStyle name="常规 3 23" xfId="47" xr:uid="{00000000-0005-0000-0000-000049000000}"/>
    <cellStyle name="常规 3 24" xfId="49" xr:uid="{00000000-0005-0000-0000-00004A000000}"/>
    <cellStyle name="常规 3 25" xfId="51" xr:uid="{00000000-0005-0000-0000-00004B000000}"/>
    <cellStyle name="常规 3 26" xfId="53" xr:uid="{00000000-0005-0000-0000-00004C000000}"/>
    <cellStyle name="常规 3 27" xfId="54" xr:uid="{00000000-0005-0000-0000-00004D000000}"/>
    <cellStyle name="常规 3 28" xfId="57" xr:uid="{00000000-0005-0000-0000-00004E000000}"/>
    <cellStyle name="常规 3 29" xfId="59" xr:uid="{00000000-0005-0000-0000-00004F000000}"/>
    <cellStyle name="常规 3 3" xfId="5" xr:uid="{00000000-0005-0000-0000-000050000000}"/>
    <cellStyle name="常规 3 30" xfId="61" xr:uid="{00000000-0005-0000-0000-000051000000}"/>
    <cellStyle name="常规 3 31" xfId="63" xr:uid="{00000000-0005-0000-0000-000052000000}"/>
    <cellStyle name="常规 3 32" xfId="65" xr:uid="{00000000-0005-0000-0000-000053000000}"/>
    <cellStyle name="常规 3 33" xfId="67" xr:uid="{00000000-0005-0000-0000-000054000000}"/>
    <cellStyle name="常规 3 34" xfId="69" xr:uid="{00000000-0005-0000-0000-000055000000}"/>
    <cellStyle name="常规 3 35" xfId="71" xr:uid="{00000000-0005-0000-0000-000056000000}"/>
    <cellStyle name="常规 3 36" xfId="73" xr:uid="{00000000-0005-0000-0000-000057000000}"/>
    <cellStyle name="常规 3 37" xfId="75" xr:uid="{00000000-0005-0000-0000-000058000000}"/>
    <cellStyle name="常规 3 38" xfId="77" xr:uid="{00000000-0005-0000-0000-000059000000}"/>
    <cellStyle name="常规 3 39" xfId="79" xr:uid="{00000000-0005-0000-0000-00005A000000}"/>
    <cellStyle name="常规 3 4" xfId="7" xr:uid="{00000000-0005-0000-0000-00005B000000}"/>
    <cellStyle name="常规 3 40" xfId="81" xr:uid="{00000000-0005-0000-0000-00005C000000}"/>
    <cellStyle name="常规 3 41" xfId="83" xr:uid="{00000000-0005-0000-0000-00005D000000}"/>
    <cellStyle name="常规 3 42" xfId="85" xr:uid="{00000000-0005-0000-0000-00005E000000}"/>
    <cellStyle name="常规 3 43" xfId="87" xr:uid="{00000000-0005-0000-0000-00005F000000}"/>
    <cellStyle name="常规 3 44" xfId="89" xr:uid="{00000000-0005-0000-0000-000060000000}"/>
    <cellStyle name="常规 3 45" xfId="91" xr:uid="{00000000-0005-0000-0000-000061000000}"/>
    <cellStyle name="常规 3 46" xfId="93" xr:uid="{00000000-0005-0000-0000-000062000000}"/>
    <cellStyle name="常规 3 47" xfId="95" xr:uid="{00000000-0005-0000-0000-000063000000}"/>
    <cellStyle name="常规 3 48" xfId="97" xr:uid="{00000000-0005-0000-0000-000064000000}"/>
    <cellStyle name="常规 3 49" xfId="99" xr:uid="{00000000-0005-0000-0000-000065000000}"/>
    <cellStyle name="常规 3 5" xfId="9" xr:uid="{00000000-0005-0000-0000-000066000000}"/>
    <cellStyle name="常规 3 50" xfId="101" xr:uid="{00000000-0005-0000-0000-000067000000}"/>
    <cellStyle name="常规 3 51" xfId="103" xr:uid="{00000000-0005-0000-0000-000068000000}"/>
    <cellStyle name="常规 3 52" xfId="105" xr:uid="{00000000-0005-0000-0000-000069000000}"/>
    <cellStyle name="常规 3 53" xfId="107" xr:uid="{00000000-0005-0000-0000-00006A000000}"/>
    <cellStyle name="常规 3 54" xfId="109" xr:uid="{00000000-0005-0000-0000-00006B000000}"/>
    <cellStyle name="常规 3 55" xfId="111" xr:uid="{00000000-0005-0000-0000-00006C000000}"/>
    <cellStyle name="常规 3 56" xfId="112" xr:uid="{00000000-0005-0000-0000-00006D000000}"/>
    <cellStyle name="常规 3 57" xfId="115" xr:uid="{00000000-0005-0000-0000-00006E000000}"/>
    <cellStyle name="常规 3 58" xfId="117" xr:uid="{00000000-0005-0000-0000-00006F000000}"/>
    <cellStyle name="常规 3 59" xfId="119" xr:uid="{00000000-0005-0000-0000-000070000000}"/>
    <cellStyle name="常规 3 6" xfId="11" xr:uid="{00000000-0005-0000-0000-000071000000}"/>
    <cellStyle name="常规 3 60" xfId="121" xr:uid="{00000000-0005-0000-0000-000072000000}"/>
    <cellStyle name="常规 3 61" xfId="123" xr:uid="{00000000-0005-0000-0000-000073000000}"/>
    <cellStyle name="常规 3 62" xfId="125" xr:uid="{00000000-0005-0000-0000-000074000000}"/>
    <cellStyle name="常规 3 63" xfId="127" xr:uid="{00000000-0005-0000-0000-000075000000}"/>
    <cellStyle name="常规 3 64" xfId="129" xr:uid="{00000000-0005-0000-0000-000076000000}"/>
    <cellStyle name="常规 3 65" xfId="131" xr:uid="{00000000-0005-0000-0000-000077000000}"/>
    <cellStyle name="常规 3 66" xfId="133" xr:uid="{00000000-0005-0000-0000-000078000000}"/>
    <cellStyle name="常规 3 67" xfId="135" xr:uid="{00000000-0005-0000-0000-000079000000}"/>
    <cellStyle name="常规 3 68" xfId="137" xr:uid="{00000000-0005-0000-0000-00007A000000}"/>
    <cellStyle name="常规 3 69" xfId="139" xr:uid="{00000000-0005-0000-0000-00007B000000}"/>
    <cellStyle name="常规 3 7" xfId="13" xr:uid="{00000000-0005-0000-0000-00007C000000}"/>
    <cellStyle name="常规 3 70" xfId="141" xr:uid="{00000000-0005-0000-0000-00007D000000}"/>
    <cellStyle name="常规 3 71" xfId="143" xr:uid="{00000000-0005-0000-0000-00007E000000}"/>
    <cellStyle name="常规 3 72" xfId="145" xr:uid="{00000000-0005-0000-0000-00007F000000}"/>
    <cellStyle name="常规 3 73" xfId="147" xr:uid="{00000000-0005-0000-0000-000080000000}"/>
    <cellStyle name="常规 3 74" xfId="149" xr:uid="{00000000-0005-0000-0000-000081000000}"/>
    <cellStyle name="常规 3 75" xfId="151" xr:uid="{00000000-0005-0000-0000-000082000000}"/>
    <cellStyle name="常规 3 76" xfId="153" xr:uid="{00000000-0005-0000-0000-000083000000}"/>
    <cellStyle name="常规 3 77" xfId="155" xr:uid="{00000000-0005-0000-0000-000084000000}"/>
    <cellStyle name="常规 3 78" xfId="157" xr:uid="{00000000-0005-0000-0000-000085000000}"/>
    <cellStyle name="常规 3 79" xfId="159" xr:uid="{00000000-0005-0000-0000-000086000000}"/>
    <cellStyle name="常规 3 8" xfId="15" xr:uid="{00000000-0005-0000-0000-000087000000}"/>
    <cellStyle name="常规 3 80" xfId="161" xr:uid="{00000000-0005-0000-0000-000088000000}"/>
    <cellStyle name="常规 3 81" xfId="163" xr:uid="{00000000-0005-0000-0000-000089000000}"/>
    <cellStyle name="常规 3 82" xfId="165" xr:uid="{00000000-0005-0000-0000-00008A000000}"/>
    <cellStyle name="常规 3 83" xfId="167" xr:uid="{00000000-0005-0000-0000-00008B000000}"/>
    <cellStyle name="常规 3 84" xfId="169" xr:uid="{00000000-0005-0000-0000-00008C000000}"/>
    <cellStyle name="常规 3 85" xfId="171" xr:uid="{00000000-0005-0000-0000-00008D000000}"/>
    <cellStyle name="常规 3 86" xfId="173" xr:uid="{00000000-0005-0000-0000-00008E000000}"/>
    <cellStyle name="常规 3 87" xfId="175" xr:uid="{00000000-0005-0000-0000-00008F000000}"/>
    <cellStyle name="常规 3 88" xfId="177" xr:uid="{00000000-0005-0000-0000-000090000000}"/>
    <cellStyle name="常规 3 89" xfId="179" xr:uid="{00000000-0005-0000-0000-000091000000}"/>
    <cellStyle name="常规 3 9" xfId="17" xr:uid="{00000000-0005-0000-0000-000092000000}"/>
    <cellStyle name="常规 3 90" xfId="181" xr:uid="{00000000-0005-0000-0000-000093000000}"/>
    <cellStyle name="常规 3 91" xfId="183" xr:uid="{00000000-0005-0000-0000-000094000000}"/>
    <cellStyle name="常规 3 92" xfId="185" xr:uid="{00000000-0005-0000-0000-000095000000}"/>
    <cellStyle name="常规 3 93" xfId="187" xr:uid="{00000000-0005-0000-0000-000096000000}"/>
    <cellStyle name="常规 3 94" xfId="189" xr:uid="{00000000-0005-0000-0000-000097000000}"/>
    <cellStyle name="常规 3 95" xfId="191" xr:uid="{00000000-0005-0000-0000-000098000000}"/>
    <cellStyle name="常规 3 96" xfId="193" xr:uid="{00000000-0005-0000-0000-000099000000}"/>
    <cellStyle name="常规 3 97" xfId="195" xr:uid="{00000000-0005-0000-0000-00009A000000}"/>
    <cellStyle name="常规 3 98" xfId="197" xr:uid="{00000000-0005-0000-0000-00009B000000}"/>
    <cellStyle name="常规 3 99" xfId="199" xr:uid="{00000000-0005-0000-0000-00009C000000}"/>
    <cellStyle name="常规 30" xfId="56" xr:uid="{00000000-0005-0000-0000-00009D000000}"/>
    <cellStyle name="常规 31" xfId="58" xr:uid="{00000000-0005-0000-0000-00009E000000}"/>
    <cellStyle name="常规 32" xfId="60" xr:uid="{00000000-0005-0000-0000-00009F000000}"/>
    <cellStyle name="常规 33" xfId="62" xr:uid="{00000000-0005-0000-0000-0000A0000000}"/>
    <cellStyle name="常规 34" xfId="64" xr:uid="{00000000-0005-0000-0000-0000A1000000}"/>
    <cellStyle name="常规 35" xfId="66" xr:uid="{00000000-0005-0000-0000-0000A2000000}"/>
    <cellStyle name="常规 36" xfId="68" xr:uid="{00000000-0005-0000-0000-0000A3000000}"/>
    <cellStyle name="常规 37" xfId="70" xr:uid="{00000000-0005-0000-0000-0000A4000000}"/>
    <cellStyle name="常规 38" xfId="72" xr:uid="{00000000-0005-0000-0000-0000A5000000}"/>
    <cellStyle name="常规 39" xfId="74" xr:uid="{00000000-0005-0000-0000-0000A6000000}"/>
    <cellStyle name="常规 4" xfId="3" xr:uid="{00000000-0005-0000-0000-0000A7000000}"/>
    <cellStyle name="常规 4 2" xfId="233" xr:uid="{00000000-0005-0000-0000-0000A8000000}"/>
    <cellStyle name="常规 40" xfId="76" xr:uid="{00000000-0005-0000-0000-0000A9000000}"/>
    <cellStyle name="常规 41" xfId="78" xr:uid="{00000000-0005-0000-0000-0000AA000000}"/>
    <cellStyle name="常规 42" xfId="80" xr:uid="{00000000-0005-0000-0000-0000AB000000}"/>
    <cellStyle name="常规 43" xfId="82" xr:uid="{00000000-0005-0000-0000-0000AC000000}"/>
    <cellStyle name="常规 44" xfId="84" xr:uid="{00000000-0005-0000-0000-0000AD000000}"/>
    <cellStyle name="常规 45" xfId="86" xr:uid="{00000000-0005-0000-0000-0000AE000000}"/>
    <cellStyle name="常规 46" xfId="88" xr:uid="{00000000-0005-0000-0000-0000AF000000}"/>
    <cellStyle name="常规 47" xfId="90" xr:uid="{00000000-0005-0000-0000-0000B0000000}"/>
    <cellStyle name="常规 48" xfId="92" xr:uid="{00000000-0005-0000-0000-0000B1000000}"/>
    <cellStyle name="常规 49" xfId="94" xr:uid="{00000000-0005-0000-0000-0000B2000000}"/>
    <cellStyle name="常规 5" xfId="231" xr:uid="{00000000-0005-0000-0000-0000B3000000}"/>
    <cellStyle name="常规 50" xfId="96" xr:uid="{00000000-0005-0000-0000-0000B4000000}"/>
    <cellStyle name="常规 51" xfId="98" xr:uid="{00000000-0005-0000-0000-0000B5000000}"/>
    <cellStyle name="常规 52" xfId="100" xr:uid="{00000000-0005-0000-0000-0000B6000000}"/>
    <cellStyle name="常规 53" xfId="102" xr:uid="{00000000-0005-0000-0000-0000B7000000}"/>
    <cellStyle name="常规 54" xfId="104" xr:uid="{00000000-0005-0000-0000-0000B8000000}"/>
    <cellStyle name="常规 55" xfId="106" xr:uid="{00000000-0005-0000-0000-0000B9000000}"/>
    <cellStyle name="常规 56" xfId="108" xr:uid="{00000000-0005-0000-0000-0000BA000000}"/>
    <cellStyle name="常规 57" xfId="110" xr:uid="{00000000-0005-0000-0000-0000BB000000}"/>
    <cellStyle name="常规 58" xfId="113" xr:uid="{00000000-0005-0000-0000-0000BC000000}"/>
    <cellStyle name="常规 59" xfId="114" xr:uid="{00000000-0005-0000-0000-0000BD000000}"/>
    <cellStyle name="常规 6" xfId="6" xr:uid="{00000000-0005-0000-0000-0000BE000000}"/>
    <cellStyle name="常规 6 2" xfId="234" xr:uid="{00000000-0005-0000-0000-0000BF000000}"/>
    <cellStyle name="常规 60" xfId="116" xr:uid="{00000000-0005-0000-0000-0000C0000000}"/>
    <cellStyle name="常规 61" xfId="118" xr:uid="{00000000-0005-0000-0000-0000C1000000}"/>
    <cellStyle name="常规 62" xfId="120" xr:uid="{00000000-0005-0000-0000-0000C2000000}"/>
    <cellStyle name="常规 63" xfId="122" xr:uid="{00000000-0005-0000-0000-0000C3000000}"/>
    <cellStyle name="常规 64" xfId="124" xr:uid="{00000000-0005-0000-0000-0000C4000000}"/>
    <cellStyle name="常规 65" xfId="126" xr:uid="{00000000-0005-0000-0000-0000C5000000}"/>
    <cellStyle name="常规 66" xfId="128" xr:uid="{00000000-0005-0000-0000-0000C6000000}"/>
    <cellStyle name="常规 67" xfId="130" xr:uid="{00000000-0005-0000-0000-0000C7000000}"/>
    <cellStyle name="常规 68" xfId="132" xr:uid="{00000000-0005-0000-0000-0000C8000000}"/>
    <cellStyle name="常规 69" xfId="134" xr:uid="{00000000-0005-0000-0000-0000C9000000}"/>
    <cellStyle name="常规 7" xfId="8" xr:uid="{00000000-0005-0000-0000-0000CA000000}"/>
    <cellStyle name="常规 70" xfId="136" xr:uid="{00000000-0005-0000-0000-0000CB000000}"/>
    <cellStyle name="常规 71" xfId="138" xr:uid="{00000000-0005-0000-0000-0000CC000000}"/>
    <cellStyle name="常规 72" xfId="140" xr:uid="{00000000-0005-0000-0000-0000CD000000}"/>
    <cellStyle name="常规 73" xfId="142" xr:uid="{00000000-0005-0000-0000-0000CE000000}"/>
    <cellStyle name="常规 74" xfId="144" xr:uid="{00000000-0005-0000-0000-0000CF000000}"/>
    <cellStyle name="常规 75" xfId="146" xr:uid="{00000000-0005-0000-0000-0000D0000000}"/>
    <cellStyle name="常规 76" xfId="148" xr:uid="{00000000-0005-0000-0000-0000D1000000}"/>
    <cellStyle name="常规 77" xfId="150" xr:uid="{00000000-0005-0000-0000-0000D2000000}"/>
    <cellStyle name="常规 78" xfId="152" xr:uid="{00000000-0005-0000-0000-0000D3000000}"/>
    <cellStyle name="常规 79" xfId="154" xr:uid="{00000000-0005-0000-0000-0000D4000000}"/>
    <cellStyle name="常规 8" xfId="10" xr:uid="{00000000-0005-0000-0000-0000D5000000}"/>
    <cellStyle name="常规 80" xfId="156" xr:uid="{00000000-0005-0000-0000-0000D6000000}"/>
    <cellStyle name="常规 81" xfId="158" xr:uid="{00000000-0005-0000-0000-0000D7000000}"/>
    <cellStyle name="常规 82" xfId="160" xr:uid="{00000000-0005-0000-0000-0000D8000000}"/>
    <cellStyle name="常规 83" xfId="162" xr:uid="{00000000-0005-0000-0000-0000D9000000}"/>
    <cellStyle name="常规 84" xfId="164" xr:uid="{00000000-0005-0000-0000-0000DA000000}"/>
    <cellStyle name="常规 85" xfId="166" xr:uid="{00000000-0005-0000-0000-0000DB000000}"/>
    <cellStyle name="常规 86" xfId="168" xr:uid="{00000000-0005-0000-0000-0000DC000000}"/>
    <cellStyle name="常规 87" xfId="170" xr:uid="{00000000-0005-0000-0000-0000DD000000}"/>
    <cellStyle name="常规 88" xfId="172" xr:uid="{00000000-0005-0000-0000-0000DE000000}"/>
    <cellStyle name="常规 89" xfId="174" xr:uid="{00000000-0005-0000-0000-0000DF000000}"/>
    <cellStyle name="常规 9" xfId="12" xr:uid="{00000000-0005-0000-0000-0000E0000000}"/>
    <cellStyle name="常规 90" xfId="176" xr:uid="{00000000-0005-0000-0000-0000E1000000}"/>
    <cellStyle name="常规 91" xfId="178" xr:uid="{00000000-0005-0000-0000-0000E2000000}"/>
    <cellStyle name="常规 92" xfId="180" xr:uid="{00000000-0005-0000-0000-0000E3000000}"/>
    <cellStyle name="常规 93" xfId="182" xr:uid="{00000000-0005-0000-0000-0000E4000000}"/>
    <cellStyle name="常规 94" xfId="184" xr:uid="{00000000-0005-0000-0000-0000E5000000}"/>
    <cellStyle name="常规 95" xfId="186" xr:uid="{00000000-0005-0000-0000-0000E6000000}"/>
    <cellStyle name="常规 96" xfId="188" xr:uid="{00000000-0005-0000-0000-0000E7000000}"/>
    <cellStyle name="常规 97" xfId="190" xr:uid="{00000000-0005-0000-0000-0000E8000000}"/>
    <cellStyle name="常规 98" xfId="192" xr:uid="{00000000-0005-0000-0000-0000E9000000}"/>
    <cellStyle name="常规 99" xfId="194" xr:uid="{00000000-0005-0000-0000-0000EA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Territory\&#25968;&#20540;&#34920;\1&#29289;&#21697;&#34920;.xlsx" TargetMode="External"/><Relationship Id="rId1" Type="http://schemas.openxmlformats.org/officeDocument/2006/relationships/externalLinkPath" Target="1&#29289;&#21697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ff"/>
      <sheetName val="stuff2"/>
    </sheetNames>
    <sheetDataSet>
      <sheetData sheetId="0">
        <row r="1">
          <cell r="A1" t="str">
            <v>物品ID</v>
          </cell>
          <cell r="B1" t="str">
            <v xml:space="preserve"> </v>
          </cell>
          <cell r="C1" t="str">
            <v>价格</v>
          </cell>
        </row>
        <row r="2">
          <cell r="A2" t="str">
            <v>stuff_id#int</v>
          </cell>
          <cell r="B2" t="str">
            <v>!stuff_name#str</v>
          </cell>
          <cell r="C2" t="str">
            <v>price#int</v>
          </cell>
        </row>
        <row r="3">
          <cell r="A3">
            <v>100001</v>
          </cell>
          <cell r="B3" t="str">
            <v>初始马车</v>
          </cell>
          <cell r="C3">
            <v>0</v>
          </cell>
        </row>
        <row r="4">
          <cell r="A4">
            <v>100002</v>
          </cell>
          <cell r="B4" t="str">
            <v>帝国村庄</v>
          </cell>
          <cell r="C4">
            <v>0</v>
          </cell>
        </row>
        <row r="5">
          <cell r="A5">
            <v>101001</v>
          </cell>
          <cell r="B5" t="str">
            <v>小床</v>
          </cell>
          <cell r="C5">
            <v>0</v>
          </cell>
        </row>
        <row r="6">
          <cell r="A6">
            <v>101002</v>
          </cell>
          <cell r="B6" t="str">
            <v>大床</v>
          </cell>
          <cell r="C6">
            <v>0</v>
          </cell>
        </row>
        <row r="7">
          <cell r="A7">
            <v>101003</v>
          </cell>
          <cell r="B7" t="str">
            <v>精致大床</v>
          </cell>
          <cell r="C7">
            <v>0</v>
          </cell>
        </row>
        <row r="8">
          <cell r="A8">
            <v>101004</v>
          </cell>
          <cell r="B8" t="str">
            <v>洞穴</v>
          </cell>
          <cell r="C8">
            <v>0</v>
          </cell>
        </row>
        <row r="9">
          <cell r="A9">
            <v>101005</v>
          </cell>
          <cell r="B9" t="str">
            <v>双层床</v>
          </cell>
          <cell r="C9">
            <v>0</v>
          </cell>
        </row>
        <row r="10">
          <cell r="A10">
            <v>101006</v>
          </cell>
          <cell r="B10" t="str">
            <v>精致小床</v>
          </cell>
          <cell r="C10">
            <v>0</v>
          </cell>
        </row>
        <row r="11">
          <cell r="A11">
            <v>102001</v>
          </cell>
          <cell r="B11" t="str">
            <v>土路</v>
          </cell>
          <cell r="C11">
            <v>0</v>
          </cell>
        </row>
        <row r="12">
          <cell r="A12">
            <v>102002</v>
          </cell>
          <cell r="B12" t="str">
            <v>石板路</v>
          </cell>
          <cell r="C12">
            <v>0</v>
          </cell>
        </row>
        <row r="13">
          <cell r="A13">
            <v>102003</v>
          </cell>
          <cell r="B13" t="str">
            <v>木桥</v>
          </cell>
          <cell r="C13">
            <v>0</v>
          </cell>
        </row>
        <row r="14">
          <cell r="A14">
            <v>102004</v>
          </cell>
          <cell r="B14" t="str">
            <v>山路</v>
          </cell>
          <cell r="C14">
            <v>0</v>
          </cell>
        </row>
        <row r="15">
          <cell r="A15">
            <v>102005</v>
          </cell>
          <cell r="B15" t="str">
            <v>木墙</v>
          </cell>
          <cell r="C15">
            <v>0</v>
          </cell>
        </row>
        <row r="16">
          <cell r="A16">
            <v>102006</v>
          </cell>
          <cell r="B16" t="str">
            <v>石墙</v>
          </cell>
          <cell r="C16">
            <v>0</v>
          </cell>
        </row>
        <row r="17">
          <cell r="A17">
            <v>102007</v>
          </cell>
          <cell r="B17" t="str">
            <v>门</v>
          </cell>
          <cell r="C17">
            <v>0</v>
          </cell>
        </row>
        <row r="18">
          <cell r="A18">
            <v>102008</v>
          </cell>
          <cell r="B18" t="str">
            <v>城墙</v>
          </cell>
          <cell r="C18">
            <v>0</v>
          </cell>
        </row>
        <row r="19">
          <cell r="A19">
            <v>102009</v>
          </cell>
          <cell r="B19" t="str">
            <v>城门</v>
          </cell>
          <cell r="C19">
            <v>0</v>
          </cell>
        </row>
        <row r="20">
          <cell r="A20">
            <v>102010</v>
          </cell>
          <cell r="B20" t="str">
            <v>传送门</v>
          </cell>
          <cell r="C20">
            <v>0</v>
          </cell>
        </row>
        <row r="21">
          <cell r="A21">
            <v>102011</v>
          </cell>
          <cell r="B21" t="str">
            <v>铁墙</v>
          </cell>
          <cell r="C21">
            <v>0</v>
          </cell>
        </row>
        <row r="22">
          <cell r="A22">
            <v>102012</v>
          </cell>
          <cell r="B22" t="str">
            <v>铁门</v>
          </cell>
          <cell r="C22">
            <v>0</v>
          </cell>
        </row>
        <row r="23">
          <cell r="A23">
            <v>103001</v>
          </cell>
          <cell r="B23" t="str">
            <v>大箱子</v>
          </cell>
          <cell r="C23">
            <v>0</v>
          </cell>
        </row>
        <row r="24">
          <cell r="A24">
            <v>103002</v>
          </cell>
          <cell r="B24" t="str">
            <v>料堆</v>
          </cell>
          <cell r="C24">
            <v>0</v>
          </cell>
        </row>
        <row r="25">
          <cell r="A25">
            <v>103003</v>
          </cell>
          <cell r="B25" t="str">
            <v>货架</v>
          </cell>
          <cell r="C25">
            <v>0</v>
          </cell>
        </row>
        <row r="26">
          <cell r="A26">
            <v>103004</v>
          </cell>
          <cell r="B26" t="str">
            <v>交易台</v>
          </cell>
          <cell r="C26">
            <v>0</v>
          </cell>
        </row>
        <row r="27">
          <cell r="A27">
            <v>103005</v>
          </cell>
          <cell r="B27" t="str">
            <v>边贸口岸</v>
          </cell>
          <cell r="C27">
            <v>0</v>
          </cell>
        </row>
        <row r="28">
          <cell r="A28">
            <v>103006</v>
          </cell>
          <cell r="B28" t="str">
            <v>路标</v>
          </cell>
          <cell r="C28">
            <v>0</v>
          </cell>
        </row>
        <row r="29">
          <cell r="A29">
            <v>103007</v>
          </cell>
          <cell r="B29" t="str">
            <v>冰窖</v>
          </cell>
          <cell r="C29">
            <v>0</v>
          </cell>
        </row>
        <row r="30">
          <cell r="A30">
            <v>103008</v>
          </cell>
          <cell r="B30" t="str">
            <v>周转箱</v>
          </cell>
          <cell r="C30">
            <v>0</v>
          </cell>
        </row>
        <row r="31">
          <cell r="A31">
            <v>103009</v>
          </cell>
          <cell r="B31" t="str">
            <v>冰窖</v>
          </cell>
          <cell r="C31">
            <v>0</v>
          </cell>
        </row>
        <row r="32">
          <cell r="A32">
            <v>103012</v>
          </cell>
          <cell r="B32" t="str">
            <v>马车站</v>
          </cell>
          <cell r="C32">
            <v>0</v>
          </cell>
        </row>
        <row r="33">
          <cell r="A33">
            <v>103013</v>
          </cell>
          <cell r="B33" t="str">
            <v>喂食器</v>
          </cell>
          <cell r="C33">
            <v>0</v>
          </cell>
        </row>
        <row r="34">
          <cell r="A34">
            <v>104001</v>
          </cell>
          <cell r="B34" t="str">
            <v>水井</v>
          </cell>
          <cell r="C34">
            <v>0</v>
          </cell>
        </row>
        <row r="35">
          <cell r="A35">
            <v>104002</v>
          </cell>
          <cell r="B35" t="str">
            <v>讲台</v>
          </cell>
          <cell r="C35">
            <v>0</v>
          </cell>
        </row>
        <row r="36">
          <cell r="A36">
            <v>104004</v>
          </cell>
          <cell r="B36" t="str">
            <v>布道台</v>
          </cell>
          <cell r="C36">
            <v>0</v>
          </cell>
        </row>
        <row r="37">
          <cell r="A37">
            <v>104005</v>
          </cell>
          <cell r="B37" t="str">
            <v>墓地</v>
          </cell>
          <cell r="C37">
            <v>0</v>
          </cell>
        </row>
        <row r="38">
          <cell r="A38">
            <v>104007</v>
          </cell>
          <cell r="B38" t="str">
            <v>诊断台</v>
          </cell>
          <cell r="C38">
            <v>0</v>
          </cell>
        </row>
        <row r="39">
          <cell r="A39">
            <v>104008</v>
          </cell>
          <cell r="B39" t="str">
            <v>医疗床</v>
          </cell>
          <cell r="C39">
            <v>0</v>
          </cell>
        </row>
        <row r="40">
          <cell r="A40">
            <v>104011</v>
          </cell>
          <cell r="B40" t="str">
            <v>篝火堆</v>
          </cell>
          <cell r="C40">
            <v>0</v>
          </cell>
        </row>
        <row r="41">
          <cell r="A41">
            <v>104012</v>
          </cell>
          <cell r="B41" t="str">
            <v>火把</v>
          </cell>
          <cell r="C41">
            <v>0</v>
          </cell>
        </row>
        <row r="42">
          <cell r="A42">
            <v>104013</v>
          </cell>
          <cell r="B42" t="str">
            <v>火盆</v>
          </cell>
          <cell r="C42">
            <v>0</v>
          </cell>
        </row>
        <row r="43">
          <cell r="A43">
            <v>104014</v>
          </cell>
          <cell r="B43" t="str">
            <v>壁炉</v>
          </cell>
          <cell r="C43">
            <v>0</v>
          </cell>
        </row>
        <row r="44">
          <cell r="A44">
            <v>104015</v>
          </cell>
          <cell r="B44" t="str">
            <v>椅子</v>
          </cell>
          <cell r="C44">
            <v>0</v>
          </cell>
        </row>
        <row r="45">
          <cell r="A45">
            <v>104016</v>
          </cell>
          <cell r="B45" t="str">
            <v>餐桌</v>
          </cell>
          <cell r="C45">
            <v>0</v>
          </cell>
        </row>
        <row r="46">
          <cell r="A46">
            <v>104017</v>
          </cell>
          <cell r="B46" t="str">
            <v>研究台</v>
          </cell>
          <cell r="C46">
            <v>0</v>
          </cell>
        </row>
        <row r="47">
          <cell r="A47">
            <v>104018</v>
          </cell>
          <cell r="B47" t="str">
            <v>小花盆</v>
          </cell>
          <cell r="C47">
            <v>0</v>
          </cell>
        </row>
        <row r="48">
          <cell r="A48">
            <v>104019</v>
          </cell>
          <cell r="B48" t="str">
            <v>接待台</v>
          </cell>
          <cell r="C48">
            <v>0</v>
          </cell>
        </row>
        <row r="49">
          <cell r="A49">
            <v>104020</v>
          </cell>
          <cell r="B49" t="str">
            <v>宴会桌</v>
          </cell>
          <cell r="C49">
            <v>0</v>
          </cell>
        </row>
        <row r="50">
          <cell r="A50">
            <v>104021</v>
          </cell>
          <cell r="B50" t="str">
            <v>厕所</v>
          </cell>
          <cell r="C50">
            <v>0</v>
          </cell>
        </row>
        <row r="51">
          <cell r="A51">
            <v>104022</v>
          </cell>
          <cell r="B51" t="str">
            <v>英雄纪念碑</v>
          </cell>
          <cell r="C51">
            <v>0</v>
          </cell>
        </row>
        <row r="52">
          <cell r="A52">
            <v>104023</v>
          </cell>
          <cell r="B52" t="str">
            <v>扑克桌</v>
          </cell>
          <cell r="C52">
            <v>0</v>
          </cell>
        </row>
        <row r="53">
          <cell r="A53">
            <v>104024</v>
          </cell>
          <cell r="B53" t="str">
            <v>高级扑克桌</v>
          </cell>
          <cell r="C53">
            <v>0</v>
          </cell>
        </row>
        <row r="54">
          <cell r="A54">
            <v>104025</v>
          </cell>
          <cell r="B54" t="str">
            <v>豪华扑克桌</v>
          </cell>
          <cell r="C54">
            <v>0</v>
          </cell>
        </row>
        <row r="55">
          <cell r="A55">
            <v>104026</v>
          </cell>
          <cell r="B55" t="str">
            <v>幸运轮盘</v>
          </cell>
          <cell r="C55">
            <v>0</v>
          </cell>
        </row>
        <row r="56">
          <cell r="A56">
            <v>104027</v>
          </cell>
          <cell r="B56" t="str">
            <v>公共浴场</v>
          </cell>
          <cell r="C56">
            <v>0</v>
          </cell>
        </row>
        <row r="57">
          <cell r="A57">
            <v>104028</v>
          </cell>
          <cell r="B57" t="str">
            <v>花盆</v>
          </cell>
          <cell r="C57">
            <v>0</v>
          </cell>
        </row>
        <row r="58">
          <cell r="A58">
            <v>104029</v>
          </cell>
          <cell r="B58" t="str">
            <v>灌木花盆</v>
          </cell>
          <cell r="C58">
            <v>0</v>
          </cell>
        </row>
        <row r="59">
          <cell r="A59">
            <v>104030</v>
          </cell>
          <cell r="B59" t="str">
            <v>种树花盆</v>
          </cell>
          <cell r="C59">
            <v>0</v>
          </cell>
        </row>
        <row r="60">
          <cell r="A60">
            <v>105001</v>
          </cell>
          <cell r="B60" t="str">
            <v>农田</v>
          </cell>
          <cell r="C60">
            <v>0</v>
          </cell>
        </row>
        <row r="61">
          <cell r="A61">
            <v>105002</v>
          </cell>
          <cell r="B61" t="str">
            <v>果园</v>
          </cell>
          <cell r="C61">
            <v>0</v>
          </cell>
        </row>
        <row r="62">
          <cell r="A62">
            <v>105003</v>
          </cell>
          <cell r="B62" t="str">
            <v>牧场</v>
          </cell>
          <cell r="C62">
            <v>0</v>
          </cell>
        </row>
        <row r="63">
          <cell r="A63">
            <v>105004</v>
          </cell>
          <cell r="B63" t="str">
            <v>渔人码头</v>
          </cell>
          <cell r="C63">
            <v>0</v>
          </cell>
        </row>
        <row r="64">
          <cell r="A64">
            <v>105005</v>
          </cell>
          <cell r="B64" t="str">
            <v>猎人营地</v>
          </cell>
          <cell r="C64">
            <v>0</v>
          </cell>
        </row>
        <row r="65">
          <cell r="A65">
            <v>105006</v>
          </cell>
          <cell r="B65" t="str">
            <v>采集营地</v>
          </cell>
          <cell r="C65">
            <v>0</v>
          </cell>
        </row>
        <row r="66">
          <cell r="A66">
            <v>105007</v>
          </cell>
          <cell r="B66" t="str">
            <v>劈材桩</v>
          </cell>
          <cell r="C66">
            <v>0</v>
          </cell>
        </row>
        <row r="67">
          <cell r="A67">
            <v>105008</v>
          </cell>
          <cell r="B67" t="str">
            <v>护林营地</v>
          </cell>
          <cell r="C67">
            <v>0</v>
          </cell>
        </row>
        <row r="68">
          <cell r="A68">
            <v>105009</v>
          </cell>
          <cell r="B68" t="str">
            <v>采药营地</v>
          </cell>
          <cell r="C68">
            <v>0</v>
          </cell>
        </row>
        <row r="69">
          <cell r="A69">
            <v>105010</v>
          </cell>
          <cell r="B69" t="str">
            <v>制造台</v>
          </cell>
          <cell r="C69">
            <v>0</v>
          </cell>
        </row>
        <row r="70">
          <cell r="A70">
            <v>105011</v>
          </cell>
          <cell r="B70" t="str">
            <v>缝纫台</v>
          </cell>
          <cell r="C70">
            <v>0</v>
          </cell>
        </row>
        <row r="71">
          <cell r="A71">
            <v>105012</v>
          </cell>
          <cell r="B71" t="str">
            <v>酿酒桶</v>
          </cell>
          <cell r="C71">
            <v>0</v>
          </cell>
        </row>
        <row r="72">
          <cell r="A72">
            <v>105013</v>
          </cell>
          <cell r="B72" t="str">
            <v>矿井</v>
          </cell>
          <cell r="C72">
            <v>0</v>
          </cell>
        </row>
        <row r="73">
          <cell r="A73">
            <v>105014</v>
          </cell>
          <cell r="B73" t="str">
            <v>采石场</v>
          </cell>
          <cell r="C73">
            <v>0</v>
          </cell>
        </row>
        <row r="74">
          <cell r="A74">
            <v>105015</v>
          </cell>
          <cell r="B74" t="str">
            <v>堆肥桶</v>
          </cell>
          <cell r="C74">
            <v>0</v>
          </cell>
        </row>
        <row r="75">
          <cell r="A75">
            <v>105016</v>
          </cell>
          <cell r="B75" t="str">
            <v>烹饪台</v>
          </cell>
          <cell r="C75">
            <v>0</v>
          </cell>
        </row>
        <row r="76">
          <cell r="A76">
            <v>105017</v>
          </cell>
          <cell r="B76" t="str">
            <v>捕兽夹</v>
          </cell>
          <cell r="C76">
            <v>0</v>
          </cell>
        </row>
        <row r="77">
          <cell r="A77">
            <v>105018</v>
          </cell>
          <cell r="B77" t="str">
            <v>蟹笼</v>
          </cell>
          <cell r="C77">
            <v>0</v>
          </cell>
        </row>
        <row r="78">
          <cell r="A78">
            <v>105019</v>
          </cell>
          <cell r="B78" t="str">
            <v>取水点</v>
          </cell>
          <cell r="C78">
            <v>0</v>
          </cell>
        </row>
        <row r="79">
          <cell r="A79">
            <v>105020</v>
          </cell>
          <cell r="B79" t="str">
            <v>采石点</v>
          </cell>
          <cell r="C79">
            <v>0</v>
          </cell>
        </row>
        <row r="80">
          <cell r="A80">
            <v>105021</v>
          </cell>
          <cell r="B80" t="str">
            <v>挖掘点</v>
          </cell>
          <cell r="C80">
            <v>0</v>
          </cell>
        </row>
        <row r="81">
          <cell r="A81">
            <v>105022</v>
          </cell>
          <cell r="B81" t="str">
            <v>造陆点</v>
          </cell>
          <cell r="C81">
            <v>0</v>
          </cell>
        </row>
        <row r="82">
          <cell r="A82">
            <v>105023</v>
          </cell>
          <cell r="B82" t="str">
            <v>蜂房</v>
          </cell>
          <cell r="C82">
            <v>0</v>
          </cell>
        </row>
        <row r="83">
          <cell r="A83">
            <v>105024</v>
          </cell>
          <cell r="B83" t="str">
            <v>雕像座</v>
          </cell>
          <cell r="C83">
            <v>0</v>
          </cell>
        </row>
        <row r="84">
          <cell r="A84">
            <v>105025</v>
          </cell>
          <cell r="B84" t="str">
            <v>炼药锅</v>
          </cell>
          <cell r="C84">
            <v>0</v>
          </cell>
        </row>
        <row r="85">
          <cell r="A85">
            <v>105026</v>
          </cell>
          <cell r="B85" t="str">
            <v>码头</v>
          </cell>
          <cell r="C85">
            <v>0</v>
          </cell>
        </row>
        <row r="86">
          <cell r="A86">
            <v>105027</v>
          </cell>
          <cell r="B86" t="str">
            <v>出海口</v>
          </cell>
          <cell r="C86">
            <v>0</v>
          </cell>
        </row>
        <row r="87">
          <cell r="A87">
            <v>105028</v>
          </cell>
          <cell r="B87" t="str">
            <v>熔炉</v>
          </cell>
          <cell r="C87">
            <v>0</v>
          </cell>
        </row>
        <row r="88">
          <cell r="A88">
            <v>105029</v>
          </cell>
          <cell r="B88" t="str">
            <v>磨坊</v>
          </cell>
          <cell r="C88">
            <v>0</v>
          </cell>
        </row>
        <row r="89">
          <cell r="A89">
            <v>105030</v>
          </cell>
          <cell r="B89" t="str">
            <v>蘑菇箱</v>
          </cell>
          <cell r="C89">
            <v>0</v>
          </cell>
        </row>
        <row r="90">
          <cell r="A90">
            <v>105031</v>
          </cell>
          <cell r="B90" t="str">
            <v>资源搜集点</v>
          </cell>
          <cell r="C90">
            <v>0</v>
          </cell>
        </row>
        <row r="91">
          <cell r="A91">
            <v>105032</v>
          </cell>
          <cell r="B91" t="str">
            <v>磨坊</v>
          </cell>
          <cell r="C91">
            <v>0</v>
          </cell>
        </row>
        <row r="92">
          <cell r="A92">
            <v>106001</v>
          </cell>
          <cell r="B92" t="str">
            <v>军营</v>
          </cell>
          <cell r="C92">
            <v>0</v>
          </cell>
        </row>
        <row r="93">
          <cell r="A93">
            <v>106002</v>
          </cell>
          <cell r="B93" t="str">
            <v>牢房</v>
          </cell>
          <cell r="C93">
            <v>0</v>
          </cell>
        </row>
        <row r="94">
          <cell r="A94">
            <v>106003</v>
          </cell>
          <cell r="B94" t="str">
            <v>大炮</v>
          </cell>
          <cell r="C94">
            <v>0</v>
          </cell>
        </row>
        <row r="95">
          <cell r="A95">
            <v>106004</v>
          </cell>
          <cell r="B95" t="str">
            <v>野营</v>
          </cell>
          <cell r="C95">
            <v>0</v>
          </cell>
        </row>
        <row r="96">
          <cell r="A96">
            <v>106005</v>
          </cell>
          <cell r="B96" t="str">
            <v>王座</v>
          </cell>
          <cell r="C96">
            <v>0</v>
          </cell>
        </row>
        <row r="97">
          <cell r="A97">
            <v>106006</v>
          </cell>
          <cell r="B97" t="str">
            <v>地雷</v>
          </cell>
          <cell r="C97">
            <v>0</v>
          </cell>
        </row>
        <row r="98">
          <cell r="A98">
            <v>106007</v>
          </cell>
          <cell r="B98" t="str">
            <v>水晶球</v>
          </cell>
          <cell r="C98">
            <v>0</v>
          </cell>
        </row>
        <row r="99">
          <cell r="A99">
            <v>106008</v>
          </cell>
          <cell r="B99" t="str">
            <v>训练场</v>
          </cell>
          <cell r="C99">
            <v>0</v>
          </cell>
        </row>
        <row r="100">
          <cell r="A100">
            <v>107001</v>
          </cell>
          <cell r="B100" t="str">
            <v>废弃矿井</v>
          </cell>
          <cell r="C100">
            <v>0</v>
          </cell>
        </row>
        <row r="101">
          <cell r="A101">
            <v>107003</v>
          </cell>
          <cell r="B101" t="str">
            <v>墓碑</v>
          </cell>
          <cell r="C101">
            <v>0</v>
          </cell>
        </row>
        <row r="102">
          <cell r="A102">
            <v>107004</v>
          </cell>
          <cell r="B102" t="str">
            <v>强盗营地</v>
          </cell>
          <cell r="C102">
            <v>0</v>
          </cell>
        </row>
        <row r="103">
          <cell r="A103">
            <v>107005</v>
          </cell>
          <cell r="B103" t="str">
            <v>军营</v>
          </cell>
          <cell r="C103">
            <v>0</v>
          </cell>
        </row>
        <row r="104">
          <cell r="A104">
            <v>108001</v>
          </cell>
          <cell r="B104" t="str">
            <v>古墓</v>
          </cell>
          <cell r="C104">
            <v>0</v>
          </cell>
        </row>
        <row r="105">
          <cell r="A105">
            <v>108002</v>
          </cell>
          <cell r="B105" t="str">
            <v>巨型蜂巢</v>
          </cell>
          <cell r="C105">
            <v>0</v>
          </cell>
        </row>
        <row r="106">
          <cell r="A106">
            <v>108003</v>
          </cell>
          <cell r="B106" t="str">
            <v>金字塔</v>
          </cell>
          <cell r="C106">
            <v>0</v>
          </cell>
        </row>
        <row r="107">
          <cell r="A107">
            <v>108004</v>
          </cell>
          <cell r="B107" t="str">
            <v>巨型蘑菇</v>
          </cell>
          <cell r="C107">
            <v>0</v>
          </cell>
        </row>
        <row r="108">
          <cell r="A108">
            <v>108005</v>
          </cell>
          <cell r="B108" t="str">
            <v>巨树</v>
          </cell>
          <cell r="C108">
            <v>0</v>
          </cell>
        </row>
        <row r="109">
          <cell r="A109">
            <v>108006</v>
          </cell>
          <cell r="B109" t="str">
            <v>巨型蛋</v>
          </cell>
          <cell r="C109">
            <v>0</v>
          </cell>
        </row>
        <row r="110">
          <cell r="A110">
            <v>108007</v>
          </cell>
          <cell r="B110" t="str">
            <v>沉船遗迹</v>
          </cell>
          <cell r="C110">
            <v>0</v>
          </cell>
        </row>
        <row r="111">
          <cell r="A111">
            <v>108008</v>
          </cell>
          <cell r="B111" t="str">
            <v>蚁穴</v>
          </cell>
          <cell r="C111">
            <v>0</v>
          </cell>
        </row>
        <row r="112">
          <cell r="A112">
            <v>108009</v>
          </cell>
          <cell r="B112" t="str">
            <v>图腾之柱</v>
          </cell>
          <cell r="C112">
            <v>0</v>
          </cell>
        </row>
        <row r="113">
          <cell r="A113">
            <v>108010</v>
          </cell>
          <cell r="B113" t="str">
            <v>布道台</v>
          </cell>
          <cell r="C113">
            <v>0</v>
          </cell>
        </row>
        <row r="114">
          <cell r="A114">
            <v>108011</v>
          </cell>
          <cell r="B114" t="str">
            <v>红蚁穴</v>
          </cell>
          <cell r="C114">
            <v>0</v>
          </cell>
        </row>
        <row r="115">
          <cell r="A115">
            <v>108012</v>
          </cell>
          <cell r="B115" t="str">
            <v>国王的永恒圣殿</v>
          </cell>
          <cell r="C115">
            <v>0</v>
          </cell>
        </row>
        <row r="116">
          <cell r="A116">
            <v>109005</v>
          </cell>
          <cell r="B116" t="str">
            <v>国库</v>
          </cell>
          <cell r="C116">
            <v>0</v>
          </cell>
        </row>
        <row r="117">
          <cell r="A117">
            <v>110001</v>
          </cell>
          <cell r="B117" t="str">
            <v>小城堡</v>
          </cell>
          <cell r="C117">
            <v>0</v>
          </cell>
        </row>
        <row r="118">
          <cell r="A118">
            <v>110002</v>
          </cell>
          <cell r="B118" t="str">
            <v>大城堡</v>
          </cell>
          <cell r="C118">
            <v>0</v>
          </cell>
        </row>
        <row r="119">
          <cell r="A119">
            <v>110003</v>
          </cell>
          <cell r="B119" t="str">
            <v>小村庄</v>
          </cell>
          <cell r="C119">
            <v>0</v>
          </cell>
        </row>
        <row r="120">
          <cell r="A120">
            <v>110004</v>
          </cell>
          <cell r="B120" t="str">
            <v>大村庄</v>
          </cell>
          <cell r="C120">
            <v>0</v>
          </cell>
        </row>
        <row r="121">
          <cell r="A121">
            <v>110005</v>
          </cell>
          <cell r="B121" t="str">
            <v>渔村</v>
          </cell>
          <cell r="C121">
            <v>0</v>
          </cell>
        </row>
        <row r="122">
          <cell r="A122">
            <v>110006</v>
          </cell>
          <cell r="B122" t="str">
            <v>小部落</v>
          </cell>
          <cell r="C122">
            <v>0</v>
          </cell>
        </row>
        <row r="123">
          <cell r="A123">
            <v>110007</v>
          </cell>
          <cell r="B123" t="str">
            <v>大部落</v>
          </cell>
          <cell r="C123">
            <v>0</v>
          </cell>
        </row>
        <row r="124">
          <cell r="A124">
            <v>110008</v>
          </cell>
          <cell r="B124" t="str">
            <v>龙之试炼柱</v>
          </cell>
          <cell r="C124">
            <v>0</v>
          </cell>
        </row>
        <row r="125">
          <cell r="A125">
            <v>110009</v>
          </cell>
          <cell r="B125" t="str">
            <v>要塞</v>
          </cell>
          <cell r="C125">
            <v>0</v>
          </cell>
        </row>
        <row r="126">
          <cell r="A126">
            <v>110010</v>
          </cell>
          <cell r="B126" t="str">
            <v>战场据点</v>
          </cell>
          <cell r="C126">
            <v>0</v>
          </cell>
        </row>
        <row r="127">
          <cell r="A127">
            <v>110011</v>
          </cell>
          <cell r="B127" t="str">
            <v>远征营地</v>
          </cell>
          <cell r="C127">
            <v>0</v>
          </cell>
        </row>
        <row r="128">
          <cell r="A128">
            <v>110012</v>
          </cell>
          <cell r="B128" t="str">
            <v>被敌人占领的战场据点</v>
          </cell>
          <cell r="C128">
            <v>0</v>
          </cell>
        </row>
        <row r="129">
          <cell r="A129">
            <v>111001</v>
          </cell>
          <cell r="B129" t="str">
            <v>方尖碑</v>
          </cell>
          <cell r="C129">
            <v>0</v>
          </cell>
        </row>
        <row r="130">
          <cell r="A130">
            <v>111002</v>
          </cell>
          <cell r="B130" t="str">
            <v>泰坦祭坛</v>
          </cell>
          <cell r="C130">
            <v>0</v>
          </cell>
        </row>
        <row r="131">
          <cell r="A131">
            <v>111003</v>
          </cell>
          <cell r="B131" t="str">
            <v>光明祭坛</v>
          </cell>
          <cell r="C131">
            <v>0</v>
          </cell>
        </row>
        <row r="132">
          <cell r="A132">
            <v>111004</v>
          </cell>
          <cell r="B132" t="str">
            <v>黑暗祭坛</v>
          </cell>
          <cell r="C132">
            <v>0</v>
          </cell>
        </row>
        <row r="133">
          <cell r="A133">
            <v>111005</v>
          </cell>
          <cell r="B133" t="str">
            <v>永恒圣殿</v>
          </cell>
          <cell r="C133">
            <v>0</v>
          </cell>
        </row>
        <row r="134">
          <cell r="A134">
            <v>112001</v>
          </cell>
          <cell r="B134" t="str">
            <v>旗帜</v>
          </cell>
          <cell r="C134">
            <v>0</v>
          </cell>
        </row>
        <row r="135">
          <cell r="A135">
            <v>113001</v>
          </cell>
          <cell r="B135" t="str">
            <v>地板</v>
          </cell>
          <cell r="C135">
            <v>0</v>
          </cell>
        </row>
        <row r="136">
          <cell r="A136">
            <v>113002</v>
          </cell>
          <cell r="B136" t="str">
            <v>石质地板</v>
          </cell>
          <cell r="C136">
            <v>0</v>
          </cell>
        </row>
        <row r="137">
          <cell r="A137">
            <v>113003</v>
          </cell>
          <cell r="B137" t="str">
            <v>铁质地板</v>
          </cell>
          <cell r="C137">
            <v>0</v>
          </cell>
        </row>
        <row r="138">
          <cell r="A138">
            <v>113004</v>
          </cell>
          <cell r="B138" t="str">
            <v>银质地板</v>
          </cell>
          <cell r="C138">
            <v>0</v>
          </cell>
        </row>
        <row r="139">
          <cell r="A139">
            <v>113005</v>
          </cell>
          <cell r="B139" t="str">
            <v>金质地板</v>
          </cell>
          <cell r="C139">
            <v>0</v>
          </cell>
        </row>
        <row r="140">
          <cell r="A140">
            <v>301001</v>
          </cell>
          <cell r="B140" t="str">
            <v>菜豆</v>
          </cell>
          <cell r="C140">
            <v>1</v>
          </cell>
        </row>
        <row r="141">
          <cell r="A141">
            <v>301002</v>
          </cell>
          <cell r="B141" t="str">
            <v>卷心菜</v>
          </cell>
          <cell r="C141">
            <v>1</v>
          </cell>
        </row>
        <row r="142">
          <cell r="A142">
            <v>301003</v>
          </cell>
          <cell r="B142" t="str">
            <v>辣椒</v>
          </cell>
          <cell r="C142">
            <v>1</v>
          </cell>
        </row>
        <row r="143">
          <cell r="A143">
            <v>301004</v>
          </cell>
          <cell r="B143" t="str">
            <v>南瓜</v>
          </cell>
          <cell r="C143">
            <v>1</v>
          </cell>
        </row>
        <row r="144">
          <cell r="A144">
            <v>301005</v>
          </cell>
          <cell r="B144" t="str">
            <v>笋瓜</v>
          </cell>
          <cell r="C144">
            <v>1</v>
          </cell>
        </row>
        <row r="145">
          <cell r="A145">
            <v>301006</v>
          </cell>
          <cell r="B145" t="str">
            <v>蘑菇</v>
          </cell>
          <cell r="C145">
            <v>1</v>
          </cell>
        </row>
        <row r="146">
          <cell r="A146">
            <v>301007</v>
          </cell>
          <cell r="B146" t="str">
            <v>洋葱</v>
          </cell>
          <cell r="C146">
            <v>1</v>
          </cell>
        </row>
        <row r="147">
          <cell r="A147">
            <v>302001</v>
          </cell>
          <cell r="B147" t="str">
            <v>玉米</v>
          </cell>
          <cell r="C147">
            <v>1</v>
          </cell>
        </row>
        <row r="148">
          <cell r="A148">
            <v>302002</v>
          </cell>
          <cell r="B148" t="str">
            <v>土豆</v>
          </cell>
          <cell r="C148">
            <v>1</v>
          </cell>
        </row>
        <row r="149">
          <cell r="A149">
            <v>302003</v>
          </cell>
          <cell r="B149" t="str">
            <v>小麦</v>
          </cell>
          <cell r="C149">
            <v>1</v>
          </cell>
        </row>
        <row r="150">
          <cell r="A150">
            <v>302004</v>
          </cell>
          <cell r="B150" t="str">
            <v>木薯</v>
          </cell>
          <cell r="C150">
            <v>1</v>
          </cell>
        </row>
        <row r="151">
          <cell r="A151">
            <v>303001</v>
          </cell>
          <cell r="B151" t="str">
            <v>苹果</v>
          </cell>
          <cell r="C151">
            <v>1</v>
          </cell>
        </row>
        <row r="152">
          <cell r="A152">
            <v>303002</v>
          </cell>
          <cell r="B152" t="str">
            <v>樱桃</v>
          </cell>
          <cell r="C152">
            <v>1</v>
          </cell>
        </row>
        <row r="153">
          <cell r="A153">
            <v>303004</v>
          </cell>
          <cell r="B153" t="str">
            <v>梨</v>
          </cell>
          <cell r="C153">
            <v>1</v>
          </cell>
        </row>
        <row r="154">
          <cell r="A154">
            <v>303006</v>
          </cell>
          <cell r="B154" t="str">
            <v>梅子</v>
          </cell>
          <cell r="C154">
            <v>1</v>
          </cell>
        </row>
        <row r="155">
          <cell r="A155">
            <v>303007</v>
          </cell>
          <cell r="B155" t="str">
            <v>核桃</v>
          </cell>
          <cell r="C155">
            <v>1</v>
          </cell>
        </row>
        <row r="156">
          <cell r="A156">
            <v>303009</v>
          </cell>
          <cell r="B156" t="str">
            <v>浆果</v>
          </cell>
          <cell r="C156">
            <v>1</v>
          </cell>
        </row>
        <row r="157">
          <cell r="A157">
            <v>304001</v>
          </cell>
          <cell r="B157" t="str">
            <v>鱼</v>
          </cell>
          <cell r="C157">
            <v>2</v>
          </cell>
        </row>
        <row r="158">
          <cell r="A158">
            <v>304002</v>
          </cell>
          <cell r="B158" t="str">
            <v>肉</v>
          </cell>
          <cell r="C158">
            <v>2</v>
          </cell>
        </row>
        <row r="159">
          <cell r="A159">
            <v>304005</v>
          </cell>
          <cell r="B159" t="str">
            <v>鸡蛋</v>
          </cell>
          <cell r="C159">
            <v>2</v>
          </cell>
        </row>
        <row r="160">
          <cell r="A160">
            <v>304007</v>
          </cell>
          <cell r="B160" t="str">
            <v>螃蟹</v>
          </cell>
          <cell r="C160">
            <v>2</v>
          </cell>
        </row>
        <row r="161">
          <cell r="A161">
            <v>304008</v>
          </cell>
          <cell r="B161" t="str">
            <v>龙虾</v>
          </cell>
          <cell r="C161">
            <v>2</v>
          </cell>
        </row>
        <row r="162">
          <cell r="A162">
            <v>304009</v>
          </cell>
          <cell r="B162" t="str">
            <v>熏鱼</v>
          </cell>
          <cell r="C162">
            <v>2</v>
          </cell>
        </row>
        <row r="163">
          <cell r="A163">
            <v>304010</v>
          </cell>
          <cell r="B163" t="str">
            <v>熏肉</v>
          </cell>
          <cell r="C163">
            <v>2</v>
          </cell>
        </row>
        <row r="164">
          <cell r="A164">
            <v>305001</v>
          </cell>
          <cell r="B164" t="str">
            <v>简单食物</v>
          </cell>
          <cell r="C164">
            <v>2</v>
          </cell>
        </row>
        <row r="165">
          <cell r="A165">
            <v>305002</v>
          </cell>
          <cell r="B165" t="str">
            <v>精致食物</v>
          </cell>
          <cell r="C165">
            <v>4</v>
          </cell>
        </row>
        <row r="166">
          <cell r="A166">
            <v>305003</v>
          </cell>
          <cell r="B166" t="str">
            <v>黑暗料理</v>
          </cell>
          <cell r="C166">
            <v>2</v>
          </cell>
        </row>
        <row r="167">
          <cell r="A167">
            <v>305004</v>
          </cell>
          <cell r="B167" t="str">
            <v>粗糙食物</v>
          </cell>
          <cell r="C167">
            <v>1</v>
          </cell>
        </row>
        <row r="168">
          <cell r="A168">
            <v>305005</v>
          </cell>
          <cell r="B168" t="str">
            <v>饼干</v>
          </cell>
          <cell r="C168">
            <v>5</v>
          </cell>
        </row>
        <row r="169">
          <cell r="A169">
            <v>305006</v>
          </cell>
          <cell r="B169" t="str">
            <v>蛋糕</v>
          </cell>
          <cell r="C169">
            <v>10</v>
          </cell>
        </row>
        <row r="170">
          <cell r="A170">
            <v>306001</v>
          </cell>
          <cell r="B170" t="str">
            <v>蜂蜜</v>
          </cell>
          <cell r="C170">
            <v>3</v>
          </cell>
        </row>
        <row r="171">
          <cell r="A171">
            <v>401001</v>
          </cell>
          <cell r="B171" t="str">
            <v>烈酒</v>
          </cell>
          <cell r="C171">
            <v>5</v>
          </cell>
        </row>
        <row r="172">
          <cell r="A172">
            <v>401002</v>
          </cell>
          <cell r="B172" t="str">
            <v>果酒</v>
          </cell>
          <cell r="C172">
            <v>5</v>
          </cell>
        </row>
        <row r="173">
          <cell r="A173">
            <v>401003</v>
          </cell>
          <cell r="B173" t="str">
            <v>蜂蜜酒</v>
          </cell>
          <cell r="C173">
            <v>6</v>
          </cell>
        </row>
        <row r="174">
          <cell r="A174">
            <v>402001</v>
          </cell>
          <cell r="B174" t="str">
            <v>柴火</v>
          </cell>
          <cell r="C174">
            <v>1</v>
          </cell>
        </row>
        <row r="175">
          <cell r="A175">
            <v>403001</v>
          </cell>
          <cell r="B175" t="str">
            <v>普通工具</v>
          </cell>
          <cell r="C175">
            <v>12</v>
          </cell>
        </row>
        <row r="176">
          <cell r="A176">
            <v>403002</v>
          </cell>
          <cell r="B176" t="str">
            <v>优质工具</v>
          </cell>
          <cell r="C176">
            <v>25</v>
          </cell>
        </row>
        <row r="177">
          <cell r="A177">
            <v>403003</v>
          </cell>
          <cell r="B177" t="str">
            <v>简单工具</v>
          </cell>
          <cell r="C177">
            <v>6</v>
          </cell>
        </row>
        <row r="178">
          <cell r="A178">
            <v>404001</v>
          </cell>
          <cell r="B178" t="str">
            <v>皮夹克</v>
          </cell>
          <cell r="C178">
            <v>5</v>
          </cell>
        </row>
        <row r="179">
          <cell r="A179">
            <v>404002</v>
          </cell>
          <cell r="B179" t="str">
            <v>羊毛衫</v>
          </cell>
          <cell r="C179">
            <v>5</v>
          </cell>
        </row>
        <row r="180">
          <cell r="A180">
            <v>404003</v>
          </cell>
          <cell r="B180" t="str">
            <v>保暖衣</v>
          </cell>
          <cell r="C180">
            <v>10</v>
          </cell>
        </row>
        <row r="181">
          <cell r="A181">
            <v>409003</v>
          </cell>
          <cell r="B181" t="str">
            <v>战车</v>
          </cell>
          <cell r="C181">
            <v>180</v>
          </cell>
        </row>
        <row r="182">
          <cell r="A182">
            <v>410001</v>
          </cell>
          <cell r="B182" t="str">
            <v>钢铁之心</v>
          </cell>
          <cell r="C182">
            <v>99999999</v>
          </cell>
        </row>
        <row r="183">
          <cell r="A183">
            <v>410002</v>
          </cell>
          <cell r="B183" t="str">
            <v>熔岩之心</v>
          </cell>
          <cell r="C183">
            <v>99999999</v>
          </cell>
        </row>
        <row r="184">
          <cell r="A184">
            <v>410003</v>
          </cell>
          <cell r="B184" t="str">
            <v>寒冰之心</v>
          </cell>
          <cell r="C184">
            <v>99999999</v>
          </cell>
        </row>
        <row r="185">
          <cell r="A185">
            <v>410004</v>
          </cell>
          <cell r="B185" t="str">
            <v>森林之心</v>
          </cell>
          <cell r="C185">
            <v>99999999</v>
          </cell>
        </row>
        <row r="186">
          <cell r="A186">
            <v>412001</v>
          </cell>
          <cell r="B186" t="str">
            <v>咖啡</v>
          </cell>
          <cell r="C186">
            <v>10</v>
          </cell>
        </row>
        <row r="187">
          <cell r="A187">
            <v>412002</v>
          </cell>
          <cell r="B187" t="str">
            <v>巧克力</v>
          </cell>
          <cell r="C187">
            <v>10</v>
          </cell>
        </row>
        <row r="188">
          <cell r="A188">
            <v>412003</v>
          </cell>
          <cell r="B188" t="str">
            <v>糖</v>
          </cell>
          <cell r="C188">
            <v>10</v>
          </cell>
        </row>
        <row r="189">
          <cell r="A189">
            <v>413001</v>
          </cell>
          <cell r="B189" t="str">
            <v>简单武器</v>
          </cell>
          <cell r="C189">
            <v>10</v>
          </cell>
        </row>
        <row r="190">
          <cell r="A190">
            <v>413002</v>
          </cell>
          <cell r="B190" t="str">
            <v>普通武器</v>
          </cell>
          <cell r="C190">
            <v>50</v>
          </cell>
        </row>
        <row r="191">
          <cell r="A191">
            <v>413003</v>
          </cell>
          <cell r="B191" t="str">
            <v>优良武器</v>
          </cell>
          <cell r="C191">
            <v>150</v>
          </cell>
        </row>
        <row r="192">
          <cell r="A192">
            <v>413004</v>
          </cell>
          <cell r="B192" t="str">
            <v>高级武器</v>
          </cell>
          <cell r="C192">
            <v>400</v>
          </cell>
        </row>
        <row r="193">
          <cell r="A193">
            <v>413005</v>
          </cell>
          <cell r="B193" t="str">
            <v>稀有武器</v>
          </cell>
          <cell r="C193">
            <v>2000</v>
          </cell>
        </row>
        <row r="194">
          <cell r="A194">
            <v>413006</v>
          </cell>
          <cell r="B194" t="str">
            <v>特殊武器</v>
          </cell>
          <cell r="C194">
            <v>4500</v>
          </cell>
        </row>
        <row r="195">
          <cell r="A195">
            <v>413007</v>
          </cell>
          <cell r="B195" t="str">
            <v>极品武器</v>
          </cell>
          <cell r="C195">
            <v>15000</v>
          </cell>
        </row>
        <row r="196">
          <cell r="A196">
            <v>413008</v>
          </cell>
          <cell r="B196" t="str">
            <v>传说武器</v>
          </cell>
          <cell r="C196">
            <v>40000</v>
          </cell>
        </row>
        <row r="197">
          <cell r="A197">
            <v>413009</v>
          </cell>
          <cell r="B197" t="str">
            <v>史诗武器</v>
          </cell>
          <cell r="C197">
            <v>88888</v>
          </cell>
        </row>
        <row r="198">
          <cell r="A198">
            <v>414001</v>
          </cell>
          <cell r="B198" t="str">
            <v>简单盾牌</v>
          </cell>
          <cell r="C198">
            <v>10</v>
          </cell>
        </row>
        <row r="199">
          <cell r="A199">
            <v>414002</v>
          </cell>
          <cell r="B199" t="str">
            <v>普通盾牌</v>
          </cell>
          <cell r="C199">
            <v>50</v>
          </cell>
        </row>
        <row r="200">
          <cell r="A200">
            <v>414003</v>
          </cell>
          <cell r="B200" t="str">
            <v>优良盾牌</v>
          </cell>
          <cell r="C200">
            <v>150</v>
          </cell>
        </row>
        <row r="201">
          <cell r="A201">
            <v>414004</v>
          </cell>
          <cell r="B201" t="str">
            <v>高级盾牌</v>
          </cell>
          <cell r="C201">
            <v>400</v>
          </cell>
        </row>
        <row r="202">
          <cell r="A202">
            <v>414005</v>
          </cell>
          <cell r="B202" t="str">
            <v>稀有盾牌</v>
          </cell>
          <cell r="C202">
            <v>2000</v>
          </cell>
        </row>
        <row r="203">
          <cell r="A203">
            <v>414006</v>
          </cell>
          <cell r="B203" t="str">
            <v>特殊盾牌</v>
          </cell>
          <cell r="C203">
            <v>4500</v>
          </cell>
        </row>
        <row r="204">
          <cell r="A204">
            <v>414007</v>
          </cell>
          <cell r="B204" t="str">
            <v>极品盾牌</v>
          </cell>
          <cell r="C204">
            <v>15000</v>
          </cell>
        </row>
        <row r="205">
          <cell r="A205">
            <v>414008</v>
          </cell>
          <cell r="B205" t="str">
            <v>传说盾牌</v>
          </cell>
          <cell r="C205">
            <v>40000</v>
          </cell>
        </row>
        <row r="206">
          <cell r="A206">
            <v>414009</v>
          </cell>
          <cell r="B206" t="str">
            <v>史诗盾牌</v>
          </cell>
          <cell r="C206">
            <v>88888</v>
          </cell>
        </row>
        <row r="207">
          <cell r="A207">
            <v>415001</v>
          </cell>
          <cell r="B207" t="str">
            <v>简单盔甲</v>
          </cell>
          <cell r="C207">
            <v>10</v>
          </cell>
        </row>
        <row r="208">
          <cell r="A208">
            <v>415002</v>
          </cell>
          <cell r="B208" t="str">
            <v>普通盔甲</v>
          </cell>
          <cell r="C208">
            <v>50</v>
          </cell>
        </row>
        <row r="209">
          <cell r="A209">
            <v>415003</v>
          </cell>
          <cell r="B209" t="str">
            <v>优良盔甲</v>
          </cell>
          <cell r="C209">
            <v>150</v>
          </cell>
        </row>
        <row r="210">
          <cell r="A210">
            <v>415004</v>
          </cell>
          <cell r="B210" t="str">
            <v>高级盔甲</v>
          </cell>
          <cell r="C210">
            <v>400</v>
          </cell>
        </row>
        <row r="211">
          <cell r="A211">
            <v>415005</v>
          </cell>
          <cell r="B211" t="str">
            <v>稀有盔甲</v>
          </cell>
          <cell r="C211">
            <v>2000</v>
          </cell>
        </row>
        <row r="212">
          <cell r="A212">
            <v>415006</v>
          </cell>
          <cell r="B212" t="str">
            <v>特殊盔甲</v>
          </cell>
          <cell r="C212">
            <v>4500</v>
          </cell>
        </row>
        <row r="213">
          <cell r="A213">
            <v>415007</v>
          </cell>
          <cell r="B213" t="str">
            <v>极品盔甲</v>
          </cell>
          <cell r="C213">
            <v>15000</v>
          </cell>
        </row>
        <row r="214">
          <cell r="A214">
            <v>415008</v>
          </cell>
          <cell r="B214" t="str">
            <v>传说盔甲</v>
          </cell>
          <cell r="C214">
            <v>40000</v>
          </cell>
        </row>
        <row r="215">
          <cell r="A215">
            <v>415009</v>
          </cell>
          <cell r="B215" t="str">
            <v>史诗盔甲</v>
          </cell>
          <cell r="C215">
            <v>88888</v>
          </cell>
        </row>
        <row r="216">
          <cell r="A216">
            <v>416001</v>
          </cell>
          <cell r="B216" t="str">
            <v>两轮马车</v>
          </cell>
          <cell r="C216">
            <v>1000</v>
          </cell>
        </row>
        <row r="217">
          <cell r="A217">
            <v>416002</v>
          </cell>
          <cell r="B217" t="str">
            <v>四轮马车</v>
          </cell>
          <cell r="C217">
            <v>2000</v>
          </cell>
        </row>
        <row r="218">
          <cell r="A218">
            <v>417001</v>
          </cell>
          <cell r="B218" t="str">
            <v>损坏的简单武器</v>
          </cell>
          <cell r="C218">
            <v>5</v>
          </cell>
        </row>
        <row r="219">
          <cell r="A219">
            <v>417002</v>
          </cell>
          <cell r="B219" t="str">
            <v>损坏的普通武器</v>
          </cell>
          <cell r="C219">
            <v>10</v>
          </cell>
        </row>
        <row r="220">
          <cell r="A220">
            <v>417003</v>
          </cell>
          <cell r="B220" t="str">
            <v>损坏的优良武器</v>
          </cell>
          <cell r="C220">
            <v>15</v>
          </cell>
        </row>
        <row r="221">
          <cell r="A221">
            <v>417004</v>
          </cell>
          <cell r="B221" t="str">
            <v>损坏的高级武器</v>
          </cell>
          <cell r="C221">
            <v>20</v>
          </cell>
        </row>
        <row r="222">
          <cell r="A222">
            <v>417005</v>
          </cell>
          <cell r="B222" t="str">
            <v>损坏的稀有武器</v>
          </cell>
          <cell r="C222">
            <v>600</v>
          </cell>
        </row>
        <row r="223">
          <cell r="A223">
            <v>417006</v>
          </cell>
          <cell r="B223" t="str">
            <v>损坏的特殊武器</v>
          </cell>
          <cell r="C223">
            <v>1800</v>
          </cell>
        </row>
        <row r="224">
          <cell r="A224">
            <v>417007</v>
          </cell>
          <cell r="B224" t="str">
            <v>损坏的极品武器</v>
          </cell>
          <cell r="C224">
            <v>6000</v>
          </cell>
        </row>
        <row r="225">
          <cell r="A225">
            <v>417008</v>
          </cell>
          <cell r="B225" t="str">
            <v>损坏的传说武器</v>
          </cell>
          <cell r="C225">
            <v>15000</v>
          </cell>
        </row>
        <row r="226">
          <cell r="A226">
            <v>417009</v>
          </cell>
          <cell r="B226" t="str">
            <v>损坏的史诗武器</v>
          </cell>
          <cell r="C226">
            <v>30000</v>
          </cell>
        </row>
        <row r="227">
          <cell r="A227">
            <v>417010</v>
          </cell>
          <cell r="B227" t="str">
            <v>损坏的简单盾牌</v>
          </cell>
          <cell r="C227">
            <v>5</v>
          </cell>
        </row>
        <row r="228">
          <cell r="A228">
            <v>417011</v>
          </cell>
          <cell r="B228" t="str">
            <v>损坏的普通盾牌</v>
          </cell>
          <cell r="C228">
            <v>10</v>
          </cell>
        </row>
        <row r="229">
          <cell r="A229">
            <v>417012</v>
          </cell>
          <cell r="B229" t="str">
            <v>损坏的优良盾牌</v>
          </cell>
          <cell r="C229">
            <v>15</v>
          </cell>
        </row>
        <row r="230">
          <cell r="A230">
            <v>417013</v>
          </cell>
          <cell r="B230" t="str">
            <v>损坏的高级盾牌</v>
          </cell>
          <cell r="C230">
            <v>20</v>
          </cell>
        </row>
        <row r="231">
          <cell r="A231">
            <v>417014</v>
          </cell>
          <cell r="B231" t="str">
            <v>损坏的稀有盾牌</v>
          </cell>
          <cell r="C231">
            <v>600</v>
          </cell>
        </row>
        <row r="232">
          <cell r="A232">
            <v>417015</v>
          </cell>
          <cell r="B232" t="str">
            <v>损坏的特殊盾牌</v>
          </cell>
          <cell r="C232">
            <v>1800</v>
          </cell>
        </row>
        <row r="233">
          <cell r="A233">
            <v>417016</v>
          </cell>
          <cell r="B233" t="str">
            <v>损坏的极品盾牌</v>
          </cell>
          <cell r="C233">
            <v>6000</v>
          </cell>
        </row>
        <row r="234">
          <cell r="A234">
            <v>417017</v>
          </cell>
          <cell r="B234" t="str">
            <v>损坏的传说盾牌</v>
          </cell>
          <cell r="C234">
            <v>15000</v>
          </cell>
        </row>
        <row r="235">
          <cell r="A235">
            <v>417018</v>
          </cell>
          <cell r="B235" t="str">
            <v>损坏的史诗盾牌</v>
          </cell>
          <cell r="C235">
            <v>30000</v>
          </cell>
        </row>
        <row r="236">
          <cell r="A236">
            <v>417019</v>
          </cell>
          <cell r="B236" t="str">
            <v>损坏的简单盔甲</v>
          </cell>
          <cell r="C236">
            <v>5</v>
          </cell>
        </row>
        <row r="237">
          <cell r="A237">
            <v>417020</v>
          </cell>
          <cell r="B237" t="str">
            <v>损坏的普通盔甲</v>
          </cell>
          <cell r="C237">
            <v>10</v>
          </cell>
        </row>
        <row r="238">
          <cell r="A238">
            <v>417021</v>
          </cell>
          <cell r="B238" t="str">
            <v>损坏的优良盔甲</v>
          </cell>
          <cell r="C238">
            <v>15</v>
          </cell>
        </row>
        <row r="239">
          <cell r="A239">
            <v>417022</v>
          </cell>
          <cell r="B239" t="str">
            <v>损坏的高级盔甲</v>
          </cell>
          <cell r="C239">
            <v>20</v>
          </cell>
        </row>
        <row r="240">
          <cell r="A240">
            <v>417023</v>
          </cell>
          <cell r="B240" t="str">
            <v>损坏的稀有盔甲</v>
          </cell>
          <cell r="C240">
            <v>600</v>
          </cell>
        </row>
        <row r="241">
          <cell r="A241">
            <v>417024</v>
          </cell>
          <cell r="B241" t="str">
            <v>损坏的特殊盔甲</v>
          </cell>
          <cell r="C241">
            <v>1800</v>
          </cell>
        </row>
        <row r="242">
          <cell r="A242">
            <v>417025</v>
          </cell>
          <cell r="B242" t="str">
            <v>损坏的极品盔甲</v>
          </cell>
          <cell r="C242">
            <v>6000</v>
          </cell>
        </row>
        <row r="243">
          <cell r="A243">
            <v>417026</v>
          </cell>
          <cell r="B243" t="str">
            <v>损坏的传说盔甲</v>
          </cell>
          <cell r="C243">
            <v>15000</v>
          </cell>
        </row>
        <row r="244">
          <cell r="A244">
            <v>417027</v>
          </cell>
          <cell r="B244" t="str">
            <v>损坏的史诗盔甲</v>
          </cell>
          <cell r="C244">
            <v>30000</v>
          </cell>
        </row>
        <row r="245">
          <cell r="A245">
            <v>418001</v>
          </cell>
          <cell r="B245" t="str">
            <v>蘑菇精华</v>
          </cell>
          <cell r="C245">
            <v>500</v>
          </cell>
        </row>
        <row r="246">
          <cell r="A246">
            <v>418002</v>
          </cell>
          <cell r="B246" t="str">
            <v>养颜丹</v>
          </cell>
          <cell r="C246">
            <v>1000</v>
          </cell>
        </row>
        <row r="247">
          <cell r="A247">
            <v>419001</v>
          </cell>
          <cell r="B247" t="str">
            <v>雨伞</v>
          </cell>
          <cell r="C247">
            <v>5</v>
          </cell>
        </row>
        <row r="248">
          <cell r="A248">
            <v>420001</v>
          </cell>
          <cell r="B248" t="str">
            <v>皮包</v>
          </cell>
          <cell r="C248">
            <v>5</v>
          </cell>
        </row>
        <row r="249">
          <cell r="A249">
            <v>421001</v>
          </cell>
          <cell r="B249" t="str">
            <v>药茶</v>
          </cell>
          <cell r="C249">
            <v>10</v>
          </cell>
        </row>
        <row r="250">
          <cell r="A250">
            <v>422001</v>
          </cell>
          <cell r="B250" t="str">
            <v>火药</v>
          </cell>
          <cell r="C250">
            <v>100</v>
          </cell>
        </row>
        <row r="251">
          <cell r="A251">
            <v>423001</v>
          </cell>
          <cell r="B251" t="str">
            <v>榴弹</v>
          </cell>
          <cell r="C251">
            <v>500</v>
          </cell>
        </row>
        <row r="252">
          <cell r="A252">
            <v>423002</v>
          </cell>
          <cell r="B252" t="str">
            <v>铁弹</v>
          </cell>
          <cell r="C252">
            <v>500</v>
          </cell>
        </row>
        <row r="253">
          <cell r="A253">
            <v>423003</v>
          </cell>
          <cell r="B253" t="str">
            <v>巨型炸弹</v>
          </cell>
          <cell r="C253">
            <v>5000</v>
          </cell>
        </row>
        <row r="254">
          <cell r="A254">
            <v>424001</v>
          </cell>
          <cell r="B254" t="str">
            <v>人伦书</v>
          </cell>
          <cell r="C254">
            <v>1000</v>
          </cell>
        </row>
        <row r="255">
          <cell r="A255">
            <v>424002</v>
          </cell>
          <cell r="B255" t="str">
            <v>轮回书</v>
          </cell>
          <cell r="C255">
            <v>1000</v>
          </cell>
        </row>
        <row r="256">
          <cell r="A256">
            <v>424003</v>
          </cell>
          <cell r="B256" t="str">
            <v>天职书</v>
          </cell>
          <cell r="C256">
            <v>1000</v>
          </cell>
        </row>
        <row r="257">
          <cell r="A257">
            <v>424004</v>
          </cell>
          <cell r="B257" t="str">
            <v>兵法书</v>
          </cell>
          <cell r="C257">
            <v>1000</v>
          </cell>
        </row>
        <row r="258">
          <cell r="A258">
            <v>424005</v>
          </cell>
          <cell r="B258" t="str">
            <v>管理书</v>
          </cell>
          <cell r="C258">
            <v>1000</v>
          </cell>
        </row>
        <row r="259">
          <cell r="A259">
            <v>424006</v>
          </cell>
          <cell r="B259" t="str">
            <v>忠义书</v>
          </cell>
          <cell r="C259">
            <v>1000</v>
          </cell>
        </row>
        <row r="260">
          <cell r="A260">
            <v>424007</v>
          </cell>
          <cell r="B260" t="str">
            <v>启蒙书</v>
          </cell>
          <cell r="C260">
            <v>150</v>
          </cell>
        </row>
        <row r="261">
          <cell r="A261">
            <v>424008</v>
          </cell>
          <cell r="B261" t="str">
            <v>心灵书</v>
          </cell>
          <cell r="C261">
            <v>50</v>
          </cell>
        </row>
        <row r="262">
          <cell r="A262">
            <v>425001</v>
          </cell>
          <cell r="B262" t="str">
            <v>炸弹果</v>
          </cell>
          <cell r="C262">
            <v>0</v>
          </cell>
        </row>
        <row r="263">
          <cell r="A263">
            <v>425002</v>
          </cell>
          <cell r="B263" t="str">
            <v>精英炸弹果</v>
          </cell>
          <cell r="C263">
            <v>0</v>
          </cell>
        </row>
        <row r="264">
          <cell r="A264">
            <v>426001</v>
          </cell>
          <cell r="B264" t="str">
            <v>魔法戒指</v>
          </cell>
          <cell r="C264">
            <v>2000</v>
          </cell>
        </row>
        <row r="265">
          <cell r="A265">
            <v>427001</v>
          </cell>
          <cell r="B265" t="str">
            <v>魔法项链</v>
          </cell>
          <cell r="C265">
            <v>2500</v>
          </cell>
        </row>
        <row r="266">
          <cell r="A266">
            <v>428001</v>
          </cell>
          <cell r="B266" t="str">
            <v>子弹</v>
          </cell>
          <cell r="C266">
            <v>70</v>
          </cell>
        </row>
        <row r="267">
          <cell r="A267">
            <v>429001</v>
          </cell>
          <cell r="B267" t="str">
            <v>动物生长素</v>
          </cell>
          <cell r="C267">
            <v>10</v>
          </cell>
        </row>
        <row r="268">
          <cell r="A268">
            <v>429002</v>
          </cell>
          <cell r="B268" t="str">
            <v xml:space="preserve">动物促产素 </v>
          </cell>
          <cell r="C268">
            <v>10</v>
          </cell>
        </row>
        <row r="269">
          <cell r="A269">
            <v>429003</v>
          </cell>
          <cell r="B269" t="str">
            <v>动物催肥素</v>
          </cell>
          <cell r="C269">
            <v>10</v>
          </cell>
        </row>
        <row r="270">
          <cell r="A270">
            <v>430001</v>
          </cell>
          <cell r="B270" t="str">
            <v>国王之冠</v>
          </cell>
          <cell r="C270">
            <v>999999</v>
          </cell>
        </row>
        <row r="271">
          <cell r="A271">
            <v>430002</v>
          </cell>
          <cell r="B271" t="str">
            <v>驭龙瓶</v>
          </cell>
          <cell r="C271">
            <v>999999</v>
          </cell>
        </row>
        <row r="272">
          <cell r="A272">
            <v>501001</v>
          </cell>
          <cell r="B272" t="str">
            <v>鸡</v>
          </cell>
          <cell r="C272">
            <v>500</v>
          </cell>
        </row>
        <row r="273">
          <cell r="A273">
            <v>501002</v>
          </cell>
          <cell r="B273" t="str">
            <v>羊</v>
          </cell>
          <cell r="C273">
            <v>1000</v>
          </cell>
        </row>
        <row r="274">
          <cell r="A274">
            <v>501003</v>
          </cell>
          <cell r="B274" t="str">
            <v>牛</v>
          </cell>
          <cell r="C274">
            <v>800</v>
          </cell>
        </row>
        <row r="275">
          <cell r="A275">
            <v>501004</v>
          </cell>
          <cell r="B275" t="str">
            <v>马</v>
          </cell>
          <cell r="C275">
            <v>1000</v>
          </cell>
        </row>
        <row r="276">
          <cell r="A276">
            <v>501005</v>
          </cell>
          <cell r="B276" t="str">
            <v>猪</v>
          </cell>
          <cell r="C276">
            <v>800</v>
          </cell>
        </row>
        <row r="277">
          <cell r="A277">
            <v>501006</v>
          </cell>
          <cell r="B277" t="str">
            <v>驯狼</v>
          </cell>
          <cell r="C277">
            <v>800</v>
          </cell>
        </row>
        <row r="278">
          <cell r="A278">
            <v>502001</v>
          </cell>
          <cell r="B278" t="str">
            <v>鹿</v>
          </cell>
          <cell r="C278">
            <v>1000</v>
          </cell>
        </row>
        <row r="279">
          <cell r="A279">
            <v>502002</v>
          </cell>
          <cell r="B279" t="str">
            <v>野马</v>
          </cell>
          <cell r="C279">
            <v>1000</v>
          </cell>
        </row>
        <row r="280">
          <cell r="A280">
            <v>502003</v>
          </cell>
          <cell r="B280" t="str">
            <v>野猪</v>
          </cell>
          <cell r="C280">
            <v>1000</v>
          </cell>
        </row>
        <row r="281">
          <cell r="A281">
            <v>502004</v>
          </cell>
          <cell r="B281" t="str">
            <v>野狼</v>
          </cell>
          <cell r="C281">
            <v>1000</v>
          </cell>
        </row>
        <row r="282">
          <cell r="A282">
            <v>502005</v>
          </cell>
          <cell r="B282" t="str">
            <v>白鹿</v>
          </cell>
          <cell r="C282">
            <v>1000</v>
          </cell>
        </row>
        <row r="283">
          <cell r="A283">
            <v>502006</v>
          </cell>
          <cell r="B283" t="str">
            <v>梅花鹿</v>
          </cell>
          <cell r="C283">
            <v>1000</v>
          </cell>
        </row>
        <row r="284">
          <cell r="A284">
            <v>503001</v>
          </cell>
          <cell r="B284" t="str">
            <v>猫</v>
          </cell>
          <cell r="C284">
            <v>1000</v>
          </cell>
        </row>
        <row r="285">
          <cell r="A285">
            <v>504001</v>
          </cell>
          <cell r="B285" t="str">
            <v>战马</v>
          </cell>
          <cell r="C285">
            <v>1000</v>
          </cell>
        </row>
        <row r="286">
          <cell r="A286">
            <v>504002</v>
          </cell>
          <cell r="B286" t="str">
            <v>战猪</v>
          </cell>
          <cell r="C286">
            <v>1000</v>
          </cell>
        </row>
        <row r="287">
          <cell r="A287">
            <v>504003</v>
          </cell>
          <cell r="B287" t="str">
            <v>战狼</v>
          </cell>
          <cell r="C287">
            <v>1000</v>
          </cell>
        </row>
        <row r="288">
          <cell r="A288">
            <v>504004</v>
          </cell>
          <cell r="B288" t="str">
            <v>马坐骑</v>
          </cell>
          <cell r="C288">
            <v>1000</v>
          </cell>
        </row>
        <row r="289">
          <cell r="A289">
            <v>504005</v>
          </cell>
          <cell r="B289" t="str">
            <v>猪坐骑</v>
          </cell>
          <cell r="C289">
            <v>1000</v>
          </cell>
        </row>
        <row r="290">
          <cell r="A290">
            <v>504006</v>
          </cell>
          <cell r="B290" t="str">
            <v>狼坐骑</v>
          </cell>
          <cell r="C290">
            <v>1000</v>
          </cell>
        </row>
        <row r="291">
          <cell r="A291">
            <v>504007</v>
          </cell>
          <cell r="B291" t="str">
            <v>骑士马坐骑</v>
          </cell>
          <cell r="C291">
            <v>1000</v>
          </cell>
        </row>
        <row r="292">
          <cell r="A292">
            <v>504008</v>
          </cell>
          <cell r="B292" t="str">
            <v>领主马坐骑</v>
          </cell>
          <cell r="C292">
            <v>1000</v>
          </cell>
        </row>
        <row r="293">
          <cell r="A293">
            <v>504009</v>
          </cell>
          <cell r="B293" t="str">
            <v>皇家骑士坐骑</v>
          </cell>
          <cell r="C293">
            <v>1000</v>
          </cell>
        </row>
        <row r="294">
          <cell r="A294">
            <v>601001</v>
          </cell>
          <cell r="B294" t="str">
            <v>煤</v>
          </cell>
          <cell r="C294">
            <v>5</v>
          </cell>
        </row>
        <row r="295">
          <cell r="A295">
            <v>602001</v>
          </cell>
          <cell r="B295" t="str">
            <v>草药</v>
          </cell>
          <cell r="C295">
            <v>5</v>
          </cell>
        </row>
        <row r="296">
          <cell r="A296">
            <v>602002</v>
          </cell>
          <cell r="B296" t="str">
            <v>生命药水</v>
          </cell>
          <cell r="C296">
            <v>15</v>
          </cell>
        </row>
        <row r="297">
          <cell r="A297">
            <v>602003</v>
          </cell>
          <cell r="B297" t="str">
            <v>生命果实</v>
          </cell>
          <cell r="C297">
            <v>50</v>
          </cell>
        </row>
        <row r="298">
          <cell r="A298">
            <v>602004</v>
          </cell>
          <cell r="B298" t="str">
            <v>忘忧果</v>
          </cell>
          <cell r="C298">
            <v>50</v>
          </cell>
        </row>
        <row r="299">
          <cell r="A299">
            <v>603001</v>
          </cell>
          <cell r="B299" t="str">
            <v>铁锭</v>
          </cell>
          <cell r="C299">
            <v>5</v>
          </cell>
        </row>
        <row r="300">
          <cell r="A300">
            <v>603002</v>
          </cell>
          <cell r="B300" t="str">
            <v>秘银锭</v>
          </cell>
          <cell r="C300">
            <v>100</v>
          </cell>
        </row>
        <row r="301">
          <cell r="A301">
            <v>603003</v>
          </cell>
          <cell r="B301" t="str">
            <v>精金锭</v>
          </cell>
          <cell r="C301">
            <v>100</v>
          </cell>
        </row>
        <row r="302">
          <cell r="A302">
            <v>603004</v>
          </cell>
          <cell r="B302" t="str">
            <v>山铜锭</v>
          </cell>
          <cell r="C302">
            <v>100</v>
          </cell>
        </row>
        <row r="303">
          <cell r="A303">
            <v>604001</v>
          </cell>
          <cell r="B303" t="str">
            <v>原木</v>
          </cell>
          <cell r="C303">
            <v>2</v>
          </cell>
        </row>
        <row r="304">
          <cell r="A304">
            <v>605001</v>
          </cell>
          <cell r="B304" t="str">
            <v>石料</v>
          </cell>
          <cell r="C304">
            <v>4</v>
          </cell>
        </row>
        <row r="305">
          <cell r="A305">
            <v>606001</v>
          </cell>
          <cell r="B305" t="str">
            <v>皮革</v>
          </cell>
          <cell r="C305">
            <v>3</v>
          </cell>
        </row>
        <row r="306">
          <cell r="A306">
            <v>606002</v>
          </cell>
          <cell r="B306" t="str">
            <v>羊毛</v>
          </cell>
          <cell r="C306">
            <v>3</v>
          </cell>
        </row>
        <row r="307">
          <cell r="A307">
            <v>607001</v>
          </cell>
          <cell r="B307" t="str">
            <v>白银</v>
          </cell>
          <cell r="C307">
            <v>100</v>
          </cell>
        </row>
        <row r="308">
          <cell r="A308">
            <v>608001</v>
          </cell>
          <cell r="B308" t="str">
            <v>黄金</v>
          </cell>
          <cell r="C308">
            <v>1000</v>
          </cell>
        </row>
        <row r="309">
          <cell r="A309">
            <v>609001</v>
          </cell>
          <cell r="B309" t="str">
            <v>肥料</v>
          </cell>
          <cell r="C309">
            <v>1</v>
          </cell>
        </row>
        <row r="310">
          <cell r="A310">
            <v>610001</v>
          </cell>
          <cell r="B310" t="str">
            <v>粪便</v>
          </cell>
          <cell r="C310">
            <v>0</v>
          </cell>
        </row>
        <row r="311">
          <cell r="A311">
            <v>610002</v>
          </cell>
          <cell r="B311" t="str">
            <v>腐败食物</v>
          </cell>
          <cell r="C311">
            <v>0</v>
          </cell>
        </row>
        <row r="312">
          <cell r="A312">
            <v>610003</v>
          </cell>
          <cell r="B312" t="str">
            <v>灰烬</v>
          </cell>
          <cell r="C312">
            <v>0</v>
          </cell>
        </row>
        <row r="313">
          <cell r="A313">
            <v>611001</v>
          </cell>
          <cell r="B313" t="str">
            <v>咖啡豆</v>
          </cell>
          <cell r="C313">
            <v>5</v>
          </cell>
        </row>
        <row r="314">
          <cell r="A314">
            <v>611002</v>
          </cell>
          <cell r="B314" t="str">
            <v>可可豆</v>
          </cell>
          <cell r="C314">
            <v>5</v>
          </cell>
        </row>
        <row r="315">
          <cell r="A315">
            <v>611003</v>
          </cell>
          <cell r="B315" t="str">
            <v>甘蔗</v>
          </cell>
          <cell r="C315">
            <v>1</v>
          </cell>
        </row>
        <row r="316">
          <cell r="A316">
            <v>611004</v>
          </cell>
          <cell r="B316" t="str">
            <v>牛奶</v>
          </cell>
          <cell r="C316">
            <v>2</v>
          </cell>
        </row>
        <row r="317">
          <cell r="A317">
            <v>611005</v>
          </cell>
          <cell r="B317" t="str">
            <v>面粉</v>
          </cell>
          <cell r="C317">
            <v>2</v>
          </cell>
        </row>
        <row r="318">
          <cell r="A318">
            <v>612001</v>
          </cell>
          <cell r="B318" t="str">
            <v>红宝石</v>
          </cell>
          <cell r="C318">
            <v>500</v>
          </cell>
        </row>
        <row r="319">
          <cell r="A319">
            <v>612002</v>
          </cell>
          <cell r="B319" t="str">
            <v>蓝宝石</v>
          </cell>
          <cell r="C319">
            <v>500</v>
          </cell>
        </row>
        <row r="320">
          <cell r="A320">
            <v>612003</v>
          </cell>
          <cell r="B320" t="str">
            <v>绿宝石</v>
          </cell>
          <cell r="C320">
            <v>500</v>
          </cell>
        </row>
        <row r="321">
          <cell r="A321">
            <v>613001</v>
          </cell>
          <cell r="B321" t="str">
            <v>金蛋</v>
          </cell>
          <cell r="C321">
            <v>1000</v>
          </cell>
        </row>
        <row r="322">
          <cell r="A322">
            <v>614001</v>
          </cell>
          <cell r="B322" t="str">
            <v>龙涎香</v>
          </cell>
          <cell r="C322">
            <v>800</v>
          </cell>
        </row>
        <row r="323">
          <cell r="A323">
            <v>615001</v>
          </cell>
          <cell r="B323" t="str">
            <v>红宝石碎片</v>
          </cell>
          <cell r="C323">
            <v>50</v>
          </cell>
        </row>
        <row r="324">
          <cell r="A324">
            <v>615002</v>
          </cell>
          <cell r="B324" t="str">
            <v>蓝宝石碎片</v>
          </cell>
          <cell r="C324">
            <v>50</v>
          </cell>
        </row>
        <row r="325">
          <cell r="A325">
            <v>615003</v>
          </cell>
          <cell r="B325" t="str">
            <v>绿宝石碎片</v>
          </cell>
          <cell r="C325">
            <v>50</v>
          </cell>
        </row>
        <row r="326">
          <cell r="A326">
            <v>616001</v>
          </cell>
          <cell r="B326" t="str">
            <v>铁矿</v>
          </cell>
          <cell r="C326">
            <v>2</v>
          </cell>
        </row>
        <row r="327">
          <cell r="A327">
            <v>616002</v>
          </cell>
          <cell r="B327" t="str">
            <v>秘银矿</v>
          </cell>
          <cell r="C327">
            <v>2</v>
          </cell>
        </row>
        <row r="328">
          <cell r="A328">
            <v>616003</v>
          </cell>
          <cell r="B328" t="str">
            <v>精金矿</v>
          </cell>
          <cell r="C328">
            <v>2</v>
          </cell>
        </row>
        <row r="329">
          <cell r="A329">
            <v>616004</v>
          </cell>
          <cell r="B329" t="str">
            <v>山铜矿</v>
          </cell>
          <cell r="C329">
            <v>2</v>
          </cell>
        </row>
        <row r="330">
          <cell r="A330">
            <v>616005</v>
          </cell>
          <cell r="B330" t="str">
            <v>金矿</v>
          </cell>
          <cell r="C330">
            <v>2</v>
          </cell>
        </row>
        <row r="331">
          <cell r="A331">
            <v>616006</v>
          </cell>
          <cell r="B331" t="str">
            <v>银矿</v>
          </cell>
          <cell r="C331">
            <v>2</v>
          </cell>
        </row>
        <row r="332">
          <cell r="A332">
            <v>617001</v>
          </cell>
          <cell r="B332" t="str">
            <v>牧草</v>
          </cell>
          <cell r="C332">
            <v>1</v>
          </cell>
        </row>
        <row r="333">
          <cell r="A333">
            <v>618001</v>
          </cell>
          <cell r="B333" t="str">
            <v>银币</v>
          </cell>
          <cell r="C333">
            <v>1</v>
          </cell>
        </row>
        <row r="334">
          <cell r="A334">
            <v>619001</v>
          </cell>
          <cell r="B334" t="str">
            <v>智慧宝石</v>
          </cell>
          <cell r="C334">
            <v>1000000</v>
          </cell>
        </row>
        <row r="335">
          <cell r="A335">
            <v>620001</v>
          </cell>
          <cell r="B335" t="str">
            <v>史莱姆凝液</v>
          </cell>
          <cell r="C335">
            <v>50</v>
          </cell>
        </row>
        <row r="336">
          <cell r="A336">
            <v>620002</v>
          </cell>
          <cell r="B336" t="str">
            <v>蚁胶</v>
          </cell>
          <cell r="C336">
            <v>25</v>
          </cell>
        </row>
        <row r="337">
          <cell r="A337">
            <v>701001</v>
          </cell>
          <cell r="B337" t="str">
            <v>菜豆种子</v>
          </cell>
          <cell r="C337">
            <v>2000</v>
          </cell>
        </row>
        <row r="338">
          <cell r="A338">
            <v>701002</v>
          </cell>
          <cell r="B338" t="str">
            <v>卷心菜种子</v>
          </cell>
          <cell r="C338">
            <v>10000</v>
          </cell>
        </row>
        <row r="339">
          <cell r="A339">
            <v>701003</v>
          </cell>
          <cell r="B339" t="str">
            <v>辣椒种子</v>
          </cell>
          <cell r="C339">
            <v>6000</v>
          </cell>
        </row>
        <row r="340">
          <cell r="A340">
            <v>701004</v>
          </cell>
          <cell r="B340" t="str">
            <v>南瓜种子</v>
          </cell>
          <cell r="C340">
            <v>20000</v>
          </cell>
        </row>
        <row r="341">
          <cell r="A341">
            <v>701005</v>
          </cell>
          <cell r="B341" t="str">
            <v>笋瓜种子</v>
          </cell>
          <cell r="C341">
            <v>4000</v>
          </cell>
        </row>
        <row r="342">
          <cell r="A342">
            <v>702001</v>
          </cell>
          <cell r="B342" t="str">
            <v>玉米种子</v>
          </cell>
          <cell r="C342">
            <v>10000</v>
          </cell>
        </row>
        <row r="343">
          <cell r="A343">
            <v>702002</v>
          </cell>
          <cell r="B343" t="str">
            <v>土豆种子</v>
          </cell>
          <cell r="C343">
            <v>4000</v>
          </cell>
        </row>
        <row r="344">
          <cell r="A344">
            <v>702003</v>
          </cell>
          <cell r="B344" t="str">
            <v>小麦种子</v>
          </cell>
          <cell r="C344">
            <v>2000</v>
          </cell>
        </row>
        <row r="345">
          <cell r="A345">
            <v>702004</v>
          </cell>
          <cell r="B345" t="str">
            <v>牧草种子</v>
          </cell>
          <cell r="C345">
            <v>2000</v>
          </cell>
        </row>
        <row r="346">
          <cell r="A346">
            <v>703001</v>
          </cell>
          <cell r="B346" t="str">
            <v>苹果树种子</v>
          </cell>
          <cell r="C346">
            <v>2500</v>
          </cell>
        </row>
        <row r="347">
          <cell r="A347">
            <v>703002</v>
          </cell>
          <cell r="B347" t="str">
            <v>樱桃树种子</v>
          </cell>
          <cell r="C347">
            <v>2500</v>
          </cell>
        </row>
        <row r="348">
          <cell r="A348">
            <v>703004</v>
          </cell>
          <cell r="B348" t="str">
            <v>梨树种子</v>
          </cell>
          <cell r="C348">
            <v>2500</v>
          </cell>
        </row>
        <row r="349">
          <cell r="A349">
            <v>703006</v>
          </cell>
          <cell r="B349" t="str">
            <v>梅子树种子</v>
          </cell>
          <cell r="C349">
            <v>2500</v>
          </cell>
        </row>
        <row r="350">
          <cell r="A350">
            <v>703007</v>
          </cell>
          <cell r="B350" t="str">
            <v>核桃树种子</v>
          </cell>
          <cell r="C350">
            <v>2500</v>
          </cell>
        </row>
        <row r="351">
          <cell r="A351">
            <v>704001</v>
          </cell>
          <cell r="B351" t="str">
            <v>蓝十字花</v>
          </cell>
          <cell r="C351">
            <v>2500</v>
          </cell>
        </row>
        <row r="352">
          <cell r="A352">
            <v>704002</v>
          </cell>
          <cell r="B352" t="str">
            <v>红十字花</v>
          </cell>
          <cell r="C352">
            <v>2500</v>
          </cell>
        </row>
        <row r="353">
          <cell r="A353">
            <v>704003</v>
          </cell>
          <cell r="B353" t="str">
            <v>牡丹花</v>
          </cell>
          <cell r="C353">
            <v>2500</v>
          </cell>
        </row>
        <row r="354">
          <cell r="A354">
            <v>704004</v>
          </cell>
          <cell r="B354" t="str">
            <v>黄钻花</v>
          </cell>
          <cell r="C354">
            <v>2500</v>
          </cell>
        </row>
        <row r="355">
          <cell r="A355">
            <v>704005</v>
          </cell>
          <cell r="B355" t="str">
            <v>蓝钻花</v>
          </cell>
          <cell r="C355">
            <v>2500</v>
          </cell>
        </row>
        <row r="356">
          <cell r="A356">
            <v>704006</v>
          </cell>
          <cell r="B356" t="str">
            <v>风铃花</v>
          </cell>
          <cell r="C356">
            <v>2500</v>
          </cell>
        </row>
        <row r="357">
          <cell r="A357">
            <v>704007</v>
          </cell>
          <cell r="B357" t="str">
            <v>百合花</v>
          </cell>
          <cell r="C357">
            <v>2500</v>
          </cell>
        </row>
        <row r="358">
          <cell r="A358">
            <v>704008</v>
          </cell>
          <cell r="B358" t="str">
            <v>杜鹃花</v>
          </cell>
          <cell r="C358">
            <v>2500</v>
          </cell>
        </row>
        <row r="359">
          <cell r="A359">
            <v>704009</v>
          </cell>
          <cell r="B359" t="str">
            <v>四季玫瑰</v>
          </cell>
          <cell r="C359">
            <v>5000</v>
          </cell>
        </row>
        <row r="360">
          <cell r="A360">
            <v>704010</v>
          </cell>
          <cell r="B360" t="str">
            <v>生命之花</v>
          </cell>
          <cell r="C360">
            <v>5000</v>
          </cell>
        </row>
        <row r="361">
          <cell r="A361">
            <v>704011</v>
          </cell>
          <cell r="B361" t="str">
            <v>忘忧草</v>
          </cell>
          <cell r="C361">
            <v>5000</v>
          </cell>
        </row>
        <row r="362">
          <cell r="A362">
            <v>704012</v>
          </cell>
          <cell r="B362" t="str">
            <v>夏日浆果</v>
          </cell>
          <cell r="C362">
            <v>2500</v>
          </cell>
        </row>
        <row r="363">
          <cell r="A363">
            <v>704013</v>
          </cell>
          <cell r="B363" t="str">
            <v>秋日浆果</v>
          </cell>
          <cell r="C363">
            <v>2500</v>
          </cell>
        </row>
        <row r="364">
          <cell r="A364">
            <v>704014</v>
          </cell>
          <cell r="B364" t="str">
            <v>冬日浆果</v>
          </cell>
          <cell r="C364">
            <v>2500</v>
          </cell>
        </row>
        <row r="365">
          <cell r="A365">
            <v>704015</v>
          </cell>
          <cell r="B365" t="str">
            <v>樟树</v>
          </cell>
          <cell r="C365">
            <v>2500</v>
          </cell>
        </row>
        <row r="366">
          <cell r="A366">
            <v>704016</v>
          </cell>
          <cell r="B366" t="str">
            <v>榕树</v>
          </cell>
          <cell r="C366">
            <v>2500</v>
          </cell>
        </row>
        <row r="367">
          <cell r="A367">
            <v>704017</v>
          </cell>
          <cell r="B367" t="str">
            <v>梧桐</v>
          </cell>
          <cell r="C367">
            <v>2500</v>
          </cell>
        </row>
        <row r="368">
          <cell r="A368">
            <v>704018</v>
          </cell>
          <cell r="B368" t="str">
            <v>松树</v>
          </cell>
          <cell r="C368">
            <v>2500</v>
          </cell>
        </row>
        <row r="369">
          <cell r="A369">
            <v>704019</v>
          </cell>
          <cell r="B369" t="str">
            <v>枫树</v>
          </cell>
          <cell r="C369">
            <v>2500</v>
          </cell>
        </row>
        <row r="370">
          <cell r="A370">
            <v>704020</v>
          </cell>
          <cell r="B370" t="str">
            <v>桦树</v>
          </cell>
          <cell r="C370">
            <v>2500</v>
          </cell>
        </row>
        <row r="371">
          <cell r="A371">
            <v>705001</v>
          </cell>
          <cell r="B371" t="str">
            <v>农夫雕像</v>
          </cell>
          <cell r="C371">
            <v>10000</v>
          </cell>
        </row>
        <row r="372">
          <cell r="A372">
            <v>705002</v>
          </cell>
          <cell r="B372" t="str">
            <v>精灵雕像</v>
          </cell>
          <cell r="C372">
            <v>10000</v>
          </cell>
        </row>
        <row r="373">
          <cell r="A373">
            <v>705003</v>
          </cell>
          <cell r="B373" t="str">
            <v>士兵雕像</v>
          </cell>
          <cell r="C373">
            <v>10000</v>
          </cell>
        </row>
        <row r="374">
          <cell r="A374">
            <v>705004</v>
          </cell>
          <cell r="B374" t="str">
            <v>渔夫雕像</v>
          </cell>
          <cell r="C374">
            <v>10000</v>
          </cell>
        </row>
        <row r="375">
          <cell r="A375">
            <v>705005</v>
          </cell>
          <cell r="B375" t="str">
            <v>牧民雕像</v>
          </cell>
          <cell r="C375">
            <v>10000</v>
          </cell>
        </row>
        <row r="376">
          <cell r="A376">
            <v>705006</v>
          </cell>
          <cell r="B376" t="str">
            <v>BUG雕像</v>
          </cell>
          <cell r="C376">
            <v>10000</v>
          </cell>
        </row>
        <row r="377">
          <cell r="A377">
            <v>706001</v>
          </cell>
          <cell r="B377" t="str">
            <v>货船</v>
          </cell>
          <cell r="C377">
            <v>10000</v>
          </cell>
        </row>
        <row r="378">
          <cell r="A378">
            <v>706002</v>
          </cell>
          <cell r="B378" t="str">
            <v>战舰</v>
          </cell>
          <cell r="C378">
            <v>10000</v>
          </cell>
        </row>
        <row r="379">
          <cell r="A379">
            <v>706003</v>
          </cell>
          <cell r="B379" t="str">
            <v>巨型战舰</v>
          </cell>
          <cell r="C379">
            <v>10000</v>
          </cell>
        </row>
        <row r="380">
          <cell r="A380">
            <v>707001</v>
          </cell>
          <cell r="B380" t="str">
            <v>甘蔗种子</v>
          </cell>
          <cell r="C380">
            <v>10000</v>
          </cell>
        </row>
        <row r="381">
          <cell r="A381">
            <v>801001</v>
          </cell>
          <cell r="B381" t="str">
            <v>死亡的鸡</v>
          </cell>
          <cell r="C381">
            <v>0</v>
          </cell>
        </row>
        <row r="382">
          <cell r="A382">
            <v>801002</v>
          </cell>
          <cell r="B382" t="str">
            <v>死亡的羊</v>
          </cell>
          <cell r="C382">
            <v>0</v>
          </cell>
        </row>
        <row r="383">
          <cell r="A383">
            <v>801003</v>
          </cell>
          <cell r="B383" t="str">
            <v>死亡的牛</v>
          </cell>
          <cell r="C383">
            <v>0</v>
          </cell>
        </row>
        <row r="384">
          <cell r="A384">
            <v>801004</v>
          </cell>
          <cell r="B384" t="str">
            <v>死亡的马</v>
          </cell>
          <cell r="C384">
            <v>0</v>
          </cell>
        </row>
        <row r="385">
          <cell r="A385">
            <v>801005</v>
          </cell>
          <cell r="B385" t="str">
            <v>死亡的猪</v>
          </cell>
          <cell r="C385">
            <v>0</v>
          </cell>
        </row>
        <row r="386">
          <cell r="A386">
            <v>801006</v>
          </cell>
          <cell r="B386" t="str">
            <v>死亡的狼</v>
          </cell>
          <cell r="C386">
            <v>0</v>
          </cell>
        </row>
        <row r="387">
          <cell r="A387">
            <v>801007</v>
          </cell>
          <cell r="B387" t="str">
            <v>死亡的鹿</v>
          </cell>
          <cell r="C387">
            <v>0</v>
          </cell>
        </row>
        <row r="388">
          <cell r="A388">
            <v>801008</v>
          </cell>
          <cell r="B388" t="str">
            <v>死亡的白鹿</v>
          </cell>
          <cell r="C388">
            <v>0</v>
          </cell>
        </row>
        <row r="389">
          <cell r="A389">
            <v>801009</v>
          </cell>
          <cell r="B389" t="str">
            <v>死亡的梅花鹿</v>
          </cell>
          <cell r="C389">
            <v>0</v>
          </cell>
        </row>
        <row r="390">
          <cell r="A390">
            <v>802001</v>
          </cell>
          <cell r="B390" t="str">
            <v>种子商人贸易船</v>
          </cell>
          <cell r="C390">
            <v>0</v>
          </cell>
        </row>
        <row r="391">
          <cell r="A391">
            <v>802002</v>
          </cell>
          <cell r="B391" t="str">
            <v>食品商人贸易船</v>
          </cell>
          <cell r="C391">
            <v>0</v>
          </cell>
        </row>
        <row r="392">
          <cell r="A392">
            <v>802003</v>
          </cell>
          <cell r="B392" t="str">
            <v>杂货商人贸易船</v>
          </cell>
          <cell r="C392">
            <v>0</v>
          </cell>
        </row>
        <row r="393">
          <cell r="A393">
            <v>802004</v>
          </cell>
          <cell r="B393" t="str">
            <v>牲畜商人贸易船</v>
          </cell>
          <cell r="C393">
            <v>0</v>
          </cell>
        </row>
        <row r="394">
          <cell r="A394">
            <v>802005</v>
          </cell>
          <cell r="B394" t="str">
            <v>代购商人贸易船</v>
          </cell>
          <cell r="C394">
            <v>0</v>
          </cell>
        </row>
        <row r="395">
          <cell r="A395">
            <v>803001</v>
          </cell>
          <cell r="B395" t="str">
            <v>水</v>
          </cell>
          <cell r="C395">
            <v>0</v>
          </cell>
        </row>
        <row r="396">
          <cell r="A396">
            <v>804001</v>
          </cell>
          <cell r="B396" t="str">
            <v>尸体</v>
          </cell>
          <cell r="C396">
            <v>0</v>
          </cell>
        </row>
        <row r="397">
          <cell r="A397">
            <v>805001</v>
          </cell>
          <cell r="B397" t="str">
            <v>大鱼</v>
          </cell>
          <cell r="C397">
            <v>0</v>
          </cell>
        </row>
        <row r="398">
          <cell r="A398">
            <v>806001</v>
          </cell>
          <cell r="B398" t="str">
            <v>种子商人</v>
          </cell>
          <cell r="C398">
            <v>0</v>
          </cell>
        </row>
        <row r="399">
          <cell r="A399">
            <v>806002</v>
          </cell>
          <cell r="B399" t="str">
            <v>食品商人</v>
          </cell>
          <cell r="C399">
            <v>0</v>
          </cell>
        </row>
        <row r="400">
          <cell r="A400">
            <v>806003</v>
          </cell>
          <cell r="B400" t="str">
            <v>杂货商人</v>
          </cell>
          <cell r="C400">
            <v>0</v>
          </cell>
        </row>
        <row r="401">
          <cell r="A401">
            <v>806004</v>
          </cell>
          <cell r="B401" t="str">
            <v>牲畜商人</v>
          </cell>
          <cell r="C401">
            <v>0</v>
          </cell>
        </row>
        <row r="402">
          <cell r="A402">
            <v>806005</v>
          </cell>
          <cell r="B402" t="str">
            <v>两轮马车</v>
          </cell>
          <cell r="C402">
            <v>0</v>
          </cell>
        </row>
        <row r="403">
          <cell r="A403">
            <v>806006</v>
          </cell>
          <cell r="B403" t="str">
            <v>四轮马车</v>
          </cell>
          <cell r="C403">
            <v>0</v>
          </cell>
        </row>
        <row r="404">
          <cell r="A404">
            <v>807001</v>
          </cell>
          <cell r="B404" t="str">
            <v>马战车</v>
          </cell>
          <cell r="C404">
            <v>5000</v>
          </cell>
        </row>
        <row r="405">
          <cell r="A405">
            <v>807002</v>
          </cell>
          <cell r="B405" t="str">
            <v>狼战车</v>
          </cell>
          <cell r="C405">
            <v>5000</v>
          </cell>
        </row>
        <row r="406">
          <cell r="A406">
            <v>807003</v>
          </cell>
          <cell r="B406" t="str">
            <v>猪战车</v>
          </cell>
          <cell r="C406">
            <v>5000</v>
          </cell>
        </row>
        <row r="407">
          <cell r="A407">
            <v>808001</v>
          </cell>
          <cell r="B407" t="str">
            <v>???</v>
          </cell>
          <cell r="C407">
            <v>0</v>
          </cell>
        </row>
        <row r="408">
          <cell r="A408">
            <v>809001</v>
          </cell>
          <cell r="B408" t="str">
            <v>鼻涕</v>
          </cell>
          <cell r="C408">
            <v>0</v>
          </cell>
        </row>
        <row r="409">
          <cell r="A409">
            <v>810001</v>
          </cell>
          <cell r="B409" t="str">
            <v>宝藏标记</v>
          </cell>
          <cell r="C409">
            <v>0</v>
          </cell>
        </row>
        <row r="410">
          <cell r="A410">
            <v>810002</v>
          </cell>
          <cell r="B410" t="str">
            <v>宝箱</v>
          </cell>
          <cell r="C410">
            <v>0</v>
          </cell>
        </row>
        <row r="411">
          <cell r="A411">
            <v>811001</v>
          </cell>
          <cell r="B411" t="str">
            <v>生命之力</v>
          </cell>
          <cell r="C411">
            <v>0</v>
          </cell>
        </row>
        <row r="412">
          <cell r="A412">
            <v>812000</v>
          </cell>
          <cell r="B412" t="str">
            <v>矮人</v>
          </cell>
          <cell r="C412">
            <v>0</v>
          </cell>
        </row>
        <row r="413">
          <cell r="A413">
            <v>812001</v>
          </cell>
          <cell r="B413" t="str">
            <v>蚁人</v>
          </cell>
          <cell r="C413">
            <v>0</v>
          </cell>
        </row>
        <row r="414">
          <cell r="A414">
            <v>812002</v>
          </cell>
          <cell r="B414" t="str">
            <v>鼠人</v>
          </cell>
          <cell r="C414">
            <v>0</v>
          </cell>
        </row>
        <row r="415">
          <cell r="A415">
            <v>812003</v>
          </cell>
          <cell r="B415" t="str">
            <v>猫人</v>
          </cell>
          <cell r="C415">
            <v>0</v>
          </cell>
        </row>
        <row r="416">
          <cell r="A416">
            <v>812004</v>
          </cell>
          <cell r="B416" t="str">
            <v>羊人</v>
          </cell>
          <cell r="C416">
            <v>0</v>
          </cell>
        </row>
        <row r="417">
          <cell r="A417">
            <v>812005</v>
          </cell>
          <cell r="B417" t="str">
            <v>狼人</v>
          </cell>
          <cell r="C417">
            <v>0</v>
          </cell>
        </row>
        <row r="418">
          <cell r="A418">
            <v>812006</v>
          </cell>
          <cell r="B418" t="str">
            <v>猪人</v>
          </cell>
          <cell r="C418">
            <v>0</v>
          </cell>
        </row>
        <row r="419">
          <cell r="A419">
            <v>812007</v>
          </cell>
          <cell r="B419" t="str">
            <v>精灵族</v>
          </cell>
          <cell r="C419">
            <v>0</v>
          </cell>
        </row>
        <row r="420">
          <cell r="A420">
            <v>812008</v>
          </cell>
          <cell r="B420" t="str">
            <v>三眼人</v>
          </cell>
          <cell r="C420">
            <v>0</v>
          </cell>
        </row>
        <row r="421">
          <cell r="A421">
            <v>812009</v>
          </cell>
          <cell r="B421" t="str">
            <v>蜥蜴人</v>
          </cell>
          <cell r="C421">
            <v>0</v>
          </cell>
        </row>
        <row r="422">
          <cell r="A422">
            <v>813001</v>
          </cell>
          <cell r="B422" t="str">
            <v>蜜糖派对</v>
          </cell>
          <cell r="C422">
            <v>0</v>
          </cell>
        </row>
        <row r="423">
          <cell r="A423">
            <v>813002</v>
          </cell>
          <cell r="B423" t="str">
            <v>药茶品鉴会</v>
          </cell>
          <cell r="C423">
            <v>0</v>
          </cell>
        </row>
        <row r="424">
          <cell r="A424">
            <v>813003</v>
          </cell>
          <cell r="B424" t="str">
            <v>水果蔬菜沙龙</v>
          </cell>
          <cell r="C424">
            <v>0</v>
          </cell>
        </row>
        <row r="425">
          <cell r="A425">
            <v>813004</v>
          </cell>
          <cell r="B425" t="str">
            <v>酒神狂欢节</v>
          </cell>
          <cell r="C425">
            <v>0</v>
          </cell>
        </row>
        <row r="426">
          <cell r="A426">
            <v>813005</v>
          </cell>
          <cell r="B426" t="str">
            <v>黑暗料理派对</v>
          </cell>
          <cell r="C426">
            <v>0</v>
          </cell>
        </row>
        <row r="427">
          <cell r="A427">
            <v>813006</v>
          </cell>
          <cell r="B427" t="str">
            <v>鱼肉生鲜派对</v>
          </cell>
          <cell r="C427">
            <v>0</v>
          </cell>
        </row>
        <row r="428">
          <cell r="A428">
            <v>813007</v>
          </cell>
          <cell r="B428" t="str">
            <v>宝石品鉴会</v>
          </cell>
          <cell r="C428">
            <v>0</v>
          </cell>
        </row>
        <row r="429">
          <cell r="A429">
            <v>813008</v>
          </cell>
          <cell r="B429" t="str">
            <v>文化研讨会</v>
          </cell>
          <cell r="C429">
            <v>0</v>
          </cell>
        </row>
        <row r="430">
          <cell r="A430">
            <v>813009</v>
          </cell>
          <cell r="B430" t="str">
            <v>贵族派对</v>
          </cell>
          <cell r="C430">
            <v>0</v>
          </cell>
        </row>
        <row r="431">
          <cell r="A431">
            <v>814001</v>
          </cell>
          <cell r="B431" t="str">
            <v>青青草原</v>
          </cell>
          <cell r="C431">
            <v>0</v>
          </cell>
        </row>
        <row r="432">
          <cell r="A432">
            <v>814002</v>
          </cell>
          <cell r="B432" t="str">
            <v>北部森林</v>
          </cell>
          <cell r="C432">
            <v>0</v>
          </cell>
        </row>
        <row r="433">
          <cell r="A433">
            <v>814003</v>
          </cell>
          <cell r="B433" t="str">
            <v>无人荒野</v>
          </cell>
          <cell r="C433">
            <v>0</v>
          </cell>
        </row>
        <row r="434">
          <cell r="A434">
            <v>814004</v>
          </cell>
          <cell r="B434" t="str">
            <v>黄昏森林</v>
          </cell>
          <cell r="C434">
            <v>0</v>
          </cell>
        </row>
        <row r="435">
          <cell r="A435">
            <v>814005</v>
          </cell>
          <cell r="B435" t="str">
            <v>野蛮荒野</v>
          </cell>
          <cell r="C435">
            <v>0</v>
          </cell>
        </row>
        <row r="436">
          <cell r="A436">
            <v>814006</v>
          </cell>
          <cell r="B436" t="str">
            <v>迷雾山峰</v>
          </cell>
          <cell r="C436">
            <v>0</v>
          </cell>
        </row>
        <row r="437">
          <cell r="A437">
            <v>814007</v>
          </cell>
          <cell r="B437" t="str">
            <v>滨海平原</v>
          </cell>
          <cell r="C437">
            <v>0</v>
          </cell>
        </row>
        <row r="438">
          <cell r="A438">
            <v>814008</v>
          </cell>
          <cell r="B438" t="str">
            <v>恶魔海角</v>
          </cell>
          <cell r="C438">
            <v>0</v>
          </cell>
        </row>
        <row r="439">
          <cell r="A439">
            <v>814009</v>
          </cell>
          <cell r="B439" t="str">
            <v>龙之平原</v>
          </cell>
          <cell r="C439">
            <v>0</v>
          </cell>
        </row>
        <row r="440">
          <cell r="A440">
            <v>814010</v>
          </cell>
          <cell r="B440" t="str">
            <v>龙之峡谷</v>
          </cell>
          <cell r="C440">
            <v>0</v>
          </cell>
        </row>
        <row r="441">
          <cell r="A441">
            <v>815001</v>
          </cell>
          <cell r="B441" t="str">
            <v>龙魂石</v>
          </cell>
          <cell r="C441">
            <v>20000</v>
          </cell>
        </row>
        <row r="442">
          <cell r="A442">
            <v>815002</v>
          </cell>
          <cell r="B442" t="str">
            <v>龙鳞</v>
          </cell>
          <cell r="C442">
            <v>20000</v>
          </cell>
        </row>
        <row r="443">
          <cell r="A443">
            <v>815003</v>
          </cell>
          <cell r="B443" t="str">
            <v>龙晶</v>
          </cell>
          <cell r="C443">
            <v>20000</v>
          </cell>
        </row>
        <row r="444">
          <cell r="A444">
            <v>815004</v>
          </cell>
          <cell r="B444" t="str">
            <v>龙髓</v>
          </cell>
          <cell r="C444">
            <v>20000</v>
          </cell>
        </row>
        <row r="445">
          <cell r="A445">
            <v>815005</v>
          </cell>
          <cell r="B445" t="str">
            <v>龙蕊</v>
          </cell>
          <cell r="C445">
            <v>20000</v>
          </cell>
        </row>
        <row r="446">
          <cell r="A446">
            <v>901001</v>
          </cell>
          <cell r="B446" t="str">
            <v>一神教</v>
          </cell>
          <cell r="C446">
            <v>0</v>
          </cell>
        </row>
        <row r="447">
          <cell r="A447">
            <v>901002</v>
          </cell>
          <cell r="B447" t="str">
            <v>仁义道</v>
          </cell>
          <cell r="C447">
            <v>0</v>
          </cell>
        </row>
        <row r="448">
          <cell r="A448">
            <v>901004</v>
          </cell>
          <cell r="B448" t="str">
            <v>萨满教</v>
          </cell>
          <cell r="C448">
            <v>0</v>
          </cell>
        </row>
        <row r="449">
          <cell r="A449">
            <v>902002</v>
          </cell>
          <cell r="B449" t="str">
            <v>登山技术</v>
          </cell>
          <cell r="C449">
            <v>2000</v>
          </cell>
        </row>
        <row r="450">
          <cell r="A450">
            <v>902003</v>
          </cell>
          <cell r="B450" t="str">
            <v>石匠技术</v>
          </cell>
          <cell r="C450">
            <v>500</v>
          </cell>
        </row>
        <row r="451">
          <cell r="A451">
            <v>902004</v>
          </cell>
          <cell r="B451" t="str">
            <v>周转箱</v>
          </cell>
          <cell r="C451">
            <v>1000</v>
          </cell>
        </row>
        <row r="452">
          <cell r="A452">
            <v>902005</v>
          </cell>
          <cell r="B452" t="str">
            <v>贸易</v>
          </cell>
          <cell r="C452">
            <v>1000</v>
          </cell>
        </row>
        <row r="453">
          <cell r="A453">
            <v>902007</v>
          </cell>
          <cell r="B453" t="str">
            <v>酿酒</v>
          </cell>
          <cell r="C453">
            <v>500</v>
          </cell>
        </row>
        <row r="454">
          <cell r="A454">
            <v>902008</v>
          </cell>
          <cell r="B454" t="str">
            <v>教育</v>
          </cell>
          <cell r="C454">
            <v>1000</v>
          </cell>
        </row>
        <row r="455">
          <cell r="A455">
            <v>902009</v>
          </cell>
          <cell r="B455" t="str">
            <v>文化信仰</v>
          </cell>
          <cell r="C455">
            <v>2000</v>
          </cell>
        </row>
        <row r="456">
          <cell r="A456">
            <v>902010</v>
          </cell>
          <cell r="B456" t="str">
            <v>医疗</v>
          </cell>
          <cell r="C456">
            <v>1500</v>
          </cell>
        </row>
        <row r="457">
          <cell r="A457">
            <v>902011</v>
          </cell>
          <cell r="B457" t="str">
            <v>制药</v>
          </cell>
          <cell r="C457">
            <v>1500</v>
          </cell>
        </row>
        <row r="458">
          <cell r="A458">
            <v>902012</v>
          </cell>
          <cell r="B458" t="str">
            <v>轮伐护林</v>
          </cell>
          <cell r="C458">
            <v>500</v>
          </cell>
        </row>
        <row r="459">
          <cell r="A459">
            <v>902013</v>
          </cell>
          <cell r="B459" t="str">
            <v>手工制造</v>
          </cell>
          <cell r="C459">
            <v>500</v>
          </cell>
        </row>
        <row r="460">
          <cell r="A460">
            <v>902014</v>
          </cell>
          <cell r="B460" t="str">
            <v>地下采矿</v>
          </cell>
          <cell r="C460">
            <v>2000</v>
          </cell>
        </row>
        <row r="461">
          <cell r="A461">
            <v>902015</v>
          </cell>
          <cell r="B461" t="str">
            <v>地下采石</v>
          </cell>
          <cell r="C461">
            <v>2000</v>
          </cell>
        </row>
        <row r="462">
          <cell r="A462">
            <v>902016</v>
          </cell>
          <cell r="B462" t="str">
            <v>福利事业</v>
          </cell>
          <cell r="C462">
            <v>2000</v>
          </cell>
        </row>
        <row r="463">
          <cell r="A463">
            <v>902017</v>
          </cell>
          <cell r="B463" t="str">
            <v>水井</v>
          </cell>
          <cell r="C463">
            <v>2000</v>
          </cell>
        </row>
        <row r="464">
          <cell r="A464">
            <v>902018</v>
          </cell>
          <cell r="B464" t="str">
            <v>施肥增产</v>
          </cell>
          <cell r="C464">
            <v>2000</v>
          </cell>
        </row>
        <row r="465">
          <cell r="A465">
            <v>902019</v>
          </cell>
          <cell r="B465" t="str">
            <v>成片播种</v>
          </cell>
          <cell r="C465">
            <v>2000</v>
          </cell>
        </row>
        <row r="466">
          <cell r="A466">
            <v>902020</v>
          </cell>
          <cell r="B466" t="str">
            <v>成片浇水</v>
          </cell>
          <cell r="C466">
            <v>2000</v>
          </cell>
        </row>
        <row r="467">
          <cell r="A467">
            <v>902021</v>
          </cell>
          <cell r="B467" t="str">
            <v>成片收割</v>
          </cell>
          <cell r="C467">
            <v>2000</v>
          </cell>
        </row>
        <row r="468">
          <cell r="A468">
            <v>902022</v>
          </cell>
          <cell r="B468" t="str">
            <v>采集</v>
          </cell>
          <cell r="C468">
            <v>2000</v>
          </cell>
        </row>
        <row r="469">
          <cell r="A469">
            <v>902023</v>
          </cell>
          <cell r="B469" t="str">
            <v>捕兽夹</v>
          </cell>
          <cell r="C469">
            <v>2000</v>
          </cell>
        </row>
        <row r="470">
          <cell r="A470">
            <v>902024</v>
          </cell>
          <cell r="B470" t="str">
            <v>蟹笼</v>
          </cell>
          <cell r="C470">
            <v>2000</v>
          </cell>
        </row>
        <row r="471">
          <cell r="A471">
            <v>902025</v>
          </cell>
          <cell r="B471" t="str">
            <v>军事</v>
          </cell>
          <cell r="C471">
            <v>2000</v>
          </cell>
        </row>
        <row r="472">
          <cell r="A472">
            <v>902032</v>
          </cell>
          <cell r="B472" t="str">
            <v>一神教思想</v>
          </cell>
          <cell r="C472">
            <v>2000</v>
          </cell>
        </row>
        <row r="473">
          <cell r="A473">
            <v>902033</v>
          </cell>
          <cell r="B473" t="str">
            <v>仁义道思想</v>
          </cell>
          <cell r="C473">
            <v>2000</v>
          </cell>
        </row>
        <row r="474">
          <cell r="A474">
            <v>902034</v>
          </cell>
          <cell r="B474" t="str">
            <v>狩猎</v>
          </cell>
          <cell r="C474">
            <v>2000</v>
          </cell>
        </row>
        <row r="475">
          <cell r="A475">
            <v>902035</v>
          </cell>
          <cell r="B475" t="str">
            <v>捕鱼</v>
          </cell>
          <cell r="C475">
            <v>2000</v>
          </cell>
        </row>
        <row r="476">
          <cell r="A476">
            <v>902036</v>
          </cell>
          <cell r="B476" t="str">
            <v>种植</v>
          </cell>
          <cell r="C476">
            <v>2000</v>
          </cell>
        </row>
        <row r="477">
          <cell r="A477">
            <v>902037</v>
          </cell>
          <cell r="B477" t="str">
            <v>养殖</v>
          </cell>
          <cell r="C477">
            <v>2000</v>
          </cell>
        </row>
        <row r="478">
          <cell r="A478">
            <v>902038</v>
          </cell>
          <cell r="B478" t="str">
            <v>养蜂</v>
          </cell>
          <cell r="C478">
            <v>2000</v>
          </cell>
        </row>
        <row r="479">
          <cell r="A479">
            <v>902039</v>
          </cell>
          <cell r="B479" t="str">
            <v>盆栽</v>
          </cell>
          <cell r="C479">
            <v>2000</v>
          </cell>
        </row>
        <row r="480">
          <cell r="A480">
            <v>902049</v>
          </cell>
          <cell r="B480" t="str">
            <v>普通武器</v>
          </cell>
          <cell r="C480">
            <v>2000</v>
          </cell>
        </row>
        <row r="481">
          <cell r="A481">
            <v>902026</v>
          </cell>
          <cell r="B481" t="str">
            <v>优良武器</v>
          </cell>
          <cell r="C481">
            <v>2000</v>
          </cell>
        </row>
        <row r="482">
          <cell r="A482">
            <v>902029</v>
          </cell>
          <cell r="B482" t="str">
            <v>高级武器</v>
          </cell>
          <cell r="C482">
            <v>2000</v>
          </cell>
        </row>
        <row r="483">
          <cell r="A483">
            <v>902040</v>
          </cell>
          <cell r="B483" t="str">
            <v>稀有武器</v>
          </cell>
          <cell r="C483">
            <v>2000</v>
          </cell>
        </row>
        <row r="484">
          <cell r="A484">
            <v>902043</v>
          </cell>
          <cell r="B484" t="str">
            <v>特殊武器</v>
          </cell>
          <cell r="C484">
            <v>2000</v>
          </cell>
        </row>
        <row r="485">
          <cell r="A485">
            <v>902046</v>
          </cell>
          <cell r="B485" t="str">
            <v>极品武器</v>
          </cell>
          <cell r="C485">
            <v>2000</v>
          </cell>
        </row>
        <row r="486">
          <cell r="A486">
            <v>902068</v>
          </cell>
          <cell r="B486" t="str">
            <v>传说武器</v>
          </cell>
          <cell r="C486">
            <v>2000</v>
          </cell>
        </row>
        <row r="487">
          <cell r="A487">
            <v>902071</v>
          </cell>
          <cell r="B487" t="str">
            <v>史诗武器</v>
          </cell>
          <cell r="C487">
            <v>2000</v>
          </cell>
        </row>
        <row r="488">
          <cell r="A488">
            <v>902050</v>
          </cell>
          <cell r="B488" t="str">
            <v>普通盔甲</v>
          </cell>
          <cell r="C488">
            <v>2000</v>
          </cell>
        </row>
        <row r="489">
          <cell r="A489">
            <v>902027</v>
          </cell>
          <cell r="B489" t="str">
            <v>优良盔甲</v>
          </cell>
          <cell r="C489">
            <v>2000</v>
          </cell>
        </row>
        <row r="490">
          <cell r="A490">
            <v>902030</v>
          </cell>
          <cell r="B490" t="str">
            <v>高级盔甲</v>
          </cell>
          <cell r="C490">
            <v>2000</v>
          </cell>
        </row>
        <row r="491">
          <cell r="A491">
            <v>902041</v>
          </cell>
          <cell r="B491" t="str">
            <v>稀有盔甲</v>
          </cell>
          <cell r="C491">
            <v>2000</v>
          </cell>
        </row>
        <row r="492">
          <cell r="A492">
            <v>902044</v>
          </cell>
          <cell r="B492" t="str">
            <v>特殊盔甲</v>
          </cell>
          <cell r="C492">
            <v>2000</v>
          </cell>
        </row>
        <row r="493">
          <cell r="A493">
            <v>902047</v>
          </cell>
          <cell r="B493" t="str">
            <v>极品盔甲</v>
          </cell>
          <cell r="C493">
            <v>2000</v>
          </cell>
        </row>
        <row r="494">
          <cell r="A494">
            <v>902069</v>
          </cell>
          <cell r="B494" t="str">
            <v>传说盔甲</v>
          </cell>
          <cell r="C494">
            <v>2000</v>
          </cell>
        </row>
        <row r="495">
          <cell r="A495">
            <v>902072</v>
          </cell>
          <cell r="B495" t="str">
            <v>史诗盔甲</v>
          </cell>
          <cell r="C495">
            <v>2000</v>
          </cell>
        </row>
        <row r="496">
          <cell r="A496">
            <v>902051</v>
          </cell>
          <cell r="B496" t="str">
            <v>普通盾牌</v>
          </cell>
          <cell r="C496">
            <v>2000</v>
          </cell>
        </row>
        <row r="497">
          <cell r="A497">
            <v>902028</v>
          </cell>
          <cell r="B497" t="str">
            <v>优良盾牌</v>
          </cell>
          <cell r="C497">
            <v>2000</v>
          </cell>
        </row>
        <row r="498">
          <cell r="A498">
            <v>902031</v>
          </cell>
          <cell r="B498" t="str">
            <v>高级盾牌</v>
          </cell>
          <cell r="C498">
            <v>2000</v>
          </cell>
        </row>
        <row r="499">
          <cell r="A499">
            <v>902042</v>
          </cell>
          <cell r="B499" t="str">
            <v>稀有盾牌</v>
          </cell>
          <cell r="C499">
            <v>2000</v>
          </cell>
        </row>
        <row r="500">
          <cell r="A500">
            <v>902045</v>
          </cell>
          <cell r="B500" t="str">
            <v>特殊盾牌</v>
          </cell>
          <cell r="C500">
            <v>2000</v>
          </cell>
        </row>
        <row r="501">
          <cell r="A501">
            <v>902048</v>
          </cell>
          <cell r="B501" t="str">
            <v>极品盾牌</v>
          </cell>
          <cell r="C501">
            <v>2000</v>
          </cell>
        </row>
        <row r="502">
          <cell r="A502">
            <v>902070</v>
          </cell>
          <cell r="B502" t="str">
            <v>传说盾牌</v>
          </cell>
          <cell r="C502">
            <v>2000</v>
          </cell>
        </row>
        <row r="503">
          <cell r="A503">
            <v>902073</v>
          </cell>
          <cell r="B503" t="str">
            <v>史诗盾牌</v>
          </cell>
          <cell r="C503">
            <v>2000</v>
          </cell>
        </row>
        <row r="504">
          <cell r="A504">
            <v>902052</v>
          </cell>
          <cell r="B504" t="str">
            <v>锻造</v>
          </cell>
          <cell r="C504">
            <v>2000</v>
          </cell>
        </row>
        <row r="505">
          <cell r="A505">
            <v>902053</v>
          </cell>
          <cell r="B505" t="str">
            <v>弓矢</v>
          </cell>
          <cell r="C505">
            <v>2000</v>
          </cell>
        </row>
        <row r="506">
          <cell r="A506">
            <v>902054</v>
          </cell>
          <cell r="B506" t="str">
            <v>弩机</v>
          </cell>
          <cell r="C506">
            <v>2000</v>
          </cell>
        </row>
        <row r="507">
          <cell r="A507">
            <v>902055</v>
          </cell>
          <cell r="B507" t="str">
            <v>盾牌</v>
          </cell>
          <cell r="C507">
            <v>2000</v>
          </cell>
        </row>
        <row r="508">
          <cell r="A508">
            <v>902056</v>
          </cell>
          <cell r="B508" t="str">
            <v>巨盾</v>
          </cell>
          <cell r="C508">
            <v>2000</v>
          </cell>
        </row>
        <row r="509">
          <cell r="A509">
            <v>902057</v>
          </cell>
          <cell r="B509" t="str">
            <v>骑射</v>
          </cell>
          <cell r="C509">
            <v>2000</v>
          </cell>
        </row>
        <row r="510">
          <cell r="A510">
            <v>902059</v>
          </cell>
          <cell r="B510" t="str">
            <v>人伦书</v>
          </cell>
          <cell r="C510">
            <v>2000</v>
          </cell>
        </row>
        <row r="511">
          <cell r="A511">
            <v>902060</v>
          </cell>
          <cell r="B511" t="str">
            <v>轮回书</v>
          </cell>
          <cell r="C511">
            <v>2000</v>
          </cell>
        </row>
        <row r="512">
          <cell r="A512">
            <v>902061</v>
          </cell>
          <cell r="B512" t="str">
            <v>货架</v>
          </cell>
          <cell r="C512">
            <v>1000</v>
          </cell>
        </row>
        <row r="513">
          <cell r="A513">
            <v>902063</v>
          </cell>
          <cell r="B513" t="str">
            <v>填水造陆</v>
          </cell>
          <cell r="C513">
            <v>1000</v>
          </cell>
        </row>
        <row r="514">
          <cell r="A514">
            <v>902064</v>
          </cell>
          <cell r="B514" t="str">
            <v>开挖河道</v>
          </cell>
          <cell r="C514">
            <v>1000</v>
          </cell>
        </row>
        <row r="515">
          <cell r="A515">
            <v>902065</v>
          </cell>
          <cell r="B515" t="str">
            <v>边境贸易</v>
          </cell>
          <cell r="C515">
            <v>1000</v>
          </cell>
        </row>
        <row r="516">
          <cell r="A516">
            <v>902066</v>
          </cell>
          <cell r="B516" t="str">
            <v>马车运输</v>
          </cell>
          <cell r="C516">
            <v>1000</v>
          </cell>
        </row>
        <row r="517">
          <cell r="A517">
            <v>902074</v>
          </cell>
          <cell r="B517" t="str">
            <v>牢房</v>
          </cell>
          <cell r="C517">
            <v>2000</v>
          </cell>
        </row>
        <row r="518">
          <cell r="A518">
            <v>902075</v>
          </cell>
          <cell r="B518" t="str">
            <v>壁炉</v>
          </cell>
          <cell r="C518">
            <v>500</v>
          </cell>
        </row>
        <row r="519">
          <cell r="A519">
            <v>902077</v>
          </cell>
          <cell r="B519" t="str">
            <v>个人意识</v>
          </cell>
          <cell r="C519">
            <v>500</v>
          </cell>
        </row>
        <row r="520">
          <cell r="A520">
            <v>902078</v>
          </cell>
          <cell r="B520" t="str">
            <v>灵感</v>
          </cell>
          <cell r="C520">
            <v>500</v>
          </cell>
        </row>
        <row r="521">
          <cell r="A521">
            <v>902080</v>
          </cell>
          <cell r="B521" t="str">
            <v>勇气</v>
          </cell>
          <cell r="C521">
            <v>500</v>
          </cell>
        </row>
        <row r="522">
          <cell r="A522">
            <v>902081</v>
          </cell>
          <cell r="B522" t="str">
            <v>自由恋爱</v>
          </cell>
          <cell r="C522">
            <v>500</v>
          </cell>
        </row>
        <row r="523">
          <cell r="A523">
            <v>902082</v>
          </cell>
          <cell r="B523" t="str">
            <v>惩罚制度</v>
          </cell>
          <cell r="C523">
            <v>500</v>
          </cell>
        </row>
        <row r="524">
          <cell r="A524">
            <v>902083</v>
          </cell>
          <cell r="B524" t="str">
            <v>奖励制度</v>
          </cell>
          <cell r="C524">
            <v>500</v>
          </cell>
        </row>
        <row r="525">
          <cell r="A525">
            <v>902084</v>
          </cell>
          <cell r="B525" t="str">
            <v>怪物驯化</v>
          </cell>
          <cell r="C525">
            <v>500</v>
          </cell>
        </row>
        <row r="526">
          <cell r="A526">
            <v>902085</v>
          </cell>
          <cell r="B526" t="str">
            <v>农夫雕像</v>
          </cell>
          <cell r="C526">
            <v>500</v>
          </cell>
        </row>
        <row r="527">
          <cell r="A527">
            <v>902086</v>
          </cell>
          <cell r="B527" t="str">
            <v>精灵雕像</v>
          </cell>
          <cell r="C527">
            <v>500</v>
          </cell>
        </row>
        <row r="528">
          <cell r="A528">
            <v>902087</v>
          </cell>
          <cell r="B528" t="str">
            <v>士兵雕像</v>
          </cell>
          <cell r="C528">
            <v>500</v>
          </cell>
        </row>
        <row r="529">
          <cell r="A529">
            <v>902088</v>
          </cell>
          <cell r="B529" t="str">
            <v>渔夫雕像</v>
          </cell>
          <cell r="C529">
            <v>500</v>
          </cell>
        </row>
        <row r="530">
          <cell r="A530">
            <v>902089</v>
          </cell>
          <cell r="B530" t="str">
            <v>牧民雕像</v>
          </cell>
          <cell r="C530">
            <v>500</v>
          </cell>
        </row>
        <row r="531">
          <cell r="A531">
            <v>902090</v>
          </cell>
          <cell r="B531" t="str">
            <v>城墙</v>
          </cell>
          <cell r="C531">
            <v>500</v>
          </cell>
        </row>
        <row r="532">
          <cell r="A532">
            <v>902091</v>
          </cell>
          <cell r="B532" t="str">
            <v>开山采石</v>
          </cell>
          <cell r="C532">
            <v>500</v>
          </cell>
        </row>
        <row r="533">
          <cell r="A533">
            <v>902092</v>
          </cell>
          <cell r="B533" t="str">
            <v>大炮</v>
          </cell>
          <cell r="C533">
            <v>500</v>
          </cell>
        </row>
        <row r="534">
          <cell r="A534">
            <v>902093</v>
          </cell>
          <cell r="B534" t="str">
            <v>战舰</v>
          </cell>
          <cell r="C534">
            <v>500</v>
          </cell>
        </row>
        <row r="535">
          <cell r="A535">
            <v>902094</v>
          </cell>
          <cell r="B535" t="str">
            <v>航海术</v>
          </cell>
          <cell r="C535">
            <v>500</v>
          </cell>
        </row>
        <row r="536">
          <cell r="A536">
            <v>902095</v>
          </cell>
          <cell r="B536" t="str">
            <v>巨型战舰</v>
          </cell>
          <cell r="C536">
            <v>500</v>
          </cell>
        </row>
        <row r="537">
          <cell r="A537">
            <v>902096</v>
          </cell>
          <cell r="B537" t="str">
            <v>方尖碑</v>
          </cell>
          <cell r="C537">
            <v>500</v>
          </cell>
        </row>
        <row r="538">
          <cell r="A538">
            <v>902097</v>
          </cell>
          <cell r="B538" t="str">
            <v>铁弹</v>
          </cell>
          <cell r="C538">
            <v>500</v>
          </cell>
        </row>
        <row r="539">
          <cell r="A539">
            <v>902098</v>
          </cell>
          <cell r="B539" t="str">
            <v>弹道</v>
          </cell>
          <cell r="C539">
            <v>500</v>
          </cell>
        </row>
        <row r="540">
          <cell r="A540">
            <v>902099</v>
          </cell>
          <cell r="B540" t="str">
            <v>旅店</v>
          </cell>
          <cell r="C540">
            <v>500</v>
          </cell>
        </row>
        <row r="541">
          <cell r="A541">
            <v>902100</v>
          </cell>
          <cell r="B541" t="str">
            <v>巨型炸弹</v>
          </cell>
          <cell r="C541">
            <v>500</v>
          </cell>
        </row>
        <row r="542">
          <cell r="A542">
            <v>902101</v>
          </cell>
          <cell r="B542" t="str">
            <v>泰坦祭坛</v>
          </cell>
          <cell r="C542">
            <v>500</v>
          </cell>
        </row>
        <row r="543">
          <cell r="A543">
            <v>902102</v>
          </cell>
          <cell r="B543" t="str">
            <v>深井开采</v>
          </cell>
          <cell r="C543">
            <v>500</v>
          </cell>
        </row>
        <row r="544">
          <cell r="A544">
            <v>902103</v>
          </cell>
          <cell r="B544" t="str">
            <v>法杖</v>
          </cell>
          <cell r="C544">
            <v>500</v>
          </cell>
        </row>
        <row r="545">
          <cell r="A545">
            <v>902104</v>
          </cell>
          <cell r="B545" t="str">
            <v>地下穴居</v>
          </cell>
          <cell r="C545">
            <v>500</v>
          </cell>
        </row>
        <row r="546">
          <cell r="A546">
            <v>902105</v>
          </cell>
          <cell r="B546" t="str">
            <v>传送门</v>
          </cell>
          <cell r="C546">
            <v>500</v>
          </cell>
        </row>
        <row r="547">
          <cell r="A547">
            <v>902106</v>
          </cell>
          <cell r="B547" t="str">
            <v>节日庆典</v>
          </cell>
          <cell r="C547">
            <v>500</v>
          </cell>
        </row>
        <row r="548">
          <cell r="A548">
            <v>902108</v>
          </cell>
          <cell r="B548" t="str">
            <v>钩爪</v>
          </cell>
          <cell r="C548">
            <v>500</v>
          </cell>
        </row>
        <row r="549">
          <cell r="A549">
            <v>902109</v>
          </cell>
          <cell r="B549" t="str">
            <v>成片施肥</v>
          </cell>
          <cell r="C549">
            <v>500</v>
          </cell>
        </row>
        <row r="550">
          <cell r="A550">
            <v>902110</v>
          </cell>
          <cell r="B550" t="str">
            <v>尚武精神</v>
          </cell>
          <cell r="C550">
            <v>500</v>
          </cell>
        </row>
        <row r="551">
          <cell r="A551">
            <v>902111</v>
          </cell>
          <cell r="B551" t="str">
            <v>人口政策</v>
          </cell>
          <cell r="C551">
            <v>500</v>
          </cell>
        </row>
        <row r="552">
          <cell r="A552">
            <v>902112</v>
          </cell>
          <cell r="B552" t="str">
            <v>启蒙书</v>
          </cell>
          <cell r="C552">
            <v>500</v>
          </cell>
        </row>
        <row r="553">
          <cell r="A553">
            <v>902113</v>
          </cell>
          <cell r="B553" t="str">
            <v>磨坊</v>
          </cell>
          <cell r="C553">
            <v>500</v>
          </cell>
        </row>
        <row r="554">
          <cell r="A554">
            <v>902114</v>
          </cell>
          <cell r="B554" t="str">
            <v>心灵书</v>
          </cell>
          <cell r="C554">
            <v>500</v>
          </cell>
        </row>
        <row r="555">
          <cell r="A555">
            <v>902115</v>
          </cell>
          <cell r="B555" t="str">
            <v>野营</v>
          </cell>
          <cell r="C555">
            <v>500</v>
          </cell>
        </row>
        <row r="556">
          <cell r="A556">
            <v>902116</v>
          </cell>
          <cell r="B556" t="str">
            <v>蘑菇培育</v>
          </cell>
          <cell r="C556">
            <v>500</v>
          </cell>
        </row>
        <row r="557">
          <cell r="A557">
            <v>902117</v>
          </cell>
          <cell r="B557" t="str">
            <v>倾听</v>
          </cell>
          <cell r="C557">
            <v>500</v>
          </cell>
        </row>
        <row r="558">
          <cell r="A558">
            <v>902118</v>
          </cell>
          <cell r="B558" t="str">
            <v>光明祭坛</v>
          </cell>
          <cell r="C558">
            <v>500</v>
          </cell>
        </row>
        <row r="559">
          <cell r="A559">
            <v>902119</v>
          </cell>
          <cell r="B559" t="str">
            <v>黑暗祭坛</v>
          </cell>
          <cell r="C559">
            <v>500</v>
          </cell>
        </row>
        <row r="560">
          <cell r="A560">
            <v>902120</v>
          </cell>
          <cell r="B560" t="str">
            <v>天职书</v>
          </cell>
          <cell r="C560">
            <v>2000</v>
          </cell>
        </row>
        <row r="561">
          <cell r="A561">
            <v>902122</v>
          </cell>
          <cell r="B561" t="str">
            <v>冰窖</v>
          </cell>
          <cell r="C561">
            <v>2000</v>
          </cell>
        </row>
        <row r="562">
          <cell r="A562">
            <v>902123</v>
          </cell>
          <cell r="B562" t="str">
            <v>地雷</v>
          </cell>
          <cell r="C562">
            <v>2000</v>
          </cell>
        </row>
        <row r="563">
          <cell r="A563">
            <v>902124</v>
          </cell>
          <cell r="B563" t="str">
            <v>强制劳动</v>
          </cell>
          <cell r="C563">
            <v>2000</v>
          </cell>
        </row>
        <row r="564">
          <cell r="A564">
            <v>902125</v>
          </cell>
          <cell r="B564" t="str">
            <v>官员选拔</v>
          </cell>
          <cell r="C564">
            <v>2000</v>
          </cell>
        </row>
        <row r="565">
          <cell r="A565">
            <v>902126</v>
          </cell>
          <cell r="B565" t="str">
            <v>政治联姻</v>
          </cell>
          <cell r="C565">
            <v>2000</v>
          </cell>
        </row>
        <row r="566">
          <cell r="A566">
            <v>902127</v>
          </cell>
          <cell r="B566" t="str">
            <v>火枪</v>
          </cell>
          <cell r="C566">
            <v>2000</v>
          </cell>
        </row>
        <row r="567">
          <cell r="A567">
            <v>902128</v>
          </cell>
          <cell r="B567" t="str">
            <v>驯狼</v>
          </cell>
          <cell r="C567">
            <v>2000</v>
          </cell>
        </row>
        <row r="568">
          <cell r="A568">
            <v>902129</v>
          </cell>
          <cell r="B568" t="str">
            <v>水晶球</v>
          </cell>
          <cell r="C568">
            <v>2000</v>
          </cell>
        </row>
        <row r="569">
          <cell r="A569">
            <v>902130</v>
          </cell>
          <cell r="B569" t="str">
            <v>冶炼</v>
          </cell>
          <cell r="C569">
            <v>2000</v>
          </cell>
        </row>
        <row r="570">
          <cell r="A570">
            <v>902131</v>
          </cell>
          <cell r="B570" t="str">
            <v>高级冶炼</v>
          </cell>
          <cell r="C570">
            <v>2000</v>
          </cell>
        </row>
        <row r="571">
          <cell r="A571">
            <v>902132</v>
          </cell>
          <cell r="B571" t="str">
            <v>奇观</v>
          </cell>
          <cell r="C571">
            <v>2000</v>
          </cell>
        </row>
        <row r="572">
          <cell r="A572">
            <v>902133</v>
          </cell>
          <cell r="B572" t="str">
            <v>王座</v>
          </cell>
          <cell r="C572">
            <v>2000</v>
          </cell>
        </row>
        <row r="573">
          <cell r="A573">
            <v>902134</v>
          </cell>
          <cell r="B573" t="str">
            <v>社会抚养</v>
          </cell>
          <cell r="C573">
            <v>2000</v>
          </cell>
        </row>
        <row r="574">
          <cell r="A574">
            <v>902135</v>
          </cell>
          <cell r="B574" t="str">
            <v>地板</v>
          </cell>
          <cell r="C574">
            <v>2000</v>
          </cell>
        </row>
        <row r="575">
          <cell r="A575">
            <v>902136</v>
          </cell>
          <cell r="B575" t="str">
            <v>石质地板</v>
          </cell>
          <cell r="C575">
            <v>2000</v>
          </cell>
        </row>
        <row r="576">
          <cell r="A576">
            <v>902137</v>
          </cell>
          <cell r="B576" t="str">
            <v>铁质地板</v>
          </cell>
          <cell r="C576">
            <v>2000</v>
          </cell>
        </row>
        <row r="577">
          <cell r="A577">
            <v>902138</v>
          </cell>
          <cell r="B577" t="str">
            <v>银质地板</v>
          </cell>
          <cell r="C577">
            <v>2000</v>
          </cell>
        </row>
        <row r="578">
          <cell r="A578">
            <v>902139</v>
          </cell>
          <cell r="B578" t="str">
            <v>金质地板</v>
          </cell>
          <cell r="C578">
            <v>2000</v>
          </cell>
        </row>
        <row r="579">
          <cell r="A579">
            <v>902140</v>
          </cell>
          <cell r="B579" t="str">
            <v>博彩</v>
          </cell>
          <cell r="C579">
            <v>2000</v>
          </cell>
        </row>
        <row r="580">
          <cell r="A580">
            <v>902141</v>
          </cell>
          <cell r="B580" t="str">
            <v>公共浴场</v>
          </cell>
          <cell r="C580">
            <v>2000</v>
          </cell>
        </row>
        <row r="581">
          <cell r="A581">
            <v>902142</v>
          </cell>
          <cell r="B581" t="str">
            <v>军事训练</v>
          </cell>
          <cell r="C581">
            <v>2000</v>
          </cell>
        </row>
        <row r="582">
          <cell r="A582">
            <v>902143</v>
          </cell>
          <cell r="B582" t="str">
            <v>铁墙</v>
          </cell>
          <cell r="C582">
            <v>2000</v>
          </cell>
        </row>
        <row r="583">
          <cell r="A583">
            <v>902144</v>
          </cell>
          <cell r="B583" t="str">
            <v>国库</v>
          </cell>
          <cell r="C583">
            <v>2000</v>
          </cell>
        </row>
        <row r="584">
          <cell r="A584">
            <v>902145</v>
          </cell>
          <cell r="B584" t="str">
            <v>BUG雕像</v>
          </cell>
          <cell r="C584">
            <v>10000</v>
          </cell>
        </row>
        <row r="585">
          <cell r="A585">
            <v>902146</v>
          </cell>
          <cell r="B585" t="str">
            <v>继承人选拔</v>
          </cell>
          <cell r="C585">
            <v>2000</v>
          </cell>
        </row>
        <row r="586">
          <cell r="A586">
            <v>902147</v>
          </cell>
          <cell r="B586" t="str">
            <v>兽药</v>
          </cell>
          <cell r="C586">
            <v>2000</v>
          </cell>
        </row>
        <row r="587">
          <cell r="A587">
            <v>902148</v>
          </cell>
          <cell r="B587" t="str">
            <v>永恒圣殿</v>
          </cell>
          <cell r="C587">
            <v>2000</v>
          </cell>
        </row>
        <row r="588">
          <cell r="A588">
            <v>902149</v>
          </cell>
          <cell r="B588" t="str">
            <v>兵法书</v>
          </cell>
          <cell r="C588">
            <v>2000</v>
          </cell>
        </row>
        <row r="589">
          <cell r="A589">
            <v>902150</v>
          </cell>
          <cell r="B589" t="str">
            <v>管理书</v>
          </cell>
          <cell r="C589">
            <v>2000</v>
          </cell>
        </row>
        <row r="590">
          <cell r="A590">
            <v>902151</v>
          </cell>
          <cell r="B590" t="str">
            <v>忠义书</v>
          </cell>
          <cell r="C590">
            <v>2000</v>
          </cell>
        </row>
        <row r="591">
          <cell r="A591">
            <v>902152</v>
          </cell>
          <cell r="B591" t="str">
            <v>高效收纳</v>
          </cell>
          <cell r="C591">
            <v>2000</v>
          </cell>
        </row>
        <row r="592">
          <cell r="A592">
            <v>902153</v>
          </cell>
          <cell r="B592" t="str">
            <v>熏肉</v>
          </cell>
          <cell r="C592">
            <v>2000</v>
          </cell>
        </row>
        <row r="593">
          <cell r="A593">
            <v>902154</v>
          </cell>
          <cell r="B593" t="str">
            <v>糕点</v>
          </cell>
          <cell r="C593">
            <v>2000</v>
          </cell>
        </row>
        <row r="594">
          <cell r="A594">
            <v>902155</v>
          </cell>
          <cell r="B594" t="str">
            <v>零食</v>
          </cell>
          <cell r="C594">
            <v>2000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0"/>
  <sheetViews>
    <sheetView tabSelected="1" workbookViewId="0">
      <pane ySplit="1" topLeftCell="A89" activePane="bottomLeft" state="frozen"/>
      <selection activeCell="L1" sqref="L1"/>
      <selection pane="bottomLeft" activeCell="J111" sqref="J111"/>
    </sheetView>
  </sheetViews>
  <sheetFormatPr defaultRowHeight="13.5" x14ac:dyDescent="0.15"/>
  <cols>
    <col min="1" max="2" width="11.625" customWidth="1"/>
    <col min="4" max="4" width="10.75" customWidth="1"/>
    <col min="13" max="13" width="5.875" customWidth="1"/>
  </cols>
  <sheetData>
    <row r="1" spans="1:29" s="1" customFormat="1" ht="40.5" x14ac:dyDescent="0.15">
      <c r="A1" s="2" t="s">
        <v>0</v>
      </c>
      <c r="B1" s="2" t="s">
        <v>62</v>
      </c>
      <c r="C1" s="2" t="s">
        <v>1</v>
      </c>
      <c r="D1" s="2" t="s">
        <v>2</v>
      </c>
      <c r="E1" s="2" t="s">
        <v>3</v>
      </c>
      <c r="F1" s="2"/>
      <c r="G1" s="129" t="s">
        <v>79</v>
      </c>
      <c r="H1" s="2" t="s">
        <v>65</v>
      </c>
      <c r="I1" s="129" t="s">
        <v>78</v>
      </c>
      <c r="J1" s="129" t="s">
        <v>83</v>
      </c>
      <c r="K1" s="129" t="s">
        <v>89</v>
      </c>
      <c r="L1" s="2" t="s">
        <v>66</v>
      </c>
      <c r="M1" s="2" t="s">
        <v>67</v>
      </c>
      <c r="N1" s="2" t="s">
        <v>4</v>
      </c>
      <c r="O1" s="2"/>
      <c r="P1" s="2" t="s">
        <v>5</v>
      </c>
      <c r="Q1" s="2" t="s">
        <v>6</v>
      </c>
      <c r="R1" s="2" t="s">
        <v>7</v>
      </c>
      <c r="S1" s="129" t="s">
        <v>87</v>
      </c>
      <c r="T1" s="2" t="s">
        <v>8</v>
      </c>
      <c r="U1" s="2" t="s">
        <v>9</v>
      </c>
      <c r="V1" s="2"/>
      <c r="W1" s="2" t="s">
        <v>10</v>
      </c>
      <c r="X1" s="2" t="s">
        <v>11</v>
      </c>
      <c r="Y1" s="2"/>
      <c r="Z1" s="2" t="s">
        <v>12</v>
      </c>
      <c r="AA1" s="2" t="s">
        <v>13</v>
      </c>
      <c r="AB1" s="2"/>
      <c r="AC1" s="2" t="s">
        <v>14</v>
      </c>
    </row>
    <row r="2" spans="1:29" x14ac:dyDescent="0.15">
      <c r="A2" s="3" t="s">
        <v>15</v>
      </c>
      <c r="B2" s="3" t="s">
        <v>63</v>
      </c>
      <c r="C2" s="3" t="s">
        <v>16</v>
      </c>
      <c r="D2" s="128" t="s">
        <v>96</v>
      </c>
      <c r="E2" s="128" t="s">
        <v>88</v>
      </c>
      <c r="F2" s="3" t="s">
        <v>17</v>
      </c>
      <c r="G2" s="128" t="s">
        <v>80</v>
      </c>
      <c r="H2" s="3" t="s">
        <v>63</v>
      </c>
      <c r="I2" s="128" t="s">
        <v>81</v>
      </c>
      <c r="J2" s="128" t="s">
        <v>84</v>
      </c>
      <c r="K2" s="128" t="s">
        <v>90</v>
      </c>
      <c r="L2" s="3" t="s">
        <v>63</v>
      </c>
      <c r="M2" s="3" t="s">
        <v>63</v>
      </c>
      <c r="N2" s="3" t="s">
        <v>18</v>
      </c>
      <c r="O2" s="128" t="s">
        <v>69</v>
      </c>
      <c r="P2" s="3" t="s">
        <v>19</v>
      </c>
      <c r="Q2" s="3" t="s">
        <v>20</v>
      </c>
      <c r="R2" s="3" t="s">
        <v>21</v>
      </c>
      <c r="S2" s="128" t="s">
        <v>86</v>
      </c>
      <c r="T2" s="3" t="s">
        <v>22</v>
      </c>
      <c r="U2" s="3" t="s">
        <v>23</v>
      </c>
      <c r="V2" s="3" t="s">
        <v>17</v>
      </c>
      <c r="W2" s="3" t="s">
        <v>24</v>
      </c>
      <c r="X2" s="3" t="s">
        <v>25</v>
      </c>
      <c r="Y2" s="3" t="s">
        <v>17</v>
      </c>
      <c r="Z2" s="3" t="s">
        <v>26</v>
      </c>
      <c r="AA2" s="3" t="s">
        <v>27</v>
      </c>
      <c r="AB2" s="3" t="s">
        <v>17</v>
      </c>
      <c r="AC2" s="3" t="s">
        <v>28</v>
      </c>
    </row>
    <row r="3" spans="1:29" x14ac:dyDescent="0.15">
      <c r="A3" s="137">
        <v>999</v>
      </c>
      <c r="B3" s="137" t="s">
        <v>64</v>
      </c>
      <c r="C3" s="3">
        <v>0</v>
      </c>
      <c r="D3" s="3">
        <v>1</v>
      </c>
      <c r="E3" s="4">
        <v>815001</v>
      </c>
      <c r="F3" s="139" t="s">
        <v>97</v>
      </c>
      <c r="G3" s="3">
        <v>10</v>
      </c>
      <c r="H3" s="134">
        <f>VLOOKUP(E3,[1]stuff!$A:$C,3,FALSE)</f>
        <v>20000</v>
      </c>
      <c r="I3" s="130">
        <v>85</v>
      </c>
      <c r="J3" s="130">
        <v>70</v>
      </c>
      <c r="K3" s="130">
        <f>J3*0.2</f>
        <v>14</v>
      </c>
      <c r="L3" s="3">
        <f t="shared" ref="L3" si="0">G3*H3*(100-I3)/100+J3*100</f>
        <v>37000</v>
      </c>
      <c r="M3" s="3">
        <f t="shared" ref="M3" si="1">W3*100/L3</f>
        <v>13.513513513513514</v>
      </c>
      <c r="N3" s="4">
        <v>0</v>
      </c>
      <c r="O3" s="4"/>
      <c r="P3" s="3">
        <v>0</v>
      </c>
      <c r="Q3" s="3">
        <v>0</v>
      </c>
      <c r="R3" s="3">
        <v>0</v>
      </c>
      <c r="S3" s="3">
        <v>1</v>
      </c>
      <c r="T3" s="3">
        <v>60</v>
      </c>
      <c r="U3" s="4">
        <v>607001</v>
      </c>
      <c r="V3" s="4" t="s">
        <v>30</v>
      </c>
      <c r="W3" s="3">
        <v>5000</v>
      </c>
      <c r="X3" s="3">
        <v>416002</v>
      </c>
      <c r="Y3" s="3" t="s">
        <v>94</v>
      </c>
      <c r="Z3" s="3">
        <v>50</v>
      </c>
      <c r="AA3" s="4">
        <v>403002</v>
      </c>
      <c r="AB3" s="138" t="s">
        <v>95</v>
      </c>
      <c r="AC3" s="3">
        <v>1000</v>
      </c>
    </row>
    <row r="4" spans="1:29" x14ac:dyDescent="0.15">
      <c r="A4" s="3">
        <v>9999</v>
      </c>
      <c r="B4" s="137" t="s">
        <v>64</v>
      </c>
      <c r="C4" s="3">
        <v>8999</v>
      </c>
      <c r="D4" s="3">
        <v>1</v>
      </c>
      <c r="E4" s="6">
        <v>301001</v>
      </c>
      <c r="F4" s="6" t="s">
        <v>31</v>
      </c>
      <c r="G4" s="3">
        <v>2000</v>
      </c>
      <c r="H4" s="134">
        <f>VLOOKUP(E4,[1]stuff!$A:$C,3,FALSE)</f>
        <v>1</v>
      </c>
      <c r="I4" s="130">
        <v>95</v>
      </c>
      <c r="J4" s="130">
        <v>50</v>
      </c>
      <c r="K4" s="130">
        <f>J4*0.2</f>
        <v>10</v>
      </c>
      <c r="L4" s="3">
        <f t="shared" ref="L4:L67" si="2">G4*H4*(100-I4)/100+J4*100</f>
        <v>5100</v>
      </c>
      <c r="M4" s="3">
        <f t="shared" ref="M4:M67" si="3">W4*100/L4</f>
        <v>19.607843137254903</v>
      </c>
      <c r="N4" s="4">
        <v>0</v>
      </c>
      <c r="O4" s="4"/>
      <c r="P4" s="3">
        <v>0</v>
      </c>
      <c r="Q4" s="3">
        <v>0</v>
      </c>
      <c r="R4" s="3">
        <v>0</v>
      </c>
      <c r="S4" s="3">
        <v>1</v>
      </c>
      <c r="T4" s="3">
        <f>S4*20</f>
        <v>20</v>
      </c>
      <c r="U4" s="4">
        <v>607001</v>
      </c>
      <c r="V4" s="4" t="s">
        <v>30</v>
      </c>
      <c r="W4" s="3">
        <v>1000</v>
      </c>
      <c r="X4" s="3">
        <v>416001</v>
      </c>
      <c r="Y4" s="3" t="s">
        <v>92</v>
      </c>
      <c r="Z4" s="3">
        <v>10</v>
      </c>
      <c r="AA4" s="4">
        <v>403002</v>
      </c>
      <c r="AB4" s="4" t="s">
        <v>93</v>
      </c>
      <c r="AC4" s="3">
        <v>500</v>
      </c>
    </row>
    <row r="5" spans="1:29" x14ac:dyDescent="0.15">
      <c r="A5" s="3">
        <v>9998</v>
      </c>
      <c r="B5" s="137" t="s">
        <v>64</v>
      </c>
      <c r="C5" s="3">
        <v>8998</v>
      </c>
      <c r="D5" s="3">
        <v>1</v>
      </c>
      <c r="E5" s="5">
        <v>301002</v>
      </c>
      <c r="F5" s="5" t="s">
        <v>29</v>
      </c>
      <c r="G5" s="3">
        <v>2000</v>
      </c>
      <c r="H5" s="134">
        <f>VLOOKUP(E5,[1]stuff!$A:$C,3,FALSE)</f>
        <v>1</v>
      </c>
      <c r="I5" s="130">
        <v>95</v>
      </c>
      <c r="J5" s="130">
        <v>50</v>
      </c>
      <c r="K5" s="130">
        <f t="shared" ref="K5:K146" si="4">J5*0.2</f>
        <v>10</v>
      </c>
      <c r="L5" s="3">
        <f t="shared" si="2"/>
        <v>5100</v>
      </c>
      <c r="M5" s="3">
        <f t="shared" si="3"/>
        <v>19.607843137254903</v>
      </c>
      <c r="N5" s="4">
        <v>0</v>
      </c>
      <c r="O5" s="4"/>
      <c r="P5" s="3">
        <v>0</v>
      </c>
      <c r="Q5" s="3">
        <v>0</v>
      </c>
      <c r="R5" s="3">
        <v>0</v>
      </c>
      <c r="S5" s="3">
        <v>1</v>
      </c>
      <c r="T5" s="3">
        <f t="shared" ref="T5:T146" si="5">S5*20</f>
        <v>20</v>
      </c>
      <c r="U5" s="4">
        <v>607001</v>
      </c>
      <c r="V5" s="4" t="s">
        <v>30</v>
      </c>
      <c r="W5" s="3">
        <v>1000</v>
      </c>
      <c r="X5" s="3">
        <v>416001</v>
      </c>
      <c r="Y5" s="3" t="s">
        <v>92</v>
      </c>
      <c r="Z5" s="3">
        <v>10</v>
      </c>
      <c r="AA5" s="4">
        <v>403002</v>
      </c>
      <c r="AB5" s="4" t="s">
        <v>93</v>
      </c>
      <c r="AC5" s="3">
        <v>500</v>
      </c>
    </row>
    <row r="6" spans="1:29" x14ac:dyDescent="0.15">
      <c r="A6" s="3">
        <v>9997</v>
      </c>
      <c r="B6" s="137" t="s">
        <v>64</v>
      </c>
      <c r="C6" s="3">
        <v>8997</v>
      </c>
      <c r="D6" s="3">
        <v>1</v>
      </c>
      <c r="E6" s="5">
        <v>301003</v>
      </c>
      <c r="F6" s="5" t="s">
        <v>32</v>
      </c>
      <c r="G6" s="3">
        <v>2000</v>
      </c>
      <c r="H6" s="134">
        <f>VLOOKUP(E6,[1]stuff!$A:$C,3,FALSE)</f>
        <v>1</v>
      </c>
      <c r="I6" s="130">
        <v>95</v>
      </c>
      <c r="J6" s="130">
        <v>50</v>
      </c>
      <c r="K6" s="130">
        <f t="shared" si="4"/>
        <v>10</v>
      </c>
      <c r="L6" s="3">
        <f t="shared" si="2"/>
        <v>5100</v>
      </c>
      <c r="M6" s="3">
        <f t="shared" si="3"/>
        <v>19.607843137254903</v>
      </c>
      <c r="N6" s="4">
        <v>0</v>
      </c>
      <c r="O6" s="4"/>
      <c r="P6" s="3">
        <v>0</v>
      </c>
      <c r="Q6" s="3">
        <v>0</v>
      </c>
      <c r="R6" s="3">
        <v>0</v>
      </c>
      <c r="S6" s="3">
        <v>1</v>
      </c>
      <c r="T6" s="3">
        <f t="shared" si="5"/>
        <v>20</v>
      </c>
      <c r="U6" s="4">
        <v>607001</v>
      </c>
      <c r="V6" s="4" t="s">
        <v>30</v>
      </c>
      <c r="W6" s="3">
        <v>1000</v>
      </c>
      <c r="X6" s="3">
        <v>416001</v>
      </c>
      <c r="Y6" s="3" t="s">
        <v>92</v>
      </c>
      <c r="Z6" s="3">
        <v>10</v>
      </c>
      <c r="AA6" s="4">
        <v>403002</v>
      </c>
      <c r="AB6" s="4" t="s">
        <v>93</v>
      </c>
      <c r="AC6" s="3">
        <v>500</v>
      </c>
    </row>
    <row r="7" spans="1:29" x14ac:dyDescent="0.15">
      <c r="A7" s="3">
        <v>9996</v>
      </c>
      <c r="B7" s="137" t="s">
        <v>64</v>
      </c>
      <c r="C7" s="3">
        <v>8996</v>
      </c>
      <c r="D7" s="3">
        <v>1</v>
      </c>
      <c r="E7" s="5">
        <v>301004</v>
      </c>
      <c r="F7" s="5" t="s">
        <v>33</v>
      </c>
      <c r="G7" s="3">
        <v>2000</v>
      </c>
      <c r="H7" s="134">
        <f>VLOOKUP(E7,[1]stuff!$A:$C,3,FALSE)</f>
        <v>1</v>
      </c>
      <c r="I7" s="130">
        <v>95</v>
      </c>
      <c r="J7" s="130">
        <v>50</v>
      </c>
      <c r="K7" s="130">
        <f t="shared" si="4"/>
        <v>10</v>
      </c>
      <c r="L7" s="3">
        <f t="shared" si="2"/>
        <v>5100</v>
      </c>
      <c r="M7" s="3">
        <f t="shared" si="3"/>
        <v>19.607843137254903</v>
      </c>
      <c r="N7" s="4">
        <v>0</v>
      </c>
      <c r="O7" s="4"/>
      <c r="P7" s="3">
        <v>0</v>
      </c>
      <c r="Q7" s="3">
        <v>0</v>
      </c>
      <c r="R7" s="3">
        <v>0</v>
      </c>
      <c r="S7" s="3">
        <v>1</v>
      </c>
      <c r="T7" s="3">
        <f t="shared" si="5"/>
        <v>20</v>
      </c>
      <c r="U7" s="4">
        <v>607001</v>
      </c>
      <c r="V7" s="4" t="s">
        <v>30</v>
      </c>
      <c r="W7" s="3">
        <v>1000</v>
      </c>
      <c r="X7" s="3">
        <v>416001</v>
      </c>
      <c r="Y7" s="3" t="s">
        <v>92</v>
      </c>
      <c r="Z7" s="3">
        <v>10</v>
      </c>
      <c r="AA7" s="4">
        <v>403002</v>
      </c>
      <c r="AB7" s="4" t="s">
        <v>93</v>
      </c>
      <c r="AC7" s="3">
        <v>500</v>
      </c>
    </row>
    <row r="8" spans="1:29" x14ac:dyDescent="0.15">
      <c r="A8" s="3">
        <v>9995</v>
      </c>
      <c r="B8" s="137" t="s">
        <v>64</v>
      </c>
      <c r="C8" s="3">
        <v>8995</v>
      </c>
      <c r="D8" s="3">
        <v>1</v>
      </c>
      <c r="E8" s="5">
        <v>301005</v>
      </c>
      <c r="F8" s="5" t="s">
        <v>34</v>
      </c>
      <c r="G8" s="3">
        <v>2000</v>
      </c>
      <c r="H8" s="134">
        <f>VLOOKUP(E8,[1]stuff!$A:$C,3,FALSE)</f>
        <v>1</v>
      </c>
      <c r="I8" s="130">
        <v>95</v>
      </c>
      <c r="J8" s="130">
        <v>50</v>
      </c>
      <c r="K8" s="130">
        <f t="shared" si="4"/>
        <v>10</v>
      </c>
      <c r="L8" s="3">
        <f t="shared" si="2"/>
        <v>5100</v>
      </c>
      <c r="M8" s="3">
        <f t="shared" si="3"/>
        <v>19.607843137254903</v>
      </c>
      <c r="N8" s="4">
        <v>0</v>
      </c>
      <c r="O8" s="4"/>
      <c r="P8" s="3">
        <v>0</v>
      </c>
      <c r="Q8" s="3">
        <v>0</v>
      </c>
      <c r="R8" s="3">
        <v>0</v>
      </c>
      <c r="S8" s="3">
        <v>1</v>
      </c>
      <c r="T8" s="3">
        <f t="shared" si="5"/>
        <v>20</v>
      </c>
      <c r="U8" s="4">
        <v>607001</v>
      </c>
      <c r="V8" s="4" t="s">
        <v>30</v>
      </c>
      <c r="W8" s="3">
        <v>1000</v>
      </c>
      <c r="X8" s="3">
        <v>416001</v>
      </c>
      <c r="Y8" s="3" t="s">
        <v>92</v>
      </c>
      <c r="Z8" s="3">
        <v>10</v>
      </c>
      <c r="AA8" s="4">
        <v>403002</v>
      </c>
      <c r="AB8" s="4" t="s">
        <v>93</v>
      </c>
      <c r="AC8" s="3">
        <v>500</v>
      </c>
    </row>
    <row r="9" spans="1:29" x14ac:dyDescent="0.15">
      <c r="A9" s="3">
        <v>9994</v>
      </c>
      <c r="B9" s="137" t="s">
        <v>64</v>
      </c>
      <c r="C9" s="3">
        <v>8994</v>
      </c>
      <c r="D9" s="3">
        <v>1</v>
      </c>
      <c r="E9" s="5">
        <v>301006</v>
      </c>
      <c r="F9" s="5" t="s">
        <v>35</v>
      </c>
      <c r="G9" s="3">
        <v>2000</v>
      </c>
      <c r="H9" s="134">
        <f>VLOOKUP(E9,[1]stuff!$A:$C,3,FALSE)</f>
        <v>1</v>
      </c>
      <c r="I9" s="130">
        <v>95</v>
      </c>
      <c r="J9" s="130">
        <v>50</v>
      </c>
      <c r="K9" s="130">
        <f t="shared" si="4"/>
        <v>10</v>
      </c>
      <c r="L9" s="3">
        <f t="shared" si="2"/>
        <v>5100</v>
      </c>
      <c r="M9" s="3">
        <f t="shared" si="3"/>
        <v>19.607843137254903</v>
      </c>
      <c r="N9" s="4">
        <v>0</v>
      </c>
      <c r="O9" s="4"/>
      <c r="P9" s="3">
        <v>0</v>
      </c>
      <c r="Q9" s="3">
        <v>0</v>
      </c>
      <c r="R9" s="3">
        <v>0</v>
      </c>
      <c r="S9" s="3">
        <v>1</v>
      </c>
      <c r="T9" s="3">
        <f t="shared" si="5"/>
        <v>20</v>
      </c>
      <c r="U9" s="4">
        <v>607001</v>
      </c>
      <c r="V9" s="4" t="s">
        <v>30</v>
      </c>
      <c r="W9" s="3">
        <v>1000</v>
      </c>
      <c r="X9" s="3">
        <v>416001</v>
      </c>
      <c r="Y9" s="3" t="s">
        <v>92</v>
      </c>
      <c r="Z9" s="3">
        <v>10</v>
      </c>
      <c r="AA9" s="4">
        <v>403002</v>
      </c>
      <c r="AB9" s="4" t="s">
        <v>93</v>
      </c>
      <c r="AC9" s="3">
        <v>500</v>
      </c>
    </row>
    <row r="10" spans="1:29" x14ac:dyDescent="0.15">
      <c r="A10" s="3">
        <v>9993</v>
      </c>
      <c r="B10" s="137" t="s">
        <v>64</v>
      </c>
      <c r="C10" s="3">
        <v>8993</v>
      </c>
      <c r="D10" s="3">
        <v>1</v>
      </c>
      <c r="E10" s="5">
        <v>301007</v>
      </c>
      <c r="F10" s="5" t="s">
        <v>36</v>
      </c>
      <c r="G10" s="3">
        <v>2000</v>
      </c>
      <c r="H10" s="134">
        <f>VLOOKUP(E10,[1]stuff!$A:$C,3,FALSE)</f>
        <v>1</v>
      </c>
      <c r="I10" s="130">
        <v>95</v>
      </c>
      <c r="J10" s="130">
        <v>50</v>
      </c>
      <c r="K10" s="130">
        <f t="shared" si="4"/>
        <v>10</v>
      </c>
      <c r="L10" s="3">
        <f t="shared" si="2"/>
        <v>5100</v>
      </c>
      <c r="M10" s="3">
        <f t="shared" si="3"/>
        <v>19.607843137254903</v>
      </c>
      <c r="N10" s="4">
        <v>0</v>
      </c>
      <c r="O10" s="4"/>
      <c r="P10" s="3">
        <v>0</v>
      </c>
      <c r="Q10" s="3">
        <v>0</v>
      </c>
      <c r="R10" s="3">
        <v>0</v>
      </c>
      <c r="S10" s="3">
        <v>1</v>
      </c>
      <c r="T10" s="3">
        <f t="shared" si="5"/>
        <v>20</v>
      </c>
      <c r="U10" s="4">
        <v>607001</v>
      </c>
      <c r="V10" s="4" t="s">
        <v>30</v>
      </c>
      <c r="W10" s="3">
        <v>1000</v>
      </c>
      <c r="X10" s="3">
        <v>416001</v>
      </c>
      <c r="Y10" s="3" t="s">
        <v>92</v>
      </c>
      <c r="Z10" s="3">
        <v>10</v>
      </c>
      <c r="AA10" s="4">
        <v>403002</v>
      </c>
      <c r="AB10" s="4" t="s">
        <v>93</v>
      </c>
      <c r="AC10" s="3">
        <v>500</v>
      </c>
    </row>
    <row r="11" spans="1:29" x14ac:dyDescent="0.15">
      <c r="A11" s="3">
        <v>9992</v>
      </c>
      <c r="B11" s="137" t="s">
        <v>64</v>
      </c>
      <c r="C11" s="3">
        <v>8992</v>
      </c>
      <c r="D11" s="3">
        <v>1</v>
      </c>
      <c r="E11" s="5">
        <v>302001</v>
      </c>
      <c r="F11" s="5" t="s">
        <v>37</v>
      </c>
      <c r="G11" s="3">
        <v>2000</v>
      </c>
      <c r="H11" s="134">
        <f>VLOOKUP(E11,[1]stuff!$A:$C,3,FALSE)</f>
        <v>1</v>
      </c>
      <c r="I11" s="130">
        <v>95</v>
      </c>
      <c r="J11" s="130">
        <v>50</v>
      </c>
      <c r="K11" s="130">
        <f t="shared" si="4"/>
        <v>10</v>
      </c>
      <c r="L11" s="3">
        <f t="shared" si="2"/>
        <v>5100</v>
      </c>
      <c r="M11" s="3">
        <f t="shared" si="3"/>
        <v>19.607843137254903</v>
      </c>
      <c r="N11" s="4">
        <v>0</v>
      </c>
      <c r="O11" s="4"/>
      <c r="P11" s="3">
        <v>0</v>
      </c>
      <c r="Q11" s="3">
        <v>0</v>
      </c>
      <c r="R11" s="3">
        <v>0</v>
      </c>
      <c r="S11" s="3">
        <v>1</v>
      </c>
      <c r="T11" s="3">
        <f t="shared" si="5"/>
        <v>20</v>
      </c>
      <c r="U11" s="4">
        <v>607001</v>
      </c>
      <c r="V11" s="4" t="s">
        <v>30</v>
      </c>
      <c r="W11" s="3">
        <v>1000</v>
      </c>
      <c r="X11" s="3">
        <v>416001</v>
      </c>
      <c r="Y11" s="3" t="s">
        <v>92</v>
      </c>
      <c r="Z11" s="3">
        <v>10</v>
      </c>
      <c r="AA11" s="4">
        <v>403002</v>
      </c>
      <c r="AB11" s="4" t="s">
        <v>93</v>
      </c>
      <c r="AC11" s="3">
        <v>500</v>
      </c>
    </row>
    <row r="12" spans="1:29" x14ac:dyDescent="0.15">
      <c r="A12" s="3">
        <v>9991</v>
      </c>
      <c r="B12" s="137" t="s">
        <v>64</v>
      </c>
      <c r="C12" s="3">
        <v>8991</v>
      </c>
      <c r="D12" s="3">
        <v>1</v>
      </c>
      <c r="E12" s="5">
        <v>302002</v>
      </c>
      <c r="F12" s="5" t="s">
        <v>38</v>
      </c>
      <c r="G12" s="3">
        <v>2000</v>
      </c>
      <c r="H12" s="134">
        <f>VLOOKUP(E12,[1]stuff!$A:$C,3,FALSE)</f>
        <v>1</v>
      </c>
      <c r="I12" s="130">
        <v>95</v>
      </c>
      <c r="J12" s="130">
        <v>50</v>
      </c>
      <c r="K12" s="130">
        <f t="shared" si="4"/>
        <v>10</v>
      </c>
      <c r="L12" s="3">
        <f t="shared" si="2"/>
        <v>5100</v>
      </c>
      <c r="M12" s="3">
        <f t="shared" si="3"/>
        <v>19.607843137254903</v>
      </c>
      <c r="N12" s="4">
        <v>0</v>
      </c>
      <c r="O12" s="4"/>
      <c r="P12" s="3">
        <v>0</v>
      </c>
      <c r="Q12" s="3">
        <v>0</v>
      </c>
      <c r="R12" s="3">
        <v>0</v>
      </c>
      <c r="S12" s="3">
        <v>1</v>
      </c>
      <c r="T12" s="3">
        <f t="shared" si="5"/>
        <v>20</v>
      </c>
      <c r="U12" s="4">
        <v>607001</v>
      </c>
      <c r="V12" s="4" t="s">
        <v>30</v>
      </c>
      <c r="W12" s="3">
        <v>1000</v>
      </c>
      <c r="X12" s="3">
        <v>416001</v>
      </c>
      <c r="Y12" s="3" t="s">
        <v>92</v>
      </c>
      <c r="Z12" s="3">
        <v>10</v>
      </c>
      <c r="AA12" s="4">
        <v>403002</v>
      </c>
      <c r="AB12" s="4" t="s">
        <v>93</v>
      </c>
      <c r="AC12" s="3">
        <v>500</v>
      </c>
    </row>
    <row r="13" spans="1:29" x14ac:dyDescent="0.15">
      <c r="A13" s="3">
        <v>9990</v>
      </c>
      <c r="B13" s="137" t="s">
        <v>64</v>
      </c>
      <c r="C13" s="3">
        <v>8990</v>
      </c>
      <c r="D13" s="3">
        <v>1</v>
      </c>
      <c r="E13" s="5">
        <v>302003</v>
      </c>
      <c r="F13" s="5" t="s">
        <v>39</v>
      </c>
      <c r="G13" s="3">
        <v>2000</v>
      </c>
      <c r="H13" s="134">
        <f>VLOOKUP(E13,[1]stuff!$A:$C,3,FALSE)</f>
        <v>1</v>
      </c>
      <c r="I13" s="130">
        <v>95</v>
      </c>
      <c r="J13" s="130">
        <v>50</v>
      </c>
      <c r="K13" s="130">
        <f t="shared" si="4"/>
        <v>10</v>
      </c>
      <c r="L13" s="3">
        <f t="shared" si="2"/>
        <v>5100</v>
      </c>
      <c r="M13" s="3">
        <f t="shared" si="3"/>
        <v>19.607843137254903</v>
      </c>
      <c r="N13" s="4">
        <v>0</v>
      </c>
      <c r="O13" s="4"/>
      <c r="P13" s="3">
        <v>0</v>
      </c>
      <c r="Q13" s="3">
        <v>0</v>
      </c>
      <c r="R13" s="3">
        <v>0</v>
      </c>
      <c r="S13" s="3">
        <v>1</v>
      </c>
      <c r="T13" s="3">
        <f t="shared" si="5"/>
        <v>20</v>
      </c>
      <c r="U13" s="4">
        <v>607001</v>
      </c>
      <c r="V13" s="4" t="s">
        <v>30</v>
      </c>
      <c r="W13" s="3">
        <v>1000</v>
      </c>
      <c r="X13" s="3">
        <v>416001</v>
      </c>
      <c r="Y13" s="3" t="s">
        <v>92</v>
      </c>
      <c r="Z13" s="3">
        <v>10</v>
      </c>
      <c r="AA13" s="4">
        <v>403002</v>
      </c>
      <c r="AB13" s="4" t="s">
        <v>93</v>
      </c>
      <c r="AC13" s="3">
        <v>500</v>
      </c>
    </row>
    <row r="14" spans="1:29" x14ac:dyDescent="0.15">
      <c r="A14" s="3">
        <v>9989</v>
      </c>
      <c r="B14" s="137" t="s">
        <v>64</v>
      </c>
      <c r="C14" s="3">
        <v>8989</v>
      </c>
      <c r="D14" s="3">
        <v>1</v>
      </c>
      <c r="E14" s="5">
        <v>302004</v>
      </c>
      <c r="F14" s="5" t="s">
        <v>40</v>
      </c>
      <c r="G14" s="3">
        <v>2000</v>
      </c>
      <c r="H14" s="134">
        <f>VLOOKUP(E14,[1]stuff!$A:$C,3,FALSE)</f>
        <v>1</v>
      </c>
      <c r="I14" s="130">
        <v>95</v>
      </c>
      <c r="J14" s="130">
        <v>50</v>
      </c>
      <c r="K14" s="130">
        <f t="shared" si="4"/>
        <v>10</v>
      </c>
      <c r="L14" s="3">
        <f t="shared" si="2"/>
        <v>5100</v>
      </c>
      <c r="M14" s="3">
        <f t="shared" si="3"/>
        <v>19.607843137254903</v>
      </c>
      <c r="N14" s="4">
        <v>0</v>
      </c>
      <c r="O14" s="4"/>
      <c r="P14" s="3">
        <v>0</v>
      </c>
      <c r="Q14" s="3">
        <v>0</v>
      </c>
      <c r="R14" s="3">
        <v>0</v>
      </c>
      <c r="S14" s="3">
        <v>1</v>
      </c>
      <c r="T14" s="3">
        <f t="shared" si="5"/>
        <v>20</v>
      </c>
      <c r="U14" s="4">
        <v>607001</v>
      </c>
      <c r="V14" s="4" t="s">
        <v>30</v>
      </c>
      <c r="W14" s="3">
        <v>1000</v>
      </c>
      <c r="X14" s="3">
        <v>416001</v>
      </c>
      <c r="Y14" s="3" t="s">
        <v>92</v>
      </c>
      <c r="Z14" s="3">
        <v>10</v>
      </c>
      <c r="AA14" s="4">
        <v>403002</v>
      </c>
      <c r="AB14" s="4" t="s">
        <v>93</v>
      </c>
      <c r="AC14" s="3">
        <v>500</v>
      </c>
    </row>
    <row r="15" spans="1:29" x14ac:dyDescent="0.15">
      <c r="A15" s="3">
        <v>9988</v>
      </c>
      <c r="B15" s="137" t="s">
        <v>64</v>
      </c>
      <c r="C15" s="3">
        <v>8988</v>
      </c>
      <c r="D15" s="3">
        <v>1</v>
      </c>
      <c r="E15" s="5">
        <v>303001</v>
      </c>
      <c r="F15" s="5" t="s">
        <v>41</v>
      </c>
      <c r="G15" s="3">
        <v>2000</v>
      </c>
      <c r="H15" s="134">
        <f>VLOOKUP(E15,[1]stuff!$A:$C,3,FALSE)</f>
        <v>1</v>
      </c>
      <c r="I15" s="130">
        <v>95</v>
      </c>
      <c r="J15" s="130">
        <v>50</v>
      </c>
      <c r="K15" s="130">
        <f t="shared" si="4"/>
        <v>10</v>
      </c>
      <c r="L15" s="3">
        <f t="shared" si="2"/>
        <v>5100</v>
      </c>
      <c r="M15" s="3">
        <f t="shared" si="3"/>
        <v>19.607843137254903</v>
      </c>
      <c r="N15" s="4">
        <v>0</v>
      </c>
      <c r="O15" s="4"/>
      <c r="P15" s="3">
        <v>0</v>
      </c>
      <c r="Q15" s="3">
        <v>0</v>
      </c>
      <c r="R15" s="3">
        <v>0</v>
      </c>
      <c r="S15" s="3">
        <v>1</v>
      </c>
      <c r="T15" s="3">
        <f t="shared" si="5"/>
        <v>20</v>
      </c>
      <c r="U15" s="4">
        <v>607001</v>
      </c>
      <c r="V15" s="4" t="s">
        <v>30</v>
      </c>
      <c r="W15" s="3">
        <v>1000</v>
      </c>
      <c r="X15" s="3">
        <v>416001</v>
      </c>
      <c r="Y15" s="3" t="s">
        <v>92</v>
      </c>
      <c r="Z15" s="3">
        <v>10</v>
      </c>
      <c r="AA15" s="4">
        <v>403002</v>
      </c>
      <c r="AB15" s="4" t="s">
        <v>93</v>
      </c>
      <c r="AC15" s="3">
        <v>500</v>
      </c>
    </row>
    <row r="16" spans="1:29" x14ac:dyDescent="0.15">
      <c r="A16" s="3">
        <v>9987</v>
      </c>
      <c r="B16" s="137" t="s">
        <v>64</v>
      </c>
      <c r="C16" s="3">
        <v>8987</v>
      </c>
      <c r="D16" s="3">
        <v>1</v>
      </c>
      <c r="E16" s="5">
        <v>303002</v>
      </c>
      <c r="F16" s="5" t="s">
        <v>42</v>
      </c>
      <c r="G16" s="3">
        <v>2000</v>
      </c>
      <c r="H16" s="134">
        <f>VLOOKUP(E16,[1]stuff!$A:$C,3,FALSE)</f>
        <v>1</v>
      </c>
      <c r="I16" s="130">
        <v>95</v>
      </c>
      <c r="J16" s="130">
        <v>50</v>
      </c>
      <c r="K16" s="130">
        <f t="shared" si="4"/>
        <v>10</v>
      </c>
      <c r="L16" s="3">
        <f t="shared" si="2"/>
        <v>5100</v>
      </c>
      <c r="M16" s="3">
        <f t="shared" si="3"/>
        <v>19.607843137254903</v>
      </c>
      <c r="N16" s="4">
        <v>0</v>
      </c>
      <c r="O16" s="4"/>
      <c r="P16" s="3">
        <v>0</v>
      </c>
      <c r="Q16" s="3">
        <v>0</v>
      </c>
      <c r="R16" s="3">
        <v>0</v>
      </c>
      <c r="S16" s="3">
        <v>1</v>
      </c>
      <c r="T16" s="3">
        <f t="shared" si="5"/>
        <v>20</v>
      </c>
      <c r="U16" s="4">
        <v>607001</v>
      </c>
      <c r="V16" s="4" t="s">
        <v>30</v>
      </c>
      <c r="W16" s="3">
        <v>1000</v>
      </c>
      <c r="X16" s="3">
        <v>416001</v>
      </c>
      <c r="Y16" s="3" t="s">
        <v>92</v>
      </c>
      <c r="Z16" s="3">
        <v>10</v>
      </c>
      <c r="AA16" s="4">
        <v>403002</v>
      </c>
      <c r="AB16" s="4" t="s">
        <v>93</v>
      </c>
      <c r="AC16" s="3">
        <v>500</v>
      </c>
    </row>
    <row r="17" spans="1:29" x14ac:dyDescent="0.15">
      <c r="A17" s="3">
        <v>9986</v>
      </c>
      <c r="B17" s="137" t="s">
        <v>64</v>
      </c>
      <c r="C17" s="3">
        <v>8986</v>
      </c>
      <c r="D17" s="3">
        <v>1</v>
      </c>
      <c r="E17" s="5">
        <v>303004</v>
      </c>
      <c r="F17" s="5" t="s">
        <v>43</v>
      </c>
      <c r="G17" s="3">
        <v>2000</v>
      </c>
      <c r="H17" s="134">
        <f>VLOOKUP(E17,[1]stuff!$A:$C,3,FALSE)</f>
        <v>1</v>
      </c>
      <c r="I17" s="130">
        <v>95</v>
      </c>
      <c r="J17" s="130">
        <v>50</v>
      </c>
      <c r="K17" s="130">
        <f t="shared" si="4"/>
        <v>10</v>
      </c>
      <c r="L17" s="3">
        <f t="shared" si="2"/>
        <v>5100</v>
      </c>
      <c r="M17" s="3">
        <f t="shared" si="3"/>
        <v>19.607843137254903</v>
      </c>
      <c r="N17" s="4">
        <v>0</v>
      </c>
      <c r="O17" s="4"/>
      <c r="P17" s="3">
        <v>0</v>
      </c>
      <c r="Q17" s="3">
        <v>0</v>
      </c>
      <c r="R17" s="3">
        <v>0</v>
      </c>
      <c r="S17" s="3">
        <v>1</v>
      </c>
      <c r="T17" s="3">
        <f t="shared" si="5"/>
        <v>20</v>
      </c>
      <c r="U17" s="4">
        <v>607001</v>
      </c>
      <c r="V17" s="4" t="s">
        <v>30</v>
      </c>
      <c r="W17" s="3">
        <v>1000</v>
      </c>
      <c r="X17" s="3">
        <v>416001</v>
      </c>
      <c r="Y17" s="3" t="s">
        <v>92</v>
      </c>
      <c r="Z17" s="3">
        <v>10</v>
      </c>
      <c r="AA17" s="4">
        <v>403002</v>
      </c>
      <c r="AB17" s="4" t="s">
        <v>93</v>
      </c>
      <c r="AC17" s="3">
        <v>500</v>
      </c>
    </row>
    <row r="18" spans="1:29" x14ac:dyDescent="0.15">
      <c r="A18" s="3">
        <v>9985</v>
      </c>
      <c r="B18" s="137" t="s">
        <v>64</v>
      </c>
      <c r="C18" s="3">
        <v>8985</v>
      </c>
      <c r="D18" s="3">
        <v>1</v>
      </c>
      <c r="E18" s="5">
        <v>303006</v>
      </c>
      <c r="F18" s="5" t="s">
        <v>44</v>
      </c>
      <c r="G18" s="3">
        <v>2000</v>
      </c>
      <c r="H18" s="134">
        <f>VLOOKUP(E18,[1]stuff!$A:$C,3,FALSE)</f>
        <v>1</v>
      </c>
      <c r="I18" s="130">
        <v>95</v>
      </c>
      <c r="J18" s="130">
        <v>50</v>
      </c>
      <c r="K18" s="130">
        <f t="shared" si="4"/>
        <v>10</v>
      </c>
      <c r="L18" s="3">
        <f t="shared" si="2"/>
        <v>5100</v>
      </c>
      <c r="M18" s="3">
        <f t="shared" si="3"/>
        <v>3.9215686274509802</v>
      </c>
      <c r="N18" s="4">
        <v>0</v>
      </c>
      <c r="O18" s="4"/>
      <c r="P18" s="3">
        <v>0</v>
      </c>
      <c r="Q18" s="3">
        <v>0</v>
      </c>
      <c r="R18" s="3">
        <v>0</v>
      </c>
      <c r="S18" s="3">
        <v>1</v>
      </c>
      <c r="T18" s="3">
        <f t="shared" si="5"/>
        <v>20</v>
      </c>
      <c r="U18" s="4">
        <v>607001</v>
      </c>
      <c r="V18" s="4" t="s">
        <v>30</v>
      </c>
      <c r="W18" s="3">
        <v>200</v>
      </c>
      <c r="X18" s="3"/>
      <c r="Y18" s="3"/>
      <c r="Z18" s="3"/>
      <c r="AA18" s="4">
        <v>403002</v>
      </c>
      <c r="AB18" s="4" t="s">
        <v>93</v>
      </c>
      <c r="AC18" s="3">
        <v>100</v>
      </c>
    </row>
    <row r="19" spans="1:29" x14ac:dyDescent="0.15">
      <c r="A19" s="3">
        <v>9984</v>
      </c>
      <c r="B19" s="137" t="s">
        <v>64</v>
      </c>
      <c r="C19" s="3">
        <v>8984</v>
      </c>
      <c r="D19" s="3">
        <v>1</v>
      </c>
      <c r="E19" s="131">
        <v>617001</v>
      </c>
      <c r="F19" s="132" t="s">
        <v>82</v>
      </c>
      <c r="G19" s="3">
        <v>6000</v>
      </c>
      <c r="H19" s="134">
        <f>VLOOKUP(E19,[1]stuff!$A:$C,3,FALSE)</f>
        <v>1</v>
      </c>
      <c r="I19" s="130">
        <v>95</v>
      </c>
      <c r="J19" s="130">
        <v>50</v>
      </c>
      <c r="K19" s="130">
        <f t="shared" si="4"/>
        <v>10</v>
      </c>
      <c r="L19" s="3">
        <f t="shared" si="2"/>
        <v>5300</v>
      </c>
      <c r="M19" s="3">
        <f t="shared" si="3"/>
        <v>18.867924528301888</v>
      </c>
      <c r="N19" s="4">
        <v>0</v>
      </c>
      <c r="O19" s="4"/>
      <c r="P19" s="3">
        <v>0</v>
      </c>
      <c r="Q19" s="3">
        <v>0</v>
      </c>
      <c r="R19" s="3">
        <v>0</v>
      </c>
      <c r="S19" s="3">
        <v>1</v>
      </c>
      <c r="T19" s="3">
        <f t="shared" si="5"/>
        <v>20</v>
      </c>
      <c r="U19" s="4">
        <v>607001</v>
      </c>
      <c r="V19" s="4" t="s">
        <v>30</v>
      </c>
      <c r="W19" s="3">
        <v>1000</v>
      </c>
      <c r="X19" s="3">
        <v>416001</v>
      </c>
      <c r="Y19" s="3" t="s">
        <v>92</v>
      </c>
      <c r="Z19" s="3">
        <v>10</v>
      </c>
      <c r="AA19" s="4">
        <v>403002</v>
      </c>
      <c r="AB19" s="4" t="s">
        <v>93</v>
      </c>
      <c r="AC19" s="3">
        <v>500</v>
      </c>
    </row>
    <row r="20" spans="1:29" x14ac:dyDescent="0.15">
      <c r="A20" s="3">
        <v>9983</v>
      </c>
      <c r="B20" s="137" t="s">
        <v>64</v>
      </c>
      <c r="C20" s="3">
        <v>8983</v>
      </c>
      <c r="D20" s="3">
        <v>1</v>
      </c>
      <c r="E20" s="5">
        <v>303009</v>
      </c>
      <c r="F20" s="5" t="s">
        <v>45</v>
      </c>
      <c r="G20" s="3">
        <v>2000</v>
      </c>
      <c r="H20" s="134">
        <f>VLOOKUP(E20,[1]stuff!$A:$C,3,FALSE)</f>
        <v>1</v>
      </c>
      <c r="I20" s="130">
        <v>95</v>
      </c>
      <c r="J20" s="130">
        <v>50</v>
      </c>
      <c r="K20" s="130">
        <f t="shared" si="4"/>
        <v>10</v>
      </c>
      <c r="L20" s="3">
        <f t="shared" si="2"/>
        <v>5100</v>
      </c>
      <c r="M20" s="3">
        <f t="shared" si="3"/>
        <v>19.607843137254903</v>
      </c>
      <c r="N20" s="4">
        <v>0</v>
      </c>
      <c r="O20" s="4"/>
      <c r="P20" s="3">
        <v>0</v>
      </c>
      <c r="Q20" s="3">
        <v>0</v>
      </c>
      <c r="R20" s="3">
        <v>0</v>
      </c>
      <c r="S20" s="3">
        <v>1</v>
      </c>
      <c r="T20" s="3">
        <f t="shared" si="5"/>
        <v>20</v>
      </c>
      <c r="U20" s="4">
        <v>607001</v>
      </c>
      <c r="V20" s="4" t="s">
        <v>30</v>
      </c>
      <c r="W20" s="3">
        <v>1000</v>
      </c>
      <c r="X20" s="3">
        <v>416001</v>
      </c>
      <c r="Y20" s="3" t="s">
        <v>92</v>
      </c>
      <c r="Z20" s="3">
        <v>10</v>
      </c>
      <c r="AA20" s="4">
        <v>403002</v>
      </c>
      <c r="AB20" s="4" t="s">
        <v>93</v>
      </c>
      <c r="AC20" s="3">
        <v>500</v>
      </c>
    </row>
    <row r="21" spans="1:29" x14ac:dyDescent="0.15">
      <c r="A21" s="3">
        <v>9982</v>
      </c>
      <c r="B21" s="137" t="s">
        <v>64</v>
      </c>
      <c r="C21" s="3">
        <v>8982</v>
      </c>
      <c r="D21" s="3">
        <v>1</v>
      </c>
      <c r="E21" s="7">
        <v>304001</v>
      </c>
      <c r="F21" s="7" t="s">
        <v>46</v>
      </c>
      <c r="G21" s="3">
        <v>2000</v>
      </c>
      <c r="H21" s="134">
        <f>VLOOKUP(E21,[1]stuff!$A:$C,3,FALSE)</f>
        <v>2</v>
      </c>
      <c r="I21" s="130">
        <v>95</v>
      </c>
      <c r="J21" s="130">
        <v>50</v>
      </c>
      <c r="K21" s="130">
        <f t="shared" si="4"/>
        <v>10</v>
      </c>
      <c r="L21" s="3">
        <f t="shared" si="2"/>
        <v>5200</v>
      </c>
      <c r="M21" s="3">
        <f t="shared" si="3"/>
        <v>19.23076923076923</v>
      </c>
      <c r="N21" s="4">
        <v>0</v>
      </c>
      <c r="O21" s="4"/>
      <c r="P21" s="3">
        <v>0</v>
      </c>
      <c r="Q21" s="3">
        <v>0</v>
      </c>
      <c r="R21" s="3">
        <v>0</v>
      </c>
      <c r="S21" s="3">
        <v>1</v>
      </c>
      <c r="T21" s="3">
        <f t="shared" si="5"/>
        <v>20</v>
      </c>
      <c r="U21" s="4">
        <v>607001</v>
      </c>
      <c r="V21" s="4" t="s">
        <v>30</v>
      </c>
      <c r="W21" s="3">
        <v>1000</v>
      </c>
      <c r="X21" s="3">
        <v>416001</v>
      </c>
      <c r="Y21" s="3" t="s">
        <v>92</v>
      </c>
      <c r="Z21" s="3">
        <v>10</v>
      </c>
      <c r="AA21" s="4">
        <v>403002</v>
      </c>
      <c r="AB21" s="4" t="s">
        <v>93</v>
      </c>
      <c r="AC21" s="3">
        <v>500</v>
      </c>
    </row>
    <row r="22" spans="1:29" x14ac:dyDescent="0.15">
      <c r="A22" s="3">
        <v>9981</v>
      </c>
      <c r="B22" s="137" t="s">
        <v>64</v>
      </c>
      <c r="C22" s="3">
        <v>8981</v>
      </c>
      <c r="D22" s="3">
        <v>1</v>
      </c>
      <c r="E22" s="7">
        <v>304002</v>
      </c>
      <c r="F22" s="7" t="s">
        <v>47</v>
      </c>
      <c r="G22" s="3">
        <v>2000</v>
      </c>
      <c r="H22" s="134">
        <f>VLOOKUP(E22,[1]stuff!$A:$C,3,FALSE)</f>
        <v>2</v>
      </c>
      <c r="I22" s="130">
        <v>95</v>
      </c>
      <c r="J22" s="130">
        <v>50</v>
      </c>
      <c r="K22" s="130">
        <f t="shared" si="4"/>
        <v>10</v>
      </c>
      <c r="L22" s="3">
        <f t="shared" si="2"/>
        <v>5200</v>
      </c>
      <c r="M22" s="3">
        <f t="shared" si="3"/>
        <v>19.23076923076923</v>
      </c>
      <c r="N22" s="4">
        <v>0</v>
      </c>
      <c r="O22" s="4"/>
      <c r="P22" s="3">
        <v>0</v>
      </c>
      <c r="Q22" s="3">
        <v>0</v>
      </c>
      <c r="R22" s="3">
        <v>0</v>
      </c>
      <c r="S22" s="3">
        <v>1</v>
      </c>
      <c r="T22" s="3">
        <f t="shared" si="5"/>
        <v>20</v>
      </c>
      <c r="U22" s="4">
        <v>607001</v>
      </c>
      <c r="V22" s="4" t="s">
        <v>30</v>
      </c>
      <c r="W22" s="3">
        <v>1000</v>
      </c>
      <c r="X22" s="3">
        <v>416001</v>
      </c>
      <c r="Y22" s="3" t="s">
        <v>92</v>
      </c>
      <c r="Z22" s="3">
        <v>10</v>
      </c>
      <c r="AA22" s="4">
        <v>403002</v>
      </c>
      <c r="AB22" s="4" t="s">
        <v>93</v>
      </c>
      <c r="AC22" s="3">
        <v>500</v>
      </c>
    </row>
    <row r="23" spans="1:29" x14ac:dyDescent="0.15">
      <c r="A23" s="3">
        <v>9980</v>
      </c>
      <c r="B23" s="137" t="s">
        <v>64</v>
      </c>
      <c r="C23" s="3">
        <v>8980</v>
      </c>
      <c r="D23" s="3">
        <v>1</v>
      </c>
      <c r="E23" s="7">
        <v>304007</v>
      </c>
      <c r="F23" s="7" t="s">
        <v>48</v>
      </c>
      <c r="G23" s="3">
        <v>2000</v>
      </c>
      <c r="H23" s="134">
        <f>VLOOKUP(E23,[1]stuff!$A:$C,3,FALSE)</f>
        <v>2</v>
      </c>
      <c r="I23" s="130">
        <v>95</v>
      </c>
      <c r="J23" s="130">
        <v>50</v>
      </c>
      <c r="K23" s="130">
        <f t="shared" si="4"/>
        <v>10</v>
      </c>
      <c r="L23" s="3">
        <f t="shared" si="2"/>
        <v>5200</v>
      </c>
      <c r="M23" s="3">
        <f t="shared" si="3"/>
        <v>19.23076923076923</v>
      </c>
      <c r="N23" s="4">
        <v>0</v>
      </c>
      <c r="O23" s="4"/>
      <c r="P23" s="3">
        <v>0</v>
      </c>
      <c r="Q23" s="3">
        <v>0</v>
      </c>
      <c r="R23" s="3">
        <v>0</v>
      </c>
      <c r="S23" s="3">
        <v>1</v>
      </c>
      <c r="T23" s="3">
        <f t="shared" si="5"/>
        <v>20</v>
      </c>
      <c r="U23" s="4">
        <v>607001</v>
      </c>
      <c r="V23" s="4" t="s">
        <v>30</v>
      </c>
      <c r="W23" s="3">
        <v>1000</v>
      </c>
      <c r="X23" s="3">
        <v>416001</v>
      </c>
      <c r="Y23" s="3" t="s">
        <v>92</v>
      </c>
      <c r="Z23" s="3">
        <v>10</v>
      </c>
      <c r="AA23" s="4">
        <v>403002</v>
      </c>
      <c r="AB23" s="4" t="s">
        <v>93</v>
      </c>
      <c r="AC23" s="3">
        <v>500</v>
      </c>
    </row>
    <row r="24" spans="1:29" x14ac:dyDescent="0.15">
      <c r="A24" s="3">
        <v>9979</v>
      </c>
      <c r="B24" s="137" t="s">
        <v>64</v>
      </c>
      <c r="C24" s="3">
        <v>8979</v>
      </c>
      <c r="D24" s="3">
        <v>1</v>
      </c>
      <c r="E24" s="131">
        <v>617001</v>
      </c>
      <c r="F24" s="132" t="s">
        <v>82</v>
      </c>
      <c r="G24" s="3">
        <v>6000</v>
      </c>
      <c r="H24" s="134">
        <f>VLOOKUP(E24,[1]stuff!$A:$C,3,FALSE)</f>
        <v>1</v>
      </c>
      <c r="I24" s="130">
        <v>95</v>
      </c>
      <c r="J24" s="130">
        <v>50</v>
      </c>
      <c r="K24" s="130">
        <f t="shared" si="4"/>
        <v>10</v>
      </c>
      <c r="L24" s="3">
        <f t="shared" si="2"/>
        <v>5300</v>
      </c>
      <c r="M24" s="3">
        <f t="shared" si="3"/>
        <v>18.867924528301888</v>
      </c>
      <c r="N24" s="4">
        <v>0</v>
      </c>
      <c r="O24" s="4"/>
      <c r="P24" s="3">
        <v>0</v>
      </c>
      <c r="Q24" s="3">
        <v>0</v>
      </c>
      <c r="R24" s="3">
        <v>0</v>
      </c>
      <c r="S24" s="3">
        <v>1</v>
      </c>
      <c r="T24" s="3">
        <f t="shared" si="5"/>
        <v>20</v>
      </c>
      <c r="U24" s="4">
        <v>607001</v>
      </c>
      <c r="V24" s="4" t="s">
        <v>30</v>
      </c>
      <c r="W24" s="3">
        <v>1000</v>
      </c>
      <c r="X24" s="3">
        <v>416001</v>
      </c>
      <c r="Y24" s="3" t="s">
        <v>92</v>
      </c>
      <c r="Z24" s="3">
        <v>10</v>
      </c>
      <c r="AA24" s="4">
        <v>403002</v>
      </c>
      <c r="AB24" s="4" t="s">
        <v>93</v>
      </c>
      <c r="AC24" s="3">
        <v>500</v>
      </c>
    </row>
    <row r="25" spans="1:29" x14ac:dyDescent="0.15">
      <c r="A25" s="3">
        <v>9978</v>
      </c>
      <c r="B25" s="137" t="s">
        <v>64</v>
      </c>
      <c r="C25" s="3">
        <v>8978</v>
      </c>
      <c r="D25" s="3">
        <v>1</v>
      </c>
      <c r="E25" s="7">
        <v>306001</v>
      </c>
      <c r="F25" s="8" t="s">
        <v>49</v>
      </c>
      <c r="G25" s="3">
        <v>1000</v>
      </c>
      <c r="H25" s="134">
        <f>VLOOKUP(E25,[1]stuff!$A:$C,3,FALSE)</f>
        <v>3</v>
      </c>
      <c r="I25" s="130">
        <v>95</v>
      </c>
      <c r="J25" s="130">
        <v>50</v>
      </c>
      <c r="K25" s="130">
        <f t="shared" si="4"/>
        <v>10</v>
      </c>
      <c r="L25" s="3">
        <f t="shared" si="2"/>
        <v>5150</v>
      </c>
      <c r="M25" s="3">
        <f t="shared" si="3"/>
        <v>19.417475728155338</v>
      </c>
      <c r="N25" s="4">
        <v>0</v>
      </c>
      <c r="O25" s="4"/>
      <c r="P25" s="3">
        <v>0</v>
      </c>
      <c r="Q25" s="3">
        <v>0</v>
      </c>
      <c r="R25" s="3">
        <v>0</v>
      </c>
      <c r="S25" s="3">
        <v>1</v>
      </c>
      <c r="T25" s="3">
        <f t="shared" si="5"/>
        <v>20</v>
      </c>
      <c r="U25" s="4">
        <v>607001</v>
      </c>
      <c r="V25" s="4" t="s">
        <v>30</v>
      </c>
      <c r="W25" s="3">
        <v>1000</v>
      </c>
      <c r="X25" s="3">
        <v>416001</v>
      </c>
      <c r="Y25" s="3" t="s">
        <v>92</v>
      </c>
      <c r="Z25" s="3">
        <v>10</v>
      </c>
      <c r="AA25" s="4">
        <v>403002</v>
      </c>
      <c r="AB25" s="4" t="s">
        <v>93</v>
      </c>
      <c r="AC25" s="3">
        <v>500</v>
      </c>
    </row>
    <row r="26" spans="1:29" x14ac:dyDescent="0.15">
      <c r="A26" s="3">
        <v>9977</v>
      </c>
      <c r="B26" s="137" t="s">
        <v>64</v>
      </c>
      <c r="C26" s="3">
        <v>8977</v>
      </c>
      <c r="D26" s="3">
        <v>1</v>
      </c>
      <c r="E26" s="7">
        <v>601001</v>
      </c>
      <c r="F26" s="7" t="s">
        <v>50</v>
      </c>
      <c r="G26" s="3">
        <v>1000</v>
      </c>
      <c r="H26" s="134">
        <f>VLOOKUP(E26,[1]stuff!$A:$C,3,FALSE)</f>
        <v>5</v>
      </c>
      <c r="I26" s="130">
        <v>95</v>
      </c>
      <c r="J26" s="130">
        <v>50</v>
      </c>
      <c r="K26" s="130">
        <f t="shared" si="4"/>
        <v>10</v>
      </c>
      <c r="L26" s="3">
        <f t="shared" si="2"/>
        <v>5250</v>
      </c>
      <c r="M26" s="3">
        <f t="shared" si="3"/>
        <v>19.047619047619047</v>
      </c>
      <c r="N26" s="4">
        <v>0</v>
      </c>
      <c r="O26" s="4"/>
      <c r="P26" s="3">
        <v>0</v>
      </c>
      <c r="Q26" s="3">
        <v>0</v>
      </c>
      <c r="R26" s="3">
        <v>0</v>
      </c>
      <c r="S26" s="3">
        <v>1</v>
      </c>
      <c r="T26" s="3">
        <f t="shared" si="5"/>
        <v>20</v>
      </c>
      <c r="U26" s="4">
        <v>607001</v>
      </c>
      <c r="V26" s="4" t="s">
        <v>30</v>
      </c>
      <c r="W26" s="3">
        <v>1000</v>
      </c>
      <c r="X26" s="3">
        <v>416001</v>
      </c>
      <c r="Y26" s="3" t="s">
        <v>92</v>
      </c>
      <c r="Z26" s="3">
        <v>10</v>
      </c>
      <c r="AA26" s="4">
        <v>403002</v>
      </c>
      <c r="AB26" s="4" t="s">
        <v>93</v>
      </c>
      <c r="AC26" s="3">
        <v>500</v>
      </c>
    </row>
    <row r="27" spans="1:29" x14ac:dyDescent="0.15">
      <c r="A27" s="3">
        <v>9976</v>
      </c>
      <c r="B27" s="137" t="s">
        <v>64</v>
      </c>
      <c r="C27" s="3">
        <v>8976</v>
      </c>
      <c r="D27" s="3">
        <v>1</v>
      </c>
      <c r="E27" s="5">
        <v>303004</v>
      </c>
      <c r="F27" s="5" t="s">
        <v>43</v>
      </c>
      <c r="G27" s="3">
        <v>2000</v>
      </c>
      <c r="H27" s="134">
        <f>VLOOKUP(E27,[1]stuff!$A:$C,3,FALSE)</f>
        <v>1</v>
      </c>
      <c r="I27" s="130">
        <v>95</v>
      </c>
      <c r="J27" s="130">
        <v>50</v>
      </c>
      <c r="K27" s="130">
        <f t="shared" si="4"/>
        <v>10</v>
      </c>
      <c r="L27" s="3">
        <f t="shared" si="2"/>
        <v>5100</v>
      </c>
      <c r="M27" s="3">
        <f t="shared" si="3"/>
        <v>19.607843137254903</v>
      </c>
      <c r="N27" s="4">
        <v>0</v>
      </c>
      <c r="O27" s="4"/>
      <c r="P27" s="3">
        <v>0</v>
      </c>
      <c r="Q27" s="3">
        <v>0</v>
      </c>
      <c r="R27" s="3">
        <v>0</v>
      </c>
      <c r="S27" s="3">
        <v>1</v>
      </c>
      <c r="T27" s="3">
        <f t="shared" si="5"/>
        <v>20</v>
      </c>
      <c r="U27" s="4">
        <v>607001</v>
      </c>
      <c r="V27" s="4" t="s">
        <v>30</v>
      </c>
      <c r="W27" s="3">
        <v>1000</v>
      </c>
      <c r="X27" s="3">
        <v>416001</v>
      </c>
      <c r="Y27" s="3" t="s">
        <v>92</v>
      </c>
      <c r="Z27" s="3">
        <v>10</v>
      </c>
      <c r="AA27" s="4">
        <v>403002</v>
      </c>
      <c r="AB27" s="4" t="s">
        <v>93</v>
      </c>
      <c r="AC27" s="3">
        <v>500</v>
      </c>
    </row>
    <row r="28" spans="1:29" x14ac:dyDescent="0.15">
      <c r="A28" s="3">
        <v>9975</v>
      </c>
      <c r="B28" s="137" t="s">
        <v>64</v>
      </c>
      <c r="C28" s="3">
        <v>8975</v>
      </c>
      <c r="D28" s="3">
        <v>1</v>
      </c>
      <c r="E28" s="7">
        <v>422001</v>
      </c>
      <c r="F28" s="7" t="s">
        <v>52</v>
      </c>
      <c r="G28" s="3">
        <v>500</v>
      </c>
      <c r="H28" s="134">
        <f>VLOOKUP(E28,[1]stuff!$A:$C,3,FALSE)</f>
        <v>100</v>
      </c>
      <c r="I28" s="130">
        <v>95</v>
      </c>
      <c r="J28" s="130">
        <v>50</v>
      </c>
      <c r="K28" s="130">
        <f t="shared" si="4"/>
        <v>10</v>
      </c>
      <c r="L28" s="3">
        <f t="shared" si="2"/>
        <v>7500</v>
      </c>
      <c r="M28" s="3">
        <f t="shared" si="3"/>
        <v>13.333333333333334</v>
      </c>
      <c r="N28" s="4">
        <v>0</v>
      </c>
      <c r="O28" s="4"/>
      <c r="P28" s="3">
        <v>0</v>
      </c>
      <c r="Q28" s="3">
        <v>0</v>
      </c>
      <c r="R28" s="3">
        <v>0</v>
      </c>
      <c r="S28" s="3">
        <v>1</v>
      </c>
      <c r="T28" s="3">
        <f t="shared" si="5"/>
        <v>20</v>
      </c>
      <c r="U28" s="4">
        <v>607001</v>
      </c>
      <c r="V28" s="4" t="s">
        <v>30</v>
      </c>
      <c r="W28" s="3">
        <v>1000</v>
      </c>
      <c r="X28" s="3">
        <v>416001</v>
      </c>
      <c r="Y28" s="3" t="s">
        <v>92</v>
      </c>
      <c r="Z28" s="3">
        <v>10</v>
      </c>
      <c r="AA28" s="4">
        <v>403002</v>
      </c>
      <c r="AB28" s="4" t="s">
        <v>93</v>
      </c>
      <c r="AC28" s="3">
        <v>500</v>
      </c>
    </row>
    <row r="29" spans="1:29" x14ac:dyDescent="0.15">
      <c r="A29" s="3">
        <v>9974</v>
      </c>
      <c r="B29" s="137" t="s">
        <v>64</v>
      </c>
      <c r="C29" s="3">
        <v>8974</v>
      </c>
      <c r="D29" s="3">
        <v>1</v>
      </c>
      <c r="E29" s="7">
        <v>604001</v>
      </c>
      <c r="F29" s="7" t="s">
        <v>53</v>
      </c>
      <c r="G29" s="3">
        <v>2000</v>
      </c>
      <c r="H29" s="134">
        <f>VLOOKUP(E29,[1]stuff!$A:$C,3,FALSE)</f>
        <v>2</v>
      </c>
      <c r="I29" s="130">
        <v>95</v>
      </c>
      <c r="J29" s="130">
        <v>50</v>
      </c>
      <c r="K29" s="130">
        <f t="shared" si="4"/>
        <v>10</v>
      </c>
      <c r="L29" s="3">
        <f t="shared" si="2"/>
        <v>5200</v>
      </c>
      <c r="M29" s="3">
        <f t="shared" si="3"/>
        <v>19.23076923076923</v>
      </c>
      <c r="N29" s="4">
        <v>0</v>
      </c>
      <c r="O29" s="4"/>
      <c r="P29" s="3">
        <v>0</v>
      </c>
      <c r="Q29" s="3">
        <v>0</v>
      </c>
      <c r="R29" s="3">
        <v>0</v>
      </c>
      <c r="S29" s="3">
        <v>1</v>
      </c>
      <c r="T29" s="3">
        <f t="shared" si="5"/>
        <v>20</v>
      </c>
      <c r="U29" s="4">
        <v>607001</v>
      </c>
      <c r="V29" s="4" t="s">
        <v>30</v>
      </c>
      <c r="W29" s="3">
        <v>1000</v>
      </c>
      <c r="X29" s="3">
        <v>416001</v>
      </c>
      <c r="Y29" s="3" t="s">
        <v>92</v>
      </c>
      <c r="Z29" s="3">
        <v>10</v>
      </c>
      <c r="AA29" s="4">
        <v>403002</v>
      </c>
      <c r="AB29" s="4" t="s">
        <v>93</v>
      </c>
      <c r="AC29" s="3">
        <v>500</v>
      </c>
    </row>
    <row r="30" spans="1:29" x14ac:dyDescent="0.15">
      <c r="A30" s="3">
        <v>9973</v>
      </c>
      <c r="B30" s="137" t="s">
        <v>64</v>
      </c>
      <c r="C30" s="3">
        <v>8973</v>
      </c>
      <c r="D30" s="3">
        <v>1</v>
      </c>
      <c r="E30" s="7">
        <v>606001</v>
      </c>
      <c r="F30" s="7" t="s">
        <v>54</v>
      </c>
      <c r="G30" s="3">
        <v>1000</v>
      </c>
      <c r="H30" s="134">
        <f>VLOOKUP(E30,[1]stuff!$A:$C,3,FALSE)</f>
        <v>3</v>
      </c>
      <c r="I30" s="130">
        <v>95</v>
      </c>
      <c r="J30" s="130">
        <v>50</v>
      </c>
      <c r="K30" s="130">
        <f t="shared" si="4"/>
        <v>10</v>
      </c>
      <c r="L30" s="3">
        <f t="shared" si="2"/>
        <v>5150</v>
      </c>
      <c r="M30" s="3">
        <f t="shared" si="3"/>
        <v>19.417475728155338</v>
      </c>
      <c r="N30" s="4">
        <v>0</v>
      </c>
      <c r="O30" s="4"/>
      <c r="P30" s="3">
        <v>0</v>
      </c>
      <c r="Q30" s="3">
        <v>0</v>
      </c>
      <c r="R30" s="3">
        <v>0</v>
      </c>
      <c r="S30" s="3">
        <v>1</v>
      </c>
      <c r="T30" s="3">
        <f t="shared" si="5"/>
        <v>20</v>
      </c>
      <c r="U30" s="4">
        <v>607001</v>
      </c>
      <c r="V30" s="4" t="s">
        <v>30</v>
      </c>
      <c r="W30" s="3">
        <v>1000</v>
      </c>
      <c r="X30" s="3">
        <v>416001</v>
      </c>
      <c r="Y30" s="3" t="s">
        <v>92</v>
      </c>
      <c r="Z30" s="3">
        <v>10</v>
      </c>
      <c r="AA30" s="4">
        <v>403002</v>
      </c>
      <c r="AB30" s="4" t="s">
        <v>93</v>
      </c>
      <c r="AC30" s="3">
        <v>500</v>
      </c>
    </row>
    <row r="31" spans="1:29" x14ac:dyDescent="0.15">
      <c r="A31" s="3">
        <v>9972</v>
      </c>
      <c r="B31" s="137" t="s">
        <v>64</v>
      </c>
      <c r="C31" s="3">
        <v>8972</v>
      </c>
      <c r="D31" s="3">
        <v>1</v>
      </c>
      <c r="E31" s="7">
        <v>606002</v>
      </c>
      <c r="F31" s="7" t="s">
        <v>55</v>
      </c>
      <c r="G31" s="3">
        <v>1000</v>
      </c>
      <c r="H31" s="134">
        <f>VLOOKUP(E31,[1]stuff!$A:$C,3,FALSE)</f>
        <v>3</v>
      </c>
      <c r="I31" s="130">
        <v>95</v>
      </c>
      <c r="J31" s="130">
        <v>50</v>
      </c>
      <c r="K31" s="130">
        <f t="shared" si="4"/>
        <v>10</v>
      </c>
      <c r="L31" s="3">
        <f t="shared" si="2"/>
        <v>5150</v>
      </c>
      <c r="M31" s="3">
        <f t="shared" si="3"/>
        <v>19.417475728155338</v>
      </c>
      <c r="N31" s="4">
        <v>0</v>
      </c>
      <c r="O31" s="4"/>
      <c r="P31" s="3">
        <v>0</v>
      </c>
      <c r="Q31" s="3">
        <v>0</v>
      </c>
      <c r="R31" s="3">
        <v>0</v>
      </c>
      <c r="S31" s="3">
        <v>1</v>
      </c>
      <c r="T31" s="3">
        <f t="shared" si="5"/>
        <v>20</v>
      </c>
      <c r="U31" s="4">
        <v>607001</v>
      </c>
      <c r="V31" s="4" t="s">
        <v>30</v>
      </c>
      <c r="W31" s="3">
        <v>1000</v>
      </c>
      <c r="X31" s="3">
        <v>416001</v>
      </c>
      <c r="Y31" s="3" t="s">
        <v>92</v>
      </c>
      <c r="Z31" s="3">
        <v>10</v>
      </c>
      <c r="AA31" s="4">
        <v>403002</v>
      </c>
      <c r="AB31" s="4" t="s">
        <v>93</v>
      </c>
      <c r="AC31" s="3">
        <v>500</v>
      </c>
    </row>
    <row r="32" spans="1:29" x14ac:dyDescent="0.15">
      <c r="A32" s="3">
        <v>9971</v>
      </c>
      <c r="B32" s="137" t="s">
        <v>64</v>
      </c>
      <c r="C32" s="3">
        <v>8971</v>
      </c>
      <c r="D32" s="3">
        <v>1</v>
      </c>
      <c r="E32" s="9">
        <v>616002</v>
      </c>
      <c r="F32" s="9" t="s">
        <v>56</v>
      </c>
      <c r="G32" s="3">
        <v>500</v>
      </c>
      <c r="H32" s="134">
        <f>VLOOKUP(E32,[1]stuff!$A:$C,3,FALSE)</f>
        <v>2</v>
      </c>
      <c r="I32" s="130">
        <v>95</v>
      </c>
      <c r="J32" s="130">
        <v>50</v>
      </c>
      <c r="K32" s="130">
        <f t="shared" si="4"/>
        <v>10</v>
      </c>
      <c r="L32" s="3">
        <f t="shared" si="2"/>
        <v>5050</v>
      </c>
      <c r="M32" s="3">
        <f t="shared" si="3"/>
        <v>19.801980198019802</v>
      </c>
      <c r="N32" s="4">
        <v>0</v>
      </c>
      <c r="O32" s="4"/>
      <c r="P32" s="3">
        <v>0</v>
      </c>
      <c r="Q32" s="3">
        <v>0</v>
      </c>
      <c r="R32" s="3">
        <v>0</v>
      </c>
      <c r="S32" s="3">
        <v>1</v>
      </c>
      <c r="T32" s="3">
        <f t="shared" si="5"/>
        <v>20</v>
      </c>
      <c r="U32" s="4">
        <v>607001</v>
      </c>
      <c r="V32" s="4" t="s">
        <v>30</v>
      </c>
      <c r="W32" s="3">
        <v>1000</v>
      </c>
      <c r="X32" s="3">
        <v>416001</v>
      </c>
      <c r="Y32" s="3" t="s">
        <v>92</v>
      </c>
      <c r="Z32" s="3">
        <v>10</v>
      </c>
      <c r="AA32" s="4">
        <v>403002</v>
      </c>
      <c r="AB32" s="4" t="s">
        <v>93</v>
      </c>
      <c r="AC32" s="3">
        <v>500</v>
      </c>
    </row>
    <row r="33" spans="1:29" x14ac:dyDescent="0.15">
      <c r="A33" s="3">
        <v>9970</v>
      </c>
      <c r="B33" s="137" t="s">
        <v>64</v>
      </c>
      <c r="C33" s="3">
        <v>8970</v>
      </c>
      <c r="D33" s="3">
        <v>1</v>
      </c>
      <c r="E33" s="9">
        <v>616003</v>
      </c>
      <c r="F33" s="9" t="s">
        <v>57</v>
      </c>
      <c r="G33" s="3">
        <v>500</v>
      </c>
      <c r="H33" s="134">
        <f>VLOOKUP(E33,[1]stuff!$A:$C,3,FALSE)</f>
        <v>2</v>
      </c>
      <c r="I33" s="130">
        <v>95</v>
      </c>
      <c r="J33" s="130">
        <v>50</v>
      </c>
      <c r="K33" s="130">
        <f t="shared" si="4"/>
        <v>10</v>
      </c>
      <c r="L33" s="3">
        <f t="shared" si="2"/>
        <v>5050</v>
      </c>
      <c r="M33" s="3">
        <f t="shared" si="3"/>
        <v>19.801980198019802</v>
      </c>
      <c r="N33" s="4">
        <v>0</v>
      </c>
      <c r="O33" s="4"/>
      <c r="P33" s="3">
        <v>0</v>
      </c>
      <c r="Q33" s="3">
        <v>0</v>
      </c>
      <c r="R33" s="3">
        <v>0</v>
      </c>
      <c r="S33" s="3">
        <v>1</v>
      </c>
      <c r="T33" s="3">
        <f t="shared" si="5"/>
        <v>20</v>
      </c>
      <c r="U33" s="4">
        <v>607001</v>
      </c>
      <c r="V33" s="4" t="s">
        <v>30</v>
      </c>
      <c r="W33" s="3">
        <v>1000</v>
      </c>
      <c r="X33" s="3">
        <v>416001</v>
      </c>
      <c r="Y33" s="3" t="s">
        <v>92</v>
      </c>
      <c r="Z33" s="3">
        <v>10</v>
      </c>
      <c r="AA33" s="4">
        <v>403002</v>
      </c>
      <c r="AB33" s="4" t="s">
        <v>93</v>
      </c>
      <c r="AC33" s="3">
        <v>500</v>
      </c>
    </row>
    <row r="34" spans="1:29" x14ac:dyDescent="0.15">
      <c r="A34" s="3">
        <v>9969</v>
      </c>
      <c r="B34" s="137" t="s">
        <v>64</v>
      </c>
      <c r="C34" s="3">
        <v>8969</v>
      </c>
      <c r="D34" s="3">
        <v>1</v>
      </c>
      <c r="E34" s="9">
        <v>616004</v>
      </c>
      <c r="F34" s="9" t="s">
        <v>58</v>
      </c>
      <c r="G34" s="3">
        <v>500</v>
      </c>
      <c r="H34" s="134">
        <f>VLOOKUP(E34,[1]stuff!$A:$C,3,FALSE)</f>
        <v>2</v>
      </c>
      <c r="I34" s="130">
        <v>95</v>
      </c>
      <c r="J34" s="130">
        <v>50</v>
      </c>
      <c r="K34" s="130">
        <f t="shared" si="4"/>
        <v>10</v>
      </c>
      <c r="L34" s="3">
        <f t="shared" si="2"/>
        <v>5050</v>
      </c>
      <c r="M34" s="3">
        <f t="shared" si="3"/>
        <v>19.801980198019802</v>
      </c>
      <c r="N34" s="4">
        <v>0</v>
      </c>
      <c r="O34" s="4"/>
      <c r="P34" s="3">
        <v>0</v>
      </c>
      <c r="Q34" s="3">
        <v>0</v>
      </c>
      <c r="R34" s="3">
        <v>0</v>
      </c>
      <c r="S34" s="3">
        <v>1</v>
      </c>
      <c r="T34" s="3">
        <f t="shared" si="5"/>
        <v>20</v>
      </c>
      <c r="U34" s="4">
        <v>607001</v>
      </c>
      <c r="V34" s="4" t="s">
        <v>30</v>
      </c>
      <c r="W34" s="3">
        <v>1000</v>
      </c>
      <c r="X34" s="3">
        <v>416001</v>
      </c>
      <c r="Y34" s="3" t="s">
        <v>92</v>
      </c>
      <c r="Z34" s="3">
        <v>10</v>
      </c>
      <c r="AA34" s="4">
        <v>403002</v>
      </c>
      <c r="AB34" s="4" t="s">
        <v>93</v>
      </c>
      <c r="AC34" s="3">
        <v>500</v>
      </c>
    </row>
    <row r="35" spans="1:29" x14ac:dyDescent="0.15">
      <c r="A35" s="3">
        <v>9968</v>
      </c>
      <c r="B35" s="137" t="s">
        <v>64</v>
      </c>
      <c r="C35" s="3">
        <v>8968</v>
      </c>
      <c r="D35" s="3">
        <v>1</v>
      </c>
      <c r="E35" s="10">
        <v>615001</v>
      </c>
      <c r="F35" s="11" t="s">
        <v>59</v>
      </c>
      <c r="G35" s="3">
        <v>500</v>
      </c>
      <c r="H35" s="134">
        <f>VLOOKUP(E35,[1]stuff!$A:$C,3,FALSE)</f>
        <v>50</v>
      </c>
      <c r="I35" s="130">
        <v>95</v>
      </c>
      <c r="J35" s="130">
        <v>50</v>
      </c>
      <c r="K35" s="130">
        <f t="shared" si="4"/>
        <v>10</v>
      </c>
      <c r="L35" s="3">
        <f t="shared" si="2"/>
        <v>6250</v>
      </c>
      <c r="M35" s="3">
        <f t="shared" si="3"/>
        <v>16</v>
      </c>
      <c r="N35" s="4">
        <v>0</v>
      </c>
      <c r="O35" s="4"/>
      <c r="P35" s="3">
        <v>0</v>
      </c>
      <c r="Q35" s="3">
        <v>0</v>
      </c>
      <c r="R35" s="3">
        <v>0</v>
      </c>
      <c r="S35" s="3">
        <v>1</v>
      </c>
      <c r="T35" s="3">
        <f t="shared" si="5"/>
        <v>20</v>
      </c>
      <c r="U35" s="4">
        <v>607001</v>
      </c>
      <c r="V35" s="4" t="s">
        <v>30</v>
      </c>
      <c r="W35" s="3">
        <v>1000</v>
      </c>
      <c r="X35" s="3">
        <v>416001</v>
      </c>
      <c r="Y35" s="3" t="s">
        <v>92</v>
      </c>
      <c r="Z35" s="3">
        <v>10</v>
      </c>
      <c r="AA35" s="4">
        <v>403002</v>
      </c>
      <c r="AB35" s="4" t="s">
        <v>93</v>
      </c>
      <c r="AC35" s="3">
        <v>500</v>
      </c>
    </row>
    <row r="36" spans="1:29" x14ac:dyDescent="0.15">
      <c r="A36" s="3">
        <v>9967</v>
      </c>
      <c r="B36" s="137" t="s">
        <v>64</v>
      </c>
      <c r="C36" s="3">
        <v>8967</v>
      </c>
      <c r="D36" s="3">
        <v>1</v>
      </c>
      <c r="E36" s="10">
        <v>615002</v>
      </c>
      <c r="F36" s="11" t="s">
        <v>60</v>
      </c>
      <c r="G36" s="3">
        <v>500</v>
      </c>
      <c r="H36" s="134">
        <f>VLOOKUP(E36,[1]stuff!$A:$C,3,FALSE)</f>
        <v>50</v>
      </c>
      <c r="I36" s="130">
        <v>95</v>
      </c>
      <c r="J36" s="130">
        <v>50</v>
      </c>
      <c r="K36" s="130">
        <f t="shared" si="4"/>
        <v>10</v>
      </c>
      <c r="L36" s="3">
        <f t="shared" si="2"/>
        <v>6250</v>
      </c>
      <c r="M36" s="3">
        <f t="shared" si="3"/>
        <v>16</v>
      </c>
      <c r="N36" s="4">
        <v>0</v>
      </c>
      <c r="O36" s="4"/>
      <c r="P36" s="3">
        <v>0</v>
      </c>
      <c r="Q36" s="3">
        <v>0</v>
      </c>
      <c r="R36" s="3">
        <v>0</v>
      </c>
      <c r="S36" s="3">
        <v>1</v>
      </c>
      <c r="T36" s="3">
        <f t="shared" si="5"/>
        <v>20</v>
      </c>
      <c r="U36" s="4">
        <v>607001</v>
      </c>
      <c r="V36" s="4" t="s">
        <v>30</v>
      </c>
      <c r="W36" s="3">
        <v>1000</v>
      </c>
      <c r="X36" s="3">
        <v>416001</v>
      </c>
      <c r="Y36" s="3" t="s">
        <v>92</v>
      </c>
      <c r="Z36" s="3">
        <v>10</v>
      </c>
      <c r="AA36" s="4">
        <v>403002</v>
      </c>
      <c r="AB36" s="4" t="s">
        <v>93</v>
      </c>
      <c r="AC36" s="3">
        <v>500</v>
      </c>
    </row>
    <row r="37" spans="1:29" x14ac:dyDescent="0.15">
      <c r="A37" s="3">
        <v>9966</v>
      </c>
      <c r="B37" s="137" t="s">
        <v>64</v>
      </c>
      <c r="C37" s="3">
        <v>8966</v>
      </c>
      <c r="D37" s="3">
        <v>1</v>
      </c>
      <c r="E37" s="10">
        <v>615003</v>
      </c>
      <c r="F37" s="11" t="s">
        <v>61</v>
      </c>
      <c r="G37" s="3">
        <v>500</v>
      </c>
      <c r="H37" s="134">
        <f>VLOOKUP(E37,[1]stuff!$A:$C,3,FALSE)</f>
        <v>50</v>
      </c>
      <c r="I37" s="130">
        <v>95</v>
      </c>
      <c r="J37" s="130">
        <v>50</v>
      </c>
      <c r="K37" s="130">
        <f t="shared" si="4"/>
        <v>10</v>
      </c>
      <c r="L37" s="3">
        <f t="shared" si="2"/>
        <v>6250</v>
      </c>
      <c r="M37" s="3">
        <f t="shared" si="3"/>
        <v>16</v>
      </c>
      <c r="N37" s="4">
        <v>0</v>
      </c>
      <c r="O37" s="4"/>
      <c r="P37" s="3">
        <v>0</v>
      </c>
      <c r="Q37" s="3">
        <v>0</v>
      </c>
      <c r="R37" s="3">
        <v>0</v>
      </c>
      <c r="S37" s="3">
        <v>1</v>
      </c>
      <c r="T37" s="3">
        <f t="shared" si="5"/>
        <v>20</v>
      </c>
      <c r="U37" s="4">
        <v>607001</v>
      </c>
      <c r="V37" s="4" t="s">
        <v>30</v>
      </c>
      <c r="W37" s="3">
        <v>1000</v>
      </c>
      <c r="X37" s="3">
        <v>416001</v>
      </c>
      <c r="Y37" s="3" t="s">
        <v>92</v>
      </c>
      <c r="Z37" s="3">
        <v>10</v>
      </c>
      <c r="AA37" s="4">
        <v>403002</v>
      </c>
      <c r="AB37" s="4" t="s">
        <v>93</v>
      </c>
      <c r="AC37" s="3">
        <v>500</v>
      </c>
    </row>
    <row r="38" spans="1:29" x14ac:dyDescent="0.15">
      <c r="A38" s="3">
        <v>9965</v>
      </c>
      <c r="B38" s="137" t="s">
        <v>64</v>
      </c>
      <c r="C38" s="3">
        <v>8965</v>
      </c>
      <c r="D38" s="3">
        <v>1</v>
      </c>
      <c r="E38" s="5">
        <v>301006</v>
      </c>
      <c r="F38" s="5" t="s">
        <v>35</v>
      </c>
      <c r="G38" s="3">
        <v>2000</v>
      </c>
      <c r="H38" s="134">
        <f>VLOOKUP(E38,[1]stuff!$A:$C,3,FALSE)</f>
        <v>1</v>
      </c>
      <c r="I38" s="130">
        <v>95</v>
      </c>
      <c r="J38" s="130">
        <v>50</v>
      </c>
      <c r="K38" s="130">
        <f t="shared" si="4"/>
        <v>10</v>
      </c>
      <c r="L38" s="3">
        <f t="shared" si="2"/>
        <v>5100</v>
      </c>
      <c r="M38" s="3">
        <f t="shared" si="3"/>
        <v>19.607843137254903</v>
      </c>
      <c r="N38" s="4">
        <v>0</v>
      </c>
      <c r="O38" s="4"/>
      <c r="P38" s="3">
        <v>0</v>
      </c>
      <c r="Q38" s="3">
        <v>0</v>
      </c>
      <c r="R38" s="3">
        <v>0</v>
      </c>
      <c r="S38" s="3">
        <v>1</v>
      </c>
      <c r="T38" s="3">
        <f t="shared" si="5"/>
        <v>20</v>
      </c>
      <c r="U38" s="4">
        <v>607001</v>
      </c>
      <c r="V38" s="4" t="s">
        <v>30</v>
      </c>
      <c r="W38" s="3">
        <v>1000</v>
      </c>
      <c r="X38" s="3">
        <v>416001</v>
      </c>
      <c r="Y38" s="3" t="s">
        <v>92</v>
      </c>
      <c r="Z38" s="3">
        <v>10</v>
      </c>
      <c r="AA38" s="4">
        <v>403002</v>
      </c>
      <c r="AB38" s="4" t="s">
        <v>93</v>
      </c>
      <c r="AC38" s="3">
        <v>500</v>
      </c>
    </row>
    <row r="39" spans="1:29" x14ac:dyDescent="0.15">
      <c r="A39" s="3">
        <v>9964</v>
      </c>
      <c r="B39" s="137" t="s">
        <v>64</v>
      </c>
      <c r="C39" s="3">
        <v>8964</v>
      </c>
      <c r="D39" s="3">
        <v>1</v>
      </c>
      <c r="E39" s="5">
        <v>303009</v>
      </c>
      <c r="F39" s="5" t="s">
        <v>45</v>
      </c>
      <c r="G39" s="3">
        <v>2000</v>
      </c>
      <c r="H39" s="134">
        <f>VLOOKUP(E39,[1]stuff!$A:$C,3,FALSE)</f>
        <v>1</v>
      </c>
      <c r="I39" s="130">
        <v>95</v>
      </c>
      <c r="J39" s="130">
        <v>50</v>
      </c>
      <c r="K39" s="130">
        <f t="shared" si="4"/>
        <v>10</v>
      </c>
      <c r="L39" s="3">
        <f t="shared" si="2"/>
        <v>5100</v>
      </c>
      <c r="M39" s="3">
        <f t="shared" si="3"/>
        <v>19.607843137254903</v>
      </c>
      <c r="N39" s="4">
        <v>0</v>
      </c>
      <c r="O39" s="4"/>
      <c r="P39" s="3">
        <v>0</v>
      </c>
      <c r="Q39" s="3">
        <v>0</v>
      </c>
      <c r="R39" s="3">
        <v>0</v>
      </c>
      <c r="S39" s="3">
        <v>1</v>
      </c>
      <c r="T39" s="3">
        <f t="shared" si="5"/>
        <v>20</v>
      </c>
      <c r="U39" s="4">
        <v>607001</v>
      </c>
      <c r="V39" s="4" t="s">
        <v>30</v>
      </c>
      <c r="W39" s="3">
        <v>1000</v>
      </c>
      <c r="X39" s="3">
        <v>416001</v>
      </c>
      <c r="Y39" s="3" t="s">
        <v>92</v>
      </c>
      <c r="Z39" s="3">
        <v>10</v>
      </c>
      <c r="AA39" s="4">
        <v>403002</v>
      </c>
      <c r="AB39" s="4" t="s">
        <v>93</v>
      </c>
      <c r="AC39" s="3">
        <v>500</v>
      </c>
    </row>
    <row r="40" spans="1:29" x14ac:dyDescent="0.15">
      <c r="A40" s="3">
        <v>9963</v>
      </c>
      <c r="B40" s="137" t="s">
        <v>64</v>
      </c>
      <c r="C40" s="3">
        <v>8963</v>
      </c>
      <c r="D40" s="3">
        <v>1</v>
      </c>
      <c r="E40" s="7">
        <v>304002</v>
      </c>
      <c r="F40" s="7" t="s">
        <v>47</v>
      </c>
      <c r="G40" s="3">
        <v>2000</v>
      </c>
      <c r="H40" s="134">
        <f>VLOOKUP(E40,[1]stuff!$A:$C,3,FALSE)</f>
        <v>2</v>
      </c>
      <c r="I40" s="130">
        <v>95</v>
      </c>
      <c r="J40" s="130">
        <v>50</v>
      </c>
      <c r="K40" s="130">
        <f t="shared" si="4"/>
        <v>10</v>
      </c>
      <c r="L40" s="3">
        <f t="shared" si="2"/>
        <v>5200</v>
      </c>
      <c r="M40" s="3">
        <f t="shared" si="3"/>
        <v>19.23076923076923</v>
      </c>
      <c r="N40" s="4">
        <v>0</v>
      </c>
      <c r="O40" s="4"/>
      <c r="P40" s="3">
        <v>0</v>
      </c>
      <c r="Q40" s="3">
        <v>0</v>
      </c>
      <c r="R40" s="3">
        <v>0</v>
      </c>
      <c r="S40" s="3">
        <v>1</v>
      </c>
      <c r="T40" s="3">
        <f t="shared" si="5"/>
        <v>20</v>
      </c>
      <c r="U40" s="4">
        <v>607001</v>
      </c>
      <c r="V40" s="4" t="s">
        <v>30</v>
      </c>
      <c r="W40" s="3">
        <v>1000</v>
      </c>
      <c r="X40" s="3">
        <v>416001</v>
      </c>
      <c r="Y40" s="3" t="s">
        <v>92</v>
      </c>
      <c r="Z40" s="3">
        <v>10</v>
      </c>
      <c r="AA40" s="4">
        <v>403002</v>
      </c>
      <c r="AB40" s="4" t="s">
        <v>93</v>
      </c>
      <c r="AC40" s="3">
        <v>500</v>
      </c>
    </row>
    <row r="41" spans="1:29" x14ac:dyDescent="0.15">
      <c r="A41" s="3">
        <v>9962</v>
      </c>
      <c r="B41" s="137" t="s">
        <v>64</v>
      </c>
      <c r="C41" s="3">
        <v>8962</v>
      </c>
      <c r="D41" s="3">
        <v>1</v>
      </c>
      <c r="E41" s="7">
        <v>606001</v>
      </c>
      <c r="F41" s="7" t="s">
        <v>54</v>
      </c>
      <c r="G41" s="3">
        <v>1000</v>
      </c>
      <c r="H41" s="134">
        <f>VLOOKUP(E41,[1]stuff!$A:$C,3,FALSE)</f>
        <v>3</v>
      </c>
      <c r="I41" s="130">
        <v>95</v>
      </c>
      <c r="J41" s="130">
        <v>50</v>
      </c>
      <c r="K41" s="130">
        <f t="shared" si="4"/>
        <v>10</v>
      </c>
      <c r="L41" s="3">
        <f t="shared" si="2"/>
        <v>5150</v>
      </c>
      <c r="M41" s="3">
        <f t="shared" si="3"/>
        <v>19.417475728155338</v>
      </c>
      <c r="N41" s="4">
        <v>0</v>
      </c>
      <c r="O41" s="4"/>
      <c r="P41" s="3">
        <v>0</v>
      </c>
      <c r="Q41" s="3">
        <v>0</v>
      </c>
      <c r="R41" s="3">
        <v>0</v>
      </c>
      <c r="S41" s="3">
        <v>1</v>
      </c>
      <c r="T41" s="3">
        <f t="shared" si="5"/>
        <v>20</v>
      </c>
      <c r="U41" s="4">
        <v>607001</v>
      </c>
      <c r="V41" s="4" t="s">
        <v>30</v>
      </c>
      <c r="W41" s="3">
        <v>1000</v>
      </c>
      <c r="X41" s="3">
        <v>416001</v>
      </c>
      <c r="Y41" s="3" t="s">
        <v>92</v>
      </c>
      <c r="Z41" s="3">
        <v>10</v>
      </c>
      <c r="AA41" s="4">
        <v>403002</v>
      </c>
      <c r="AB41" s="4" t="s">
        <v>93</v>
      </c>
      <c r="AC41" s="3">
        <v>500</v>
      </c>
    </row>
    <row r="42" spans="1:29" x14ac:dyDescent="0.15">
      <c r="A42" s="3">
        <v>9961</v>
      </c>
      <c r="B42" s="137" t="s">
        <v>64</v>
      </c>
      <c r="C42" s="3">
        <v>8961</v>
      </c>
      <c r="D42" s="3">
        <v>1</v>
      </c>
      <c r="E42" s="7">
        <v>606002</v>
      </c>
      <c r="F42" s="7" t="s">
        <v>55</v>
      </c>
      <c r="G42" s="3">
        <v>1000</v>
      </c>
      <c r="H42" s="134">
        <f>VLOOKUP(E42,[1]stuff!$A:$C,3,FALSE)</f>
        <v>3</v>
      </c>
      <c r="I42" s="130">
        <v>95</v>
      </c>
      <c r="J42" s="130">
        <v>50</v>
      </c>
      <c r="K42" s="130">
        <f t="shared" si="4"/>
        <v>10</v>
      </c>
      <c r="L42" s="3">
        <f t="shared" si="2"/>
        <v>5150</v>
      </c>
      <c r="M42" s="3">
        <f t="shared" si="3"/>
        <v>19.417475728155338</v>
      </c>
      <c r="N42" s="4">
        <v>0</v>
      </c>
      <c r="O42" s="4"/>
      <c r="P42" s="3">
        <v>0</v>
      </c>
      <c r="Q42" s="3">
        <v>0</v>
      </c>
      <c r="R42" s="3">
        <v>0</v>
      </c>
      <c r="S42" s="3">
        <v>1</v>
      </c>
      <c r="T42" s="3">
        <f t="shared" si="5"/>
        <v>20</v>
      </c>
      <c r="U42" s="4">
        <v>607001</v>
      </c>
      <c r="V42" s="4" t="s">
        <v>30</v>
      </c>
      <c r="W42" s="3">
        <v>1000</v>
      </c>
      <c r="X42" s="3">
        <v>416001</v>
      </c>
      <c r="Y42" s="3" t="s">
        <v>92</v>
      </c>
      <c r="Z42" s="3">
        <v>10</v>
      </c>
      <c r="AA42" s="4">
        <v>403002</v>
      </c>
      <c r="AB42" s="4" t="s">
        <v>93</v>
      </c>
      <c r="AC42" s="3">
        <v>500</v>
      </c>
    </row>
    <row r="43" spans="1:29" x14ac:dyDescent="0.15">
      <c r="A43" s="3">
        <v>8999</v>
      </c>
      <c r="B43" s="3" t="s">
        <v>64</v>
      </c>
      <c r="C43" s="3">
        <v>7999</v>
      </c>
      <c r="D43" s="3">
        <v>2</v>
      </c>
      <c r="E43" s="6">
        <v>301001</v>
      </c>
      <c r="F43" s="6" t="s">
        <v>31</v>
      </c>
      <c r="G43" s="3">
        <f>G4*1.5</f>
        <v>3000</v>
      </c>
      <c r="H43" s="134">
        <f>VLOOKUP(E43,[1]stuff!$A:$C,3,FALSE)</f>
        <v>1</v>
      </c>
      <c r="I43" s="130">
        <v>90</v>
      </c>
      <c r="J43" s="130">
        <v>60</v>
      </c>
      <c r="K43" s="130">
        <f>J43*0.2</f>
        <v>12</v>
      </c>
      <c r="L43" s="3">
        <f t="shared" si="2"/>
        <v>6300</v>
      </c>
      <c r="M43" s="3">
        <f t="shared" si="3"/>
        <v>31.746031746031747</v>
      </c>
      <c r="N43" s="4">
        <v>0</v>
      </c>
      <c r="O43" s="4"/>
      <c r="P43" s="3">
        <v>0</v>
      </c>
      <c r="Q43" s="3">
        <v>0</v>
      </c>
      <c r="R43" s="3">
        <v>0</v>
      </c>
      <c r="S43" s="3">
        <v>1</v>
      </c>
      <c r="T43" s="3">
        <v>40</v>
      </c>
      <c r="U43" s="4">
        <v>607001</v>
      </c>
      <c r="V43" s="4" t="s">
        <v>30</v>
      </c>
      <c r="W43" s="3">
        <v>2000</v>
      </c>
      <c r="X43" s="3">
        <v>416001</v>
      </c>
      <c r="Y43" s="3" t="s">
        <v>92</v>
      </c>
      <c r="Z43" s="3">
        <v>20</v>
      </c>
      <c r="AA43" s="4">
        <v>403002</v>
      </c>
      <c r="AB43" s="4" t="s">
        <v>93</v>
      </c>
      <c r="AC43" s="3">
        <v>1000</v>
      </c>
    </row>
    <row r="44" spans="1:29" x14ac:dyDescent="0.15">
      <c r="A44" s="3">
        <v>8998</v>
      </c>
      <c r="B44" s="3" t="s">
        <v>64</v>
      </c>
      <c r="C44" s="3">
        <v>7998</v>
      </c>
      <c r="D44" s="3">
        <v>2</v>
      </c>
      <c r="E44" s="5">
        <v>301002</v>
      </c>
      <c r="F44" s="5" t="s">
        <v>29</v>
      </c>
      <c r="G44" s="3">
        <f t="shared" ref="G44:G107" si="6">G5*1.5</f>
        <v>3000</v>
      </c>
      <c r="H44" s="134">
        <f>VLOOKUP(E44,[1]stuff!$A:$C,3,FALSE)</f>
        <v>1</v>
      </c>
      <c r="I44" s="130">
        <v>90</v>
      </c>
      <c r="J44" s="130">
        <v>60</v>
      </c>
      <c r="K44" s="130">
        <f t="shared" ref="K44:K81" si="7">J44*0.2</f>
        <v>12</v>
      </c>
      <c r="L44" s="3">
        <f t="shared" si="2"/>
        <v>6300</v>
      </c>
      <c r="M44" s="3">
        <f t="shared" si="3"/>
        <v>31.746031746031747</v>
      </c>
      <c r="N44" s="4">
        <v>0</v>
      </c>
      <c r="O44" s="4"/>
      <c r="P44" s="3">
        <v>0</v>
      </c>
      <c r="Q44" s="3">
        <v>0</v>
      </c>
      <c r="R44" s="3">
        <v>0</v>
      </c>
      <c r="S44" s="3">
        <v>1</v>
      </c>
      <c r="T44" s="3">
        <v>40</v>
      </c>
      <c r="U44" s="4">
        <v>607001</v>
      </c>
      <c r="V44" s="4" t="s">
        <v>30</v>
      </c>
      <c r="W44" s="3">
        <v>2000</v>
      </c>
      <c r="X44" s="3">
        <v>416001</v>
      </c>
      <c r="Y44" s="3" t="s">
        <v>92</v>
      </c>
      <c r="Z44" s="3">
        <v>20</v>
      </c>
      <c r="AA44" s="4">
        <v>403002</v>
      </c>
      <c r="AB44" s="4" t="s">
        <v>93</v>
      </c>
      <c r="AC44" s="3">
        <v>1000</v>
      </c>
    </row>
    <row r="45" spans="1:29" x14ac:dyDescent="0.15">
      <c r="A45" s="3">
        <v>8997</v>
      </c>
      <c r="B45" s="3" t="s">
        <v>64</v>
      </c>
      <c r="C45" s="3">
        <v>7997</v>
      </c>
      <c r="D45" s="3">
        <v>2</v>
      </c>
      <c r="E45" s="5">
        <v>301003</v>
      </c>
      <c r="F45" s="5" t="s">
        <v>32</v>
      </c>
      <c r="G45" s="3">
        <f t="shared" si="6"/>
        <v>3000</v>
      </c>
      <c r="H45" s="134">
        <f>VLOOKUP(E45,[1]stuff!$A:$C,3,FALSE)</f>
        <v>1</v>
      </c>
      <c r="I45" s="130">
        <v>90</v>
      </c>
      <c r="J45" s="130">
        <v>60</v>
      </c>
      <c r="K45" s="130">
        <f t="shared" si="7"/>
        <v>12</v>
      </c>
      <c r="L45" s="3">
        <f t="shared" si="2"/>
        <v>6300</v>
      </c>
      <c r="M45" s="3">
        <f t="shared" si="3"/>
        <v>31.746031746031747</v>
      </c>
      <c r="N45" s="4">
        <v>0</v>
      </c>
      <c r="O45" s="4"/>
      <c r="P45" s="3">
        <v>0</v>
      </c>
      <c r="Q45" s="3">
        <v>0</v>
      </c>
      <c r="R45" s="3">
        <v>0</v>
      </c>
      <c r="S45" s="3">
        <v>1</v>
      </c>
      <c r="T45" s="3">
        <v>40</v>
      </c>
      <c r="U45" s="4">
        <v>607001</v>
      </c>
      <c r="V45" s="4" t="s">
        <v>30</v>
      </c>
      <c r="W45" s="3">
        <v>2000</v>
      </c>
      <c r="X45" s="3">
        <v>416001</v>
      </c>
      <c r="Y45" s="3" t="s">
        <v>92</v>
      </c>
      <c r="Z45" s="3">
        <v>20</v>
      </c>
      <c r="AA45" s="4">
        <v>403002</v>
      </c>
      <c r="AB45" s="4" t="s">
        <v>93</v>
      </c>
      <c r="AC45" s="3">
        <v>1000</v>
      </c>
    </row>
    <row r="46" spans="1:29" x14ac:dyDescent="0.15">
      <c r="A46" s="3">
        <v>8996</v>
      </c>
      <c r="B46" s="3" t="s">
        <v>64</v>
      </c>
      <c r="C46" s="3">
        <v>7996</v>
      </c>
      <c r="D46" s="3">
        <v>2</v>
      </c>
      <c r="E46" s="5">
        <v>301004</v>
      </c>
      <c r="F46" s="5" t="s">
        <v>33</v>
      </c>
      <c r="G46" s="3">
        <f t="shared" si="6"/>
        <v>3000</v>
      </c>
      <c r="H46" s="134">
        <f>VLOOKUP(E46,[1]stuff!$A:$C,3,FALSE)</f>
        <v>1</v>
      </c>
      <c r="I46" s="130">
        <v>90</v>
      </c>
      <c r="J46" s="130">
        <v>60</v>
      </c>
      <c r="K46" s="130">
        <f t="shared" si="7"/>
        <v>12</v>
      </c>
      <c r="L46" s="3">
        <f t="shared" si="2"/>
        <v>6300</v>
      </c>
      <c r="M46" s="3">
        <f t="shared" si="3"/>
        <v>31.746031746031747</v>
      </c>
      <c r="N46" s="4">
        <v>0</v>
      </c>
      <c r="O46" s="4"/>
      <c r="P46" s="3">
        <v>0</v>
      </c>
      <c r="Q46" s="3">
        <v>0</v>
      </c>
      <c r="R46" s="3">
        <v>0</v>
      </c>
      <c r="S46" s="3">
        <v>1</v>
      </c>
      <c r="T46" s="3">
        <v>40</v>
      </c>
      <c r="U46" s="4">
        <v>607001</v>
      </c>
      <c r="V46" s="4" t="s">
        <v>30</v>
      </c>
      <c r="W46" s="3">
        <v>2000</v>
      </c>
      <c r="X46" s="3">
        <v>416001</v>
      </c>
      <c r="Y46" s="3" t="s">
        <v>92</v>
      </c>
      <c r="Z46" s="3">
        <v>20</v>
      </c>
      <c r="AA46" s="4">
        <v>403002</v>
      </c>
      <c r="AB46" s="4" t="s">
        <v>93</v>
      </c>
      <c r="AC46" s="3">
        <v>1000</v>
      </c>
    </row>
    <row r="47" spans="1:29" x14ac:dyDescent="0.15">
      <c r="A47" s="3">
        <v>8995</v>
      </c>
      <c r="B47" s="3" t="s">
        <v>64</v>
      </c>
      <c r="C47" s="3">
        <v>7995</v>
      </c>
      <c r="D47" s="3">
        <v>2</v>
      </c>
      <c r="E47" s="5">
        <v>301005</v>
      </c>
      <c r="F47" s="5" t="s">
        <v>34</v>
      </c>
      <c r="G47" s="3">
        <f t="shared" si="6"/>
        <v>3000</v>
      </c>
      <c r="H47" s="134">
        <f>VLOOKUP(E47,[1]stuff!$A:$C,3,FALSE)</f>
        <v>1</v>
      </c>
      <c r="I47" s="130">
        <v>90</v>
      </c>
      <c r="J47" s="130">
        <v>60</v>
      </c>
      <c r="K47" s="130">
        <f t="shared" si="7"/>
        <v>12</v>
      </c>
      <c r="L47" s="3">
        <f t="shared" si="2"/>
        <v>6300</v>
      </c>
      <c r="M47" s="3">
        <f t="shared" si="3"/>
        <v>31.746031746031747</v>
      </c>
      <c r="N47" s="4">
        <v>0</v>
      </c>
      <c r="O47" s="4"/>
      <c r="P47" s="3">
        <v>0</v>
      </c>
      <c r="Q47" s="3">
        <v>0</v>
      </c>
      <c r="R47" s="3">
        <v>0</v>
      </c>
      <c r="S47" s="3">
        <v>1</v>
      </c>
      <c r="T47" s="3">
        <v>40</v>
      </c>
      <c r="U47" s="4">
        <v>607001</v>
      </c>
      <c r="V47" s="4" t="s">
        <v>30</v>
      </c>
      <c r="W47" s="3">
        <v>2000</v>
      </c>
      <c r="X47" s="3">
        <v>416001</v>
      </c>
      <c r="Y47" s="3" t="s">
        <v>92</v>
      </c>
      <c r="Z47" s="3">
        <v>20</v>
      </c>
      <c r="AA47" s="4">
        <v>403002</v>
      </c>
      <c r="AB47" s="4" t="s">
        <v>93</v>
      </c>
      <c r="AC47" s="3">
        <v>1000</v>
      </c>
    </row>
    <row r="48" spans="1:29" x14ac:dyDescent="0.15">
      <c r="A48" s="3">
        <v>8994</v>
      </c>
      <c r="B48" s="3" t="s">
        <v>64</v>
      </c>
      <c r="C48" s="3">
        <v>7994</v>
      </c>
      <c r="D48" s="3">
        <v>2</v>
      </c>
      <c r="E48" s="5">
        <v>301006</v>
      </c>
      <c r="F48" s="5" t="s">
        <v>35</v>
      </c>
      <c r="G48" s="3">
        <f t="shared" si="6"/>
        <v>3000</v>
      </c>
      <c r="H48" s="134">
        <f>VLOOKUP(E48,[1]stuff!$A:$C,3,FALSE)</f>
        <v>1</v>
      </c>
      <c r="I48" s="130">
        <v>90</v>
      </c>
      <c r="J48" s="130">
        <v>60</v>
      </c>
      <c r="K48" s="130">
        <f t="shared" si="7"/>
        <v>12</v>
      </c>
      <c r="L48" s="3">
        <f t="shared" si="2"/>
        <v>6300</v>
      </c>
      <c r="M48" s="3">
        <f t="shared" si="3"/>
        <v>31.746031746031747</v>
      </c>
      <c r="N48" s="4">
        <v>0</v>
      </c>
      <c r="O48" s="4"/>
      <c r="P48" s="3">
        <v>0</v>
      </c>
      <c r="Q48" s="3">
        <v>0</v>
      </c>
      <c r="R48" s="3">
        <v>0</v>
      </c>
      <c r="S48" s="3">
        <v>1</v>
      </c>
      <c r="T48" s="3">
        <v>40</v>
      </c>
      <c r="U48" s="4">
        <v>607001</v>
      </c>
      <c r="V48" s="4" t="s">
        <v>30</v>
      </c>
      <c r="W48" s="3">
        <v>2000</v>
      </c>
      <c r="X48" s="3">
        <v>416001</v>
      </c>
      <c r="Y48" s="3" t="s">
        <v>92</v>
      </c>
      <c r="Z48" s="3">
        <v>20</v>
      </c>
      <c r="AA48" s="4">
        <v>403002</v>
      </c>
      <c r="AB48" s="4" t="s">
        <v>93</v>
      </c>
      <c r="AC48" s="3">
        <v>1000</v>
      </c>
    </row>
    <row r="49" spans="1:29" x14ac:dyDescent="0.15">
      <c r="A49" s="3">
        <v>8993</v>
      </c>
      <c r="B49" s="3" t="s">
        <v>64</v>
      </c>
      <c r="C49" s="3">
        <v>7993</v>
      </c>
      <c r="D49" s="3">
        <v>2</v>
      </c>
      <c r="E49" s="5">
        <v>301007</v>
      </c>
      <c r="F49" s="5" t="s">
        <v>36</v>
      </c>
      <c r="G49" s="3">
        <f t="shared" si="6"/>
        <v>3000</v>
      </c>
      <c r="H49" s="134">
        <f>VLOOKUP(E49,[1]stuff!$A:$C,3,FALSE)</f>
        <v>1</v>
      </c>
      <c r="I49" s="130">
        <v>90</v>
      </c>
      <c r="J49" s="130">
        <v>60</v>
      </c>
      <c r="K49" s="130">
        <f t="shared" si="7"/>
        <v>12</v>
      </c>
      <c r="L49" s="3">
        <f t="shared" si="2"/>
        <v>6300</v>
      </c>
      <c r="M49" s="3">
        <f t="shared" si="3"/>
        <v>31.746031746031747</v>
      </c>
      <c r="N49" s="4">
        <v>0</v>
      </c>
      <c r="O49" s="4"/>
      <c r="P49" s="3">
        <v>0</v>
      </c>
      <c r="Q49" s="3">
        <v>0</v>
      </c>
      <c r="R49" s="3">
        <v>0</v>
      </c>
      <c r="S49" s="3">
        <v>1</v>
      </c>
      <c r="T49" s="3">
        <v>40</v>
      </c>
      <c r="U49" s="4">
        <v>607001</v>
      </c>
      <c r="V49" s="4" t="s">
        <v>30</v>
      </c>
      <c r="W49" s="3">
        <v>2000</v>
      </c>
      <c r="X49" s="3">
        <v>416001</v>
      </c>
      <c r="Y49" s="3" t="s">
        <v>92</v>
      </c>
      <c r="Z49" s="3">
        <v>20</v>
      </c>
      <c r="AA49" s="4">
        <v>403002</v>
      </c>
      <c r="AB49" s="4" t="s">
        <v>93</v>
      </c>
      <c r="AC49" s="3">
        <v>1000</v>
      </c>
    </row>
    <row r="50" spans="1:29" x14ac:dyDescent="0.15">
      <c r="A50" s="3">
        <v>8992</v>
      </c>
      <c r="B50" s="3" t="s">
        <v>64</v>
      </c>
      <c r="C50" s="3">
        <v>7992</v>
      </c>
      <c r="D50" s="3">
        <v>2</v>
      </c>
      <c r="E50" s="5">
        <v>302001</v>
      </c>
      <c r="F50" s="5" t="s">
        <v>37</v>
      </c>
      <c r="G50" s="3">
        <f t="shared" si="6"/>
        <v>3000</v>
      </c>
      <c r="H50" s="134">
        <f>VLOOKUP(E50,[1]stuff!$A:$C,3,FALSE)</f>
        <v>1</v>
      </c>
      <c r="I50" s="130">
        <v>90</v>
      </c>
      <c r="J50" s="130">
        <v>60</v>
      </c>
      <c r="K50" s="130">
        <f t="shared" si="7"/>
        <v>12</v>
      </c>
      <c r="L50" s="3">
        <f t="shared" si="2"/>
        <v>6300</v>
      </c>
      <c r="M50" s="3">
        <f t="shared" si="3"/>
        <v>31.746031746031747</v>
      </c>
      <c r="N50" s="4">
        <v>0</v>
      </c>
      <c r="O50" s="4"/>
      <c r="P50" s="3">
        <v>0</v>
      </c>
      <c r="Q50" s="3">
        <v>0</v>
      </c>
      <c r="R50" s="3">
        <v>0</v>
      </c>
      <c r="S50" s="3">
        <v>1</v>
      </c>
      <c r="T50" s="3">
        <v>40</v>
      </c>
      <c r="U50" s="4">
        <v>607001</v>
      </c>
      <c r="V50" s="4" t="s">
        <v>30</v>
      </c>
      <c r="W50" s="3">
        <v>2000</v>
      </c>
      <c r="X50" s="3">
        <v>416001</v>
      </c>
      <c r="Y50" s="3" t="s">
        <v>92</v>
      </c>
      <c r="Z50" s="3">
        <v>20</v>
      </c>
      <c r="AA50" s="4">
        <v>403002</v>
      </c>
      <c r="AB50" s="4" t="s">
        <v>93</v>
      </c>
      <c r="AC50" s="3">
        <v>1000</v>
      </c>
    </row>
    <row r="51" spans="1:29" x14ac:dyDescent="0.15">
      <c r="A51" s="3">
        <v>8991</v>
      </c>
      <c r="B51" s="3" t="s">
        <v>64</v>
      </c>
      <c r="C51" s="3">
        <v>7991</v>
      </c>
      <c r="D51" s="3">
        <v>2</v>
      </c>
      <c r="E51" s="5">
        <v>302002</v>
      </c>
      <c r="F51" s="5" t="s">
        <v>38</v>
      </c>
      <c r="G51" s="3">
        <f t="shared" si="6"/>
        <v>3000</v>
      </c>
      <c r="H51" s="134">
        <f>VLOOKUP(E51,[1]stuff!$A:$C,3,FALSE)</f>
        <v>1</v>
      </c>
      <c r="I51" s="130">
        <v>90</v>
      </c>
      <c r="J51" s="130">
        <v>60</v>
      </c>
      <c r="K51" s="130">
        <f t="shared" si="7"/>
        <v>12</v>
      </c>
      <c r="L51" s="3">
        <f t="shared" si="2"/>
        <v>6300</v>
      </c>
      <c r="M51" s="3">
        <f t="shared" si="3"/>
        <v>31.746031746031747</v>
      </c>
      <c r="N51" s="4">
        <v>0</v>
      </c>
      <c r="O51" s="4"/>
      <c r="P51" s="3">
        <v>0</v>
      </c>
      <c r="Q51" s="3">
        <v>0</v>
      </c>
      <c r="R51" s="3">
        <v>0</v>
      </c>
      <c r="S51" s="3">
        <v>1</v>
      </c>
      <c r="T51" s="3">
        <v>40</v>
      </c>
      <c r="U51" s="4">
        <v>607001</v>
      </c>
      <c r="V51" s="4" t="s">
        <v>30</v>
      </c>
      <c r="W51" s="3">
        <v>2000</v>
      </c>
      <c r="X51" s="3">
        <v>416001</v>
      </c>
      <c r="Y51" s="3" t="s">
        <v>92</v>
      </c>
      <c r="Z51" s="3">
        <v>20</v>
      </c>
      <c r="AA51" s="4">
        <v>403002</v>
      </c>
      <c r="AB51" s="4" t="s">
        <v>93</v>
      </c>
      <c r="AC51" s="3">
        <v>1000</v>
      </c>
    </row>
    <row r="52" spans="1:29" x14ac:dyDescent="0.15">
      <c r="A52" s="3">
        <v>8990</v>
      </c>
      <c r="B52" s="3" t="s">
        <v>64</v>
      </c>
      <c r="C52" s="3">
        <v>7990</v>
      </c>
      <c r="D52" s="3">
        <v>2</v>
      </c>
      <c r="E52" s="5">
        <v>302003</v>
      </c>
      <c r="F52" s="5" t="s">
        <v>39</v>
      </c>
      <c r="G52" s="3">
        <f t="shared" si="6"/>
        <v>3000</v>
      </c>
      <c r="H52" s="134">
        <f>VLOOKUP(E52,[1]stuff!$A:$C,3,FALSE)</f>
        <v>1</v>
      </c>
      <c r="I52" s="130">
        <v>90</v>
      </c>
      <c r="J52" s="130">
        <v>60</v>
      </c>
      <c r="K52" s="130">
        <f t="shared" si="7"/>
        <v>12</v>
      </c>
      <c r="L52" s="3">
        <f t="shared" si="2"/>
        <v>6300</v>
      </c>
      <c r="M52" s="3">
        <f t="shared" si="3"/>
        <v>31.746031746031747</v>
      </c>
      <c r="N52" s="4">
        <v>0</v>
      </c>
      <c r="O52" s="4"/>
      <c r="P52" s="3">
        <v>0</v>
      </c>
      <c r="Q52" s="3">
        <v>0</v>
      </c>
      <c r="R52" s="3">
        <v>0</v>
      </c>
      <c r="S52" s="3">
        <v>1</v>
      </c>
      <c r="T52" s="3">
        <v>40</v>
      </c>
      <c r="U52" s="4">
        <v>607001</v>
      </c>
      <c r="V52" s="4" t="s">
        <v>30</v>
      </c>
      <c r="W52" s="3">
        <v>2000</v>
      </c>
      <c r="X52" s="3">
        <v>416001</v>
      </c>
      <c r="Y52" s="3" t="s">
        <v>92</v>
      </c>
      <c r="Z52" s="3">
        <v>20</v>
      </c>
      <c r="AA52" s="4">
        <v>403002</v>
      </c>
      <c r="AB52" s="4" t="s">
        <v>93</v>
      </c>
      <c r="AC52" s="3">
        <v>1000</v>
      </c>
    </row>
    <row r="53" spans="1:29" x14ac:dyDescent="0.15">
      <c r="A53" s="3">
        <v>8989</v>
      </c>
      <c r="B53" s="3" t="s">
        <v>64</v>
      </c>
      <c r="C53" s="3">
        <v>7989</v>
      </c>
      <c r="D53" s="3">
        <v>2</v>
      </c>
      <c r="E53" s="5">
        <v>302004</v>
      </c>
      <c r="F53" s="5" t="s">
        <v>40</v>
      </c>
      <c r="G53" s="3">
        <f t="shared" si="6"/>
        <v>3000</v>
      </c>
      <c r="H53" s="134">
        <f>VLOOKUP(E53,[1]stuff!$A:$C,3,FALSE)</f>
        <v>1</v>
      </c>
      <c r="I53" s="130">
        <v>90</v>
      </c>
      <c r="J53" s="130">
        <v>60</v>
      </c>
      <c r="K53" s="130">
        <f t="shared" si="7"/>
        <v>12</v>
      </c>
      <c r="L53" s="3">
        <f t="shared" si="2"/>
        <v>6300</v>
      </c>
      <c r="M53" s="3">
        <f t="shared" si="3"/>
        <v>31.746031746031747</v>
      </c>
      <c r="N53" s="4">
        <v>0</v>
      </c>
      <c r="O53" s="4"/>
      <c r="P53" s="3">
        <v>0</v>
      </c>
      <c r="Q53" s="3">
        <v>0</v>
      </c>
      <c r="R53" s="3">
        <v>0</v>
      </c>
      <c r="S53" s="3">
        <v>1</v>
      </c>
      <c r="T53" s="3">
        <v>40</v>
      </c>
      <c r="U53" s="4">
        <v>607001</v>
      </c>
      <c r="V53" s="4" t="s">
        <v>30</v>
      </c>
      <c r="W53" s="3">
        <v>2000</v>
      </c>
      <c r="X53" s="3">
        <v>416001</v>
      </c>
      <c r="Y53" s="3" t="s">
        <v>92</v>
      </c>
      <c r="Z53" s="3">
        <v>20</v>
      </c>
      <c r="AA53" s="4">
        <v>403002</v>
      </c>
      <c r="AB53" s="4" t="s">
        <v>93</v>
      </c>
      <c r="AC53" s="3">
        <v>1000</v>
      </c>
    </row>
    <row r="54" spans="1:29" x14ac:dyDescent="0.15">
      <c r="A54" s="3">
        <v>8988</v>
      </c>
      <c r="B54" s="3" t="s">
        <v>64</v>
      </c>
      <c r="C54" s="3">
        <v>7988</v>
      </c>
      <c r="D54" s="3">
        <v>2</v>
      </c>
      <c r="E54" s="5">
        <v>303001</v>
      </c>
      <c r="F54" s="5" t="s">
        <v>41</v>
      </c>
      <c r="G54" s="3">
        <f t="shared" si="6"/>
        <v>3000</v>
      </c>
      <c r="H54" s="134">
        <f>VLOOKUP(E54,[1]stuff!$A:$C,3,FALSE)</f>
        <v>1</v>
      </c>
      <c r="I54" s="130">
        <v>90</v>
      </c>
      <c r="J54" s="130">
        <v>60</v>
      </c>
      <c r="K54" s="130">
        <f t="shared" si="7"/>
        <v>12</v>
      </c>
      <c r="L54" s="3">
        <f t="shared" si="2"/>
        <v>6300</v>
      </c>
      <c r="M54" s="3">
        <f t="shared" si="3"/>
        <v>31.746031746031747</v>
      </c>
      <c r="N54" s="4">
        <v>0</v>
      </c>
      <c r="O54" s="4"/>
      <c r="P54" s="3">
        <v>0</v>
      </c>
      <c r="Q54" s="3">
        <v>0</v>
      </c>
      <c r="R54" s="3">
        <v>0</v>
      </c>
      <c r="S54" s="3">
        <v>1</v>
      </c>
      <c r="T54" s="3">
        <v>40</v>
      </c>
      <c r="U54" s="4">
        <v>607001</v>
      </c>
      <c r="V54" s="4" t="s">
        <v>30</v>
      </c>
      <c r="W54" s="3">
        <v>2000</v>
      </c>
      <c r="X54" s="3">
        <v>416001</v>
      </c>
      <c r="Y54" s="3" t="s">
        <v>92</v>
      </c>
      <c r="Z54" s="3">
        <v>20</v>
      </c>
      <c r="AA54" s="4">
        <v>403002</v>
      </c>
      <c r="AB54" s="4" t="s">
        <v>93</v>
      </c>
      <c r="AC54" s="3">
        <v>1000</v>
      </c>
    </row>
    <row r="55" spans="1:29" x14ac:dyDescent="0.15">
      <c r="A55" s="3">
        <v>8987</v>
      </c>
      <c r="B55" s="3" t="s">
        <v>64</v>
      </c>
      <c r="C55" s="3">
        <v>7987</v>
      </c>
      <c r="D55" s="3">
        <v>2</v>
      </c>
      <c r="E55" s="5">
        <v>303002</v>
      </c>
      <c r="F55" s="5" t="s">
        <v>42</v>
      </c>
      <c r="G55" s="3">
        <f t="shared" si="6"/>
        <v>3000</v>
      </c>
      <c r="H55" s="134">
        <f>VLOOKUP(E55,[1]stuff!$A:$C,3,FALSE)</f>
        <v>1</v>
      </c>
      <c r="I55" s="130">
        <v>90</v>
      </c>
      <c r="J55" s="130">
        <v>60</v>
      </c>
      <c r="K55" s="130">
        <f t="shared" si="7"/>
        <v>12</v>
      </c>
      <c r="L55" s="3">
        <f t="shared" si="2"/>
        <v>6300</v>
      </c>
      <c r="M55" s="3">
        <f t="shared" si="3"/>
        <v>31.746031746031747</v>
      </c>
      <c r="N55" s="4">
        <v>0</v>
      </c>
      <c r="O55" s="4"/>
      <c r="P55" s="3">
        <v>0</v>
      </c>
      <c r="Q55" s="3">
        <v>0</v>
      </c>
      <c r="R55" s="3">
        <v>0</v>
      </c>
      <c r="S55" s="3">
        <v>1</v>
      </c>
      <c r="T55" s="3">
        <v>40</v>
      </c>
      <c r="U55" s="4">
        <v>607001</v>
      </c>
      <c r="V55" s="4" t="s">
        <v>30</v>
      </c>
      <c r="W55" s="3">
        <v>2000</v>
      </c>
      <c r="X55" s="3">
        <v>416001</v>
      </c>
      <c r="Y55" s="3" t="s">
        <v>92</v>
      </c>
      <c r="Z55" s="3">
        <v>20</v>
      </c>
      <c r="AA55" s="4">
        <v>403002</v>
      </c>
      <c r="AB55" s="4" t="s">
        <v>93</v>
      </c>
      <c r="AC55" s="3">
        <v>1000</v>
      </c>
    </row>
    <row r="56" spans="1:29" x14ac:dyDescent="0.15">
      <c r="A56" s="3">
        <v>8986</v>
      </c>
      <c r="B56" s="3" t="s">
        <v>64</v>
      </c>
      <c r="C56" s="3">
        <v>7986</v>
      </c>
      <c r="D56" s="3">
        <v>2</v>
      </c>
      <c r="E56" s="5">
        <v>303004</v>
      </c>
      <c r="F56" s="5" t="s">
        <v>43</v>
      </c>
      <c r="G56" s="3">
        <f t="shared" si="6"/>
        <v>3000</v>
      </c>
      <c r="H56" s="134">
        <f>VLOOKUP(E56,[1]stuff!$A:$C,3,FALSE)</f>
        <v>1</v>
      </c>
      <c r="I56" s="130">
        <v>90</v>
      </c>
      <c r="J56" s="130">
        <v>60</v>
      </c>
      <c r="K56" s="130">
        <f t="shared" si="7"/>
        <v>12</v>
      </c>
      <c r="L56" s="3">
        <f t="shared" si="2"/>
        <v>6300</v>
      </c>
      <c r="M56" s="3">
        <f t="shared" si="3"/>
        <v>31.746031746031747</v>
      </c>
      <c r="N56" s="4">
        <v>0</v>
      </c>
      <c r="O56" s="4"/>
      <c r="P56" s="3">
        <v>0</v>
      </c>
      <c r="Q56" s="3">
        <v>0</v>
      </c>
      <c r="R56" s="3">
        <v>0</v>
      </c>
      <c r="S56" s="3">
        <v>1</v>
      </c>
      <c r="T56" s="3">
        <v>40</v>
      </c>
      <c r="U56" s="4">
        <v>607001</v>
      </c>
      <c r="V56" s="4" t="s">
        <v>30</v>
      </c>
      <c r="W56" s="3">
        <v>2000</v>
      </c>
      <c r="X56" s="3">
        <v>416001</v>
      </c>
      <c r="Y56" s="3" t="s">
        <v>92</v>
      </c>
      <c r="Z56" s="3">
        <v>20</v>
      </c>
      <c r="AA56" s="4">
        <v>403002</v>
      </c>
      <c r="AB56" s="4" t="s">
        <v>93</v>
      </c>
      <c r="AC56" s="3">
        <v>1000</v>
      </c>
    </row>
    <row r="57" spans="1:29" x14ac:dyDescent="0.15">
      <c r="A57" s="3">
        <v>8985</v>
      </c>
      <c r="B57" s="3" t="s">
        <v>64</v>
      </c>
      <c r="C57" s="3">
        <v>7985</v>
      </c>
      <c r="D57" s="3">
        <v>2</v>
      </c>
      <c r="E57" s="5">
        <v>303006</v>
      </c>
      <c r="F57" s="5" t="s">
        <v>44</v>
      </c>
      <c r="G57" s="3">
        <f t="shared" si="6"/>
        <v>3000</v>
      </c>
      <c r="H57" s="134">
        <f>VLOOKUP(E57,[1]stuff!$A:$C,3,FALSE)</f>
        <v>1</v>
      </c>
      <c r="I57" s="130">
        <v>90</v>
      </c>
      <c r="J57" s="130">
        <v>60</v>
      </c>
      <c r="K57" s="130">
        <f t="shared" si="7"/>
        <v>12</v>
      </c>
      <c r="L57" s="3">
        <f t="shared" si="2"/>
        <v>6300</v>
      </c>
      <c r="M57" s="3">
        <f t="shared" si="3"/>
        <v>31.746031746031747</v>
      </c>
      <c r="N57" s="4">
        <v>0</v>
      </c>
      <c r="O57" s="4"/>
      <c r="P57" s="3">
        <v>0</v>
      </c>
      <c r="Q57" s="3">
        <v>0</v>
      </c>
      <c r="R57" s="3">
        <v>0</v>
      </c>
      <c r="S57" s="3">
        <v>1</v>
      </c>
      <c r="T57" s="3">
        <v>40</v>
      </c>
      <c r="U57" s="4">
        <v>607001</v>
      </c>
      <c r="V57" s="4" t="s">
        <v>30</v>
      </c>
      <c r="W57" s="3">
        <v>2000</v>
      </c>
      <c r="X57" s="3">
        <v>416001</v>
      </c>
      <c r="Y57" s="3" t="s">
        <v>92</v>
      </c>
      <c r="Z57" s="3">
        <v>20</v>
      </c>
      <c r="AA57" s="4">
        <v>403002</v>
      </c>
      <c r="AB57" s="4" t="s">
        <v>93</v>
      </c>
      <c r="AC57" s="3">
        <v>1000</v>
      </c>
    </row>
    <row r="58" spans="1:29" x14ac:dyDescent="0.15">
      <c r="A58" s="3">
        <v>8984</v>
      </c>
      <c r="B58" s="3" t="s">
        <v>64</v>
      </c>
      <c r="C58" s="3">
        <v>7984</v>
      </c>
      <c r="D58" s="3">
        <v>2</v>
      </c>
      <c r="E58" s="131">
        <v>617001</v>
      </c>
      <c r="F58" s="132" t="s">
        <v>82</v>
      </c>
      <c r="G58" s="3">
        <f t="shared" si="6"/>
        <v>9000</v>
      </c>
      <c r="H58" s="134">
        <f>VLOOKUP(E58,[1]stuff!$A:$C,3,FALSE)</f>
        <v>1</v>
      </c>
      <c r="I58" s="130">
        <v>90</v>
      </c>
      <c r="J58" s="130">
        <v>60</v>
      </c>
      <c r="K58" s="130">
        <f t="shared" si="7"/>
        <v>12</v>
      </c>
      <c r="L58" s="3">
        <f t="shared" si="2"/>
        <v>6900</v>
      </c>
      <c r="M58" s="3">
        <f t="shared" si="3"/>
        <v>28.985507246376812</v>
      </c>
      <c r="N58" s="4">
        <v>0</v>
      </c>
      <c r="O58" s="4"/>
      <c r="P58" s="3">
        <v>0</v>
      </c>
      <c r="Q58" s="3">
        <v>0</v>
      </c>
      <c r="R58" s="3">
        <v>0</v>
      </c>
      <c r="S58" s="3">
        <v>1</v>
      </c>
      <c r="T58" s="3">
        <v>40</v>
      </c>
      <c r="U58" s="4">
        <v>607001</v>
      </c>
      <c r="V58" s="4" t="s">
        <v>30</v>
      </c>
      <c r="W58" s="3">
        <v>2000</v>
      </c>
      <c r="X58" s="3">
        <v>416001</v>
      </c>
      <c r="Y58" s="3" t="s">
        <v>92</v>
      </c>
      <c r="Z58" s="3">
        <v>20</v>
      </c>
      <c r="AA58" s="4">
        <v>403002</v>
      </c>
      <c r="AB58" s="4" t="s">
        <v>93</v>
      </c>
      <c r="AC58" s="3">
        <v>1000</v>
      </c>
    </row>
    <row r="59" spans="1:29" x14ac:dyDescent="0.15">
      <c r="A59" s="3">
        <v>8983</v>
      </c>
      <c r="B59" s="3" t="s">
        <v>64</v>
      </c>
      <c r="C59" s="3">
        <v>7983</v>
      </c>
      <c r="D59" s="3">
        <v>2</v>
      </c>
      <c r="E59" s="5">
        <v>303009</v>
      </c>
      <c r="F59" s="5" t="s">
        <v>45</v>
      </c>
      <c r="G59" s="3">
        <f t="shared" si="6"/>
        <v>3000</v>
      </c>
      <c r="H59" s="134">
        <f>VLOOKUP(E59,[1]stuff!$A:$C,3,FALSE)</f>
        <v>1</v>
      </c>
      <c r="I59" s="130">
        <v>90</v>
      </c>
      <c r="J59" s="130">
        <v>60</v>
      </c>
      <c r="K59" s="130">
        <f t="shared" si="7"/>
        <v>12</v>
      </c>
      <c r="L59" s="3">
        <f t="shared" si="2"/>
        <v>6300</v>
      </c>
      <c r="M59" s="3">
        <f t="shared" si="3"/>
        <v>31.746031746031747</v>
      </c>
      <c r="N59" s="4">
        <v>0</v>
      </c>
      <c r="O59" s="4"/>
      <c r="P59" s="3">
        <v>0</v>
      </c>
      <c r="Q59" s="3">
        <v>0</v>
      </c>
      <c r="R59" s="3">
        <v>0</v>
      </c>
      <c r="S59" s="3">
        <v>1</v>
      </c>
      <c r="T59" s="3">
        <v>40</v>
      </c>
      <c r="U59" s="4">
        <v>607001</v>
      </c>
      <c r="V59" s="4" t="s">
        <v>30</v>
      </c>
      <c r="W59" s="3">
        <v>2000</v>
      </c>
      <c r="X59" s="3">
        <v>416001</v>
      </c>
      <c r="Y59" s="3" t="s">
        <v>92</v>
      </c>
      <c r="Z59" s="3">
        <v>20</v>
      </c>
      <c r="AA59" s="4">
        <v>403002</v>
      </c>
      <c r="AB59" s="4" t="s">
        <v>93</v>
      </c>
      <c r="AC59" s="3">
        <v>1000</v>
      </c>
    </row>
    <row r="60" spans="1:29" x14ac:dyDescent="0.15">
      <c r="A60" s="3">
        <v>8982</v>
      </c>
      <c r="B60" s="3" t="s">
        <v>64</v>
      </c>
      <c r="C60" s="3">
        <v>7982</v>
      </c>
      <c r="D60" s="3">
        <v>2</v>
      </c>
      <c r="E60" s="7">
        <v>304001</v>
      </c>
      <c r="F60" s="7" t="s">
        <v>46</v>
      </c>
      <c r="G60" s="3">
        <f t="shared" si="6"/>
        <v>3000</v>
      </c>
      <c r="H60" s="134">
        <f>VLOOKUP(E60,[1]stuff!$A:$C,3,FALSE)</f>
        <v>2</v>
      </c>
      <c r="I60" s="130">
        <v>90</v>
      </c>
      <c r="J60" s="130">
        <v>60</v>
      </c>
      <c r="K60" s="130">
        <f t="shared" si="7"/>
        <v>12</v>
      </c>
      <c r="L60" s="3">
        <f t="shared" si="2"/>
        <v>6600</v>
      </c>
      <c r="M60" s="3">
        <f t="shared" si="3"/>
        <v>30.303030303030305</v>
      </c>
      <c r="N60" s="4">
        <v>0</v>
      </c>
      <c r="O60" s="4"/>
      <c r="P60" s="3">
        <v>0</v>
      </c>
      <c r="Q60" s="3">
        <v>0</v>
      </c>
      <c r="R60" s="3">
        <v>0</v>
      </c>
      <c r="S60" s="3">
        <v>1</v>
      </c>
      <c r="T60" s="3">
        <v>40</v>
      </c>
      <c r="U60" s="4">
        <v>607001</v>
      </c>
      <c r="V60" s="4" t="s">
        <v>30</v>
      </c>
      <c r="W60" s="3">
        <v>2000</v>
      </c>
      <c r="X60" s="3">
        <v>416001</v>
      </c>
      <c r="Y60" s="3" t="s">
        <v>92</v>
      </c>
      <c r="Z60" s="3">
        <v>20</v>
      </c>
      <c r="AA60" s="4">
        <v>403002</v>
      </c>
      <c r="AB60" s="4" t="s">
        <v>93</v>
      </c>
      <c r="AC60" s="3">
        <v>1000</v>
      </c>
    </row>
    <row r="61" spans="1:29" x14ac:dyDescent="0.15">
      <c r="A61" s="3">
        <v>8981</v>
      </c>
      <c r="B61" s="3" t="s">
        <v>64</v>
      </c>
      <c r="C61" s="3">
        <v>7981</v>
      </c>
      <c r="D61" s="3">
        <v>2</v>
      </c>
      <c r="E61" s="7">
        <v>304002</v>
      </c>
      <c r="F61" s="7" t="s">
        <v>47</v>
      </c>
      <c r="G61" s="3">
        <f t="shared" si="6"/>
        <v>3000</v>
      </c>
      <c r="H61" s="134">
        <f>VLOOKUP(E61,[1]stuff!$A:$C,3,FALSE)</f>
        <v>2</v>
      </c>
      <c r="I61" s="130">
        <v>90</v>
      </c>
      <c r="J61" s="130">
        <v>60</v>
      </c>
      <c r="K61" s="130">
        <f t="shared" si="7"/>
        <v>12</v>
      </c>
      <c r="L61" s="3">
        <f t="shared" si="2"/>
        <v>6600</v>
      </c>
      <c r="M61" s="3">
        <f t="shared" si="3"/>
        <v>30.303030303030305</v>
      </c>
      <c r="N61" s="4">
        <v>0</v>
      </c>
      <c r="O61" s="4"/>
      <c r="P61" s="3">
        <v>0</v>
      </c>
      <c r="Q61" s="3">
        <v>0</v>
      </c>
      <c r="R61" s="3">
        <v>0</v>
      </c>
      <c r="S61" s="3">
        <v>1</v>
      </c>
      <c r="T61" s="3">
        <v>40</v>
      </c>
      <c r="U61" s="4">
        <v>607001</v>
      </c>
      <c r="V61" s="4" t="s">
        <v>30</v>
      </c>
      <c r="W61" s="3">
        <v>2000</v>
      </c>
      <c r="X61" s="3">
        <v>416001</v>
      </c>
      <c r="Y61" s="3" t="s">
        <v>92</v>
      </c>
      <c r="Z61" s="3">
        <v>20</v>
      </c>
      <c r="AA61" s="4">
        <v>403002</v>
      </c>
      <c r="AB61" s="4" t="s">
        <v>93</v>
      </c>
      <c r="AC61" s="3">
        <v>1000</v>
      </c>
    </row>
    <row r="62" spans="1:29" x14ac:dyDescent="0.15">
      <c r="A62" s="3">
        <v>8980</v>
      </c>
      <c r="B62" s="3" t="s">
        <v>64</v>
      </c>
      <c r="C62" s="3">
        <v>7980</v>
      </c>
      <c r="D62" s="3">
        <v>2</v>
      </c>
      <c r="E62" s="7">
        <v>304007</v>
      </c>
      <c r="F62" s="7" t="s">
        <v>48</v>
      </c>
      <c r="G62" s="3">
        <f t="shared" si="6"/>
        <v>3000</v>
      </c>
      <c r="H62" s="134">
        <f>VLOOKUP(E62,[1]stuff!$A:$C,3,FALSE)</f>
        <v>2</v>
      </c>
      <c r="I62" s="130">
        <v>90</v>
      </c>
      <c r="J62" s="130">
        <v>60</v>
      </c>
      <c r="K62" s="130">
        <f t="shared" si="7"/>
        <v>12</v>
      </c>
      <c r="L62" s="3">
        <f t="shared" si="2"/>
        <v>6600</v>
      </c>
      <c r="M62" s="3">
        <f t="shared" si="3"/>
        <v>30.303030303030305</v>
      </c>
      <c r="N62" s="4">
        <v>0</v>
      </c>
      <c r="O62" s="4"/>
      <c r="P62" s="3">
        <v>0</v>
      </c>
      <c r="Q62" s="3">
        <v>0</v>
      </c>
      <c r="R62" s="3">
        <v>0</v>
      </c>
      <c r="S62" s="3">
        <v>1</v>
      </c>
      <c r="T62" s="3">
        <v>40</v>
      </c>
      <c r="U62" s="4">
        <v>607001</v>
      </c>
      <c r="V62" s="4" t="s">
        <v>30</v>
      </c>
      <c r="W62" s="3">
        <v>2000</v>
      </c>
      <c r="X62" s="3">
        <v>416001</v>
      </c>
      <c r="Y62" s="3" t="s">
        <v>92</v>
      </c>
      <c r="Z62" s="3">
        <v>20</v>
      </c>
      <c r="AA62" s="4">
        <v>403002</v>
      </c>
      <c r="AB62" s="4" t="s">
        <v>93</v>
      </c>
      <c r="AC62" s="3">
        <v>1000</v>
      </c>
    </row>
    <row r="63" spans="1:29" x14ac:dyDescent="0.15">
      <c r="A63" s="3">
        <v>8979</v>
      </c>
      <c r="B63" s="3" t="s">
        <v>64</v>
      </c>
      <c r="C63" s="3">
        <v>7979</v>
      </c>
      <c r="D63" s="3">
        <v>2</v>
      </c>
      <c r="E63" s="131">
        <v>617001</v>
      </c>
      <c r="F63" s="132" t="s">
        <v>82</v>
      </c>
      <c r="G63" s="3">
        <f t="shared" si="6"/>
        <v>9000</v>
      </c>
      <c r="H63" s="134">
        <f>VLOOKUP(E63,[1]stuff!$A:$C,3,FALSE)</f>
        <v>1</v>
      </c>
      <c r="I63" s="130">
        <v>90</v>
      </c>
      <c r="J63" s="130">
        <v>60</v>
      </c>
      <c r="K63" s="130">
        <f t="shared" si="7"/>
        <v>12</v>
      </c>
      <c r="L63" s="3">
        <f t="shared" si="2"/>
        <v>6900</v>
      </c>
      <c r="M63" s="3">
        <f t="shared" si="3"/>
        <v>28.985507246376812</v>
      </c>
      <c r="N63" s="4">
        <v>0</v>
      </c>
      <c r="O63" s="4"/>
      <c r="P63" s="3">
        <v>0</v>
      </c>
      <c r="Q63" s="3">
        <v>0</v>
      </c>
      <c r="R63" s="3">
        <v>0</v>
      </c>
      <c r="S63" s="3">
        <v>1</v>
      </c>
      <c r="T63" s="3">
        <v>40</v>
      </c>
      <c r="U63" s="4">
        <v>607001</v>
      </c>
      <c r="V63" s="4" t="s">
        <v>30</v>
      </c>
      <c r="W63" s="3">
        <v>2000</v>
      </c>
      <c r="X63" s="3">
        <v>416001</v>
      </c>
      <c r="Y63" s="3" t="s">
        <v>92</v>
      </c>
      <c r="Z63" s="3">
        <v>20</v>
      </c>
      <c r="AA63" s="4">
        <v>403002</v>
      </c>
      <c r="AB63" s="4" t="s">
        <v>93</v>
      </c>
      <c r="AC63" s="3">
        <v>1000</v>
      </c>
    </row>
    <row r="64" spans="1:29" x14ac:dyDescent="0.15">
      <c r="A64" s="3">
        <v>8978</v>
      </c>
      <c r="B64" s="3" t="s">
        <v>64</v>
      </c>
      <c r="C64" s="3">
        <v>7978</v>
      </c>
      <c r="D64" s="3">
        <v>2</v>
      </c>
      <c r="E64" s="7">
        <v>306001</v>
      </c>
      <c r="F64" s="8" t="s">
        <v>49</v>
      </c>
      <c r="G64" s="3">
        <f t="shared" si="6"/>
        <v>1500</v>
      </c>
      <c r="H64" s="134">
        <f>VLOOKUP(E64,[1]stuff!$A:$C,3,FALSE)</f>
        <v>3</v>
      </c>
      <c r="I64" s="130">
        <v>90</v>
      </c>
      <c r="J64" s="130">
        <v>60</v>
      </c>
      <c r="K64" s="130">
        <f t="shared" si="7"/>
        <v>12</v>
      </c>
      <c r="L64" s="3">
        <f t="shared" si="2"/>
        <v>6450</v>
      </c>
      <c r="M64" s="3">
        <f t="shared" si="3"/>
        <v>31.007751937984494</v>
      </c>
      <c r="N64" s="4">
        <v>0</v>
      </c>
      <c r="O64" s="4"/>
      <c r="P64" s="3">
        <v>0</v>
      </c>
      <c r="Q64" s="3">
        <v>0</v>
      </c>
      <c r="R64" s="3">
        <v>0</v>
      </c>
      <c r="S64" s="3">
        <v>1</v>
      </c>
      <c r="T64" s="3">
        <v>40</v>
      </c>
      <c r="U64" s="4">
        <v>607001</v>
      </c>
      <c r="V64" s="4" t="s">
        <v>30</v>
      </c>
      <c r="W64" s="3">
        <v>2000</v>
      </c>
      <c r="X64" s="3">
        <v>416001</v>
      </c>
      <c r="Y64" s="3" t="s">
        <v>92</v>
      </c>
      <c r="Z64" s="3">
        <v>20</v>
      </c>
      <c r="AA64" s="4">
        <v>403002</v>
      </c>
      <c r="AB64" s="4" t="s">
        <v>93</v>
      </c>
      <c r="AC64" s="3">
        <v>1000</v>
      </c>
    </row>
    <row r="65" spans="1:29" x14ac:dyDescent="0.15">
      <c r="A65" s="3">
        <v>8977</v>
      </c>
      <c r="B65" s="3" t="s">
        <v>64</v>
      </c>
      <c r="C65" s="3">
        <v>7977</v>
      </c>
      <c r="D65" s="3">
        <v>2</v>
      </c>
      <c r="E65" s="7">
        <v>601001</v>
      </c>
      <c r="F65" s="7" t="s">
        <v>50</v>
      </c>
      <c r="G65" s="3">
        <f t="shared" si="6"/>
        <v>1500</v>
      </c>
      <c r="H65" s="134">
        <f>VLOOKUP(E65,[1]stuff!$A:$C,3,FALSE)</f>
        <v>5</v>
      </c>
      <c r="I65" s="130">
        <v>90</v>
      </c>
      <c r="J65" s="130">
        <v>60</v>
      </c>
      <c r="K65" s="130">
        <f t="shared" si="7"/>
        <v>12</v>
      </c>
      <c r="L65" s="3">
        <f t="shared" si="2"/>
        <v>6750</v>
      </c>
      <c r="M65" s="3">
        <f t="shared" si="3"/>
        <v>29.62962962962963</v>
      </c>
      <c r="N65" s="4">
        <v>0</v>
      </c>
      <c r="O65" s="4"/>
      <c r="P65" s="3">
        <v>0</v>
      </c>
      <c r="Q65" s="3">
        <v>0</v>
      </c>
      <c r="R65" s="3">
        <v>0</v>
      </c>
      <c r="S65" s="3">
        <v>1</v>
      </c>
      <c r="T65" s="3">
        <v>40</v>
      </c>
      <c r="U65" s="4">
        <v>607001</v>
      </c>
      <c r="V65" s="4" t="s">
        <v>30</v>
      </c>
      <c r="W65" s="3">
        <v>2000</v>
      </c>
      <c r="X65" s="3">
        <v>416001</v>
      </c>
      <c r="Y65" s="3" t="s">
        <v>92</v>
      </c>
      <c r="Z65" s="3">
        <v>20</v>
      </c>
      <c r="AA65" s="4">
        <v>403002</v>
      </c>
      <c r="AB65" s="4" t="s">
        <v>93</v>
      </c>
      <c r="AC65" s="3">
        <v>1000</v>
      </c>
    </row>
    <row r="66" spans="1:29" x14ac:dyDescent="0.15">
      <c r="A66" s="3">
        <v>8976</v>
      </c>
      <c r="B66" s="3" t="s">
        <v>64</v>
      </c>
      <c r="C66" s="3">
        <v>7976</v>
      </c>
      <c r="D66" s="3">
        <v>2</v>
      </c>
      <c r="E66" s="5">
        <v>303004</v>
      </c>
      <c r="F66" s="5" t="s">
        <v>43</v>
      </c>
      <c r="G66" s="3">
        <f t="shared" si="6"/>
        <v>3000</v>
      </c>
      <c r="H66" s="134">
        <f>VLOOKUP(E66,[1]stuff!$A:$C,3,FALSE)</f>
        <v>1</v>
      </c>
      <c r="I66" s="130">
        <v>90</v>
      </c>
      <c r="J66" s="130">
        <v>60</v>
      </c>
      <c r="K66" s="130">
        <f t="shared" si="7"/>
        <v>12</v>
      </c>
      <c r="L66" s="3">
        <f t="shared" si="2"/>
        <v>6300</v>
      </c>
      <c r="M66" s="3">
        <f t="shared" si="3"/>
        <v>31.746031746031747</v>
      </c>
      <c r="N66" s="4">
        <v>0</v>
      </c>
      <c r="O66" s="4"/>
      <c r="P66" s="3">
        <v>0</v>
      </c>
      <c r="Q66" s="3">
        <v>0</v>
      </c>
      <c r="R66" s="3">
        <v>0</v>
      </c>
      <c r="S66" s="3">
        <v>1</v>
      </c>
      <c r="T66" s="3">
        <v>40</v>
      </c>
      <c r="U66" s="4">
        <v>607001</v>
      </c>
      <c r="V66" s="4" t="s">
        <v>30</v>
      </c>
      <c r="W66" s="3">
        <v>2000</v>
      </c>
      <c r="X66" s="3">
        <v>416001</v>
      </c>
      <c r="Y66" s="3" t="s">
        <v>92</v>
      </c>
      <c r="Z66" s="3">
        <v>20</v>
      </c>
      <c r="AA66" s="4">
        <v>403002</v>
      </c>
      <c r="AB66" s="4" t="s">
        <v>93</v>
      </c>
      <c r="AC66" s="3">
        <v>1000</v>
      </c>
    </row>
    <row r="67" spans="1:29" x14ac:dyDescent="0.15">
      <c r="A67" s="3">
        <v>8975</v>
      </c>
      <c r="B67" s="3" t="s">
        <v>64</v>
      </c>
      <c r="C67" s="3">
        <v>7975</v>
      </c>
      <c r="D67" s="3">
        <v>2</v>
      </c>
      <c r="E67" s="7">
        <v>422001</v>
      </c>
      <c r="F67" s="7" t="s">
        <v>52</v>
      </c>
      <c r="G67" s="3">
        <f t="shared" si="6"/>
        <v>750</v>
      </c>
      <c r="H67" s="134">
        <f>VLOOKUP(E67,[1]stuff!$A:$C,3,FALSE)</f>
        <v>100</v>
      </c>
      <c r="I67" s="130">
        <v>90</v>
      </c>
      <c r="J67" s="130">
        <v>60</v>
      </c>
      <c r="K67" s="130">
        <f t="shared" si="7"/>
        <v>12</v>
      </c>
      <c r="L67" s="3">
        <f t="shared" si="2"/>
        <v>13500</v>
      </c>
      <c r="M67" s="3">
        <f t="shared" si="3"/>
        <v>14.814814814814815</v>
      </c>
      <c r="N67" s="4">
        <v>0</v>
      </c>
      <c r="O67" s="4"/>
      <c r="P67" s="3">
        <v>0</v>
      </c>
      <c r="Q67" s="3">
        <v>0</v>
      </c>
      <c r="R67" s="3">
        <v>0</v>
      </c>
      <c r="S67" s="3">
        <v>1</v>
      </c>
      <c r="T67" s="3">
        <v>40</v>
      </c>
      <c r="U67" s="4">
        <v>607001</v>
      </c>
      <c r="V67" s="4" t="s">
        <v>30</v>
      </c>
      <c r="W67" s="3">
        <v>2000</v>
      </c>
      <c r="X67" s="3">
        <v>416001</v>
      </c>
      <c r="Y67" s="3" t="s">
        <v>92</v>
      </c>
      <c r="Z67" s="3">
        <v>20</v>
      </c>
      <c r="AA67" s="4">
        <v>403002</v>
      </c>
      <c r="AB67" s="4" t="s">
        <v>93</v>
      </c>
      <c r="AC67" s="3">
        <v>1000</v>
      </c>
    </row>
    <row r="68" spans="1:29" x14ac:dyDescent="0.15">
      <c r="A68" s="3">
        <v>8974</v>
      </c>
      <c r="B68" s="3" t="s">
        <v>64</v>
      </c>
      <c r="C68" s="3">
        <v>7974</v>
      </c>
      <c r="D68" s="3">
        <v>2</v>
      </c>
      <c r="E68" s="7">
        <v>604001</v>
      </c>
      <c r="F68" s="7" t="s">
        <v>53</v>
      </c>
      <c r="G68" s="3">
        <f t="shared" si="6"/>
        <v>3000</v>
      </c>
      <c r="H68" s="134">
        <f>VLOOKUP(E68,[1]stuff!$A:$C,3,FALSE)</f>
        <v>2</v>
      </c>
      <c r="I68" s="130">
        <v>90</v>
      </c>
      <c r="J68" s="130">
        <v>60</v>
      </c>
      <c r="K68" s="130">
        <f t="shared" si="7"/>
        <v>12</v>
      </c>
      <c r="L68" s="3">
        <f t="shared" ref="L68:L120" si="8">G68*H68*(100-I68)/100+J68*100</f>
        <v>6600</v>
      </c>
      <c r="M68" s="3">
        <f t="shared" ref="M68:M120" si="9">W68*100/L68</f>
        <v>30.303030303030305</v>
      </c>
      <c r="N68" s="4">
        <v>0</v>
      </c>
      <c r="O68" s="4"/>
      <c r="P68" s="3">
        <v>0</v>
      </c>
      <c r="Q68" s="3">
        <v>0</v>
      </c>
      <c r="R68" s="3">
        <v>0</v>
      </c>
      <c r="S68" s="3">
        <v>1</v>
      </c>
      <c r="T68" s="3">
        <v>40</v>
      </c>
      <c r="U68" s="4">
        <v>607001</v>
      </c>
      <c r="V68" s="4" t="s">
        <v>30</v>
      </c>
      <c r="W68" s="3">
        <v>2000</v>
      </c>
      <c r="X68" s="3">
        <v>416001</v>
      </c>
      <c r="Y68" s="3" t="s">
        <v>92</v>
      </c>
      <c r="Z68" s="3">
        <v>20</v>
      </c>
      <c r="AA68" s="4">
        <v>403002</v>
      </c>
      <c r="AB68" s="4" t="s">
        <v>93</v>
      </c>
      <c r="AC68" s="3">
        <v>1000</v>
      </c>
    </row>
    <row r="69" spans="1:29" x14ac:dyDescent="0.15">
      <c r="A69" s="3">
        <v>8973</v>
      </c>
      <c r="B69" s="3" t="s">
        <v>64</v>
      </c>
      <c r="C69" s="3">
        <v>7973</v>
      </c>
      <c r="D69" s="3">
        <v>2</v>
      </c>
      <c r="E69" s="7">
        <v>606001</v>
      </c>
      <c r="F69" s="7" t="s">
        <v>54</v>
      </c>
      <c r="G69" s="3">
        <f t="shared" si="6"/>
        <v>1500</v>
      </c>
      <c r="H69" s="134">
        <f>VLOOKUP(E69,[1]stuff!$A:$C,3,FALSE)</f>
        <v>3</v>
      </c>
      <c r="I69" s="130">
        <v>90</v>
      </c>
      <c r="J69" s="130">
        <v>60</v>
      </c>
      <c r="K69" s="130">
        <f t="shared" si="7"/>
        <v>12</v>
      </c>
      <c r="L69" s="3">
        <f t="shared" si="8"/>
        <v>6450</v>
      </c>
      <c r="M69" s="3">
        <f t="shared" si="9"/>
        <v>31.007751937984494</v>
      </c>
      <c r="N69" s="4">
        <v>0</v>
      </c>
      <c r="O69" s="4"/>
      <c r="P69" s="3">
        <v>0</v>
      </c>
      <c r="Q69" s="3">
        <v>0</v>
      </c>
      <c r="R69" s="3">
        <v>0</v>
      </c>
      <c r="S69" s="3">
        <v>1</v>
      </c>
      <c r="T69" s="3">
        <v>40</v>
      </c>
      <c r="U69" s="4">
        <v>607001</v>
      </c>
      <c r="V69" s="4" t="s">
        <v>30</v>
      </c>
      <c r="W69" s="3">
        <v>2000</v>
      </c>
      <c r="X69" s="3">
        <v>416001</v>
      </c>
      <c r="Y69" s="3" t="s">
        <v>92</v>
      </c>
      <c r="Z69" s="3">
        <v>20</v>
      </c>
      <c r="AA69" s="4">
        <v>403002</v>
      </c>
      <c r="AB69" s="4" t="s">
        <v>93</v>
      </c>
      <c r="AC69" s="3">
        <v>1000</v>
      </c>
    </row>
    <row r="70" spans="1:29" x14ac:dyDescent="0.15">
      <c r="A70" s="3">
        <v>8972</v>
      </c>
      <c r="B70" s="3" t="s">
        <v>64</v>
      </c>
      <c r="C70" s="3">
        <v>7972</v>
      </c>
      <c r="D70" s="3">
        <v>2</v>
      </c>
      <c r="E70" s="7">
        <v>606002</v>
      </c>
      <c r="F70" s="7" t="s">
        <v>55</v>
      </c>
      <c r="G70" s="3">
        <f t="shared" si="6"/>
        <v>1500</v>
      </c>
      <c r="H70" s="134">
        <f>VLOOKUP(E70,[1]stuff!$A:$C,3,FALSE)</f>
        <v>3</v>
      </c>
      <c r="I70" s="130">
        <v>90</v>
      </c>
      <c r="J70" s="130">
        <v>60</v>
      </c>
      <c r="K70" s="130">
        <f t="shared" si="7"/>
        <v>12</v>
      </c>
      <c r="L70" s="3">
        <f t="shared" si="8"/>
        <v>6450</v>
      </c>
      <c r="M70" s="3">
        <f t="shared" si="9"/>
        <v>31.007751937984494</v>
      </c>
      <c r="N70" s="4">
        <v>0</v>
      </c>
      <c r="O70" s="4"/>
      <c r="P70" s="3">
        <v>0</v>
      </c>
      <c r="Q70" s="3">
        <v>0</v>
      </c>
      <c r="R70" s="3">
        <v>0</v>
      </c>
      <c r="S70" s="3">
        <v>1</v>
      </c>
      <c r="T70" s="3">
        <v>40</v>
      </c>
      <c r="U70" s="4">
        <v>607001</v>
      </c>
      <c r="V70" s="4" t="s">
        <v>30</v>
      </c>
      <c r="W70" s="3">
        <v>2000</v>
      </c>
      <c r="X70" s="3">
        <v>416001</v>
      </c>
      <c r="Y70" s="3" t="s">
        <v>92</v>
      </c>
      <c r="Z70" s="3">
        <v>20</v>
      </c>
      <c r="AA70" s="4">
        <v>403002</v>
      </c>
      <c r="AB70" s="4" t="s">
        <v>93</v>
      </c>
      <c r="AC70" s="3">
        <v>1000</v>
      </c>
    </row>
    <row r="71" spans="1:29" x14ac:dyDescent="0.15">
      <c r="A71" s="3">
        <v>8971</v>
      </c>
      <c r="B71" s="3" t="s">
        <v>64</v>
      </c>
      <c r="C71" s="3">
        <v>7971</v>
      </c>
      <c r="D71" s="3">
        <v>2</v>
      </c>
      <c r="E71" s="9">
        <v>616002</v>
      </c>
      <c r="F71" s="9" t="s">
        <v>56</v>
      </c>
      <c r="G71" s="3">
        <f t="shared" si="6"/>
        <v>750</v>
      </c>
      <c r="H71" s="134">
        <f>VLOOKUP(E71,[1]stuff!$A:$C,3,FALSE)</f>
        <v>2</v>
      </c>
      <c r="I71" s="130">
        <v>90</v>
      </c>
      <c r="J71" s="130">
        <v>60</v>
      </c>
      <c r="K71" s="130">
        <f t="shared" si="7"/>
        <v>12</v>
      </c>
      <c r="L71" s="3">
        <f t="shared" si="8"/>
        <v>6150</v>
      </c>
      <c r="M71" s="3">
        <f t="shared" si="9"/>
        <v>32.520325203252035</v>
      </c>
      <c r="N71" s="4">
        <v>0</v>
      </c>
      <c r="O71" s="4"/>
      <c r="P71" s="3">
        <v>0</v>
      </c>
      <c r="Q71" s="3">
        <v>0</v>
      </c>
      <c r="R71" s="3">
        <v>0</v>
      </c>
      <c r="S71" s="3">
        <v>1</v>
      </c>
      <c r="T71" s="3">
        <v>40</v>
      </c>
      <c r="U71" s="4">
        <v>607001</v>
      </c>
      <c r="V71" s="4" t="s">
        <v>30</v>
      </c>
      <c r="W71" s="3">
        <v>2000</v>
      </c>
      <c r="X71" s="3">
        <v>416001</v>
      </c>
      <c r="Y71" s="3" t="s">
        <v>92</v>
      </c>
      <c r="Z71" s="3">
        <v>20</v>
      </c>
      <c r="AA71" s="4">
        <v>403002</v>
      </c>
      <c r="AB71" s="4" t="s">
        <v>93</v>
      </c>
      <c r="AC71" s="3">
        <v>1000</v>
      </c>
    </row>
    <row r="72" spans="1:29" x14ac:dyDescent="0.15">
      <c r="A72" s="3">
        <v>8970</v>
      </c>
      <c r="B72" s="3" t="s">
        <v>64</v>
      </c>
      <c r="C72" s="3">
        <v>7970</v>
      </c>
      <c r="D72" s="3">
        <v>2</v>
      </c>
      <c r="E72" s="9">
        <v>616003</v>
      </c>
      <c r="F72" s="9" t="s">
        <v>57</v>
      </c>
      <c r="G72" s="3">
        <f t="shared" si="6"/>
        <v>750</v>
      </c>
      <c r="H72" s="134">
        <f>VLOOKUP(E72,[1]stuff!$A:$C,3,FALSE)</f>
        <v>2</v>
      </c>
      <c r="I72" s="130">
        <v>90</v>
      </c>
      <c r="J72" s="130">
        <v>60</v>
      </c>
      <c r="K72" s="130">
        <f t="shared" si="7"/>
        <v>12</v>
      </c>
      <c r="L72" s="3">
        <f t="shared" si="8"/>
        <v>6150</v>
      </c>
      <c r="M72" s="3">
        <f t="shared" si="9"/>
        <v>32.520325203252035</v>
      </c>
      <c r="N72" s="4">
        <v>0</v>
      </c>
      <c r="O72" s="4"/>
      <c r="P72" s="3">
        <v>0</v>
      </c>
      <c r="Q72" s="3">
        <v>0</v>
      </c>
      <c r="R72" s="3">
        <v>0</v>
      </c>
      <c r="S72" s="3">
        <v>1</v>
      </c>
      <c r="T72" s="3">
        <v>40</v>
      </c>
      <c r="U72" s="4">
        <v>607001</v>
      </c>
      <c r="V72" s="4" t="s">
        <v>30</v>
      </c>
      <c r="W72" s="3">
        <v>2000</v>
      </c>
      <c r="X72" s="3">
        <v>416001</v>
      </c>
      <c r="Y72" s="3" t="s">
        <v>92</v>
      </c>
      <c r="Z72" s="3">
        <v>20</v>
      </c>
      <c r="AA72" s="4">
        <v>403002</v>
      </c>
      <c r="AB72" s="4" t="s">
        <v>93</v>
      </c>
      <c r="AC72" s="3">
        <v>1000</v>
      </c>
    </row>
    <row r="73" spans="1:29" x14ac:dyDescent="0.15">
      <c r="A73" s="3">
        <v>8969</v>
      </c>
      <c r="B73" s="3" t="s">
        <v>64</v>
      </c>
      <c r="C73" s="3">
        <v>7969</v>
      </c>
      <c r="D73" s="3">
        <v>2</v>
      </c>
      <c r="E73" s="9">
        <v>616004</v>
      </c>
      <c r="F73" s="9" t="s">
        <v>58</v>
      </c>
      <c r="G73" s="3">
        <f t="shared" si="6"/>
        <v>750</v>
      </c>
      <c r="H73" s="134">
        <f>VLOOKUP(E73,[1]stuff!$A:$C,3,FALSE)</f>
        <v>2</v>
      </c>
      <c r="I73" s="130">
        <v>90</v>
      </c>
      <c r="J73" s="130">
        <v>60</v>
      </c>
      <c r="K73" s="130">
        <f t="shared" si="7"/>
        <v>12</v>
      </c>
      <c r="L73" s="3">
        <f t="shared" si="8"/>
        <v>6150</v>
      </c>
      <c r="M73" s="3">
        <f t="shared" si="9"/>
        <v>32.520325203252035</v>
      </c>
      <c r="N73" s="4">
        <v>0</v>
      </c>
      <c r="O73" s="4"/>
      <c r="P73" s="3">
        <v>0</v>
      </c>
      <c r="Q73" s="3">
        <v>0</v>
      </c>
      <c r="R73" s="3">
        <v>0</v>
      </c>
      <c r="S73" s="3">
        <v>1</v>
      </c>
      <c r="T73" s="3">
        <v>40</v>
      </c>
      <c r="U73" s="4">
        <v>607001</v>
      </c>
      <c r="V73" s="4" t="s">
        <v>30</v>
      </c>
      <c r="W73" s="3">
        <v>2000</v>
      </c>
      <c r="X73" s="3">
        <v>416001</v>
      </c>
      <c r="Y73" s="3" t="s">
        <v>92</v>
      </c>
      <c r="Z73" s="3">
        <v>20</v>
      </c>
      <c r="AA73" s="4">
        <v>403002</v>
      </c>
      <c r="AB73" s="4" t="s">
        <v>93</v>
      </c>
      <c r="AC73" s="3">
        <v>1000</v>
      </c>
    </row>
    <row r="74" spans="1:29" x14ac:dyDescent="0.15">
      <c r="A74" s="3">
        <v>8968</v>
      </c>
      <c r="B74" s="3" t="s">
        <v>64</v>
      </c>
      <c r="C74" s="3">
        <v>7968</v>
      </c>
      <c r="D74" s="3">
        <v>2</v>
      </c>
      <c r="E74" s="10">
        <v>615001</v>
      </c>
      <c r="F74" s="11" t="s">
        <v>59</v>
      </c>
      <c r="G74" s="3">
        <f t="shared" si="6"/>
        <v>750</v>
      </c>
      <c r="H74" s="134">
        <f>VLOOKUP(E74,[1]stuff!$A:$C,3,FALSE)</f>
        <v>50</v>
      </c>
      <c r="I74" s="130">
        <v>90</v>
      </c>
      <c r="J74" s="130">
        <v>60</v>
      </c>
      <c r="K74" s="130">
        <f t="shared" si="7"/>
        <v>12</v>
      </c>
      <c r="L74" s="3">
        <f t="shared" si="8"/>
        <v>9750</v>
      </c>
      <c r="M74" s="3">
        <f t="shared" si="9"/>
        <v>20.512820512820515</v>
      </c>
      <c r="N74" s="4">
        <v>0</v>
      </c>
      <c r="O74" s="4"/>
      <c r="P74" s="3">
        <v>0</v>
      </c>
      <c r="Q74" s="3">
        <v>0</v>
      </c>
      <c r="R74" s="3">
        <v>0</v>
      </c>
      <c r="S74" s="3">
        <v>1</v>
      </c>
      <c r="T74" s="3">
        <v>40</v>
      </c>
      <c r="U74" s="4">
        <v>607001</v>
      </c>
      <c r="V74" s="4" t="s">
        <v>30</v>
      </c>
      <c r="W74" s="3">
        <v>2000</v>
      </c>
      <c r="X74" s="3">
        <v>416001</v>
      </c>
      <c r="Y74" s="3" t="s">
        <v>92</v>
      </c>
      <c r="Z74" s="3">
        <v>20</v>
      </c>
      <c r="AA74" s="4">
        <v>403002</v>
      </c>
      <c r="AB74" s="4" t="s">
        <v>93</v>
      </c>
      <c r="AC74" s="3">
        <v>1000</v>
      </c>
    </row>
    <row r="75" spans="1:29" x14ac:dyDescent="0.15">
      <c r="A75" s="3">
        <v>8967</v>
      </c>
      <c r="B75" s="3" t="s">
        <v>64</v>
      </c>
      <c r="C75" s="3">
        <v>7967</v>
      </c>
      <c r="D75" s="3">
        <v>2</v>
      </c>
      <c r="E75" s="10">
        <v>615002</v>
      </c>
      <c r="F75" s="11" t="s">
        <v>60</v>
      </c>
      <c r="G75" s="3">
        <f t="shared" si="6"/>
        <v>750</v>
      </c>
      <c r="H75" s="134">
        <f>VLOOKUP(E75,[1]stuff!$A:$C,3,FALSE)</f>
        <v>50</v>
      </c>
      <c r="I75" s="130">
        <v>90</v>
      </c>
      <c r="J75" s="130">
        <v>60</v>
      </c>
      <c r="K75" s="130">
        <f t="shared" si="7"/>
        <v>12</v>
      </c>
      <c r="L75" s="3">
        <f t="shared" si="8"/>
        <v>9750</v>
      </c>
      <c r="M75" s="3">
        <f t="shared" si="9"/>
        <v>20.512820512820515</v>
      </c>
      <c r="N75" s="4">
        <v>0</v>
      </c>
      <c r="O75" s="4"/>
      <c r="P75" s="3">
        <v>0</v>
      </c>
      <c r="Q75" s="3">
        <v>0</v>
      </c>
      <c r="R75" s="3">
        <v>0</v>
      </c>
      <c r="S75" s="3">
        <v>1</v>
      </c>
      <c r="T75" s="3">
        <v>40</v>
      </c>
      <c r="U75" s="4">
        <v>607001</v>
      </c>
      <c r="V75" s="4" t="s">
        <v>30</v>
      </c>
      <c r="W75" s="3">
        <v>2000</v>
      </c>
      <c r="X75" s="3">
        <v>416001</v>
      </c>
      <c r="Y75" s="3" t="s">
        <v>92</v>
      </c>
      <c r="Z75" s="3">
        <v>20</v>
      </c>
      <c r="AA75" s="4">
        <v>403002</v>
      </c>
      <c r="AB75" s="4" t="s">
        <v>93</v>
      </c>
      <c r="AC75" s="3">
        <v>1000</v>
      </c>
    </row>
    <row r="76" spans="1:29" x14ac:dyDescent="0.15">
      <c r="A76" s="3">
        <v>8966</v>
      </c>
      <c r="B76" s="3" t="s">
        <v>64</v>
      </c>
      <c r="C76" s="3">
        <v>7966</v>
      </c>
      <c r="D76" s="3">
        <v>2</v>
      </c>
      <c r="E76" s="10">
        <v>615003</v>
      </c>
      <c r="F76" s="11" t="s">
        <v>61</v>
      </c>
      <c r="G76" s="3">
        <f t="shared" si="6"/>
        <v>750</v>
      </c>
      <c r="H76" s="134">
        <f>VLOOKUP(E76,[1]stuff!$A:$C,3,FALSE)</f>
        <v>50</v>
      </c>
      <c r="I76" s="130">
        <v>90</v>
      </c>
      <c r="J76" s="130">
        <v>60</v>
      </c>
      <c r="K76" s="130">
        <f t="shared" si="7"/>
        <v>12</v>
      </c>
      <c r="L76" s="3">
        <f t="shared" si="8"/>
        <v>9750</v>
      </c>
      <c r="M76" s="3">
        <f t="shared" si="9"/>
        <v>20.512820512820515</v>
      </c>
      <c r="N76" s="4">
        <v>0</v>
      </c>
      <c r="O76" s="4"/>
      <c r="P76" s="3">
        <v>0</v>
      </c>
      <c r="Q76" s="3">
        <v>0</v>
      </c>
      <c r="R76" s="3">
        <v>0</v>
      </c>
      <c r="S76" s="3">
        <v>1</v>
      </c>
      <c r="T76" s="3">
        <v>40</v>
      </c>
      <c r="U76" s="4">
        <v>607001</v>
      </c>
      <c r="V76" s="4" t="s">
        <v>30</v>
      </c>
      <c r="W76" s="3">
        <v>2000</v>
      </c>
      <c r="X76" s="3">
        <v>416001</v>
      </c>
      <c r="Y76" s="3" t="s">
        <v>92</v>
      </c>
      <c r="Z76" s="3">
        <v>20</v>
      </c>
      <c r="AA76" s="4">
        <v>403002</v>
      </c>
      <c r="AB76" s="4" t="s">
        <v>93</v>
      </c>
      <c r="AC76" s="3">
        <v>1000</v>
      </c>
    </row>
    <row r="77" spans="1:29" x14ac:dyDescent="0.15">
      <c r="A77" s="3">
        <v>8965</v>
      </c>
      <c r="B77" s="3" t="s">
        <v>64</v>
      </c>
      <c r="C77" s="3">
        <v>7965</v>
      </c>
      <c r="D77" s="3">
        <v>2</v>
      </c>
      <c r="E77" s="5">
        <v>301006</v>
      </c>
      <c r="F77" s="5" t="s">
        <v>35</v>
      </c>
      <c r="G77" s="3">
        <f t="shared" si="6"/>
        <v>3000</v>
      </c>
      <c r="H77" s="134">
        <f>VLOOKUP(E77,[1]stuff!$A:$C,3,FALSE)</f>
        <v>1</v>
      </c>
      <c r="I77" s="130">
        <v>90</v>
      </c>
      <c r="J77" s="130">
        <v>60</v>
      </c>
      <c r="K77" s="130">
        <f t="shared" si="7"/>
        <v>12</v>
      </c>
      <c r="L77" s="3">
        <f t="shared" si="8"/>
        <v>6300</v>
      </c>
      <c r="M77" s="3">
        <f t="shared" si="9"/>
        <v>31.746031746031747</v>
      </c>
      <c r="N77" s="4">
        <v>0</v>
      </c>
      <c r="O77" s="4"/>
      <c r="P77" s="3">
        <v>0</v>
      </c>
      <c r="Q77" s="3">
        <v>0</v>
      </c>
      <c r="R77" s="3">
        <v>0</v>
      </c>
      <c r="S77" s="3">
        <v>1</v>
      </c>
      <c r="T77" s="3">
        <v>40</v>
      </c>
      <c r="U77" s="4">
        <v>607001</v>
      </c>
      <c r="V77" s="4" t="s">
        <v>30</v>
      </c>
      <c r="W77" s="3">
        <v>2000</v>
      </c>
      <c r="X77" s="3">
        <v>416001</v>
      </c>
      <c r="Y77" s="3" t="s">
        <v>92</v>
      </c>
      <c r="Z77" s="3">
        <v>20</v>
      </c>
      <c r="AA77" s="4">
        <v>403002</v>
      </c>
      <c r="AB77" s="4" t="s">
        <v>93</v>
      </c>
      <c r="AC77" s="3">
        <v>1000</v>
      </c>
    </row>
    <row r="78" spans="1:29" x14ac:dyDescent="0.15">
      <c r="A78" s="3">
        <v>8964</v>
      </c>
      <c r="B78" s="3" t="s">
        <v>64</v>
      </c>
      <c r="C78" s="3">
        <v>7964</v>
      </c>
      <c r="D78" s="3">
        <v>2</v>
      </c>
      <c r="E78" s="5">
        <v>303009</v>
      </c>
      <c r="F78" s="5" t="s">
        <v>45</v>
      </c>
      <c r="G78" s="3">
        <f t="shared" si="6"/>
        <v>3000</v>
      </c>
      <c r="H78" s="134">
        <f>VLOOKUP(E78,[1]stuff!$A:$C,3,FALSE)</f>
        <v>1</v>
      </c>
      <c r="I78" s="130">
        <v>90</v>
      </c>
      <c r="J78" s="130">
        <v>60</v>
      </c>
      <c r="K78" s="130">
        <f t="shared" si="7"/>
        <v>12</v>
      </c>
      <c r="L78" s="3">
        <f t="shared" si="8"/>
        <v>6300</v>
      </c>
      <c r="M78" s="3">
        <f t="shared" si="9"/>
        <v>31.746031746031747</v>
      </c>
      <c r="N78" s="4">
        <v>0</v>
      </c>
      <c r="O78" s="4"/>
      <c r="P78" s="3">
        <v>0</v>
      </c>
      <c r="Q78" s="3">
        <v>0</v>
      </c>
      <c r="R78" s="3">
        <v>0</v>
      </c>
      <c r="S78" s="3">
        <v>1</v>
      </c>
      <c r="T78" s="3">
        <v>40</v>
      </c>
      <c r="U78" s="4">
        <v>607001</v>
      </c>
      <c r="V78" s="4" t="s">
        <v>30</v>
      </c>
      <c r="W78" s="3">
        <v>2000</v>
      </c>
      <c r="X78" s="3">
        <v>416001</v>
      </c>
      <c r="Y78" s="3" t="s">
        <v>92</v>
      </c>
      <c r="Z78" s="3">
        <v>20</v>
      </c>
      <c r="AA78" s="4">
        <v>403002</v>
      </c>
      <c r="AB78" s="4" t="s">
        <v>93</v>
      </c>
      <c r="AC78" s="3">
        <v>1000</v>
      </c>
    </row>
    <row r="79" spans="1:29" x14ac:dyDescent="0.15">
      <c r="A79" s="3">
        <v>8963</v>
      </c>
      <c r="B79" s="3" t="s">
        <v>64</v>
      </c>
      <c r="C79" s="3">
        <v>7963</v>
      </c>
      <c r="D79" s="3">
        <v>2</v>
      </c>
      <c r="E79" s="7">
        <v>304002</v>
      </c>
      <c r="F79" s="7" t="s">
        <v>47</v>
      </c>
      <c r="G79" s="3">
        <f t="shared" si="6"/>
        <v>3000</v>
      </c>
      <c r="H79" s="134">
        <f>VLOOKUP(E79,[1]stuff!$A:$C,3,FALSE)</f>
        <v>2</v>
      </c>
      <c r="I79" s="130">
        <v>90</v>
      </c>
      <c r="J79" s="130">
        <v>60</v>
      </c>
      <c r="K79" s="130">
        <f t="shared" si="7"/>
        <v>12</v>
      </c>
      <c r="L79" s="3">
        <f t="shared" si="8"/>
        <v>6600</v>
      </c>
      <c r="M79" s="3">
        <f t="shared" si="9"/>
        <v>30.303030303030305</v>
      </c>
      <c r="N79" s="4">
        <v>0</v>
      </c>
      <c r="O79" s="4"/>
      <c r="P79" s="3">
        <v>0</v>
      </c>
      <c r="Q79" s="3">
        <v>0</v>
      </c>
      <c r="R79" s="3">
        <v>0</v>
      </c>
      <c r="S79" s="3">
        <v>1</v>
      </c>
      <c r="T79" s="3">
        <v>40</v>
      </c>
      <c r="U79" s="4">
        <v>607001</v>
      </c>
      <c r="V79" s="4" t="s">
        <v>30</v>
      </c>
      <c r="W79" s="3">
        <v>2000</v>
      </c>
      <c r="X79" s="3">
        <v>416001</v>
      </c>
      <c r="Y79" s="3" t="s">
        <v>92</v>
      </c>
      <c r="Z79" s="3">
        <v>20</v>
      </c>
      <c r="AA79" s="4">
        <v>403002</v>
      </c>
      <c r="AB79" s="4" t="s">
        <v>93</v>
      </c>
      <c r="AC79" s="3">
        <v>1000</v>
      </c>
    </row>
    <row r="80" spans="1:29" x14ac:dyDescent="0.15">
      <c r="A80" s="3">
        <v>8962</v>
      </c>
      <c r="B80" s="3" t="s">
        <v>64</v>
      </c>
      <c r="C80" s="3">
        <v>7962</v>
      </c>
      <c r="D80" s="3">
        <v>2</v>
      </c>
      <c r="E80" s="7">
        <v>606001</v>
      </c>
      <c r="F80" s="7" t="s">
        <v>54</v>
      </c>
      <c r="G80" s="3">
        <f t="shared" si="6"/>
        <v>1500</v>
      </c>
      <c r="H80" s="134">
        <f>VLOOKUP(E80,[1]stuff!$A:$C,3,FALSE)</f>
        <v>3</v>
      </c>
      <c r="I80" s="130">
        <v>90</v>
      </c>
      <c r="J80" s="130">
        <v>60</v>
      </c>
      <c r="K80" s="130">
        <f t="shared" si="7"/>
        <v>12</v>
      </c>
      <c r="L80" s="3">
        <f t="shared" si="8"/>
        <v>6450</v>
      </c>
      <c r="M80" s="3">
        <f t="shared" si="9"/>
        <v>31.007751937984494</v>
      </c>
      <c r="N80" s="4">
        <v>0</v>
      </c>
      <c r="O80" s="4"/>
      <c r="P80" s="3">
        <v>0</v>
      </c>
      <c r="Q80" s="3">
        <v>0</v>
      </c>
      <c r="R80" s="3">
        <v>0</v>
      </c>
      <c r="S80" s="3">
        <v>1</v>
      </c>
      <c r="T80" s="3">
        <v>40</v>
      </c>
      <c r="U80" s="4">
        <v>607001</v>
      </c>
      <c r="V80" s="4" t="s">
        <v>30</v>
      </c>
      <c r="W80" s="3">
        <v>2000</v>
      </c>
      <c r="X80" s="3">
        <v>416001</v>
      </c>
      <c r="Y80" s="3" t="s">
        <v>92</v>
      </c>
      <c r="Z80" s="3">
        <v>20</v>
      </c>
      <c r="AA80" s="4">
        <v>403002</v>
      </c>
      <c r="AB80" s="4" t="s">
        <v>93</v>
      </c>
      <c r="AC80" s="3">
        <v>1000</v>
      </c>
    </row>
    <row r="81" spans="1:29" x14ac:dyDescent="0.15">
      <c r="A81" s="3">
        <v>8961</v>
      </c>
      <c r="B81" s="3" t="s">
        <v>64</v>
      </c>
      <c r="C81" s="3">
        <v>7961</v>
      </c>
      <c r="D81" s="3">
        <v>2</v>
      </c>
      <c r="E81" s="7">
        <v>606002</v>
      </c>
      <c r="F81" s="7" t="s">
        <v>55</v>
      </c>
      <c r="G81" s="3">
        <f t="shared" si="6"/>
        <v>1500</v>
      </c>
      <c r="H81" s="134">
        <f>VLOOKUP(E81,[1]stuff!$A:$C,3,FALSE)</f>
        <v>3</v>
      </c>
      <c r="I81" s="130">
        <v>90</v>
      </c>
      <c r="J81" s="130">
        <v>60</v>
      </c>
      <c r="K81" s="130">
        <f t="shared" si="7"/>
        <v>12</v>
      </c>
      <c r="L81" s="3">
        <f t="shared" si="8"/>
        <v>6450</v>
      </c>
      <c r="M81" s="3">
        <f t="shared" si="9"/>
        <v>31.007751937984494</v>
      </c>
      <c r="N81" s="4">
        <v>0</v>
      </c>
      <c r="O81" s="4"/>
      <c r="P81" s="3">
        <v>0</v>
      </c>
      <c r="Q81" s="3">
        <v>0</v>
      </c>
      <c r="R81" s="3">
        <v>0</v>
      </c>
      <c r="S81" s="3">
        <v>1</v>
      </c>
      <c r="T81" s="3">
        <v>40</v>
      </c>
      <c r="U81" s="4">
        <v>607001</v>
      </c>
      <c r="V81" s="4" t="s">
        <v>30</v>
      </c>
      <c r="W81" s="3">
        <v>2000</v>
      </c>
      <c r="X81" s="3">
        <v>416001</v>
      </c>
      <c r="Y81" s="3" t="s">
        <v>92</v>
      </c>
      <c r="Z81" s="3">
        <v>20</v>
      </c>
      <c r="AA81" s="4">
        <v>403002</v>
      </c>
      <c r="AB81" s="4" t="s">
        <v>93</v>
      </c>
      <c r="AC81" s="3">
        <v>1000</v>
      </c>
    </row>
    <row r="82" spans="1:29" x14ac:dyDescent="0.15">
      <c r="A82" s="137">
        <v>7999</v>
      </c>
      <c r="B82" s="137" t="s">
        <v>64</v>
      </c>
      <c r="C82" s="3">
        <v>0</v>
      </c>
      <c r="D82" s="3">
        <v>3</v>
      </c>
      <c r="E82" s="6">
        <v>301001</v>
      </c>
      <c r="F82" s="6" t="s">
        <v>31</v>
      </c>
      <c r="G82" s="3">
        <f t="shared" si="6"/>
        <v>4500</v>
      </c>
      <c r="H82" s="134">
        <f>VLOOKUP(E82,[1]stuff!$A:$C,3,FALSE)</f>
        <v>1</v>
      </c>
      <c r="I82" s="130">
        <v>85</v>
      </c>
      <c r="J82" s="130">
        <v>70</v>
      </c>
      <c r="K82" s="130">
        <f>J82*0.2</f>
        <v>14</v>
      </c>
      <c r="L82" s="3">
        <f t="shared" si="8"/>
        <v>7675</v>
      </c>
      <c r="M82" s="3">
        <f t="shared" si="9"/>
        <v>65.146579804560261</v>
      </c>
      <c r="N82" s="4">
        <v>0</v>
      </c>
      <c r="O82" s="4"/>
      <c r="P82" s="3">
        <v>0</v>
      </c>
      <c r="Q82" s="3">
        <v>0</v>
      </c>
      <c r="R82" s="3">
        <v>0</v>
      </c>
      <c r="S82" s="3">
        <v>1</v>
      </c>
      <c r="T82" s="3">
        <v>60</v>
      </c>
      <c r="U82" s="4">
        <v>607001</v>
      </c>
      <c r="V82" s="4" t="s">
        <v>30</v>
      </c>
      <c r="W82" s="3">
        <v>5000</v>
      </c>
      <c r="X82" s="3">
        <v>416002</v>
      </c>
      <c r="Y82" s="3" t="s">
        <v>94</v>
      </c>
      <c r="Z82" s="3">
        <v>50</v>
      </c>
      <c r="AA82" s="4">
        <v>403002</v>
      </c>
      <c r="AB82" s="138" t="s">
        <v>95</v>
      </c>
      <c r="AC82" s="3">
        <v>1000</v>
      </c>
    </row>
    <row r="83" spans="1:29" x14ac:dyDescent="0.15">
      <c r="A83" s="137">
        <v>7998</v>
      </c>
      <c r="B83" s="137" t="s">
        <v>64</v>
      </c>
      <c r="C83" s="3">
        <v>0</v>
      </c>
      <c r="D83" s="3">
        <v>3</v>
      </c>
      <c r="E83" s="5">
        <v>301002</v>
      </c>
      <c r="F83" s="5" t="s">
        <v>29</v>
      </c>
      <c r="G83" s="3">
        <f t="shared" si="6"/>
        <v>4500</v>
      </c>
      <c r="H83" s="134">
        <f>VLOOKUP(E83,[1]stuff!$A:$C,3,FALSE)</f>
        <v>1</v>
      </c>
      <c r="I83" s="130">
        <v>85</v>
      </c>
      <c r="J83" s="130">
        <v>70</v>
      </c>
      <c r="K83" s="130">
        <f t="shared" ref="K83:K120" si="10">J83*0.2</f>
        <v>14</v>
      </c>
      <c r="L83" s="3">
        <f t="shared" si="8"/>
        <v>7675</v>
      </c>
      <c r="M83" s="3">
        <f t="shared" si="9"/>
        <v>65.146579804560261</v>
      </c>
      <c r="N83" s="4">
        <v>0</v>
      </c>
      <c r="O83" s="4"/>
      <c r="P83" s="3">
        <v>0</v>
      </c>
      <c r="Q83" s="3">
        <v>0</v>
      </c>
      <c r="R83" s="3">
        <v>0</v>
      </c>
      <c r="S83" s="3">
        <v>1</v>
      </c>
      <c r="T83" s="3">
        <v>60</v>
      </c>
      <c r="U83" s="4">
        <v>607001</v>
      </c>
      <c r="V83" s="4" t="s">
        <v>30</v>
      </c>
      <c r="W83" s="3">
        <v>5000</v>
      </c>
      <c r="X83" s="3">
        <v>416002</v>
      </c>
      <c r="Y83" s="3" t="s">
        <v>94</v>
      </c>
      <c r="Z83" s="3">
        <v>50</v>
      </c>
      <c r="AA83" s="4">
        <v>403002</v>
      </c>
      <c r="AB83" s="138" t="s">
        <v>95</v>
      </c>
      <c r="AC83" s="3">
        <v>1000</v>
      </c>
    </row>
    <row r="84" spans="1:29" x14ac:dyDescent="0.15">
      <c r="A84" s="137">
        <v>7997</v>
      </c>
      <c r="B84" s="137" t="s">
        <v>64</v>
      </c>
      <c r="C84" s="3">
        <v>0</v>
      </c>
      <c r="D84" s="3">
        <v>3</v>
      </c>
      <c r="E84" s="5">
        <v>301003</v>
      </c>
      <c r="F84" s="5" t="s">
        <v>32</v>
      </c>
      <c r="G84" s="3">
        <f t="shared" si="6"/>
        <v>4500</v>
      </c>
      <c r="H84" s="134">
        <f>VLOOKUP(E84,[1]stuff!$A:$C,3,FALSE)</f>
        <v>1</v>
      </c>
      <c r="I84" s="130">
        <v>85</v>
      </c>
      <c r="J84" s="130">
        <v>70</v>
      </c>
      <c r="K84" s="130">
        <f t="shared" si="10"/>
        <v>14</v>
      </c>
      <c r="L84" s="3">
        <f t="shared" si="8"/>
        <v>7675</v>
      </c>
      <c r="M84" s="3">
        <f t="shared" si="9"/>
        <v>65.146579804560261</v>
      </c>
      <c r="N84" s="4">
        <v>0</v>
      </c>
      <c r="O84" s="4"/>
      <c r="P84" s="3">
        <v>0</v>
      </c>
      <c r="Q84" s="3">
        <v>0</v>
      </c>
      <c r="R84" s="3">
        <v>0</v>
      </c>
      <c r="S84" s="3">
        <v>1</v>
      </c>
      <c r="T84" s="3">
        <v>60</v>
      </c>
      <c r="U84" s="4">
        <v>607001</v>
      </c>
      <c r="V84" s="4" t="s">
        <v>30</v>
      </c>
      <c r="W84" s="3">
        <v>5000</v>
      </c>
      <c r="X84" s="3">
        <v>416002</v>
      </c>
      <c r="Y84" s="3" t="s">
        <v>94</v>
      </c>
      <c r="Z84" s="3">
        <v>50</v>
      </c>
      <c r="AA84" s="4">
        <v>403002</v>
      </c>
      <c r="AB84" s="138" t="s">
        <v>95</v>
      </c>
      <c r="AC84" s="3">
        <v>1000</v>
      </c>
    </row>
    <row r="85" spans="1:29" x14ac:dyDescent="0.15">
      <c r="A85" s="137">
        <v>7996</v>
      </c>
      <c r="B85" s="137" t="s">
        <v>64</v>
      </c>
      <c r="C85" s="3">
        <v>0</v>
      </c>
      <c r="D85" s="3">
        <v>3</v>
      </c>
      <c r="E85" s="5">
        <v>301004</v>
      </c>
      <c r="F85" s="5" t="s">
        <v>33</v>
      </c>
      <c r="G85" s="3">
        <f t="shared" si="6"/>
        <v>4500</v>
      </c>
      <c r="H85" s="134">
        <f>VLOOKUP(E85,[1]stuff!$A:$C,3,FALSE)</f>
        <v>1</v>
      </c>
      <c r="I85" s="130">
        <v>85</v>
      </c>
      <c r="J85" s="130">
        <v>70</v>
      </c>
      <c r="K85" s="130">
        <f t="shared" si="10"/>
        <v>14</v>
      </c>
      <c r="L85" s="3">
        <f t="shared" si="8"/>
        <v>7675</v>
      </c>
      <c r="M85" s="3">
        <f t="shared" si="9"/>
        <v>65.146579804560261</v>
      </c>
      <c r="N85" s="4">
        <v>0</v>
      </c>
      <c r="O85" s="4"/>
      <c r="P85" s="3">
        <v>0</v>
      </c>
      <c r="Q85" s="3">
        <v>0</v>
      </c>
      <c r="R85" s="3">
        <v>0</v>
      </c>
      <c r="S85" s="3">
        <v>1</v>
      </c>
      <c r="T85" s="3">
        <v>60</v>
      </c>
      <c r="U85" s="4">
        <v>607001</v>
      </c>
      <c r="V85" s="4" t="s">
        <v>30</v>
      </c>
      <c r="W85" s="3">
        <v>5000</v>
      </c>
      <c r="X85" s="3">
        <v>416002</v>
      </c>
      <c r="Y85" s="3" t="s">
        <v>94</v>
      </c>
      <c r="Z85" s="3">
        <v>50</v>
      </c>
      <c r="AA85" s="4">
        <v>403002</v>
      </c>
      <c r="AB85" s="138" t="s">
        <v>95</v>
      </c>
      <c r="AC85" s="3">
        <v>1000</v>
      </c>
    </row>
    <row r="86" spans="1:29" x14ac:dyDescent="0.15">
      <c r="A86" s="137">
        <v>7995</v>
      </c>
      <c r="B86" s="137" t="s">
        <v>64</v>
      </c>
      <c r="C86" s="3">
        <v>0</v>
      </c>
      <c r="D86" s="3">
        <v>3</v>
      </c>
      <c r="E86" s="5">
        <v>301005</v>
      </c>
      <c r="F86" s="5" t="s">
        <v>34</v>
      </c>
      <c r="G86" s="3">
        <f t="shared" si="6"/>
        <v>4500</v>
      </c>
      <c r="H86" s="134">
        <f>VLOOKUP(E86,[1]stuff!$A:$C,3,FALSE)</f>
        <v>1</v>
      </c>
      <c r="I86" s="130">
        <v>85</v>
      </c>
      <c r="J86" s="130">
        <v>70</v>
      </c>
      <c r="K86" s="130">
        <f t="shared" si="10"/>
        <v>14</v>
      </c>
      <c r="L86" s="3">
        <f t="shared" si="8"/>
        <v>7675</v>
      </c>
      <c r="M86" s="3">
        <f t="shared" si="9"/>
        <v>65.146579804560261</v>
      </c>
      <c r="N86" s="4">
        <v>0</v>
      </c>
      <c r="O86" s="4"/>
      <c r="P86" s="3">
        <v>0</v>
      </c>
      <c r="Q86" s="3">
        <v>0</v>
      </c>
      <c r="R86" s="3">
        <v>0</v>
      </c>
      <c r="S86" s="3">
        <v>1</v>
      </c>
      <c r="T86" s="3">
        <v>60</v>
      </c>
      <c r="U86" s="4">
        <v>607001</v>
      </c>
      <c r="V86" s="4" t="s">
        <v>30</v>
      </c>
      <c r="W86" s="3">
        <v>5000</v>
      </c>
      <c r="X86" s="3">
        <v>416002</v>
      </c>
      <c r="Y86" s="3" t="s">
        <v>94</v>
      </c>
      <c r="Z86" s="3">
        <v>50</v>
      </c>
      <c r="AA86" s="4">
        <v>403002</v>
      </c>
      <c r="AB86" s="138" t="s">
        <v>95</v>
      </c>
      <c r="AC86" s="3">
        <v>1000</v>
      </c>
    </row>
    <row r="87" spans="1:29" x14ac:dyDescent="0.15">
      <c r="A87" s="137">
        <v>7994</v>
      </c>
      <c r="B87" s="137" t="s">
        <v>64</v>
      </c>
      <c r="C87" s="3">
        <v>0</v>
      </c>
      <c r="D87" s="3">
        <v>3</v>
      </c>
      <c r="E87" s="5">
        <v>301006</v>
      </c>
      <c r="F87" s="5" t="s">
        <v>35</v>
      </c>
      <c r="G87" s="3">
        <f t="shared" si="6"/>
        <v>4500</v>
      </c>
      <c r="H87" s="134">
        <f>VLOOKUP(E87,[1]stuff!$A:$C,3,FALSE)</f>
        <v>1</v>
      </c>
      <c r="I87" s="130">
        <v>85</v>
      </c>
      <c r="J87" s="130">
        <v>70</v>
      </c>
      <c r="K87" s="130">
        <f t="shared" si="10"/>
        <v>14</v>
      </c>
      <c r="L87" s="3">
        <f t="shared" si="8"/>
        <v>7675</v>
      </c>
      <c r="M87" s="3">
        <f t="shared" si="9"/>
        <v>65.146579804560261</v>
      </c>
      <c r="N87" s="4">
        <v>0</v>
      </c>
      <c r="O87" s="4"/>
      <c r="P87" s="3">
        <v>0</v>
      </c>
      <c r="Q87" s="3">
        <v>0</v>
      </c>
      <c r="R87" s="3">
        <v>0</v>
      </c>
      <c r="S87" s="3">
        <v>1</v>
      </c>
      <c r="T87" s="3">
        <v>60</v>
      </c>
      <c r="U87" s="4">
        <v>607001</v>
      </c>
      <c r="V87" s="4" t="s">
        <v>30</v>
      </c>
      <c r="W87" s="3">
        <v>5000</v>
      </c>
      <c r="X87" s="3">
        <v>416002</v>
      </c>
      <c r="Y87" s="3" t="s">
        <v>94</v>
      </c>
      <c r="Z87" s="3">
        <v>50</v>
      </c>
      <c r="AA87" s="4">
        <v>403002</v>
      </c>
      <c r="AB87" s="138" t="s">
        <v>95</v>
      </c>
      <c r="AC87" s="3">
        <v>1000</v>
      </c>
    </row>
    <row r="88" spans="1:29" x14ac:dyDescent="0.15">
      <c r="A88" s="137">
        <v>7993</v>
      </c>
      <c r="B88" s="137" t="s">
        <v>64</v>
      </c>
      <c r="C88" s="3">
        <v>0</v>
      </c>
      <c r="D88" s="3">
        <v>3</v>
      </c>
      <c r="E88" s="5">
        <v>301007</v>
      </c>
      <c r="F88" s="5" t="s">
        <v>36</v>
      </c>
      <c r="G88" s="3">
        <f t="shared" si="6"/>
        <v>4500</v>
      </c>
      <c r="H88" s="134">
        <f>VLOOKUP(E88,[1]stuff!$A:$C,3,FALSE)</f>
        <v>1</v>
      </c>
      <c r="I88" s="130">
        <v>85</v>
      </c>
      <c r="J88" s="130">
        <v>70</v>
      </c>
      <c r="K88" s="130">
        <f t="shared" si="10"/>
        <v>14</v>
      </c>
      <c r="L88" s="3">
        <f t="shared" si="8"/>
        <v>7675</v>
      </c>
      <c r="M88" s="3">
        <f t="shared" si="9"/>
        <v>65.146579804560261</v>
      </c>
      <c r="N88" s="4">
        <v>0</v>
      </c>
      <c r="O88" s="4"/>
      <c r="P88" s="3">
        <v>0</v>
      </c>
      <c r="Q88" s="3">
        <v>0</v>
      </c>
      <c r="R88" s="3">
        <v>0</v>
      </c>
      <c r="S88" s="3">
        <v>1</v>
      </c>
      <c r="T88" s="3">
        <v>60</v>
      </c>
      <c r="U88" s="4">
        <v>607001</v>
      </c>
      <c r="V88" s="4" t="s">
        <v>30</v>
      </c>
      <c r="W88" s="3">
        <v>5000</v>
      </c>
      <c r="X88" s="3">
        <v>416002</v>
      </c>
      <c r="Y88" s="3" t="s">
        <v>94</v>
      </c>
      <c r="Z88" s="3">
        <v>50</v>
      </c>
      <c r="AA88" s="4">
        <v>403002</v>
      </c>
      <c r="AB88" s="138" t="s">
        <v>95</v>
      </c>
      <c r="AC88" s="3">
        <v>1000</v>
      </c>
    </row>
    <row r="89" spans="1:29" x14ac:dyDescent="0.15">
      <c r="A89" s="137">
        <v>7992</v>
      </c>
      <c r="B89" s="137" t="s">
        <v>64</v>
      </c>
      <c r="C89" s="3">
        <v>0</v>
      </c>
      <c r="D89" s="3">
        <v>3</v>
      </c>
      <c r="E89" s="5">
        <v>302001</v>
      </c>
      <c r="F89" s="5" t="s">
        <v>37</v>
      </c>
      <c r="G89" s="3">
        <f t="shared" si="6"/>
        <v>4500</v>
      </c>
      <c r="H89" s="134">
        <f>VLOOKUP(E89,[1]stuff!$A:$C,3,FALSE)</f>
        <v>1</v>
      </c>
      <c r="I89" s="130">
        <v>85</v>
      </c>
      <c r="J89" s="130">
        <v>70</v>
      </c>
      <c r="K89" s="130">
        <f t="shared" si="10"/>
        <v>14</v>
      </c>
      <c r="L89" s="3">
        <f t="shared" si="8"/>
        <v>7675</v>
      </c>
      <c r="M89" s="3">
        <f t="shared" si="9"/>
        <v>65.146579804560261</v>
      </c>
      <c r="N89" s="4">
        <v>0</v>
      </c>
      <c r="O89" s="4"/>
      <c r="P89" s="3">
        <v>0</v>
      </c>
      <c r="Q89" s="3">
        <v>0</v>
      </c>
      <c r="R89" s="3">
        <v>0</v>
      </c>
      <c r="S89" s="3">
        <v>1</v>
      </c>
      <c r="T89" s="3">
        <v>60</v>
      </c>
      <c r="U89" s="4">
        <v>607001</v>
      </c>
      <c r="V89" s="4" t="s">
        <v>30</v>
      </c>
      <c r="W89" s="3">
        <v>5000</v>
      </c>
      <c r="X89" s="3">
        <v>416002</v>
      </c>
      <c r="Y89" s="3" t="s">
        <v>94</v>
      </c>
      <c r="Z89" s="3">
        <v>50</v>
      </c>
      <c r="AA89" s="4">
        <v>403002</v>
      </c>
      <c r="AB89" s="138" t="s">
        <v>95</v>
      </c>
      <c r="AC89" s="3">
        <v>1000</v>
      </c>
    </row>
    <row r="90" spans="1:29" x14ac:dyDescent="0.15">
      <c r="A90" s="137">
        <v>7991</v>
      </c>
      <c r="B90" s="137" t="s">
        <v>64</v>
      </c>
      <c r="C90" s="3">
        <v>0</v>
      </c>
      <c r="D90" s="3">
        <v>3</v>
      </c>
      <c r="E90" s="5">
        <v>302002</v>
      </c>
      <c r="F90" s="5" t="s">
        <v>38</v>
      </c>
      <c r="G90" s="3">
        <f t="shared" si="6"/>
        <v>4500</v>
      </c>
      <c r="H90" s="134">
        <f>VLOOKUP(E90,[1]stuff!$A:$C,3,FALSE)</f>
        <v>1</v>
      </c>
      <c r="I90" s="130">
        <v>85</v>
      </c>
      <c r="J90" s="130">
        <v>70</v>
      </c>
      <c r="K90" s="130">
        <f t="shared" si="10"/>
        <v>14</v>
      </c>
      <c r="L90" s="3">
        <f t="shared" si="8"/>
        <v>7675</v>
      </c>
      <c r="M90" s="3">
        <f t="shared" si="9"/>
        <v>65.146579804560261</v>
      </c>
      <c r="N90" s="4">
        <v>0</v>
      </c>
      <c r="O90" s="4"/>
      <c r="P90" s="3">
        <v>0</v>
      </c>
      <c r="Q90" s="3">
        <v>0</v>
      </c>
      <c r="R90" s="3">
        <v>0</v>
      </c>
      <c r="S90" s="3">
        <v>1</v>
      </c>
      <c r="T90" s="3">
        <v>60</v>
      </c>
      <c r="U90" s="4">
        <v>607001</v>
      </c>
      <c r="V90" s="4" t="s">
        <v>30</v>
      </c>
      <c r="W90" s="3">
        <v>5000</v>
      </c>
      <c r="X90" s="3">
        <v>416002</v>
      </c>
      <c r="Y90" s="3" t="s">
        <v>94</v>
      </c>
      <c r="Z90" s="3">
        <v>50</v>
      </c>
      <c r="AA90" s="4">
        <v>403002</v>
      </c>
      <c r="AB90" s="138" t="s">
        <v>95</v>
      </c>
      <c r="AC90" s="3">
        <v>1000</v>
      </c>
    </row>
    <row r="91" spans="1:29" x14ac:dyDescent="0.15">
      <c r="A91" s="137">
        <v>7990</v>
      </c>
      <c r="B91" s="137" t="s">
        <v>64</v>
      </c>
      <c r="C91" s="3">
        <v>0</v>
      </c>
      <c r="D91" s="3">
        <v>3</v>
      </c>
      <c r="E91" s="5">
        <v>302003</v>
      </c>
      <c r="F91" s="5" t="s">
        <v>39</v>
      </c>
      <c r="G91" s="3">
        <f t="shared" si="6"/>
        <v>4500</v>
      </c>
      <c r="H91" s="134">
        <f>VLOOKUP(E91,[1]stuff!$A:$C,3,FALSE)</f>
        <v>1</v>
      </c>
      <c r="I91" s="130">
        <v>85</v>
      </c>
      <c r="J91" s="130">
        <v>70</v>
      </c>
      <c r="K91" s="130">
        <f t="shared" si="10"/>
        <v>14</v>
      </c>
      <c r="L91" s="3">
        <f t="shared" si="8"/>
        <v>7675</v>
      </c>
      <c r="M91" s="3">
        <f t="shared" si="9"/>
        <v>65.146579804560261</v>
      </c>
      <c r="N91" s="4">
        <v>0</v>
      </c>
      <c r="O91" s="4"/>
      <c r="P91" s="3">
        <v>0</v>
      </c>
      <c r="Q91" s="3">
        <v>0</v>
      </c>
      <c r="R91" s="3">
        <v>0</v>
      </c>
      <c r="S91" s="3">
        <v>1</v>
      </c>
      <c r="T91" s="3">
        <v>60</v>
      </c>
      <c r="U91" s="4">
        <v>607001</v>
      </c>
      <c r="V91" s="4" t="s">
        <v>30</v>
      </c>
      <c r="W91" s="3">
        <v>5000</v>
      </c>
      <c r="X91" s="3">
        <v>416002</v>
      </c>
      <c r="Y91" s="3" t="s">
        <v>94</v>
      </c>
      <c r="Z91" s="3">
        <v>50</v>
      </c>
      <c r="AA91" s="4">
        <v>403002</v>
      </c>
      <c r="AB91" s="138" t="s">
        <v>95</v>
      </c>
      <c r="AC91" s="3">
        <v>1000</v>
      </c>
    </row>
    <row r="92" spans="1:29" x14ac:dyDescent="0.15">
      <c r="A92" s="137">
        <v>7989</v>
      </c>
      <c r="B92" s="137" t="s">
        <v>64</v>
      </c>
      <c r="C92" s="3">
        <v>0</v>
      </c>
      <c r="D92" s="3">
        <v>3</v>
      </c>
      <c r="E92" s="5">
        <v>302004</v>
      </c>
      <c r="F92" s="5" t="s">
        <v>40</v>
      </c>
      <c r="G92" s="3">
        <f t="shared" si="6"/>
        <v>4500</v>
      </c>
      <c r="H92" s="134">
        <f>VLOOKUP(E92,[1]stuff!$A:$C,3,FALSE)</f>
        <v>1</v>
      </c>
      <c r="I92" s="130">
        <v>85</v>
      </c>
      <c r="J92" s="130">
        <v>70</v>
      </c>
      <c r="K92" s="130">
        <f t="shared" si="10"/>
        <v>14</v>
      </c>
      <c r="L92" s="3">
        <f t="shared" si="8"/>
        <v>7675</v>
      </c>
      <c r="M92" s="3">
        <f t="shared" si="9"/>
        <v>65.146579804560261</v>
      </c>
      <c r="N92" s="4">
        <v>0</v>
      </c>
      <c r="O92" s="4"/>
      <c r="P92" s="3">
        <v>0</v>
      </c>
      <c r="Q92" s="3">
        <v>0</v>
      </c>
      <c r="R92" s="3">
        <v>0</v>
      </c>
      <c r="S92" s="3">
        <v>1</v>
      </c>
      <c r="T92" s="3">
        <v>60</v>
      </c>
      <c r="U92" s="4">
        <v>607001</v>
      </c>
      <c r="V92" s="4" t="s">
        <v>30</v>
      </c>
      <c r="W92" s="3">
        <v>5000</v>
      </c>
      <c r="X92" s="3">
        <v>416002</v>
      </c>
      <c r="Y92" s="3" t="s">
        <v>94</v>
      </c>
      <c r="Z92" s="3">
        <v>50</v>
      </c>
      <c r="AA92" s="4">
        <v>403002</v>
      </c>
      <c r="AB92" s="138" t="s">
        <v>95</v>
      </c>
      <c r="AC92" s="3">
        <v>1000</v>
      </c>
    </row>
    <row r="93" spans="1:29" x14ac:dyDescent="0.15">
      <c r="A93" s="137">
        <v>7988</v>
      </c>
      <c r="B93" s="137" t="s">
        <v>64</v>
      </c>
      <c r="C93" s="3">
        <v>0</v>
      </c>
      <c r="D93" s="3">
        <v>3</v>
      </c>
      <c r="E93" s="5">
        <v>303001</v>
      </c>
      <c r="F93" s="5" t="s">
        <v>41</v>
      </c>
      <c r="G93" s="3">
        <f t="shared" si="6"/>
        <v>4500</v>
      </c>
      <c r="H93" s="134">
        <f>VLOOKUP(E93,[1]stuff!$A:$C,3,FALSE)</f>
        <v>1</v>
      </c>
      <c r="I93" s="130">
        <v>85</v>
      </c>
      <c r="J93" s="130">
        <v>70</v>
      </c>
      <c r="K93" s="130">
        <f t="shared" si="10"/>
        <v>14</v>
      </c>
      <c r="L93" s="3">
        <f t="shared" si="8"/>
        <v>7675</v>
      </c>
      <c r="M93" s="3">
        <f t="shared" si="9"/>
        <v>65.146579804560261</v>
      </c>
      <c r="N93" s="4">
        <v>0</v>
      </c>
      <c r="O93" s="4"/>
      <c r="P93" s="3">
        <v>0</v>
      </c>
      <c r="Q93" s="3">
        <v>0</v>
      </c>
      <c r="R93" s="3">
        <v>0</v>
      </c>
      <c r="S93" s="3">
        <v>1</v>
      </c>
      <c r="T93" s="3">
        <v>60</v>
      </c>
      <c r="U93" s="4">
        <v>607001</v>
      </c>
      <c r="V93" s="4" t="s">
        <v>30</v>
      </c>
      <c r="W93" s="3">
        <v>5000</v>
      </c>
      <c r="X93" s="3">
        <v>416002</v>
      </c>
      <c r="Y93" s="3" t="s">
        <v>94</v>
      </c>
      <c r="Z93" s="3">
        <v>50</v>
      </c>
      <c r="AA93" s="4">
        <v>403002</v>
      </c>
      <c r="AB93" s="138" t="s">
        <v>95</v>
      </c>
      <c r="AC93" s="3">
        <v>1000</v>
      </c>
    </row>
    <row r="94" spans="1:29" x14ac:dyDescent="0.15">
      <c r="A94" s="137">
        <v>7987</v>
      </c>
      <c r="B94" s="137" t="s">
        <v>64</v>
      </c>
      <c r="C94" s="3">
        <v>0</v>
      </c>
      <c r="D94" s="3">
        <v>3</v>
      </c>
      <c r="E94" s="5">
        <v>303002</v>
      </c>
      <c r="F94" s="5" t="s">
        <v>42</v>
      </c>
      <c r="G94" s="3">
        <f t="shared" si="6"/>
        <v>4500</v>
      </c>
      <c r="H94" s="134">
        <f>VLOOKUP(E94,[1]stuff!$A:$C,3,FALSE)</f>
        <v>1</v>
      </c>
      <c r="I94" s="130">
        <v>85</v>
      </c>
      <c r="J94" s="130">
        <v>70</v>
      </c>
      <c r="K94" s="130">
        <f t="shared" si="10"/>
        <v>14</v>
      </c>
      <c r="L94" s="3">
        <f t="shared" si="8"/>
        <v>7675</v>
      </c>
      <c r="M94" s="3">
        <f t="shared" si="9"/>
        <v>65.146579804560261</v>
      </c>
      <c r="N94" s="4">
        <v>0</v>
      </c>
      <c r="O94" s="4"/>
      <c r="P94" s="3">
        <v>0</v>
      </c>
      <c r="Q94" s="3">
        <v>0</v>
      </c>
      <c r="R94" s="3">
        <v>0</v>
      </c>
      <c r="S94" s="3">
        <v>1</v>
      </c>
      <c r="T94" s="3">
        <v>60</v>
      </c>
      <c r="U94" s="4">
        <v>607001</v>
      </c>
      <c r="V94" s="4" t="s">
        <v>30</v>
      </c>
      <c r="W94" s="3">
        <v>5000</v>
      </c>
      <c r="X94" s="3">
        <v>416002</v>
      </c>
      <c r="Y94" s="3" t="s">
        <v>94</v>
      </c>
      <c r="Z94" s="3">
        <v>50</v>
      </c>
      <c r="AA94" s="4">
        <v>403002</v>
      </c>
      <c r="AB94" s="138" t="s">
        <v>95</v>
      </c>
      <c r="AC94" s="3">
        <v>1000</v>
      </c>
    </row>
    <row r="95" spans="1:29" x14ac:dyDescent="0.15">
      <c r="A95" s="137">
        <v>7986</v>
      </c>
      <c r="B95" s="137" t="s">
        <v>64</v>
      </c>
      <c r="C95" s="3">
        <v>0</v>
      </c>
      <c r="D95" s="3">
        <v>3</v>
      </c>
      <c r="E95" s="5">
        <v>303004</v>
      </c>
      <c r="F95" s="5" t="s">
        <v>43</v>
      </c>
      <c r="G95" s="3">
        <f t="shared" si="6"/>
        <v>4500</v>
      </c>
      <c r="H95" s="134">
        <f>VLOOKUP(E95,[1]stuff!$A:$C,3,FALSE)</f>
        <v>1</v>
      </c>
      <c r="I95" s="130">
        <v>85</v>
      </c>
      <c r="J95" s="130">
        <v>70</v>
      </c>
      <c r="K95" s="130">
        <f t="shared" si="10"/>
        <v>14</v>
      </c>
      <c r="L95" s="3">
        <f t="shared" si="8"/>
        <v>7675</v>
      </c>
      <c r="M95" s="3">
        <f t="shared" si="9"/>
        <v>65.146579804560261</v>
      </c>
      <c r="N95" s="4">
        <v>0</v>
      </c>
      <c r="O95" s="4"/>
      <c r="P95" s="3">
        <v>0</v>
      </c>
      <c r="Q95" s="3">
        <v>0</v>
      </c>
      <c r="R95" s="3">
        <v>0</v>
      </c>
      <c r="S95" s="3">
        <v>1</v>
      </c>
      <c r="T95" s="3">
        <v>60</v>
      </c>
      <c r="U95" s="4">
        <v>607001</v>
      </c>
      <c r="V95" s="4" t="s">
        <v>30</v>
      </c>
      <c r="W95" s="3">
        <v>5000</v>
      </c>
      <c r="X95" s="3">
        <v>416002</v>
      </c>
      <c r="Y95" s="3" t="s">
        <v>94</v>
      </c>
      <c r="Z95" s="3">
        <v>50</v>
      </c>
      <c r="AA95" s="4">
        <v>403002</v>
      </c>
      <c r="AB95" s="138" t="s">
        <v>95</v>
      </c>
      <c r="AC95" s="3">
        <v>1000</v>
      </c>
    </row>
    <row r="96" spans="1:29" x14ac:dyDescent="0.15">
      <c r="A96" s="137">
        <v>7985</v>
      </c>
      <c r="B96" s="137" t="s">
        <v>64</v>
      </c>
      <c r="C96" s="3">
        <v>0</v>
      </c>
      <c r="D96" s="3">
        <v>3</v>
      </c>
      <c r="E96" s="5">
        <v>303006</v>
      </c>
      <c r="F96" s="5" t="s">
        <v>44</v>
      </c>
      <c r="G96" s="3">
        <f t="shared" si="6"/>
        <v>4500</v>
      </c>
      <c r="H96" s="134">
        <f>VLOOKUP(E96,[1]stuff!$A:$C,3,FALSE)</f>
        <v>1</v>
      </c>
      <c r="I96" s="130">
        <v>85</v>
      </c>
      <c r="J96" s="130">
        <v>70</v>
      </c>
      <c r="K96" s="130">
        <f t="shared" si="10"/>
        <v>14</v>
      </c>
      <c r="L96" s="3">
        <f t="shared" si="8"/>
        <v>7675</v>
      </c>
      <c r="M96" s="3">
        <f t="shared" si="9"/>
        <v>65.146579804560261</v>
      </c>
      <c r="N96" s="4">
        <v>0</v>
      </c>
      <c r="O96" s="4"/>
      <c r="P96" s="3">
        <v>0</v>
      </c>
      <c r="Q96" s="3">
        <v>0</v>
      </c>
      <c r="R96" s="3">
        <v>0</v>
      </c>
      <c r="S96" s="3">
        <v>1</v>
      </c>
      <c r="T96" s="3">
        <v>60</v>
      </c>
      <c r="U96" s="4">
        <v>607001</v>
      </c>
      <c r="V96" s="4" t="s">
        <v>30</v>
      </c>
      <c r="W96" s="3">
        <v>5000</v>
      </c>
      <c r="X96" s="3">
        <v>416002</v>
      </c>
      <c r="Y96" s="3" t="s">
        <v>94</v>
      </c>
      <c r="Z96" s="3">
        <v>50</v>
      </c>
      <c r="AA96" s="4">
        <v>403002</v>
      </c>
      <c r="AB96" s="138" t="s">
        <v>95</v>
      </c>
      <c r="AC96" s="3">
        <v>1000</v>
      </c>
    </row>
    <row r="97" spans="1:29" x14ac:dyDescent="0.15">
      <c r="A97" s="137">
        <v>7984</v>
      </c>
      <c r="B97" s="137" t="s">
        <v>64</v>
      </c>
      <c r="C97" s="3">
        <v>0</v>
      </c>
      <c r="D97" s="3">
        <v>3</v>
      </c>
      <c r="E97" s="131">
        <v>617001</v>
      </c>
      <c r="F97" s="132" t="s">
        <v>82</v>
      </c>
      <c r="G97" s="3">
        <f t="shared" si="6"/>
        <v>13500</v>
      </c>
      <c r="H97" s="134">
        <f>VLOOKUP(E97,[1]stuff!$A:$C,3,FALSE)</f>
        <v>1</v>
      </c>
      <c r="I97" s="130">
        <v>85</v>
      </c>
      <c r="J97" s="130">
        <v>70</v>
      </c>
      <c r="K97" s="130">
        <f t="shared" si="10"/>
        <v>14</v>
      </c>
      <c r="L97" s="3">
        <f t="shared" si="8"/>
        <v>9025</v>
      </c>
      <c r="M97" s="3">
        <f t="shared" si="9"/>
        <v>55.401662049861493</v>
      </c>
      <c r="N97" s="4">
        <v>0</v>
      </c>
      <c r="O97" s="4"/>
      <c r="P97" s="3">
        <v>0</v>
      </c>
      <c r="Q97" s="3">
        <v>0</v>
      </c>
      <c r="R97" s="3">
        <v>0</v>
      </c>
      <c r="S97" s="3">
        <v>1</v>
      </c>
      <c r="T97" s="3">
        <v>60</v>
      </c>
      <c r="U97" s="4">
        <v>607001</v>
      </c>
      <c r="V97" s="4" t="s">
        <v>30</v>
      </c>
      <c r="W97" s="3">
        <v>5000</v>
      </c>
      <c r="X97" s="3">
        <v>416002</v>
      </c>
      <c r="Y97" s="3" t="s">
        <v>94</v>
      </c>
      <c r="Z97" s="3">
        <v>50</v>
      </c>
      <c r="AA97" s="4">
        <v>403002</v>
      </c>
      <c r="AB97" s="138" t="s">
        <v>95</v>
      </c>
      <c r="AC97" s="3">
        <v>1000</v>
      </c>
    </row>
    <row r="98" spans="1:29" x14ac:dyDescent="0.15">
      <c r="A98" s="137">
        <v>7983</v>
      </c>
      <c r="B98" s="137" t="s">
        <v>64</v>
      </c>
      <c r="C98" s="3">
        <v>0</v>
      </c>
      <c r="D98" s="3">
        <v>3</v>
      </c>
      <c r="E98" s="5">
        <v>303009</v>
      </c>
      <c r="F98" s="5" t="s">
        <v>45</v>
      </c>
      <c r="G98" s="3">
        <f t="shared" si="6"/>
        <v>4500</v>
      </c>
      <c r="H98" s="134">
        <f>VLOOKUP(E98,[1]stuff!$A:$C,3,FALSE)</f>
        <v>1</v>
      </c>
      <c r="I98" s="130">
        <v>85</v>
      </c>
      <c r="J98" s="130">
        <v>70</v>
      </c>
      <c r="K98" s="130">
        <f t="shared" si="10"/>
        <v>14</v>
      </c>
      <c r="L98" s="3">
        <f t="shared" si="8"/>
        <v>7675</v>
      </c>
      <c r="M98" s="3">
        <f t="shared" si="9"/>
        <v>65.146579804560261</v>
      </c>
      <c r="N98" s="4">
        <v>0</v>
      </c>
      <c r="O98" s="4"/>
      <c r="P98" s="3">
        <v>0</v>
      </c>
      <c r="Q98" s="3">
        <v>0</v>
      </c>
      <c r="R98" s="3">
        <v>0</v>
      </c>
      <c r="S98" s="3">
        <v>1</v>
      </c>
      <c r="T98" s="3">
        <v>60</v>
      </c>
      <c r="U98" s="4">
        <v>607001</v>
      </c>
      <c r="V98" s="4" t="s">
        <v>30</v>
      </c>
      <c r="W98" s="3">
        <v>5000</v>
      </c>
      <c r="X98" s="3">
        <v>416002</v>
      </c>
      <c r="Y98" s="3" t="s">
        <v>94</v>
      </c>
      <c r="Z98" s="3">
        <v>50</v>
      </c>
      <c r="AA98" s="4">
        <v>403002</v>
      </c>
      <c r="AB98" s="138" t="s">
        <v>95</v>
      </c>
      <c r="AC98" s="3">
        <v>1000</v>
      </c>
    </row>
    <row r="99" spans="1:29" x14ac:dyDescent="0.15">
      <c r="A99" s="137">
        <v>7982</v>
      </c>
      <c r="B99" s="137" t="s">
        <v>64</v>
      </c>
      <c r="C99" s="3">
        <v>0</v>
      </c>
      <c r="D99" s="3">
        <v>3</v>
      </c>
      <c r="E99" s="7">
        <v>304001</v>
      </c>
      <c r="F99" s="7" t="s">
        <v>46</v>
      </c>
      <c r="G99" s="3">
        <f t="shared" si="6"/>
        <v>4500</v>
      </c>
      <c r="H99" s="134">
        <f>VLOOKUP(E99,[1]stuff!$A:$C,3,FALSE)</f>
        <v>2</v>
      </c>
      <c r="I99" s="130">
        <v>85</v>
      </c>
      <c r="J99" s="130">
        <v>70</v>
      </c>
      <c r="K99" s="130">
        <f t="shared" si="10"/>
        <v>14</v>
      </c>
      <c r="L99" s="3">
        <f t="shared" si="8"/>
        <v>8350</v>
      </c>
      <c r="M99" s="3">
        <f t="shared" si="9"/>
        <v>59.880239520958085</v>
      </c>
      <c r="N99" s="4">
        <v>0</v>
      </c>
      <c r="O99" s="4"/>
      <c r="P99" s="3">
        <v>0</v>
      </c>
      <c r="Q99" s="3">
        <v>0</v>
      </c>
      <c r="R99" s="3">
        <v>0</v>
      </c>
      <c r="S99" s="3">
        <v>1</v>
      </c>
      <c r="T99" s="3">
        <v>60</v>
      </c>
      <c r="U99" s="4">
        <v>607001</v>
      </c>
      <c r="V99" s="4" t="s">
        <v>30</v>
      </c>
      <c r="W99" s="3">
        <v>5000</v>
      </c>
      <c r="X99" s="3">
        <v>416002</v>
      </c>
      <c r="Y99" s="3" t="s">
        <v>94</v>
      </c>
      <c r="Z99" s="3">
        <v>50</v>
      </c>
      <c r="AA99" s="4">
        <v>403002</v>
      </c>
      <c r="AB99" s="138" t="s">
        <v>95</v>
      </c>
      <c r="AC99" s="3">
        <v>1000</v>
      </c>
    </row>
    <row r="100" spans="1:29" x14ac:dyDescent="0.15">
      <c r="A100" s="137">
        <v>7981</v>
      </c>
      <c r="B100" s="137" t="s">
        <v>64</v>
      </c>
      <c r="C100" s="3">
        <v>0</v>
      </c>
      <c r="D100" s="3">
        <v>3</v>
      </c>
      <c r="E100" s="7">
        <v>304002</v>
      </c>
      <c r="F100" s="7" t="s">
        <v>47</v>
      </c>
      <c r="G100" s="3">
        <f t="shared" si="6"/>
        <v>4500</v>
      </c>
      <c r="H100" s="134">
        <f>VLOOKUP(E100,[1]stuff!$A:$C,3,FALSE)</f>
        <v>2</v>
      </c>
      <c r="I100" s="130">
        <v>85</v>
      </c>
      <c r="J100" s="130">
        <v>70</v>
      </c>
      <c r="K100" s="130">
        <f t="shared" si="10"/>
        <v>14</v>
      </c>
      <c r="L100" s="3">
        <f t="shared" si="8"/>
        <v>8350</v>
      </c>
      <c r="M100" s="3">
        <f t="shared" si="9"/>
        <v>59.880239520958085</v>
      </c>
      <c r="N100" s="4">
        <v>0</v>
      </c>
      <c r="O100" s="4"/>
      <c r="P100" s="3">
        <v>0</v>
      </c>
      <c r="Q100" s="3">
        <v>0</v>
      </c>
      <c r="R100" s="3">
        <v>0</v>
      </c>
      <c r="S100" s="3">
        <v>1</v>
      </c>
      <c r="T100" s="3">
        <v>60</v>
      </c>
      <c r="U100" s="4">
        <v>607001</v>
      </c>
      <c r="V100" s="4" t="s">
        <v>30</v>
      </c>
      <c r="W100" s="3">
        <v>5000</v>
      </c>
      <c r="X100" s="3">
        <v>416002</v>
      </c>
      <c r="Y100" s="3" t="s">
        <v>94</v>
      </c>
      <c r="Z100" s="3">
        <v>50</v>
      </c>
      <c r="AA100" s="4">
        <v>403002</v>
      </c>
      <c r="AB100" s="138" t="s">
        <v>95</v>
      </c>
      <c r="AC100" s="3">
        <v>1000</v>
      </c>
    </row>
    <row r="101" spans="1:29" x14ac:dyDescent="0.15">
      <c r="A101" s="137">
        <v>7980</v>
      </c>
      <c r="B101" s="137" t="s">
        <v>64</v>
      </c>
      <c r="C101" s="3">
        <v>0</v>
      </c>
      <c r="D101" s="3">
        <v>3</v>
      </c>
      <c r="E101" s="7">
        <v>304007</v>
      </c>
      <c r="F101" s="7" t="s">
        <v>48</v>
      </c>
      <c r="G101" s="3">
        <f t="shared" si="6"/>
        <v>4500</v>
      </c>
      <c r="H101" s="134">
        <f>VLOOKUP(E101,[1]stuff!$A:$C,3,FALSE)</f>
        <v>2</v>
      </c>
      <c r="I101" s="130">
        <v>85</v>
      </c>
      <c r="J101" s="130">
        <v>70</v>
      </c>
      <c r="K101" s="130">
        <f t="shared" si="10"/>
        <v>14</v>
      </c>
      <c r="L101" s="3">
        <f t="shared" si="8"/>
        <v>8350</v>
      </c>
      <c r="M101" s="3">
        <f t="shared" si="9"/>
        <v>59.880239520958085</v>
      </c>
      <c r="N101" s="4">
        <v>0</v>
      </c>
      <c r="O101" s="4"/>
      <c r="P101" s="3">
        <v>0</v>
      </c>
      <c r="Q101" s="3">
        <v>0</v>
      </c>
      <c r="R101" s="3">
        <v>0</v>
      </c>
      <c r="S101" s="3">
        <v>1</v>
      </c>
      <c r="T101" s="3">
        <v>60</v>
      </c>
      <c r="U101" s="4">
        <v>607001</v>
      </c>
      <c r="V101" s="4" t="s">
        <v>30</v>
      </c>
      <c r="W101" s="3">
        <v>5000</v>
      </c>
      <c r="X101" s="3">
        <v>416002</v>
      </c>
      <c r="Y101" s="3" t="s">
        <v>94</v>
      </c>
      <c r="Z101" s="3">
        <v>50</v>
      </c>
      <c r="AA101" s="4">
        <v>403002</v>
      </c>
      <c r="AB101" s="138" t="s">
        <v>95</v>
      </c>
      <c r="AC101" s="3">
        <v>1000</v>
      </c>
    </row>
    <row r="102" spans="1:29" x14ac:dyDescent="0.15">
      <c r="A102" s="137">
        <v>7979</v>
      </c>
      <c r="B102" s="137" t="s">
        <v>64</v>
      </c>
      <c r="C102" s="3">
        <v>0</v>
      </c>
      <c r="D102" s="3">
        <v>3</v>
      </c>
      <c r="E102" s="131">
        <v>617001</v>
      </c>
      <c r="F102" s="132" t="s">
        <v>82</v>
      </c>
      <c r="G102" s="3">
        <f t="shared" si="6"/>
        <v>13500</v>
      </c>
      <c r="H102" s="134">
        <f>VLOOKUP(E102,[1]stuff!$A:$C,3,FALSE)</f>
        <v>1</v>
      </c>
      <c r="I102" s="130">
        <v>85</v>
      </c>
      <c r="J102" s="130">
        <v>70</v>
      </c>
      <c r="K102" s="130">
        <f t="shared" si="10"/>
        <v>14</v>
      </c>
      <c r="L102" s="3">
        <f t="shared" si="8"/>
        <v>9025</v>
      </c>
      <c r="M102" s="3">
        <f t="shared" si="9"/>
        <v>55.401662049861493</v>
      </c>
      <c r="N102" s="4">
        <v>0</v>
      </c>
      <c r="O102" s="4"/>
      <c r="P102" s="3">
        <v>0</v>
      </c>
      <c r="Q102" s="3">
        <v>0</v>
      </c>
      <c r="R102" s="3">
        <v>0</v>
      </c>
      <c r="S102" s="3">
        <v>1</v>
      </c>
      <c r="T102" s="3">
        <v>60</v>
      </c>
      <c r="U102" s="4">
        <v>607001</v>
      </c>
      <c r="V102" s="4" t="s">
        <v>30</v>
      </c>
      <c r="W102" s="3">
        <v>5000</v>
      </c>
      <c r="X102" s="3">
        <v>416002</v>
      </c>
      <c r="Y102" s="3" t="s">
        <v>94</v>
      </c>
      <c r="Z102" s="3">
        <v>50</v>
      </c>
      <c r="AA102" s="4">
        <v>403002</v>
      </c>
      <c r="AB102" s="138" t="s">
        <v>95</v>
      </c>
      <c r="AC102" s="3">
        <v>1000</v>
      </c>
    </row>
    <row r="103" spans="1:29" x14ac:dyDescent="0.15">
      <c r="A103" s="137">
        <v>7978</v>
      </c>
      <c r="B103" s="137" t="s">
        <v>64</v>
      </c>
      <c r="C103" s="3">
        <v>0</v>
      </c>
      <c r="D103" s="3">
        <v>3</v>
      </c>
      <c r="E103" s="7">
        <v>306001</v>
      </c>
      <c r="F103" s="8" t="s">
        <v>49</v>
      </c>
      <c r="G103" s="3">
        <f t="shared" si="6"/>
        <v>2250</v>
      </c>
      <c r="H103" s="134">
        <f>VLOOKUP(E103,[1]stuff!$A:$C,3,FALSE)</f>
        <v>3</v>
      </c>
      <c r="I103" s="130">
        <v>85</v>
      </c>
      <c r="J103" s="130">
        <v>70</v>
      </c>
      <c r="K103" s="130">
        <f t="shared" si="10"/>
        <v>14</v>
      </c>
      <c r="L103" s="3">
        <f t="shared" si="8"/>
        <v>8012.5</v>
      </c>
      <c r="M103" s="3">
        <f t="shared" si="9"/>
        <v>62.402496099843994</v>
      </c>
      <c r="N103" s="4">
        <v>0</v>
      </c>
      <c r="O103" s="4"/>
      <c r="P103" s="3">
        <v>0</v>
      </c>
      <c r="Q103" s="3">
        <v>0</v>
      </c>
      <c r="R103" s="3">
        <v>0</v>
      </c>
      <c r="S103" s="3">
        <v>1</v>
      </c>
      <c r="T103" s="3">
        <v>60</v>
      </c>
      <c r="U103" s="4">
        <v>607001</v>
      </c>
      <c r="V103" s="4" t="s">
        <v>30</v>
      </c>
      <c r="W103" s="3">
        <v>5000</v>
      </c>
      <c r="X103" s="3">
        <v>416002</v>
      </c>
      <c r="Y103" s="3" t="s">
        <v>94</v>
      </c>
      <c r="Z103" s="3">
        <v>50</v>
      </c>
      <c r="AA103" s="4">
        <v>403002</v>
      </c>
      <c r="AB103" s="138" t="s">
        <v>95</v>
      </c>
      <c r="AC103" s="3">
        <v>1000</v>
      </c>
    </row>
    <row r="104" spans="1:29" x14ac:dyDescent="0.15">
      <c r="A104" s="137">
        <v>7977</v>
      </c>
      <c r="B104" s="137" t="s">
        <v>64</v>
      </c>
      <c r="C104" s="3">
        <v>0</v>
      </c>
      <c r="D104" s="3">
        <v>3</v>
      </c>
      <c r="E104" s="7">
        <v>601001</v>
      </c>
      <c r="F104" s="7" t="s">
        <v>50</v>
      </c>
      <c r="G104" s="3">
        <f t="shared" si="6"/>
        <v>2250</v>
      </c>
      <c r="H104" s="134">
        <f>VLOOKUP(E104,[1]stuff!$A:$C,3,FALSE)</f>
        <v>5</v>
      </c>
      <c r="I104" s="130">
        <v>85</v>
      </c>
      <c r="J104" s="130">
        <v>70</v>
      </c>
      <c r="K104" s="130">
        <f t="shared" si="10"/>
        <v>14</v>
      </c>
      <c r="L104" s="3">
        <f t="shared" si="8"/>
        <v>8687.5</v>
      </c>
      <c r="M104" s="3">
        <f t="shared" si="9"/>
        <v>57.553956834532372</v>
      </c>
      <c r="N104" s="4">
        <v>0</v>
      </c>
      <c r="O104" s="4"/>
      <c r="P104" s="3">
        <v>0</v>
      </c>
      <c r="Q104" s="3">
        <v>0</v>
      </c>
      <c r="R104" s="3">
        <v>0</v>
      </c>
      <c r="S104" s="3">
        <v>1</v>
      </c>
      <c r="T104" s="3">
        <v>60</v>
      </c>
      <c r="U104" s="4">
        <v>607001</v>
      </c>
      <c r="V104" s="4" t="s">
        <v>30</v>
      </c>
      <c r="W104" s="3">
        <v>5000</v>
      </c>
      <c r="X104" s="3">
        <v>416002</v>
      </c>
      <c r="Y104" s="3" t="s">
        <v>94</v>
      </c>
      <c r="Z104" s="3">
        <v>50</v>
      </c>
      <c r="AA104" s="4">
        <v>403002</v>
      </c>
      <c r="AB104" s="138" t="s">
        <v>95</v>
      </c>
      <c r="AC104" s="3">
        <v>1000</v>
      </c>
    </row>
    <row r="105" spans="1:29" x14ac:dyDescent="0.15">
      <c r="A105" s="137">
        <v>7976</v>
      </c>
      <c r="B105" s="137" t="s">
        <v>64</v>
      </c>
      <c r="C105" s="3">
        <v>0</v>
      </c>
      <c r="D105" s="3">
        <v>3</v>
      </c>
      <c r="E105" s="5">
        <v>303004</v>
      </c>
      <c r="F105" s="5" t="s">
        <v>43</v>
      </c>
      <c r="G105" s="3">
        <f t="shared" si="6"/>
        <v>4500</v>
      </c>
      <c r="H105" s="134">
        <f>VLOOKUP(E105,[1]stuff!$A:$C,3,FALSE)</f>
        <v>1</v>
      </c>
      <c r="I105" s="130">
        <v>85</v>
      </c>
      <c r="J105" s="130">
        <v>70</v>
      </c>
      <c r="K105" s="130">
        <f t="shared" si="10"/>
        <v>14</v>
      </c>
      <c r="L105" s="3">
        <f t="shared" si="8"/>
        <v>7675</v>
      </c>
      <c r="M105" s="3">
        <f t="shared" si="9"/>
        <v>65.146579804560261</v>
      </c>
      <c r="N105" s="4">
        <v>0</v>
      </c>
      <c r="O105" s="4"/>
      <c r="P105" s="3">
        <v>0</v>
      </c>
      <c r="Q105" s="3">
        <v>0</v>
      </c>
      <c r="R105" s="3">
        <v>0</v>
      </c>
      <c r="S105" s="3">
        <v>1</v>
      </c>
      <c r="T105" s="3">
        <v>60</v>
      </c>
      <c r="U105" s="4">
        <v>607001</v>
      </c>
      <c r="V105" s="4" t="s">
        <v>30</v>
      </c>
      <c r="W105" s="3">
        <v>5000</v>
      </c>
      <c r="X105" s="3">
        <v>416002</v>
      </c>
      <c r="Y105" s="3" t="s">
        <v>94</v>
      </c>
      <c r="Z105" s="3">
        <v>50</v>
      </c>
      <c r="AA105" s="4">
        <v>403002</v>
      </c>
      <c r="AB105" s="138" t="s">
        <v>95</v>
      </c>
      <c r="AC105" s="3">
        <v>1000</v>
      </c>
    </row>
    <row r="106" spans="1:29" x14ac:dyDescent="0.15">
      <c r="A106" s="137">
        <v>7975</v>
      </c>
      <c r="B106" s="137" t="s">
        <v>64</v>
      </c>
      <c r="C106" s="3">
        <v>0</v>
      </c>
      <c r="D106" s="3">
        <v>3</v>
      </c>
      <c r="E106" s="7">
        <v>422001</v>
      </c>
      <c r="F106" s="7" t="s">
        <v>52</v>
      </c>
      <c r="G106" s="3">
        <f t="shared" si="6"/>
        <v>1125</v>
      </c>
      <c r="H106" s="134">
        <f>VLOOKUP(E106,[1]stuff!$A:$C,3,FALSE)</f>
        <v>100</v>
      </c>
      <c r="I106" s="130">
        <v>85</v>
      </c>
      <c r="J106" s="130">
        <v>70</v>
      </c>
      <c r="K106" s="130">
        <f t="shared" si="10"/>
        <v>14</v>
      </c>
      <c r="L106" s="3">
        <f t="shared" si="8"/>
        <v>23875</v>
      </c>
      <c r="M106" s="3">
        <f t="shared" si="9"/>
        <v>20.94240837696335</v>
      </c>
      <c r="N106" s="4">
        <v>0</v>
      </c>
      <c r="O106" s="4"/>
      <c r="P106" s="3">
        <v>0</v>
      </c>
      <c r="Q106" s="3">
        <v>0</v>
      </c>
      <c r="R106" s="3">
        <v>0</v>
      </c>
      <c r="S106" s="3">
        <v>1</v>
      </c>
      <c r="T106" s="3">
        <v>60</v>
      </c>
      <c r="U106" s="4">
        <v>607001</v>
      </c>
      <c r="V106" s="4" t="s">
        <v>30</v>
      </c>
      <c r="W106" s="3">
        <v>5000</v>
      </c>
      <c r="X106" s="3">
        <v>416002</v>
      </c>
      <c r="Y106" s="3" t="s">
        <v>94</v>
      </c>
      <c r="Z106" s="3">
        <v>50</v>
      </c>
      <c r="AA106" s="4">
        <v>403002</v>
      </c>
      <c r="AB106" s="138" t="s">
        <v>95</v>
      </c>
      <c r="AC106" s="3">
        <v>1000</v>
      </c>
    </row>
    <row r="107" spans="1:29" x14ac:dyDescent="0.15">
      <c r="A107" s="137">
        <v>7974</v>
      </c>
      <c r="B107" s="137" t="s">
        <v>64</v>
      </c>
      <c r="C107" s="3">
        <v>0</v>
      </c>
      <c r="D107" s="3">
        <v>3</v>
      </c>
      <c r="E107" s="7">
        <v>604001</v>
      </c>
      <c r="F107" s="7" t="s">
        <v>53</v>
      </c>
      <c r="G107" s="3">
        <f t="shared" si="6"/>
        <v>4500</v>
      </c>
      <c r="H107" s="134">
        <f>VLOOKUP(E107,[1]stuff!$A:$C,3,FALSE)</f>
        <v>2</v>
      </c>
      <c r="I107" s="130">
        <v>85</v>
      </c>
      <c r="J107" s="130">
        <v>70</v>
      </c>
      <c r="K107" s="130">
        <f t="shared" si="10"/>
        <v>14</v>
      </c>
      <c r="L107" s="3">
        <f t="shared" si="8"/>
        <v>8350</v>
      </c>
      <c r="M107" s="3">
        <f t="shared" si="9"/>
        <v>59.880239520958085</v>
      </c>
      <c r="N107" s="4">
        <v>0</v>
      </c>
      <c r="O107" s="4"/>
      <c r="P107" s="3">
        <v>0</v>
      </c>
      <c r="Q107" s="3">
        <v>0</v>
      </c>
      <c r="R107" s="3">
        <v>0</v>
      </c>
      <c r="S107" s="3">
        <v>1</v>
      </c>
      <c r="T107" s="3">
        <v>60</v>
      </c>
      <c r="U107" s="4">
        <v>607001</v>
      </c>
      <c r="V107" s="4" t="s">
        <v>30</v>
      </c>
      <c r="W107" s="3">
        <v>5000</v>
      </c>
      <c r="X107" s="3">
        <v>416002</v>
      </c>
      <c r="Y107" s="3" t="s">
        <v>94</v>
      </c>
      <c r="Z107" s="3">
        <v>50</v>
      </c>
      <c r="AA107" s="4">
        <v>403002</v>
      </c>
      <c r="AB107" s="138" t="s">
        <v>95</v>
      </c>
      <c r="AC107" s="3">
        <v>1000</v>
      </c>
    </row>
    <row r="108" spans="1:29" x14ac:dyDescent="0.15">
      <c r="A108" s="137">
        <v>7973</v>
      </c>
      <c r="B108" s="137" t="s">
        <v>64</v>
      </c>
      <c r="C108" s="3">
        <v>0</v>
      </c>
      <c r="D108" s="3">
        <v>3</v>
      </c>
      <c r="E108" s="7">
        <v>606001</v>
      </c>
      <c r="F108" s="7" t="s">
        <v>54</v>
      </c>
      <c r="G108" s="3">
        <f t="shared" ref="G108:G120" si="11">G69*1.5</f>
        <v>2250</v>
      </c>
      <c r="H108" s="134">
        <f>VLOOKUP(E108,[1]stuff!$A:$C,3,FALSE)</f>
        <v>3</v>
      </c>
      <c r="I108" s="130">
        <v>85</v>
      </c>
      <c r="J108" s="130">
        <v>70</v>
      </c>
      <c r="K108" s="130">
        <f t="shared" si="10"/>
        <v>14</v>
      </c>
      <c r="L108" s="3">
        <f t="shared" si="8"/>
        <v>8012.5</v>
      </c>
      <c r="M108" s="3">
        <f t="shared" si="9"/>
        <v>62.402496099843994</v>
      </c>
      <c r="N108" s="4">
        <v>0</v>
      </c>
      <c r="O108" s="4"/>
      <c r="P108" s="3">
        <v>0</v>
      </c>
      <c r="Q108" s="3">
        <v>0</v>
      </c>
      <c r="R108" s="3">
        <v>0</v>
      </c>
      <c r="S108" s="3">
        <v>1</v>
      </c>
      <c r="T108" s="3">
        <v>60</v>
      </c>
      <c r="U108" s="4">
        <v>607001</v>
      </c>
      <c r="V108" s="4" t="s">
        <v>30</v>
      </c>
      <c r="W108" s="3">
        <v>5000</v>
      </c>
      <c r="X108" s="3">
        <v>416002</v>
      </c>
      <c r="Y108" s="3" t="s">
        <v>94</v>
      </c>
      <c r="Z108" s="3">
        <v>50</v>
      </c>
      <c r="AA108" s="4">
        <v>403002</v>
      </c>
      <c r="AB108" s="138" t="s">
        <v>95</v>
      </c>
      <c r="AC108" s="3">
        <v>1000</v>
      </c>
    </row>
    <row r="109" spans="1:29" x14ac:dyDescent="0.15">
      <c r="A109" s="137">
        <v>7972</v>
      </c>
      <c r="B109" s="137" t="s">
        <v>64</v>
      </c>
      <c r="C109" s="3">
        <v>0</v>
      </c>
      <c r="D109" s="3">
        <v>3</v>
      </c>
      <c r="E109" s="7">
        <v>606002</v>
      </c>
      <c r="F109" s="7" t="s">
        <v>55</v>
      </c>
      <c r="G109" s="3">
        <f t="shared" si="11"/>
        <v>2250</v>
      </c>
      <c r="H109" s="134">
        <f>VLOOKUP(E109,[1]stuff!$A:$C,3,FALSE)</f>
        <v>3</v>
      </c>
      <c r="I109" s="130">
        <v>85</v>
      </c>
      <c r="J109" s="130">
        <v>70</v>
      </c>
      <c r="K109" s="130">
        <f t="shared" si="10"/>
        <v>14</v>
      </c>
      <c r="L109" s="3">
        <f t="shared" si="8"/>
        <v>8012.5</v>
      </c>
      <c r="M109" s="3">
        <f t="shared" si="9"/>
        <v>62.402496099843994</v>
      </c>
      <c r="N109" s="4">
        <v>0</v>
      </c>
      <c r="O109" s="4"/>
      <c r="P109" s="3">
        <v>0</v>
      </c>
      <c r="Q109" s="3">
        <v>0</v>
      </c>
      <c r="R109" s="3">
        <v>0</v>
      </c>
      <c r="S109" s="3">
        <v>1</v>
      </c>
      <c r="T109" s="3">
        <v>60</v>
      </c>
      <c r="U109" s="4">
        <v>607001</v>
      </c>
      <c r="V109" s="4" t="s">
        <v>30</v>
      </c>
      <c r="W109" s="3">
        <v>5000</v>
      </c>
      <c r="X109" s="3">
        <v>416002</v>
      </c>
      <c r="Y109" s="3" t="s">
        <v>94</v>
      </c>
      <c r="Z109" s="3">
        <v>50</v>
      </c>
      <c r="AA109" s="4">
        <v>403002</v>
      </c>
      <c r="AB109" s="138" t="s">
        <v>95</v>
      </c>
      <c r="AC109" s="3">
        <v>1000</v>
      </c>
    </row>
    <row r="110" spans="1:29" x14ac:dyDescent="0.15">
      <c r="A110" s="137">
        <v>7971</v>
      </c>
      <c r="B110" s="137" t="s">
        <v>64</v>
      </c>
      <c r="C110" s="3">
        <v>0</v>
      </c>
      <c r="D110" s="3">
        <v>3</v>
      </c>
      <c r="E110" s="9">
        <v>616002</v>
      </c>
      <c r="F110" s="9" t="s">
        <v>56</v>
      </c>
      <c r="G110" s="3">
        <f t="shared" si="11"/>
        <v>1125</v>
      </c>
      <c r="H110" s="134">
        <f>VLOOKUP(E110,[1]stuff!$A:$C,3,FALSE)</f>
        <v>2</v>
      </c>
      <c r="I110" s="130">
        <v>85</v>
      </c>
      <c r="J110" s="130">
        <v>70</v>
      </c>
      <c r="K110" s="130">
        <f t="shared" si="10"/>
        <v>14</v>
      </c>
      <c r="L110" s="3">
        <f t="shared" si="8"/>
        <v>7337.5</v>
      </c>
      <c r="M110" s="3">
        <f t="shared" si="9"/>
        <v>68.143100511073257</v>
      </c>
      <c r="N110" s="4">
        <v>0</v>
      </c>
      <c r="O110" s="4"/>
      <c r="P110" s="3">
        <v>0</v>
      </c>
      <c r="Q110" s="3">
        <v>0</v>
      </c>
      <c r="R110" s="3">
        <v>0</v>
      </c>
      <c r="S110" s="3">
        <v>1</v>
      </c>
      <c r="T110" s="3">
        <v>60</v>
      </c>
      <c r="U110" s="4">
        <v>607001</v>
      </c>
      <c r="V110" s="4" t="s">
        <v>30</v>
      </c>
      <c r="W110" s="3">
        <v>5000</v>
      </c>
      <c r="X110" s="3">
        <v>416002</v>
      </c>
      <c r="Y110" s="3" t="s">
        <v>94</v>
      </c>
      <c r="Z110" s="3">
        <v>50</v>
      </c>
      <c r="AA110" s="4">
        <v>403002</v>
      </c>
      <c r="AB110" s="138" t="s">
        <v>95</v>
      </c>
      <c r="AC110" s="3">
        <v>1000</v>
      </c>
    </row>
    <row r="111" spans="1:29" x14ac:dyDescent="0.15">
      <c r="A111" s="137">
        <v>7970</v>
      </c>
      <c r="B111" s="137" t="s">
        <v>64</v>
      </c>
      <c r="C111" s="3">
        <v>0</v>
      </c>
      <c r="D111" s="3">
        <v>3</v>
      </c>
      <c r="E111" s="9">
        <v>616003</v>
      </c>
      <c r="F111" s="9" t="s">
        <v>57</v>
      </c>
      <c r="G111" s="3">
        <f t="shared" si="11"/>
        <v>1125</v>
      </c>
      <c r="H111" s="134">
        <f>VLOOKUP(E111,[1]stuff!$A:$C,3,FALSE)</f>
        <v>2</v>
      </c>
      <c r="I111" s="130">
        <v>85</v>
      </c>
      <c r="J111" s="130">
        <v>70</v>
      </c>
      <c r="K111" s="130">
        <f t="shared" si="10"/>
        <v>14</v>
      </c>
      <c r="L111" s="3">
        <f t="shared" si="8"/>
        <v>7337.5</v>
      </c>
      <c r="M111" s="3">
        <f t="shared" si="9"/>
        <v>68.143100511073257</v>
      </c>
      <c r="N111" s="4">
        <v>0</v>
      </c>
      <c r="O111" s="4"/>
      <c r="P111" s="3">
        <v>0</v>
      </c>
      <c r="Q111" s="3">
        <v>0</v>
      </c>
      <c r="R111" s="3">
        <v>0</v>
      </c>
      <c r="S111" s="3">
        <v>1</v>
      </c>
      <c r="T111" s="3">
        <v>60</v>
      </c>
      <c r="U111" s="4">
        <v>607001</v>
      </c>
      <c r="V111" s="4" t="s">
        <v>30</v>
      </c>
      <c r="W111" s="3">
        <v>5000</v>
      </c>
      <c r="X111" s="3">
        <v>416002</v>
      </c>
      <c r="Y111" s="3" t="s">
        <v>94</v>
      </c>
      <c r="Z111" s="3">
        <v>50</v>
      </c>
      <c r="AA111" s="4">
        <v>403002</v>
      </c>
      <c r="AB111" s="138" t="s">
        <v>95</v>
      </c>
      <c r="AC111" s="3">
        <v>1000</v>
      </c>
    </row>
    <row r="112" spans="1:29" x14ac:dyDescent="0.15">
      <c r="A112" s="137">
        <v>7969</v>
      </c>
      <c r="B112" s="137" t="s">
        <v>64</v>
      </c>
      <c r="C112" s="3">
        <v>0</v>
      </c>
      <c r="D112" s="3">
        <v>3</v>
      </c>
      <c r="E112" s="9">
        <v>616004</v>
      </c>
      <c r="F112" s="9" t="s">
        <v>58</v>
      </c>
      <c r="G112" s="3">
        <f t="shared" si="11"/>
        <v>1125</v>
      </c>
      <c r="H112" s="134">
        <f>VLOOKUP(E112,[1]stuff!$A:$C,3,FALSE)</f>
        <v>2</v>
      </c>
      <c r="I112" s="130">
        <v>85</v>
      </c>
      <c r="J112" s="130">
        <v>70</v>
      </c>
      <c r="K112" s="130">
        <f t="shared" si="10"/>
        <v>14</v>
      </c>
      <c r="L112" s="3">
        <f t="shared" si="8"/>
        <v>7337.5</v>
      </c>
      <c r="M112" s="3">
        <f t="shared" si="9"/>
        <v>68.143100511073257</v>
      </c>
      <c r="N112" s="4">
        <v>0</v>
      </c>
      <c r="O112" s="4"/>
      <c r="P112" s="3">
        <v>0</v>
      </c>
      <c r="Q112" s="3">
        <v>0</v>
      </c>
      <c r="R112" s="3">
        <v>0</v>
      </c>
      <c r="S112" s="3">
        <v>1</v>
      </c>
      <c r="T112" s="3">
        <v>60</v>
      </c>
      <c r="U112" s="4">
        <v>607001</v>
      </c>
      <c r="V112" s="4" t="s">
        <v>30</v>
      </c>
      <c r="W112" s="3">
        <v>5000</v>
      </c>
      <c r="X112" s="3">
        <v>416002</v>
      </c>
      <c r="Y112" s="3" t="s">
        <v>94</v>
      </c>
      <c r="Z112" s="3">
        <v>50</v>
      </c>
      <c r="AA112" s="4">
        <v>403002</v>
      </c>
      <c r="AB112" s="138" t="s">
        <v>95</v>
      </c>
      <c r="AC112" s="3">
        <v>1000</v>
      </c>
    </row>
    <row r="113" spans="1:29" x14ac:dyDescent="0.15">
      <c r="A113" s="137">
        <v>7968</v>
      </c>
      <c r="B113" s="137" t="s">
        <v>64</v>
      </c>
      <c r="C113" s="3">
        <v>0</v>
      </c>
      <c r="D113" s="3">
        <v>3</v>
      </c>
      <c r="E113" s="10">
        <v>615001</v>
      </c>
      <c r="F113" s="11" t="s">
        <v>59</v>
      </c>
      <c r="G113" s="3">
        <f t="shared" si="11"/>
        <v>1125</v>
      </c>
      <c r="H113" s="134">
        <f>VLOOKUP(E113,[1]stuff!$A:$C,3,FALSE)</f>
        <v>50</v>
      </c>
      <c r="I113" s="130">
        <v>85</v>
      </c>
      <c r="J113" s="130">
        <v>70</v>
      </c>
      <c r="K113" s="130">
        <f t="shared" si="10"/>
        <v>14</v>
      </c>
      <c r="L113" s="3">
        <f t="shared" si="8"/>
        <v>15437.5</v>
      </c>
      <c r="M113" s="3">
        <f t="shared" si="9"/>
        <v>32.388663967611336</v>
      </c>
      <c r="N113" s="4">
        <v>0</v>
      </c>
      <c r="O113" s="4"/>
      <c r="P113" s="3">
        <v>0</v>
      </c>
      <c r="Q113" s="3">
        <v>0</v>
      </c>
      <c r="R113" s="3">
        <v>0</v>
      </c>
      <c r="S113" s="3">
        <v>1</v>
      </c>
      <c r="T113" s="3">
        <v>60</v>
      </c>
      <c r="U113" s="4">
        <v>607001</v>
      </c>
      <c r="V113" s="4" t="s">
        <v>30</v>
      </c>
      <c r="W113" s="3">
        <v>5000</v>
      </c>
      <c r="X113" s="3">
        <v>416002</v>
      </c>
      <c r="Y113" s="3" t="s">
        <v>94</v>
      </c>
      <c r="Z113" s="3">
        <v>50</v>
      </c>
      <c r="AA113" s="4">
        <v>403002</v>
      </c>
      <c r="AB113" s="138" t="s">
        <v>95</v>
      </c>
      <c r="AC113" s="3">
        <v>1000</v>
      </c>
    </row>
    <row r="114" spans="1:29" x14ac:dyDescent="0.15">
      <c r="A114" s="137">
        <v>7967</v>
      </c>
      <c r="B114" s="137" t="s">
        <v>64</v>
      </c>
      <c r="C114" s="3">
        <v>0</v>
      </c>
      <c r="D114" s="3">
        <v>3</v>
      </c>
      <c r="E114" s="10">
        <v>615002</v>
      </c>
      <c r="F114" s="11" t="s">
        <v>60</v>
      </c>
      <c r="G114" s="3">
        <f t="shared" si="11"/>
        <v>1125</v>
      </c>
      <c r="H114" s="134">
        <f>VLOOKUP(E114,[1]stuff!$A:$C,3,FALSE)</f>
        <v>50</v>
      </c>
      <c r="I114" s="130">
        <v>85</v>
      </c>
      <c r="J114" s="130">
        <v>70</v>
      </c>
      <c r="K114" s="130">
        <f t="shared" si="10"/>
        <v>14</v>
      </c>
      <c r="L114" s="3">
        <f t="shared" si="8"/>
        <v>15437.5</v>
      </c>
      <c r="M114" s="3">
        <f t="shared" si="9"/>
        <v>32.388663967611336</v>
      </c>
      <c r="N114" s="4">
        <v>0</v>
      </c>
      <c r="O114" s="4"/>
      <c r="P114" s="3">
        <v>0</v>
      </c>
      <c r="Q114" s="3">
        <v>0</v>
      </c>
      <c r="R114" s="3">
        <v>0</v>
      </c>
      <c r="S114" s="3">
        <v>1</v>
      </c>
      <c r="T114" s="3">
        <v>60</v>
      </c>
      <c r="U114" s="4">
        <v>607001</v>
      </c>
      <c r="V114" s="4" t="s">
        <v>30</v>
      </c>
      <c r="W114" s="3">
        <v>5000</v>
      </c>
      <c r="X114" s="3">
        <v>416002</v>
      </c>
      <c r="Y114" s="3" t="s">
        <v>94</v>
      </c>
      <c r="Z114" s="3">
        <v>50</v>
      </c>
      <c r="AA114" s="4">
        <v>403002</v>
      </c>
      <c r="AB114" s="138" t="s">
        <v>95</v>
      </c>
      <c r="AC114" s="3">
        <v>1000</v>
      </c>
    </row>
    <row r="115" spans="1:29" x14ac:dyDescent="0.15">
      <c r="A115" s="137">
        <v>7966</v>
      </c>
      <c r="B115" s="137" t="s">
        <v>64</v>
      </c>
      <c r="C115" s="3">
        <v>0</v>
      </c>
      <c r="D115" s="3">
        <v>3</v>
      </c>
      <c r="E115" s="10">
        <v>615003</v>
      </c>
      <c r="F115" s="11" t="s">
        <v>61</v>
      </c>
      <c r="G115" s="3">
        <f t="shared" si="11"/>
        <v>1125</v>
      </c>
      <c r="H115" s="134">
        <f>VLOOKUP(E115,[1]stuff!$A:$C,3,FALSE)</f>
        <v>50</v>
      </c>
      <c r="I115" s="130">
        <v>85</v>
      </c>
      <c r="J115" s="130">
        <v>70</v>
      </c>
      <c r="K115" s="130">
        <f t="shared" si="10"/>
        <v>14</v>
      </c>
      <c r="L115" s="3">
        <f t="shared" si="8"/>
        <v>15437.5</v>
      </c>
      <c r="M115" s="3">
        <f t="shared" si="9"/>
        <v>32.388663967611336</v>
      </c>
      <c r="N115" s="4">
        <v>0</v>
      </c>
      <c r="O115" s="4"/>
      <c r="P115" s="3">
        <v>0</v>
      </c>
      <c r="Q115" s="3">
        <v>0</v>
      </c>
      <c r="R115" s="3">
        <v>0</v>
      </c>
      <c r="S115" s="3">
        <v>1</v>
      </c>
      <c r="T115" s="3">
        <v>60</v>
      </c>
      <c r="U115" s="4">
        <v>607001</v>
      </c>
      <c r="V115" s="4" t="s">
        <v>30</v>
      </c>
      <c r="W115" s="3">
        <v>5000</v>
      </c>
      <c r="X115" s="3">
        <v>416002</v>
      </c>
      <c r="Y115" s="3" t="s">
        <v>94</v>
      </c>
      <c r="Z115" s="3">
        <v>50</v>
      </c>
      <c r="AA115" s="4">
        <v>403002</v>
      </c>
      <c r="AB115" s="138" t="s">
        <v>95</v>
      </c>
      <c r="AC115" s="3">
        <v>1000</v>
      </c>
    </row>
    <row r="116" spans="1:29" x14ac:dyDescent="0.15">
      <c r="A116" s="137">
        <v>7965</v>
      </c>
      <c r="B116" s="137" t="s">
        <v>64</v>
      </c>
      <c r="C116" s="3">
        <v>0</v>
      </c>
      <c r="D116" s="3">
        <v>3</v>
      </c>
      <c r="E116" s="5">
        <v>301006</v>
      </c>
      <c r="F116" s="5" t="s">
        <v>35</v>
      </c>
      <c r="G116" s="3">
        <f t="shared" si="11"/>
        <v>4500</v>
      </c>
      <c r="H116" s="134">
        <f>VLOOKUP(E116,[1]stuff!$A:$C,3,FALSE)</f>
        <v>1</v>
      </c>
      <c r="I116" s="130">
        <v>85</v>
      </c>
      <c r="J116" s="130">
        <v>70</v>
      </c>
      <c r="K116" s="130">
        <f t="shared" si="10"/>
        <v>14</v>
      </c>
      <c r="L116" s="3">
        <f t="shared" si="8"/>
        <v>7675</v>
      </c>
      <c r="M116" s="3">
        <f t="shared" si="9"/>
        <v>65.146579804560261</v>
      </c>
      <c r="N116" s="4">
        <v>0</v>
      </c>
      <c r="O116" s="4"/>
      <c r="P116" s="3">
        <v>0</v>
      </c>
      <c r="Q116" s="3">
        <v>0</v>
      </c>
      <c r="R116" s="3">
        <v>0</v>
      </c>
      <c r="S116" s="3">
        <v>1</v>
      </c>
      <c r="T116" s="3">
        <v>60</v>
      </c>
      <c r="U116" s="4">
        <v>607001</v>
      </c>
      <c r="V116" s="4" t="s">
        <v>30</v>
      </c>
      <c r="W116" s="3">
        <v>5000</v>
      </c>
      <c r="X116" s="3">
        <v>416002</v>
      </c>
      <c r="Y116" s="3" t="s">
        <v>94</v>
      </c>
      <c r="Z116" s="3">
        <v>50</v>
      </c>
      <c r="AA116" s="4">
        <v>403002</v>
      </c>
      <c r="AB116" s="138" t="s">
        <v>95</v>
      </c>
      <c r="AC116" s="3">
        <v>1000</v>
      </c>
    </row>
    <row r="117" spans="1:29" x14ac:dyDescent="0.15">
      <c r="A117" s="137">
        <v>7964</v>
      </c>
      <c r="B117" s="137" t="s">
        <v>64</v>
      </c>
      <c r="C117" s="3">
        <v>0</v>
      </c>
      <c r="D117" s="3">
        <v>3</v>
      </c>
      <c r="E117" s="5">
        <v>303009</v>
      </c>
      <c r="F117" s="5" t="s">
        <v>45</v>
      </c>
      <c r="G117" s="3">
        <f t="shared" si="11"/>
        <v>4500</v>
      </c>
      <c r="H117" s="134">
        <f>VLOOKUP(E117,[1]stuff!$A:$C,3,FALSE)</f>
        <v>1</v>
      </c>
      <c r="I117" s="130">
        <v>85</v>
      </c>
      <c r="J117" s="130">
        <v>70</v>
      </c>
      <c r="K117" s="130">
        <f t="shared" si="10"/>
        <v>14</v>
      </c>
      <c r="L117" s="3">
        <f t="shared" si="8"/>
        <v>7675</v>
      </c>
      <c r="M117" s="3">
        <f t="shared" si="9"/>
        <v>65.146579804560261</v>
      </c>
      <c r="N117" s="4">
        <v>0</v>
      </c>
      <c r="O117" s="4"/>
      <c r="P117" s="3">
        <v>0</v>
      </c>
      <c r="Q117" s="3">
        <v>0</v>
      </c>
      <c r="R117" s="3">
        <v>0</v>
      </c>
      <c r="S117" s="3">
        <v>1</v>
      </c>
      <c r="T117" s="3">
        <v>60</v>
      </c>
      <c r="U117" s="4">
        <v>607001</v>
      </c>
      <c r="V117" s="4" t="s">
        <v>30</v>
      </c>
      <c r="W117" s="3">
        <v>5000</v>
      </c>
      <c r="X117" s="3">
        <v>416002</v>
      </c>
      <c r="Y117" s="3" t="s">
        <v>94</v>
      </c>
      <c r="Z117" s="3">
        <v>50</v>
      </c>
      <c r="AA117" s="4">
        <v>403002</v>
      </c>
      <c r="AB117" s="138" t="s">
        <v>95</v>
      </c>
      <c r="AC117" s="3">
        <v>1000</v>
      </c>
    </row>
    <row r="118" spans="1:29" x14ac:dyDescent="0.15">
      <c r="A118" s="137">
        <v>7963</v>
      </c>
      <c r="B118" s="137" t="s">
        <v>64</v>
      </c>
      <c r="C118" s="3">
        <v>0</v>
      </c>
      <c r="D118" s="3">
        <v>3</v>
      </c>
      <c r="E118" s="7">
        <v>304002</v>
      </c>
      <c r="F118" s="7" t="s">
        <v>47</v>
      </c>
      <c r="G118" s="3">
        <f t="shared" si="11"/>
        <v>4500</v>
      </c>
      <c r="H118" s="134">
        <f>VLOOKUP(E118,[1]stuff!$A:$C,3,FALSE)</f>
        <v>2</v>
      </c>
      <c r="I118" s="130">
        <v>85</v>
      </c>
      <c r="J118" s="130">
        <v>70</v>
      </c>
      <c r="K118" s="130">
        <f t="shared" si="10"/>
        <v>14</v>
      </c>
      <c r="L118" s="3">
        <f t="shared" si="8"/>
        <v>8350</v>
      </c>
      <c r="M118" s="3">
        <f t="shared" si="9"/>
        <v>59.880239520958085</v>
      </c>
      <c r="N118" s="4">
        <v>0</v>
      </c>
      <c r="O118" s="4"/>
      <c r="P118" s="3">
        <v>0</v>
      </c>
      <c r="Q118" s="3">
        <v>0</v>
      </c>
      <c r="R118" s="3">
        <v>0</v>
      </c>
      <c r="S118" s="3">
        <v>1</v>
      </c>
      <c r="T118" s="3">
        <v>60</v>
      </c>
      <c r="U118" s="4">
        <v>607001</v>
      </c>
      <c r="V118" s="4" t="s">
        <v>30</v>
      </c>
      <c r="W118" s="3">
        <v>5000</v>
      </c>
      <c r="X118" s="3">
        <v>416002</v>
      </c>
      <c r="Y118" s="3" t="s">
        <v>94</v>
      </c>
      <c r="Z118" s="3">
        <v>50</v>
      </c>
      <c r="AA118" s="4">
        <v>403002</v>
      </c>
      <c r="AB118" s="138" t="s">
        <v>95</v>
      </c>
      <c r="AC118" s="3">
        <v>1000</v>
      </c>
    </row>
    <row r="119" spans="1:29" x14ac:dyDescent="0.15">
      <c r="A119" s="137">
        <v>7962</v>
      </c>
      <c r="B119" s="137" t="s">
        <v>64</v>
      </c>
      <c r="C119" s="3">
        <v>0</v>
      </c>
      <c r="D119" s="3">
        <v>3</v>
      </c>
      <c r="E119" s="7">
        <v>606001</v>
      </c>
      <c r="F119" s="7" t="s">
        <v>54</v>
      </c>
      <c r="G119" s="3">
        <f t="shared" si="11"/>
        <v>2250</v>
      </c>
      <c r="H119" s="134">
        <f>VLOOKUP(E119,[1]stuff!$A:$C,3,FALSE)</f>
        <v>3</v>
      </c>
      <c r="I119" s="130">
        <v>85</v>
      </c>
      <c r="J119" s="130">
        <v>70</v>
      </c>
      <c r="K119" s="130">
        <f t="shared" si="10"/>
        <v>14</v>
      </c>
      <c r="L119" s="3">
        <f t="shared" si="8"/>
        <v>8012.5</v>
      </c>
      <c r="M119" s="3">
        <f t="shared" si="9"/>
        <v>62.402496099843994</v>
      </c>
      <c r="N119" s="4">
        <v>0</v>
      </c>
      <c r="O119" s="4"/>
      <c r="P119" s="3">
        <v>0</v>
      </c>
      <c r="Q119" s="3">
        <v>0</v>
      </c>
      <c r="R119" s="3">
        <v>0</v>
      </c>
      <c r="S119" s="3">
        <v>1</v>
      </c>
      <c r="T119" s="3">
        <v>60</v>
      </c>
      <c r="U119" s="4">
        <v>607001</v>
      </c>
      <c r="V119" s="4" t="s">
        <v>30</v>
      </c>
      <c r="W119" s="3">
        <v>5000</v>
      </c>
      <c r="X119" s="3">
        <v>416002</v>
      </c>
      <c r="Y119" s="3" t="s">
        <v>94</v>
      </c>
      <c r="Z119" s="3">
        <v>50</v>
      </c>
      <c r="AA119" s="4">
        <v>403002</v>
      </c>
      <c r="AB119" s="138" t="s">
        <v>95</v>
      </c>
      <c r="AC119" s="3">
        <v>1000</v>
      </c>
    </row>
    <row r="120" spans="1:29" x14ac:dyDescent="0.15">
      <c r="A120" s="137">
        <v>7961</v>
      </c>
      <c r="B120" s="137" t="s">
        <v>64</v>
      </c>
      <c r="C120" s="3">
        <v>0</v>
      </c>
      <c r="D120" s="3">
        <v>3</v>
      </c>
      <c r="E120" s="7">
        <v>606002</v>
      </c>
      <c r="F120" s="7" t="s">
        <v>55</v>
      </c>
      <c r="G120" s="3">
        <f t="shared" si="11"/>
        <v>2250</v>
      </c>
      <c r="H120" s="134">
        <f>VLOOKUP(E120,[1]stuff!$A:$C,3,FALSE)</f>
        <v>3</v>
      </c>
      <c r="I120" s="130">
        <v>85</v>
      </c>
      <c r="J120" s="130">
        <v>70</v>
      </c>
      <c r="K120" s="130">
        <f t="shared" si="10"/>
        <v>14</v>
      </c>
      <c r="L120" s="3">
        <f t="shared" si="8"/>
        <v>8012.5</v>
      </c>
      <c r="M120" s="3">
        <f t="shared" si="9"/>
        <v>62.402496099843994</v>
      </c>
      <c r="N120" s="4">
        <v>0</v>
      </c>
      <c r="O120" s="4"/>
      <c r="P120" s="3">
        <v>0</v>
      </c>
      <c r="Q120" s="3">
        <v>0</v>
      </c>
      <c r="R120" s="3">
        <v>0</v>
      </c>
      <c r="S120" s="3">
        <v>1</v>
      </c>
      <c r="T120" s="3">
        <v>60</v>
      </c>
      <c r="U120" s="4">
        <v>607001</v>
      </c>
      <c r="V120" s="4" t="s">
        <v>30</v>
      </c>
      <c r="W120" s="3">
        <v>5000</v>
      </c>
      <c r="X120" s="3">
        <v>416002</v>
      </c>
      <c r="Y120" s="3" t="s">
        <v>94</v>
      </c>
      <c r="Z120" s="3">
        <v>50</v>
      </c>
      <c r="AA120" s="4">
        <v>403002</v>
      </c>
      <c r="AB120" s="138" t="s">
        <v>95</v>
      </c>
      <c r="AC120" s="3">
        <v>1000</v>
      </c>
    </row>
    <row r="121" spans="1:29" x14ac:dyDescent="0.15">
      <c r="A121" s="3">
        <v>100300</v>
      </c>
      <c r="B121" s="3"/>
      <c r="C121" s="3">
        <v>100301</v>
      </c>
      <c r="D121" s="3">
        <v>1</v>
      </c>
      <c r="E121" s="12">
        <v>616004</v>
      </c>
      <c r="F121" s="12" t="s">
        <v>58</v>
      </c>
      <c r="G121" s="3">
        <v>500</v>
      </c>
      <c r="H121" s="134">
        <f>VLOOKUP(E121,[1]stuff!$A:$C,3,FALSE)</f>
        <v>2</v>
      </c>
      <c r="I121" s="130">
        <v>95</v>
      </c>
      <c r="J121" s="130">
        <v>100</v>
      </c>
      <c r="K121" s="130">
        <f t="shared" si="4"/>
        <v>20</v>
      </c>
      <c r="L121" s="3">
        <f>G121*H121*(100-I121)/100+J121*100</f>
        <v>10050</v>
      </c>
      <c r="M121" s="3">
        <f>W121*100/L121</f>
        <v>19.900497512437809</v>
      </c>
      <c r="N121" s="4">
        <v>0</v>
      </c>
      <c r="O121" s="4"/>
      <c r="P121" s="3">
        <v>0</v>
      </c>
      <c r="Q121" s="3">
        <v>0</v>
      </c>
      <c r="R121" s="3">
        <v>0</v>
      </c>
      <c r="S121" s="3">
        <v>1</v>
      </c>
      <c r="T121" s="3">
        <f t="shared" si="5"/>
        <v>20</v>
      </c>
      <c r="U121" s="4">
        <v>607001</v>
      </c>
      <c r="V121" s="4" t="s">
        <v>30</v>
      </c>
      <c r="W121" s="3">
        <v>2000</v>
      </c>
      <c r="X121" s="3">
        <v>416001</v>
      </c>
      <c r="Y121" s="3" t="s">
        <v>92</v>
      </c>
      <c r="Z121" s="3">
        <v>20</v>
      </c>
      <c r="AA121" s="4">
        <v>403002</v>
      </c>
      <c r="AB121" s="4" t="s">
        <v>93</v>
      </c>
      <c r="AC121" s="3">
        <v>200</v>
      </c>
    </row>
    <row r="122" spans="1:29" x14ac:dyDescent="0.15">
      <c r="A122" s="3">
        <v>100301</v>
      </c>
      <c r="B122" s="3"/>
      <c r="C122" s="3">
        <v>100302</v>
      </c>
      <c r="D122" s="3">
        <v>2</v>
      </c>
      <c r="E122" s="13">
        <v>616004</v>
      </c>
      <c r="F122" s="13" t="s">
        <v>58</v>
      </c>
      <c r="G122" s="3">
        <v>1000</v>
      </c>
      <c r="H122" s="134">
        <f>VLOOKUP(E122,[1]stuff!$A:$C,3,FALSE)</f>
        <v>2</v>
      </c>
      <c r="I122" s="130">
        <v>90</v>
      </c>
      <c r="J122" s="130">
        <v>100</v>
      </c>
      <c r="K122" s="130">
        <f t="shared" si="4"/>
        <v>20</v>
      </c>
      <c r="L122" s="3">
        <f t="shared" ref="L122:L185" si="12">G122*H122*(100-I122)/100+J122*100</f>
        <v>10200</v>
      </c>
      <c r="M122" s="3">
        <f t="shared" ref="M122:M185" si="13">W122*100/L122</f>
        <v>49.019607843137258</v>
      </c>
      <c r="N122" s="4">
        <v>0</v>
      </c>
      <c r="O122" s="4"/>
      <c r="P122" s="3">
        <v>0</v>
      </c>
      <c r="Q122" s="3">
        <v>0</v>
      </c>
      <c r="R122" s="3">
        <v>0</v>
      </c>
      <c r="S122" s="3">
        <v>2</v>
      </c>
      <c r="T122" s="3">
        <f t="shared" si="5"/>
        <v>40</v>
      </c>
      <c r="U122" s="4">
        <v>607001</v>
      </c>
      <c r="V122" s="4" t="s">
        <v>30</v>
      </c>
      <c r="W122" s="3">
        <v>5000</v>
      </c>
      <c r="X122" s="3">
        <v>416001</v>
      </c>
      <c r="Y122" s="3" t="s">
        <v>92</v>
      </c>
      <c r="Z122" s="3">
        <v>30</v>
      </c>
      <c r="AA122" s="4">
        <v>403002</v>
      </c>
      <c r="AB122" s="4" t="s">
        <v>93</v>
      </c>
      <c r="AC122" s="3">
        <v>500</v>
      </c>
    </row>
    <row r="123" spans="1:29" x14ac:dyDescent="0.15">
      <c r="A123" s="3">
        <v>100302</v>
      </c>
      <c r="B123" s="3"/>
      <c r="C123" s="3">
        <v>100303</v>
      </c>
      <c r="D123" s="3">
        <v>3</v>
      </c>
      <c r="E123" s="14">
        <v>616004</v>
      </c>
      <c r="F123" s="14" t="s">
        <v>58</v>
      </c>
      <c r="G123" s="3">
        <v>1500</v>
      </c>
      <c r="H123" s="134">
        <f>VLOOKUP(E123,[1]stuff!$A:$C,3,FALSE)</f>
        <v>2</v>
      </c>
      <c r="I123" s="130">
        <v>85</v>
      </c>
      <c r="J123" s="130">
        <v>100</v>
      </c>
      <c r="K123" s="130">
        <f t="shared" si="4"/>
        <v>20</v>
      </c>
      <c r="L123" s="3">
        <f t="shared" si="12"/>
        <v>10450</v>
      </c>
      <c r="M123" s="3">
        <f t="shared" si="13"/>
        <v>95.693779904306226</v>
      </c>
      <c r="N123" s="4">
        <v>0</v>
      </c>
      <c r="O123" s="4"/>
      <c r="P123" s="3">
        <v>0</v>
      </c>
      <c r="Q123" s="3">
        <v>0</v>
      </c>
      <c r="R123" s="3">
        <v>0</v>
      </c>
      <c r="S123" s="3">
        <v>3</v>
      </c>
      <c r="T123" s="3">
        <f t="shared" si="5"/>
        <v>60</v>
      </c>
      <c r="U123" s="4">
        <v>607001</v>
      </c>
      <c r="V123" s="4" t="s">
        <v>30</v>
      </c>
      <c r="W123" s="3">
        <v>10000</v>
      </c>
      <c r="X123" s="3">
        <v>416001</v>
      </c>
      <c r="Y123" s="3" t="s">
        <v>92</v>
      </c>
      <c r="Z123" s="3">
        <v>40</v>
      </c>
      <c r="AA123" s="4">
        <v>403002</v>
      </c>
      <c r="AB123" s="4" t="s">
        <v>93</v>
      </c>
      <c r="AC123" s="3">
        <v>1000</v>
      </c>
    </row>
    <row r="124" spans="1:29" x14ac:dyDescent="0.15">
      <c r="A124" s="3">
        <v>100303</v>
      </c>
      <c r="B124" s="3"/>
      <c r="C124" s="3">
        <v>100304</v>
      </c>
      <c r="D124" s="3">
        <v>4</v>
      </c>
      <c r="E124" s="15">
        <v>616004</v>
      </c>
      <c r="F124" s="15" t="s">
        <v>58</v>
      </c>
      <c r="G124" s="3">
        <v>2000</v>
      </c>
      <c r="H124" s="134">
        <f>VLOOKUP(E124,[1]stuff!$A:$C,3,FALSE)</f>
        <v>2</v>
      </c>
      <c r="I124" s="130">
        <v>85</v>
      </c>
      <c r="J124" s="130">
        <v>100</v>
      </c>
      <c r="K124" s="130">
        <f t="shared" si="4"/>
        <v>20</v>
      </c>
      <c r="L124" s="3">
        <f t="shared" si="12"/>
        <v>10600</v>
      </c>
      <c r="M124" s="3">
        <f t="shared" si="13"/>
        <v>188.67924528301887</v>
      </c>
      <c r="N124" s="4">
        <v>0</v>
      </c>
      <c r="O124" s="4"/>
      <c r="P124" s="3">
        <v>0</v>
      </c>
      <c r="Q124" s="3">
        <v>0</v>
      </c>
      <c r="R124" s="3">
        <v>0</v>
      </c>
      <c r="S124" s="3">
        <v>4</v>
      </c>
      <c r="T124" s="3">
        <f t="shared" si="5"/>
        <v>80</v>
      </c>
      <c r="U124" s="4">
        <v>607001</v>
      </c>
      <c r="V124" s="4" t="s">
        <v>30</v>
      </c>
      <c r="W124" s="3">
        <v>20000</v>
      </c>
      <c r="X124" s="3">
        <v>416002</v>
      </c>
      <c r="Y124" s="3" t="s">
        <v>94</v>
      </c>
      <c r="Z124" s="3">
        <v>50</v>
      </c>
      <c r="AA124" s="4">
        <v>403002</v>
      </c>
      <c r="AB124" s="138" t="s">
        <v>95</v>
      </c>
      <c r="AC124" s="3">
        <v>1000</v>
      </c>
    </row>
    <row r="125" spans="1:29" x14ac:dyDescent="0.15">
      <c r="A125" s="3">
        <v>100304</v>
      </c>
      <c r="B125" s="3"/>
      <c r="C125" s="3">
        <v>0</v>
      </c>
      <c r="D125" s="3">
        <v>5</v>
      </c>
      <c r="E125" s="16">
        <v>616004</v>
      </c>
      <c r="F125" s="16" t="s">
        <v>58</v>
      </c>
      <c r="G125" s="3">
        <v>2500</v>
      </c>
      <c r="H125" s="134">
        <f>VLOOKUP(E125,[1]stuff!$A:$C,3,FALSE)</f>
        <v>2</v>
      </c>
      <c r="I125" s="130">
        <v>80</v>
      </c>
      <c r="J125" s="130">
        <v>100</v>
      </c>
      <c r="K125" s="130">
        <f t="shared" si="4"/>
        <v>20</v>
      </c>
      <c r="L125" s="3">
        <f t="shared" si="12"/>
        <v>11000</v>
      </c>
      <c r="M125" s="3">
        <f t="shared" si="13"/>
        <v>454.54545454545456</v>
      </c>
      <c r="N125" s="4">
        <v>0</v>
      </c>
      <c r="O125" s="4"/>
      <c r="P125" s="3">
        <v>0</v>
      </c>
      <c r="Q125" s="3">
        <v>0</v>
      </c>
      <c r="R125" s="3">
        <v>0</v>
      </c>
      <c r="S125" s="3">
        <v>6</v>
      </c>
      <c r="T125" s="3">
        <f t="shared" si="5"/>
        <v>120</v>
      </c>
      <c r="U125" s="4">
        <v>607001</v>
      </c>
      <c r="V125" s="4" t="s">
        <v>30</v>
      </c>
      <c r="W125" s="3">
        <v>50000</v>
      </c>
      <c r="X125" s="3">
        <v>416002</v>
      </c>
      <c r="Y125" s="3" t="s">
        <v>94</v>
      </c>
      <c r="Z125" s="3">
        <v>50</v>
      </c>
      <c r="AA125" s="4">
        <v>403002</v>
      </c>
      <c r="AB125" s="138" t="s">
        <v>95</v>
      </c>
      <c r="AC125" s="3">
        <v>2000</v>
      </c>
    </row>
    <row r="126" spans="1:29" x14ac:dyDescent="0.15">
      <c r="A126" s="3">
        <v>100400</v>
      </c>
      <c r="B126" s="3"/>
      <c r="C126" s="3">
        <v>100401</v>
      </c>
      <c r="D126" s="3">
        <v>1</v>
      </c>
      <c r="E126" s="20">
        <v>602001</v>
      </c>
      <c r="F126" s="20" t="s">
        <v>51</v>
      </c>
      <c r="G126" s="3">
        <v>2000</v>
      </c>
      <c r="H126" s="134">
        <f>VLOOKUP(E126,[1]stuff!$A:$C,3,FALSE)</f>
        <v>5</v>
      </c>
      <c r="I126" s="130">
        <f>I121</f>
        <v>95</v>
      </c>
      <c r="J126" s="130">
        <v>100</v>
      </c>
      <c r="K126" s="130">
        <f t="shared" si="4"/>
        <v>20</v>
      </c>
      <c r="L126" s="3">
        <f t="shared" si="12"/>
        <v>10500</v>
      </c>
      <c r="M126" s="3">
        <f t="shared" si="13"/>
        <v>19.047619047619047</v>
      </c>
      <c r="N126" s="4">
        <v>0</v>
      </c>
      <c r="O126" s="4"/>
      <c r="P126" s="3">
        <v>0</v>
      </c>
      <c r="Q126" s="3">
        <v>0</v>
      </c>
      <c r="R126" s="3">
        <v>0</v>
      </c>
      <c r="S126" s="3">
        <v>1</v>
      </c>
      <c r="T126" s="3">
        <f t="shared" si="5"/>
        <v>20</v>
      </c>
      <c r="U126" s="4">
        <v>607001</v>
      </c>
      <c r="V126" s="4" t="s">
        <v>30</v>
      </c>
      <c r="W126" s="3">
        <f t="shared" ref="W126:AC126" si="14">W121</f>
        <v>2000</v>
      </c>
      <c r="X126" s="3">
        <f t="shared" si="14"/>
        <v>416001</v>
      </c>
      <c r="Y126" s="3" t="str">
        <f t="shared" si="14"/>
        <v>两轮马车</v>
      </c>
      <c r="Z126" s="3">
        <f t="shared" si="14"/>
        <v>20</v>
      </c>
      <c r="AA126" s="4">
        <f t="shared" si="14"/>
        <v>403002</v>
      </c>
      <c r="AB126" s="138" t="str">
        <f t="shared" si="14"/>
        <v>优质工具</v>
      </c>
      <c r="AC126" s="3">
        <f t="shared" si="14"/>
        <v>200</v>
      </c>
    </row>
    <row r="127" spans="1:29" x14ac:dyDescent="0.15">
      <c r="A127" s="3">
        <v>100401</v>
      </c>
      <c r="B127" s="3"/>
      <c r="C127" s="3">
        <v>100402</v>
      </c>
      <c r="D127" s="3">
        <v>2</v>
      </c>
      <c r="E127" s="21">
        <v>602001</v>
      </c>
      <c r="F127" s="21" t="s">
        <v>51</v>
      </c>
      <c r="G127" s="3">
        <v>4000</v>
      </c>
      <c r="H127" s="134">
        <f>VLOOKUP(E127,[1]stuff!$A:$C,3,FALSE)</f>
        <v>5</v>
      </c>
      <c r="I127" s="130">
        <f t="shared" ref="I127:I190" si="15">I122</f>
        <v>90</v>
      </c>
      <c r="J127" s="130">
        <v>100</v>
      </c>
      <c r="K127" s="130">
        <f t="shared" si="4"/>
        <v>20</v>
      </c>
      <c r="L127" s="3">
        <f t="shared" si="12"/>
        <v>12000</v>
      </c>
      <c r="M127" s="3">
        <f t="shared" si="13"/>
        <v>41.666666666666664</v>
      </c>
      <c r="N127" s="4">
        <v>0</v>
      </c>
      <c r="O127" s="4"/>
      <c r="P127" s="3">
        <v>0</v>
      </c>
      <c r="Q127" s="3">
        <v>0</v>
      </c>
      <c r="R127" s="3">
        <v>0</v>
      </c>
      <c r="S127" s="3">
        <v>2</v>
      </c>
      <c r="T127" s="3">
        <f t="shared" si="5"/>
        <v>40</v>
      </c>
      <c r="U127" s="4">
        <v>607001</v>
      </c>
      <c r="V127" s="4" t="s">
        <v>30</v>
      </c>
      <c r="W127" s="3">
        <f t="shared" ref="W127:AC190" si="16">W122</f>
        <v>5000</v>
      </c>
      <c r="X127" s="3">
        <f t="shared" si="16"/>
        <v>416001</v>
      </c>
      <c r="Y127" s="3" t="str">
        <f t="shared" si="16"/>
        <v>两轮马车</v>
      </c>
      <c r="Z127" s="3">
        <f t="shared" si="16"/>
        <v>30</v>
      </c>
      <c r="AA127" s="4">
        <f t="shared" si="16"/>
        <v>403002</v>
      </c>
      <c r="AB127" s="138" t="str">
        <f t="shared" si="16"/>
        <v>优质工具</v>
      </c>
      <c r="AC127" s="3">
        <f t="shared" si="16"/>
        <v>500</v>
      </c>
    </row>
    <row r="128" spans="1:29" x14ac:dyDescent="0.15">
      <c r="A128" s="3">
        <v>100402</v>
      </c>
      <c r="B128" s="3"/>
      <c r="C128" s="3">
        <v>100403</v>
      </c>
      <c r="D128" s="3">
        <v>3</v>
      </c>
      <c r="E128" s="17">
        <v>602001</v>
      </c>
      <c r="F128" s="17" t="s">
        <v>51</v>
      </c>
      <c r="G128" s="3">
        <v>6000</v>
      </c>
      <c r="H128" s="134">
        <f>VLOOKUP(E128,[1]stuff!$A:$C,3,FALSE)</f>
        <v>5</v>
      </c>
      <c r="I128" s="130">
        <f t="shared" si="15"/>
        <v>85</v>
      </c>
      <c r="J128" s="130">
        <v>100</v>
      </c>
      <c r="K128" s="130">
        <f t="shared" si="4"/>
        <v>20</v>
      </c>
      <c r="L128" s="3">
        <f t="shared" si="12"/>
        <v>14500</v>
      </c>
      <c r="M128" s="3">
        <f t="shared" si="13"/>
        <v>68.965517241379317</v>
      </c>
      <c r="N128" s="4">
        <v>0</v>
      </c>
      <c r="O128" s="4"/>
      <c r="P128" s="3">
        <v>0</v>
      </c>
      <c r="Q128" s="3">
        <v>0</v>
      </c>
      <c r="R128" s="3">
        <v>0</v>
      </c>
      <c r="S128" s="3">
        <v>3</v>
      </c>
      <c r="T128" s="3">
        <f t="shared" si="5"/>
        <v>60</v>
      </c>
      <c r="U128" s="4">
        <v>607001</v>
      </c>
      <c r="V128" s="4" t="s">
        <v>30</v>
      </c>
      <c r="W128" s="3">
        <f t="shared" si="16"/>
        <v>10000</v>
      </c>
      <c r="X128" s="3">
        <f t="shared" si="16"/>
        <v>416001</v>
      </c>
      <c r="Y128" s="3" t="str">
        <f t="shared" si="16"/>
        <v>两轮马车</v>
      </c>
      <c r="Z128" s="3">
        <f t="shared" si="16"/>
        <v>40</v>
      </c>
      <c r="AA128" s="4">
        <f t="shared" si="16"/>
        <v>403002</v>
      </c>
      <c r="AB128" s="138" t="str">
        <f t="shared" si="16"/>
        <v>优质工具</v>
      </c>
      <c r="AC128" s="3">
        <f t="shared" si="16"/>
        <v>1000</v>
      </c>
    </row>
    <row r="129" spans="1:29" x14ac:dyDescent="0.15">
      <c r="A129" s="3">
        <v>100403</v>
      </c>
      <c r="B129" s="3"/>
      <c r="C129" s="3">
        <v>100404</v>
      </c>
      <c r="D129" s="3">
        <v>4</v>
      </c>
      <c r="E129" s="18">
        <v>602001</v>
      </c>
      <c r="F129" s="18" t="s">
        <v>51</v>
      </c>
      <c r="G129" s="3">
        <v>8000</v>
      </c>
      <c r="H129" s="134">
        <f>VLOOKUP(E129,[1]stuff!$A:$C,3,FALSE)</f>
        <v>5</v>
      </c>
      <c r="I129" s="130">
        <f t="shared" si="15"/>
        <v>85</v>
      </c>
      <c r="J129" s="130">
        <v>100</v>
      </c>
      <c r="K129" s="130">
        <f t="shared" si="4"/>
        <v>20</v>
      </c>
      <c r="L129" s="3">
        <f t="shared" si="12"/>
        <v>16000</v>
      </c>
      <c r="M129" s="3">
        <f t="shared" si="13"/>
        <v>125</v>
      </c>
      <c r="N129" s="4">
        <v>0</v>
      </c>
      <c r="O129" s="4"/>
      <c r="P129" s="3">
        <v>0</v>
      </c>
      <c r="Q129" s="3">
        <v>0</v>
      </c>
      <c r="R129" s="3">
        <v>0</v>
      </c>
      <c r="S129" s="3">
        <v>4</v>
      </c>
      <c r="T129" s="3">
        <f t="shared" si="5"/>
        <v>80</v>
      </c>
      <c r="U129" s="4">
        <v>607001</v>
      </c>
      <c r="V129" s="4" t="s">
        <v>30</v>
      </c>
      <c r="W129" s="3">
        <f t="shared" si="16"/>
        <v>20000</v>
      </c>
      <c r="X129" s="3">
        <f t="shared" si="16"/>
        <v>416002</v>
      </c>
      <c r="Y129" s="3" t="str">
        <f t="shared" si="16"/>
        <v>四轮马车</v>
      </c>
      <c r="Z129" s="3">
        <f t="shared" si="16"/>
        <v>50</v>
      </c>
      <c r="AA129" s="4">
        <f t="shared" si="16"/>
        <v>403002</v>
      </c>
      <c r="AB129" s="138" t="str">
        <f t="shared" si="16"/>
        <v>优质工具</v>
      </c>
      <c r="AC129" s="3">
        <f t="shared" si="16"/>
        <v>1000</v>
      </c>
    </row>
    <row r="130" spans="1:29" x14ac:dyDescent="0.15">
      <c r="A130" s="3">
        <v>100404</v>
      </c>
      <c r="B130" s="3"/>
      <c r="C130" s="3">
        <v>0</v>
      </c>
      <c r="D130" s="3">
        <v>5</v>
      </c>
      <c r="E130" s="19">
        <v>602001</v>
      </c>
      <c r="F130" s="19" t="s">
        <v>51</v>
      </c>
      <c r="G130" s="3">
        <v>10000</v>
      </c>
      <c r="H130" s="134">
        <f>VLOOKUP(E130,[1]stuff!$A:$C,3,FALSE)</f>
        <v>5</v>
      </c>
      <c r="I130" s="130">
        <f t="shared" si="15"/>
        <v>80</v>
      </c>
      <c r="J130" s="130">
        <v>100</v>
      </c>
      <c r="K130" s="130">
        <f t="shared" si="4"/>
        <v>20</v>
      </c>
      <c r="L130" s="3">
        <f t="shared" si="12"/>
        <v>20000</v>
      </c>
      <c r="M130" s="3">
        <f t="shared" si="13"/>
        <v>250</v>
      </c>
      <c r="N130" s="4">
        <v>0</v>
      </c>
      <c r="O130" s="4"/>
      <c r="P130" s="3">
        <v>0</v>
      </c>
      <c r="Q130" s="3">
        <v>0</v>
      </c>
      <c r="R130" s="3">
        <v>0</v>
      </c>
      <c r="S130" s="3">
        <v>6</v>
      </c>
      <c r="T130" s="3">
        <f t="shared" si="5"/>
        <v>120</v>
      </c>
      <c r="U130" s="4">
        <v>607001</v>
      </c>
      <c r="V130" s="4" t="s">
        <v>30</v>
      </c>
      <c r="W130" s="3">
        <f t="shared" si="16"/>
        <v>50000</v>
      </c>
      <c r="X130" s="3">
        <f t="shared" si="16"/>
        <v>416002</v>
      </c>
      <c r="Y130" s="3" t="str">
        <f t="shared" si="16"/>
        <v>四轮马车</v>
      </c>
      <c r="Z130" s="3">
        <f t="shared" si="16"/>
        <v>50</v>
      </c>
      <c r="AA130" s="4">
        <f t="shared" si="16"/>
        <v>403002</v>
      </c>
      <c r="AB130" s="138" t="str">
        <f t="shared" si="16"/>
        <v>优质工具</v>
      </c>
      <c r="AC130" s="3">
        <f t="shared" si="16"/>
        <v>2000</v>
      </c>
    </row>
    <row r="131" spans="1:29" s="102" customFormat="1" x14ac:dyDescent="0.15">
      <c r="A131" s="100">
        <v>100500</v>
      </c>
      <c r="B131" s="100"/>
      <c r="C131" s="100">
        <v>100501</v>
      </c>
      <c r="D131" s="100">
        <v>1</v>
      </c>
      <c r="E131" s="12">
        <v>616004</v>
      </c>
      <c r="F131" s="12" t="s">
        <v>58</v>
      </c>
      <c r="G131" s="3">
        <v>500</v>
      </c>
      <c r="H131" s="134">
        <f>VLOOKUP(E131,[1]stuff!$A:$C,3,FALSE)</f>
        <v>2</v>
      </c>
      <c r="I131" s="130">
        <f t="shared" si="15"/>
        <v>95</v>
      </c>
      <c r="J131" s="130">
        <v>100</v>
      </c>
      <c r="K131" s="130">
        <f t="shared" si="4"/>
        <v>20</v>
      </c>
      <c r="L131" s="3">
        <f t="shared" si="12"/>
        <v>10050</v>
      </c>
      <c r="M131" s="3">
        <f t="shared" si="13"/>
        <v>19.900497512437809</v>
      </c>
      <c r="N131" s="101">
        <v>202899</v>
      </c>
      <c r="O131" s="101" t="s">
        <v>70</v>
      </c>
      <c r="P131" s="100">
        <v>30</v>
      </c>
      <c r="Q131" s="100">
        <v>5</v>
      </c>
      <c r="R131" s="100">
        <v>20</v>
      </c>
      <c r="S131" s="3">
        <v>1</v>
      </c>
      <c r="T131" s="3">
        <f t="shared" si="5"/>
        <v>20</v>
      </c>
      <c r="U131" s="101">
        <v>607001</v>
      </c>
      <c r="V131" s="101" t="s">
        <v>30</v>
      </c>
      <c r="W131" s="3">
        <f t="shared" si="16"/>
        <v>2000</v>
      </c>
      <c r="X131" s="3">
        <f t="shared" si="16"/>
        <v>416001</v>
      </c>
      <c r="Y131" s="3" t="str">
        <f t="shared" si="16"/>
        <v>两轮马车</v>
      </c>
      <c r="Z131" s="3">
        <f t="shared" si="16"/>
        <v>20</v>
      </c>
      <c r="AA131" s="4">
        <f t="shared" si="16"/>
        <v>403002</v>
      </c>
      <c r="AB131" s="138" t="str">
        <f t="shared" si="16"/>
        <v>优质工具</v>
      </c>
      <c r="AC131" s="3">
        <f t="shared" si="16"/>
        <v>200</v>
      </c>
    </row>
    <row r="132" spans="1:29" s="102" customFormat="1" x14ac:dyDescent="0.15">
      <c r="A132" s="100">
        <v>100501</v>
      </c>
      <c r="B132" s="100"/>
      <c r="C132" s="100">
        <v>100502</v>
      </c>
      <c r="D132" s="100">
        <v>2</v>
      </c>
      <c r="E132" s="12">
        <v>616004</v>
      </c>
      <c r="F132" s="12" t="s">
        <v>58</v>
      </c>
      <c r="G132" s="3">
        <v>1000</v>
      </c>
      <c r="H132" s="134">
        <f>VLOOKUP(E132,[1]stuff!$A:$C,3,FALSE)</f>
        <v>2</v>
      </c>
      <c r="I132" s="130">
        <f t="shared" si="15"/>
        <v>90</v>
      </c>
      <c r="J132" s="130">
        <v>200</v>
      </c>
      <c r="K132" s="130">
        <f t="shared" si="4"/>
        <v>40</v>
      </c>
      <c r="L132" s="3">
        <f t="shared" si="12"/>
        <v>20200</v>
      </c>
      <c r="M132" s="3">
        <f t="shared" si="13"/>
        <v>24.752475247524753</v>
      </c>
      <c r="N132" s="101">
        <v>202899</v>
      </c>
      <c r="O132" s="101" t="s">
        <v>70</v>
      </c>
      <c r="P132" s="100">
        <v>40</v>
      </c>
      <c r="Q132" s="100">
        <v>6</v>
      </c>
      <c r="R132" s="100">
        <v>50</v>
      </c>
      <c r="S132" s="3">
        <v>2</v>
      </c>
      <c r="T132" s="3">
        <f t="shared" si="5"/>
        <v>40</v>
      </c>
      <c r="U132" s="101">
        <v>607001</v>
      </c>
      <c r="V132" s="101" t="s">
        <v>30</v>
      </c>
      <c r="W132" s="3">
        <f t="shared" si="16"/>
        <v>5000</v>
      </c>
      <c r="X132" s="3">
        <f t="shared" si="16"/>
        <v>416001</v>
      </c>
      <c r="Y132" s="3" t="str">
        <f t="shared" si="16"/>
        <v>两轮马车</v>
      </c>
      <c r="Z132" s="3">
        <f t="shared" si="16"/>
        <v>30</v>
      </c>
      <c r="AA132" s="4">
        <f t="shared" si="16"/>
        <v>403002</v>
      </c>
      <c r="AB132" s="138" t="str">
        <f t="shared" si="16"/>
        <v>优质工具</v>
      </c>
      <c r="AC132" s="3">
        <f t="shared" si="16"/>
        <v>500</v>
      </c>
    </row>
    <row r="133" spans="1:29" s="102" customFormat="1" x14ac:dyDescent="0.15">
      <c r="A133" s="100">
        <v>100502</v>
      </c>
      <c r="B133" s="100"/>
      <c r="C133" s="100">
        <v>100503</v>
      </c>
      <c r="D133" s="100">
        <v>3</v>
      </c>
      <c r="E133" s="12">
        <v>616004</v>
      </c>
      <c r="F133" s="12" t="s">
        <v>58</v>
      </c>
      <c r="G133" s="3">
        <v>1500</v>
      </c>
      <c r="H133" s="134">
        <f>VLOOKUP(E133,[1]stuff!$A:$C,3,FALSE)</f>
        <v>2</v>
      </c>
      <c r="I133" s="130">
        <f t="shared" si="15"/>
        <v>85</v>
      </c>
      <c r="J133" s="130">
        <v>300</v>
      </c>
      <c r="K133" s="130">
        <f t="shared" si="4"/>
        <v>60</v>
      </c>
      <c r="L133" s="3">
        <f t="shared" si="12"/>
        <v>30450</v>
      </c>
      <c r="M133" s="3">
        <f t="shared" si="13"/>
        <v>32.840722495894909</v>
      </c>
      <c r="N133" s="101">
        <v>202899</v>
      </c>
      <c r="O133" s="101" t="s">
        <v>70</v>
      </c>
      <c r="P133" s="100">
        <v>50</v>
      </c>
      <c r="Q133" s="100">
        <v>7</v>
      </c>
      <c r="R133" s="100">
        <v>100</v>
      </c>
      <c r="S133" s="3">
        <v>3</v>
      </c>
      <c r="T133" s="3">
        <f t="shared" si="5"/>
        <v>60</v>
      </c>
      <c r="U133" s="101">
        <v>607001</v>
      </c>
      <c r="V133" s="101" t="s">
        <v>30</v>
      </c>
      <c r="W133" s="3">
        <f t="shared" si="16"/>
        <v>10000</v>
      </c>
      <c r="X133" s="3">
        <f t="shared" si="16"/>
        <v>416001</v>
      </c>
      <c r="Y133" s="3" t="str">
        <f t="shared" si="16"/>
        <v>两轮马车</v>
      </c>
      <c r="Z133" s="3">
        <f t="shared" si="16"/>
        <v>40</v>
      </c>
      <c r="AA133" s="4">
        <f t="shared" si="16"/>
        <v>403002</v>
      </c>
      <c r="AB133" s="138" t="str">
        <f t="shared" si="16"/>
        <v>优质工具</v>
      </c>
      <c r="AC133" s="3">
        <f t="shared" si="16"/>
        <v>1000</v>
      </c>
    </row>
    <row r="134" spans="1:29" s="102" customFormat="1" x14ac:dyDescent="0.15">
      <c r="A134" s="100">
        <v>100503</v>
      </c>
      <c r="B134" s="100"/>
      <c r="C134" s="100">
        <v>100504</v>
      </c>
      <c r="D134" s="100">
        <v>4</v>
      </c>
      <c r="E134" s="12">
        <v>616004</v>
      </c>
      <c r="F134" s="12" t="s">
        <v>58</v>
      </c>
      <c r="G134" s="3">
        <v>2000</v>
      </c>
      <c r="H134" s="134">
        <f>VLOOKUP(E134,[1]stuff!$A:$C,3,FALSE)</f>
        <v>2</v>
      </c>
      <c r="I134" s="130">
        <f t="shared" si="15"/>
        <v>85</v>
      </c>
      <c r="J134" s="130">
        <v>400</v>
      </c>
      <c r="K134" s="130">
        <f t="shared" si="4"/>
        <v>80</v>
      </c>
      <c r="L134" s="3">
        <f t="shared" si="12"/>
        <v>40600</v>
      </c>
      <c r="M134" s="3">
        <f t="shared" si="13"/>
        <v>49.261083743842363</v>
      </c>
      <c r="N134" s="101">
        <v>202899</v>
      </c>
      <c r="O134" s="101" t="s">
        <v>70</v>
      </c>
      <c r="P134" s="100">
        <v>60</v>
      </c>
      <c r="Q134" s="100">
        <v>8</v>
      </c>
      <c r="R134" s="100">
        <v>200</v>
      </c>
      <c r="S134" s="3">
        <v>4</v>
      </c>
      <c r="T134" s="3">
        <f t="shared" si="5"/>
        <v>80</v>
      </c>
      <c r="U134" s="101">
        <v>607001</v>
      </c>
      <c r="V134" s="101" t="s">
        <v>30</v>
      </c>
      <c r="W134" s="3">
        <f t="shared" si="16"/>
        <v>20000</v>
      </c>
      <c r="X134" s="3">
        <f t="shared" si="16"/>
        <v>416002</v>
      </c>
      <c r="Y134" s="3" t="str">
        <f t="shared" si="16"/>
        <v>四轮马车</v>
      </c>
      <c r="Z134" s="3">
        <f t="shared" si="16"/>
        <v>50</v>
      </c>
      <c r="AA134" s="4">
        <f t="shared" si="16"/>
        <v>403002</v>
      </c>
      <c r="AB134" s="138" t="str">
        <f t="shared" si="16"/>
        <v>优质工具</v>
      </c>
      <c r="AC134" s="3">
        <f t="shared" si="16"/>
        <v>1000</v>
      </c>
    </row>
    <row r="135" spans="1:29" s="102" customFormat="1" x14ac:dyDescent="0.15">
      <c r="A135" s="100">
        <v>100504</v>
      </c>
      <c r="B135" s="100"/>
      <c r="C135" s="100">
        <v>0</v>
      </c>
      <c r="D135" s="100">
        <v>5</v>
      </c>
      <c r="E135" s="12">
        <v>616004</v>
      </c>
      <c r="F135" s="12" t="s">
        <v>58</v>
      </c>
      <c r="G135" s="3">
        <v>2500</v>
      </c>
      <c r="H135" s="134">
        <f>VLOOKUP(E135,[1]stuff!$A:$C,3,FALSE)</f>
        <v>2</v>
      </c>
      <c r="I135" s="130">
        <f t="shared" si="15"/>
        <v>80</v>
      </c>
      <c r="J135" s="130">
        <v>500</v>
      </c>
      <c r="K135" s="130">
        <f t="shared" si="4"/>
        <v>100</v>
      </c>
      <c r="L135" s="3">
        <f t="shared" si="12"/>
        <v>51000</v>
      </c>
      <c r="M135" s="3">
        <f t="shared" si="13"/>
        <v>98.039215686274517</v>
      </c>
      <c r="N135" s="101">
        <v>202899</v>
      </c>
      <c r="O135" s="101" t="s">
        <v>70</v>
      </c>
      <c r="P135" s="100">
        <v>70</v>
      </c>
      <c r="Q135" s="100">
        <v>9</v>
      </c>
      <c r="R135" s="100">
        <v>400</v>
      </c>
      <c r="S135" s="3">
        <v>6</v>
      </c>
      <c r="T135" s="3">
        <f t="shared" si="5"/>
        <v>120</v>
      </c>
      <c r="U135" s="101">
        <v>607001</v>
      </c>
      <c r="V135" s="101" t="s">
        <v>30</v>
      </c>
      <c r="W135" s="3">
        <f t="shared" si="16"/>
        <v>50000</v>
      </c>
      <c r="X135" s="3">
        <f t="shared" si="16"/>
        <v>416002</v>
      </c>
      <c r="Y135" s="3" t="str">
        <f t="shared" si="16"/>
        <v>四轮马车</v>
      </c>
      <c r="Z135" s="3">
        <f t="shared" si="16"/>
        <v>50</v>
      </c>
      <c r="AA135" s="4">
        <f t="shared" si="16"/>
        <v>403002</v>
      </c>
      <c r="AB135" s="138" t="str">
        <f t="shared" si="16"/>
        <v>优质工具</v>
      </c>
      <c r="AC135" s="3">
        <f t="shared" si="16"/>
        <v>2000</v>
      </c>
    </row>
    <row r="136" spans="1:29" x14ac:dyDescent="0.15">
      <c r="A136" s="135">
        <v>100700</v>
      </c>
      <c r="B136" s="136" t="s">
        <v>91</v>
      </c>
      <c r="C136" s="3">
        <v>100701</v>
      </c>
      <c r="D136" s="3">
        <v>1</v>
      </c>
      <c r="E136" s="22">
        <v>601001</v>
      </c>
      <c r="F136" s="22" t="s">
        <v>50</v>
      </c>
      <c r="G136" s="3">
        <v>1000</v>
      </c>
      <c r="H136" s="134">
        <f>VLOOKUP(E136,[1]stuff!$A:$C,3,FALSE)</f>
        <v>5</v>
      </c>
      <c r="I136" s="130">
        <f t="shared" si="15"/>
        <v>95</v>
      </c>
      <c r="J136" s="130">
        <v>200</v>
      </c>
      <c r="K136" s="130">
        <f t="shared" si="4"/>
        <v>40</v>
      </c>
      <c r="L136" s="3">
        <f t="shared" si="12"/>
        <v>20250</v>
      </c>
      <c r="M136" s="3">
        <f t="shared" si="13"/>
        <v>9.8765432098765427</v>
      </c>
      <c r="N136" s="4">
        <v>0</v>
      </c>
      <c r="O136" s="4"/>
      <c r="P136" s="3">
        <v>0</v>
      </c>
      <c r="Q136" s="3">
        <v>0</v>
      </c>
      <c r="R136" s="3">
        <v>0</v>
      </c>
      <c r="S136" s="3">
        <v>1</v>
      </c>
      <c r="T136" s="3">
        <f t="shared" si="5"/>
        <v>20</v>
      </c>
      <c r="U136" s="4">
        <v>607001</v>
      </c>
      <c r="V136" s="4" t="s">
        <v>30</v>
      </c>
      <c r="W136" s="3">
        <f t="shared" si="16"/>
        <v>2000</v>
      </c>
      <c r="X136" s="3">
        <f t="shared" si="16"/>
        <v>416001</v>
      </c>
      <c r="Y136" s="3" t="str">
        <f t="shared" si="16"/>
        <v>两轮马车</v>
      </c>
      <c r="Z136" s="3">
        <f t="shared" si="16"/>
        <v>20</v>
      </c>
      <c r="AA136" s="4">
        <f t="shared" si="16"/>
        <v>403002</v>
      </c>
      <c r="AB136" s="138" t="str">
        <f t="shared" si="16"/>
        <v>优质工具</v>
      </c>
      <c r="AC136" s="3">
        <f t="shared" si="16"/>
        <v>200</v>
      </c>
    </row>
    <row r="137" spans="1:29" x14ac:dyDescent="0.15">
      <c r="A137" s="3">
        <v>100701</v>
      </c>
      <c r="B137" s="3"/>
      <c r="C137" s="3">
        <v>100702</v>
      </c>
      <c r="D137" s="3">
        <v>2</v>
      </c>
      <c r="E137" s="23">
        <v>601001</v>
      </c>
      <c r="F137" s="23" t="s">
        <v>50</v>
      </c>
      <c r="G137" s="3">
        <v>2000</v>
      </c>
      <c r="H137" s="134">
        <f>VLOOKUP(E137,[1]stuff!$A:$C,3,FALSE)</f>
        <v>5</v>
      </c>
      <c r="I137" s="130">
        <f t="shared" si="15"/>
        <v>90</v>
      </c>
      <c r="J137" s="130">
        <v>300</v>
      </c>
      <c r="K137" s="130">
        <f t="shared" si="4"/>
        <v>60</v>
      </c>
      <c r="L137" s="3">
        <f t="shared" si="12"/>
        <v>31000</v>
      </c>
      <c r="M137" s="3">
        <f t="shared" si="13"/>
        <v>16.129032258064516</v>
      </c>
      <c r="N137" s="4">
        <v>0</v>
      </c>
      <c r="O137" s="4"/>
      <c r="P137" s="3">
        <v>0</v>
      </c>
      <c r="Q137" s="3">
        <v>0</v>
      </c>
      <c r="R137" s="3">
        <v>0</v>
      </c>
      <c r="S137" s="3">
        <v>2</v>
      </c>
      <c r="T137" s="3">
        <f t="shared" si="5"/>
        <v>40</v>
      </c>
      <c r="U137" s="4">
        <v>607001</v>
      </c>
      <c r="V137" s="4" t="s">
        <v>30</v>
      </c>
      <c r="W137" s="3">
        <f t="shared" si="16"/>
        <v>5000</v>
      </c>
      <c r="X137" s="3">
        <f t="shared" si="16"/>
        <v>416001</v>
      </c>
      <c r="Y137" s="3" t="str">
        <f t="shared" si="16"/>
        <v>两轮马车</v>
      </c>
      <c r="Z137" s="3">
        <f t="shared" si="16"/>
        <v>30</v>
      </c>
      <c r="AA137" s="4">
        <f t="shared" si="16"/>
        <v>403002</v>
      </c>
      <c r="AB137" s="138" t="str">
        <f t="shared" si="16"/>
        <v>优质工具</v>
      </c>
      <c r="AC137" s="3">
        <f t="shared" si="16"/>
        <v>500</v>
      </c>
    </row>
    <row r="138" spans="1:29" x14ac:dyDescent="0.15">
      <c r="A138" s="3">
        <v>100702</v>
      </c>
      <c r="B138" s="3"/>
      <c r="C138" s="3">
        <v>100703</v>
      </c>
      <c r="D138" s="3">
        <v>3</v>
      </c>
      <c r="E138" s="24">
        <v>601001</v>
      </c>
      <c r="F138" s="24" t="s">
        <v>50</v>
      </c>
      <c r="G138" s="3">
        <v>3000</v>
      </c>
      <c r="H138" s="134">
        <f>VLOOKUP(E138,[1]stuff!$A:$C,3,FALSE)</f>
        <v>5</v>
      </c>
      <c r="I138" s="130">
        <f t="shared" si="15"/>
        <v>85</v>
      </c>
      <c r="J138" s="130">
        <v>400</v>
      </c>
      <c r="K138" s="130">
        <f t="shared" si="4"/>
        <v>80</v>
      </c>
      <c r="L138" s="3">
        <f t="shared" si="12"/>
        <v>42250</v>
      </c>
      <c r="M138" s="3">
        <f t="shared" si="13"/>
        <v>23.668639053254438</v>
      </c>
      <c r="N138" s="4">
        <v>0</v>
      </c>
      <c r="O138" s="4"/>
      <c r="P138" s="3">
        <v>0</v>
      </c>
      <c r="Q138" s="3">
        <v>0</v>
      </c>
      <c r="R138" s="3">
        <v>0</v>
      </c>
      <c r="S138" s="3">
        <v>3</v>
      </c>
      <c r="T138" s="3">
        <f t="shared" si="5"/>
        <v>60</v>
      </c>
      <c r="U138" s="4">
        <v>607001</v>
      </c>
      <c r="V138" s="4" t="s">
        <v>30</v>
      </c>
      <c r="W138" s="3">
        <f t="shared" si="16"/>
        <v>10000</v>
      </c>
      <c r="X138" s="3">
        <f t="shared" si="16"/>
        <v>416001</v>
      </c>
      <c r="Y138" s="3" t="str">
        <f t="shared" si="16"/>
        <v>两轮马车</v>
      </c>
      <c r="Z138" s="3">
        <f t="shared" si="16"/>
        <v>40</v>
      </c>
      <c r="AA138" s="4">
        <f t="shared" si="16"/>
        <v>403002</v>
      </c>
      <c r="AB138" s="138" t="str">
        <f t="shared" si="16"/>
        <v>优质工具</v>
      </c>
      <c r="AC138" s="3">
        <f t="shared" si="16"/>
        <v>1000</v>
      </c>
    </row>
    <row r="139" spans="1:29" x14ac:dyDescent="0.15">
      <c r="A139" s="3">
        <v>100703</v>
      </c>
      <c r="B139" s="3"/>
      <c r="C139" s="3">
        <v>100704</v>
      </c>
      <c r="D139" s="3">
        <v>4</v>
      </c>
      <c r="E139" s="25">
        <v>601001</v>
      </c>
      <c r="F139" s="25" t="s">
        <v>50</v>
      </c>
      <c r="G139" s="3">
        <v>4000</v>
      </c>
      <c r="H139" s="134">
        <f>VLOOKUP(E139,[1]stuff!$A:$C,3,FALSE)</f>
        <v>5</v>
      </c>
      <c r="I139" s="130">
        <f t="shared" si="15"/>
        <v>85</v>
      </c>
      <c r="J139" s="130">
        <v>500</v>
      </c>
      <c r="K139" s="130">
        <f t="shared" si="4"/>
        <v>100</v>
      </c>
      <c r="L139" s="3">
        <f t="shared" si="12"/>
        <v>53000</v>
      </c>
      <c r="M139" s="3">
        <f t="shared" si="13"/>
        <v>37.735849056603776</v>
      </c>
      <c r="N139" s="4">
        <v>0</v>
      </c>
      <c r="O139" s="4"/>
      <c r="P139" s="3">
        <v>0</v>
      </c>
      <c r="Q139" s="3">
        <v>0</v>
      </c>
      <c r="R139" s="3">
        <v>0</v>
      </c>
      <c r="S139" s="3">
        <v>4</v>
      </c>
      <c r="T139" s="3">
        <f t="shared" si="5"/>
        <v>80</v>
      </c>
      <c r="U139" s="4">
        <v>607001</v>
      </c>
      <c r="V139" s="4" t="s">
        <v>30</v>
      </c>
      <c r="W139" s="3">
        <f t="shared" si="16"/>
        <v>20000</v>
      </c>
      <c r="X139" s="3">
        <f t="shared" si="16"/>
        <v>416002</v>
      </c>
      <c r="Y139" s="3" t="str">
        <f t="shared" si="16"/>
        <v>四轮马车</v>
      </c>
      <c r="Z139" s="3">
        <f t="shared" si="16"/>
        <v>50</v>
      </c>
      <c r="AA139" s="4">
        <f t="shared" si="16"/>
        <v>403002</v>
      </c>
      <c r="AB139" s="138" t="str">
        <f t="shared" si="16"/>
        <v>优质工具</v>
      </c>
      <c r="AC139" s="3">
        <f t="shared" si="16"/>
        <v>1000</v>
      </c>
    </row>
    <row r="140" spans="1:29" x14ac:dyDescent="0.15">
      <c r="A140" s="3">
        <v>100704</v>
      </c>
      <c r="B140" s="3"/>
      <c r="C140" s="3">
        <v>0</v>
      </c>
      <c r="D140" s="3">
        <v>5</v>
      </c>
      <c r="E140" s="26">
        <v>601001</v>
      </c>
      <c r="F140" s="26" t="s">
        <v>50</v>
      </c>
      <c r="G140" s="3">
        <v>5000</v>
      </c>
      <c r="H140" s="134">
        <f>VLOOKUP(E140,[1]stuff!$A:$C,3,FALSE)</f>
        <v>5</v>
      </c>
      <c r="I140" s="130">
        <f t="shared" si="15"/>
        <v>80</v>
      </c>
      <c r="J140" s="130">
        <v>600</v>
      </c>
      <c r="K140" s="130">
        <f t="shared" si="4"/>
        <v>120</v>
      </c>
      <c r="L140" s="3">
        <f t="shared" si="12"/>
        <v>65000</v>
      </c>
      <c r="M140" s="3">
        <f t="shared" si="13"/>
        <v>76.92307692307692</v>
      </c>
      <c r="N140" s="4">
        <v>0</v>
      </c>
      <c r="O140" s="4"/>
      <c r="P140" s="3">
        <v>0</v>
      </c>
      <c r="Q140" s="3">
        <v>0</v>
      </c>
      <c r="R140" s="3">
        <v>0</v>
      </c>
      <c r="S140" s="3">
        <v>6</v>
      </c>
      <c r="T140" s="3">
        <f t="shared" si="5"/>
        <v>120</v>
      </c>
      <c r="U140" s="4">
        <v>607001</v>
      </c>
      <c r="V140" s="4" t="s">
        <v>30</v>
      </c>
      <c r="W140" s="3">
        <f t="shared" si="16"/>
        <v>50000</v>
      </c>
      <c r="X140" s="3">
        <f t="shared" si="16"/>
        <v>416002</v>
      </c>
      <c r="Y140" s="3" t="str">
        <f t="shared" si="16"/>
        <v>四轮马车</v>
      </c>
      <c r="Z140" s="3">
        <f t="shared" si="16"/>
        <v>50</v>
      </c>
      <c r="AA140" s="4">
        <f t="shared" si="16"/>
        <v>403002</v>
      </c>
      <c r="AB140" s="138" t="str">
        <f t="shared" si="16"/>
        <v>优质工具</v>
      </c>
      <c r="AC140" s="3">
        <f t="shared" si="16"/>
        <v>2000</v>
      </c>
    </row>
    <row r="141" spans="1:29" x14ac:dyDescent="0.15">
      <c r="A141" s="3">
        <v>101100</v>
      </c>
      <c r="B141" s="3"/>
      <c r="C141" s="3">
        <v>101101</v>
      </c>
      <c r="D141" s="3">
        <v>1</v>
      </c>
      <c r="E141" s="12">
        <v>616004</v>
      </c>
      <c r="F141" s="133" t="s">
        <v>85</v>
      </c>
      <c r="G141" s="3">
        <v>500</v>
      </c>
      <c r="H141" s="134">
        <f>VLOOKUP(E141,[1]stuff!$A:$C,3,FALSE)</f>
        <v>2</v>
      </c>
      <c r="I141" s="130">
        <f t="shared" si="15"/>
        <v>95</v>
      </c>
      <c r="J141" s="130">
        <v>100</v>
      </c>
      <c r="K141" s="130">
        <f t="shared" si="4"/>
        <v>20</v>
      </c>
      <c r="L141" s="3">
        <f t="shared" si="12"/>
        <v>10050</v>
      </c>
      <c r="M141" s="3">
        <f t="shared" si="13"/>
        <v>19.900497512437809</v>
      </c>
      <c r="N141" s="4">
        <v>0</v>
      </c>
      <c r="O141" s="4"/>
      <c r="P141" s="3">
        <v>0</v>
      </c>
      <c r="Q141" s="3">
        <v>0</v>
      </c>
      <c r="R141" s="3">
        <v>0</v>
      </c>
      <c r="S141" s="3">
        <v>1</v>
      </c>
      <c r="T141" s="3">
        <f t="shared" si="5"/>
        <v>20</v>
      </c>
      <c r="U141" s="4">
        <v>607001</v>
      </c>
      <c r="V141" s="4" t="s">
        <v>30</v>
      </c>
      <c r="W141" s="3">
        <f t="shared" si="16"/>
        <v>2000</v>
      </c>
      <c r="X141" s="3">
        <f t="shared" si="16"/>
        <v>416001</v>
      </c>
      <c r="Y141" s="3" t="str">
        <f t="shared" si="16"/>
        <v>两轮马车</v>
      </c>
      <c r="Z141" s="3">
        <f t="shared" si="16"/>
        <v>20</v>
      </c>
      <c r="AA141" s="4">
        <f t="shared" si="16"/>
        <v>403002</v>
      </c>
      <c r="AB141" s="138" t="str">
        <f t="shared" si="16"/>
        <v>优质工具</v>
      </c>
      <c r="AC141" s="3">
        <f t="shared" si="16"/>
        <v>200</v>
      </c>
    </row>
    <row r="142" spans="1:29" x14ac:dyDescent="0.15">
      <c r="A142" s="3">
        <v>101101</v>
      </c>
      <c r="B142" s="3"/>
      <c r="C142" s="3">
        <v>101102</v>
      </c>
      <c r="D142" s="3">
        <v>2</v>
      </c>
      <c r="E142" s="13">
        <v>616004</v>
      </c>
      <c r="F142" s="13" t="s">
        <v>58</v>
      </c>
      <c r="G142" s="3">
        <v>1000</v>
      </c>
      <c r="H142" s="134">
        <f>VLOOKUP(E142,[1]stuff!$A:$C,3,FALSE)</f>
        <v>2</v>
      </c>
      <c r="I142" s="130">
        <f t="shared" si="15"/>
        <v>90</v>
      </c>
      <c r="J142" s="130">
        <v>150</v>
      </c>
      <c r="K142" s="130">
        <f t="shared" si="4"/>
        <v>30</v>
      </c>
      <c r="L142" s="3">
        <f t="shared" si="12"/>
        <v>15200</v>
      </c>
      <c r="M142" s="3">
        <f t="shared" si="13"/>
        <v>32.89473684210526</v>
      </c>
      <c r="N142" s="4">
        <v>0</v>
      </c>
      <c r="O142" s="4"/>
      <c r="P142" s="3">
        <v>0</v>
      </c>
      <c r="Q142" s="3">
        <v>0</v>
      </c>
      <c r="R142" s="3">
        <v>0</v>
      </c>
      <c r="S142" s="3">
        <v>2</v>
      </c>
      <c r="T142" s="3">
        <f t="shared" si="5"/>
        <v>40</v>
      </c>
      <c r="U142" s="4">
        <v>607001</v>
      </c>
      <c r="V142" s="4" t="s">
        <v>30</v>
      </c>
      <c r="W142" s="3">
        <f t="shared" si="16"/>
        <v>5000</v>
      </c>
      <c r="X142" s="3">
        <f t="shared" si="16"/>
        <v>416001</v>
      </c>
      <c r="Y142" s="3" t="str">
        <f t="shared" si="16"/>
        <v>两轮马车</v>
      </c>
      <c r="Z142" s="3">
        <f t="shared" si="16"/>
        <v>30</v>
      </c>
      <c r="AA142" s="4">
        <f t="shared" si="16"/>
        <v>403002</v>
      </c>
      <c r="AB142" s="138" t="str">
        <f t="shared" si="16"/>
        <v>优质工具</v>
      </c>
      <c r="AC142" s="3">
        <f t="shared" si="16"/>
        <v>500</v>
      </c>
    </row>
    <row r="143" spans="1:29" x14ac:dyDescent="0.15">
      <c r="A143" s="3">
        <v>101102</v>
      </c>
      <c r="B143" s="3"/>
      <c r="C143" s="3">
        <v>101103</v>
      </c>
      <c r="D143" s="3">
        <v>3</v>
      </c>
      <c r="E143" s="14">
        <v>616004</v>
      </c>
      <c r="F143" s="14" t="s">
        <v>58</v>
      </c>
      <c r="G143" s="3">
        <v>1500</v>
      </c>
      <c r="H143" s="134">
        <f>VLOOKUP(E143,[1]stuff!$A:$C,3,FALSE)</f>
        <v>2</v>
      </c>
      <c r="I143" s="130">
        <f t="shared" si="15"/>
        <v>85</v>
      </c>
      <c r="J143" s="130">
        <v>200</v>
      </c>
      <c r="K143" s="130">
        <f t="shared" si="4"/>
        <v>40</v>
      </c>
      <c r="L143" s="3">
        <f t="shared" si="12"/>
        <v>20450</v>
      </c>
      <c r="M143" s="3">
        <f t="shared" si="13"/>
        <v>48.899755501222494</v>
      </c>
      <c r="N143" s="4">
        <v>0</v>
      </c>
      <c r="O143" s="4"/>
      <c r="P143" s="3">
        <v>0</v>
      </c>
      <c r="Q143" s="3">
        <v>0</v>
      </c>
      <c r="R143" s="3">
        <v>0</v>
      </c>
      <c r="S143" s="3">
        <v>3</v>
      </c>
      <c r="T143" s="3">
        <f t="shared" si="5"/>
        <v>60</v>
      </c>
      <c r="U143" s="4">
        <v>607001</v>
      </c>
      <c r="V143" s="4" t="s">
        <v>30</v>
      </c>
      <c r="W143" s="3">
        <f t="shared" si="16"/>
        <v>10000</v>
      </c>
      <c r="X143" s="3">
        <f t="shared" si="16"/>
        <v>416001</v>
      </c>
      <c r="Y143" s="3" t="str">
        <f t="shared" si="16"/>
        <v>两轮马车</v>
      </c>
      <c r="Z143" s="3">
        <f t="shared" si="16"/>
        <v>40</v>
      </c>
      <c r="AA143" s="4">
        <f t="shared" si="16"/>
        <v>403002</v>
      </c>
      <c r="AB143" s="138" t="str">
        <f t="shared" si="16"/>
        <v>优质工具</v>
      </c>
      <c r="AC143" s="3">
        <f t="shared" si="16"/>
        <v>1000</v>
      </c>
    </row>
    <row r="144" spans="1:29" x14ac:dyDescent="0.15">
      <c r="A144" s="3">
        <v>101103</v>
      </c>
      <c r="B144" s="3"/>
      <c r="C144" s="3">
        <v>101104</v>
      </c>
      <c r="D144" s="3">
        <v>4</v>
      </c>
      <c r="E144" s="15">
        <v>616004</v>
      </c>
      <c r="F144" s="15" t="s">
        <v>58</v>
      </c>
      <c r="G144" s="3">
        <v>2000</v>
      </c>
      <c r="H144" s="134">
        <f>VLOOKUP(E144,[1]stuff!$A:$C,3,FALSE)</f>
        <v>2</v>
      </c>
      <c r="I144" s="130">
        <f t="shared" si="15"/>
        <v>85</v>
      </c>
      <c r="J144" s="130">
        <v>250</v>
      </c>
      <c r="K144" s="130">
        <f t="shared" si="4"/>
        <v>50</v>
      </c>
      <c r="L144" s="3">
        <f t="shared" si="12"/>
        <v>25600</v>
      </c>
      <c r="M144" s="3">
        <f t="shared" si="13"/>
        <v>78.125</v>
      </c>
      <c r="N144" s="4">
        <v>0</v>
      </c>
      <c r="O144" s="4"/>
      <c r="P144" s="3">
        <v>0</v>
      </c>
      <c r="Q144" s="3">
        <v>0</v>
      </c>
      <c r="R144" s="3">
        <v>0</v>
      </c>
      <c r="S144" s="3">
        <v>4</v>
      </c>
      <c r="T144" s="3">
        <f t="shared" si="5"/>
        <v>80</v>
      </c>
      <c r="U144" s="4">
        <v>607001</v>
      </c>
      <c r="V144" s="4" t="s">
        <v>30</v>
      </c>
      <c r="W144" s="3">
        <f t="shared" si="16"/>
        <v>20000</v>
      </c>
      <c r="X144" s="3">
        <f t="shared" si="16"/>
        <v>416002</v>
      </c>
      <c r="Y144" s="3" t="str">
        <f t="shared" si="16"/>
        <v>四轮马车</v>
      </c>
      <c r="Z144" s="3">
        <f t="shared" si="16"/>
        <v>50</v>
      </c>
      <c r="AA144" s="4">
        <f t="shared" si="16"/>
        <v>403002</v>
      </c>
      <c r="AB144" s="138" t="str">
        <f t="shared" si="16"/>
        <v>优质工具</v>
      </c>
      <c r="AC144" s="3">
        <f t="shared" si="16"/>
        <v>1000</v>
      </c>
    </row>
    <row r="145" spans="1:29" x14ac:dyDescent="0.15">
      <c r="A145" s="3">
        <v>101104</v>
      </c>
      <c r="B145" s="3"/>
      <c r="C145" s="3">
        <v>0</v>
      </c>
      <c r="D145" s="3">
        <v>5</v>
      </c>
      <c r="E145" s="16">
        <v>616004</v>
      </c>
      <c r="F145" s="16" t="s">
        <v>58</v>
      </c>
      <c r="G145" s="3">
        <v>2500</v>
      </c>
      <c r="H145" s="134">
        <f>VLOOKUP(E145,[1]stuff!$A:$C,3,FALSE)</f>
        <v>2</v>
      </c>
      <c r="I145" s="130">
        <f t="shared" si="15"/>
        <v>80</v>
      </c>
      <c r="J145" s="130">
        <v>300</v>
      </c>
      <c r="K145" s="130">
        <f t="shared" si="4"/>
        <v>60</v>
      </c>
      <c r="L145" s="3">
        <f t="shared" si="12"/>
        <v>31000</v>
      </c>
      <c r="M145" s="3">
        <f t="shared" si="13"/>
        <v>161.29032258064515</v>
      </c>
      <c r="N145" s="4">
        <v>0</v>
      </c>
      <c r="O145" s="4"/>
      <c r="P145" s="3">
        <v>0</v>
      </c>
      <c r="Q145" s="3">
        <v>0</v>
      </c>
      <c r="R145" s="3">
        <v>0</v>
      </c>
      <c r="S145" s="3">
        <v>6</v>
      </c>
      <c r="T145" s="3">
        <f t="shared" si="5"/>
        <v>120</v>
      </c>
      <c r="U145" s="4">
        <v>607001</v>
      </c>
      <c r="V145" s="4" t="s">
        <v>30</v>
      </c>
      <c r="W145" s="3">
        <f t="shared" si="16"/>
        <v>50000</v>
      </c>
      <c r="X145" s="3">
        <f t="shared" si="16"/>
        <v>416002</v>
      </c>
      <c r="Y145" s="3" t="str">
        <f t="shared" si="16"/>
        <v>四轮马车</v>
      </c>
      <c r="Z145" s="3">
        <f t="shared" si="16"/>
        <v>50</v>
      </c>
      <c r="AA145" s="4">
        <f t="shared" si="16"/>
        <v>403002</v>
      </c>
      <c r="AB145" s="138" t="str">
        <f t="shared" si="16"/>
        <v>优质工具</v>
      </c>
      <c r="AC145" s="3">
        <f t="shared" si="16"/>
        <v>2000</v>
      </c>
    </row>
    <row r="146" spans="1:29" x14ac:dyDescent="0.15">
      <c r="A146" s="3">
        <v>101600</v>
      </c>
      <c r="B146" s="3"/>
      <c r="C146" s="3">
        <v>101601</v>
      </c>
      <c r="D146" s="3">
        <v>1</v>
      </c>
      <c r="E146" s="32">
        <v>616002</v>
      </c>
      <c r="F146" s="32" t="s">
        <v>56</v>
      </c>
      <c r="G146" s="3">
        <v>500</v>
      </c>
      <c r="H146" s="134">
        <f>VLOOKUP(E146,[1]stuff!$A:$C,3,FALSE)</f>
        <v>2</v>
      </c>
      <c r="I146" s="130">
        <f t="shared" si="15"/>
        <v>95</v>
      </c>
      <c r="J146" s="130">
        <v>100</v>
      </c>
      <c r="K146" s="130">
        <f t="shared" si="4"/>
        <v>20</v>
      </c>
      <c r="L146" s="3">
        <f t="shared" si="12"/>
        <v>10050</v>
      </c>
      <c r="M146" s="3">
        <f t="shared" si="13"/>
        <v>19.900497512437809</v>
      </c>
      <c r="N146" s="4">
        <v>0</v>
      </c>
      <c r="O146" s="4"/>
      <c r="P146" s="3">
        <v>0</v>
      </c>
      <c r="Q146" s="3">
        <v>0</v>
      </c>
      <c r="R146" s="3">
        <v>0</v>
      </c>
      <c r="S146" s="3">
        <v>1</v>
      </c>
      <c r="T146" s="3">
        <f t="shared" si="5"/>
        <v>20</v>
      </c>
      <c r="U146" s="4">
        <v>607001</v>
      </c>
      <c r="V146" s="4" t="s">
        <v>30</v>
      </c>
      <c r="W146" s="3">
        <f t="shared" si="16"/>
        <v>2000</v>
      </c>
      <c r="X146" s="3">
        <f t="shared" si="16"/>
        <v>416001</v>
      </c>
      <c r="Y146" s="3" t="str">
        <f t="shared" si="16"/>
        <v>两轮马车</v>
      </c>
      <c r="Z146" s="3">
        <f t="shared" si="16"/>
        <v>20</v>
      </c>
      <c r="AA146" s="4">
        <f t="shared" si="16"/>
        <v>403002</v>
      </c>
      <c r="AB146" s="138" t="str">
        <f t="shared" si="16"/>
        <v>优质工具</v>
      </c>
      <c r="AC146" s="3">
        <f t="shared" si="16"/>
        <v>200</v>
      </c>
    </row>
    <row r="147" spans="1:29" x14ac:dyDescent="0.15">
      <c r="A147" s="3">
        <v>101601</v>
      </c>
      <c r="B147" s="3"/>
      <c r="C147" s="3">
        <v>101602</v>
      </c>
      <c r="D147" s="3">
        <v>2</v>
      </c>
      <c r="E147" s="33">
        <v>616002</v>
      </c>
      <c r="F147" s="33" t="s">
        <v>56</v>
      </c>
      <c r="G147" s="3">
        <v>1000</v>
      </c>
      <c r="H147" s="134">
        <f>VLOOKUP(E147,[1]stuff!$A:$C,3,FALSE)</f>
        <v>2</v>
      </c>
      <c r="I147" s="130">
        <f t="shared" si="15"/>
        <v>90</v>
      </c>
      <c r="J147" s="130">
        <v>150</v>
      </c>
      <c r="K147" s="130">
        <f t="shared" ref="K147:K210" si="17">J147*0.2</f>
        <v>30</v>
      </c>
      <c r="L147" s="3">
        <f t="shared" si="12"/>
        <v>15200</v>
      </c>
      <c r="M147" s="3">
        <f t="shared" si="13"/>
        <v>32.89473684210526</v>
      </c>
      <c r="N147" s="4">
        <v>0</v>
      </c>
      <c r="O147" s="4"/>
      <c r="P147" s="3">
        <v>0</v>
      </c>
      <c r="Q147" s="3">
        <v>0</v>
      </c>
      <c r="R147" s="3">
        <v>0</v>
      </c>
      <c r="S147" s="3">
        <v>2</v>
      </c>
      <c r="T147" s="3">
        <f t="shared" ref="T147:T210" si="18">S147*20</f>
        <v>40</v>
      </c>
      <c r="U147" s="4">
        <v>607001</v>
      </c>
      <c r="V147" s="4" t="s">
        <v>30</v>
      </c>
      <c r="W147" s="3">
        <f t="shared" si="16"/>
        <v>5000</v>
      </c>
      <c r="X147" s="3">
        <f t="shared" si="16"/>
        <v>416001</v>
      </c>
      <c r="Y147" s="3" t="str">
        <f t="shared" si="16"/>
        <v>两轮马车</v>
      </c>
      <c r="Z147" s="3">
        <f t="shared" si="16"/>
        <v>30</v>
      </c>
      <c r="AA147" s="4">
        <f t="shared" si="16"/>
        <v>403002</v>
      </c>
      <c r="AB147" s="138" t="str">
        <f t="shared" si="16"/>
        <v>优质工具</v>
      </c>
      <c r="AC147" s="3">
        <f t="shared" si="16"/>
        <v>500</v>
      </c>
    </row>
    <row r="148" spans="1:29" x14ac:dyDescent="0.15">
      <c r="A148" s="3">
        <v>101602</v>
      </c>
      <c r="B148" s="3"/>
      <c r="C148" s="3">
        <v>101603</v>
      </c>
      <c r="D148" s="3">
        <v>3</v>
      </c>
      <c r="E148" s="34">
        <v>616002</v>
      </c>
      <c r="F148" s="34" t="s">
        <v>56</v>
      </c>
      <c r="G148" s="3">
        <v>1500</v>
      </c>
      <c r="H148" s="134">
        <f>VLOOKUP(E148,[1]stuff!$A:$C,3,FALSE)</f>
        <v>2</v>
      </c>
      <c r="I148" s="130">
        <f t="shared" si="15"/>
        <v>85</v>
      </c>
      <c r="J148" s="130">
        <v>200</v>
      </c>
      <c r="K148" s="130">
        <f t="shared" si="17"/>
        <v>40</v>
      </c>
      <c r="L148" s="3">
        <f t="shared" si="12"/>
        <v>20450</v>
      </c>
      <c r="M148" s="3">
        <f t="shared" si="13"/>
        <v>48.899755501222494</v>
      </c>
      <c r="N148" s="4">
        <v>0</v>
      </c>
      <c r="O148" s="4"/>
      <c r="P148" s="3">
        <v>0</v>
      </c>
      <c r="Q148" s="3">
        <v>0</v>
      </c>
      <c r="R148" s="3">
        <v>0</v>
      </c>
      <c r="S148" s="3">
        <v>3</v>
      </c>
      <c r="T148" s="3">
        <f t="shared" si="18"/>
        <v>60</v>
      </c>
      <c r="U148" s="4">
        <v>607001</v>
      </c>
      <c r="V148" s="4" t="s">
        <v>30</v>
      </c>
      <c r="W148" s="3">
        <f t="shared" si="16"/>
        <v>10000</v>
      </c>
      <c r="X148" s="3">
        <f t="shared" si="16"/>
        <v>416001</v>
      </c>
      <c r="Y148" s="3" t="str">
        <f t="shared" si="16"/>
        <v>两轮马车</v>
      </c>
      <c r="Z148" s="3">
        <f t="shared" si="16"/>
        <v>40</v>
      </c>
      <c r="AA148" s="4">
        <f t="shared" si="16"/>
        <v>403002</v>
      </c>
      <c r="AB148" s="138" t="str">
        <f t="shared" si="16"/>
        <v>优质工具</v>
      </c>
      <c r="AC148" s="3">
        <f t="shared" si="16"/>
        <v>1000</v>
      </c>
    </row>
    <row r="149" spans="1:29" x14ac:dyDescent="0.15">
      <c r="A149" s="3">
        <v>101603</v>
      </c>
      <c r="B149" s="3"/>
      <c r="C149" s="3">
        <v>101604</v>
      </c>
      <c r="D149" s="3">
        <v>4</v>
      </c>
      <c r="E149" s="35">
        <v>616002</v>
      </c>
      <c r="F149" s="35" t="s">
        <v>56</v>
      </c>
      <c r="G149" s="3">
        <v>2000</v>
      </c>
      <c r="H149" s="134">
        <f>VLOOKUP(E149,[1]stuff!$A:$C,3,FALSE)</f>
        <v>2</v>
      </c>
      <c r="I149" s="130">
        <f t="shared" si="15"/>
        <v>85</v>
      </c>
      <c r="J149" s="130">
        <v>250</v>
      </c>
      <c r="K149" s="130">
        <f t="shared" si="17"/>
        <v>50</v>
      </c>
      <c r="L149" s="3">
        <f t="shared" si="12"/>
        <v>25600</v>
      </c>
      <c r="M149" s="3">
        <f t="shared" si="13"/>
        <v>78.125</v>
      </c>
      <c r="N149" s="4">
        <v>0</v>
      </c>
      <c r="O149" s="4"/>
      <c r="P149" s="3">
        <v>0</v>
      </c>
      <c r="Q149" s="3">
        <v>0</v>
      </c>
      <c r="R149" s="3">
        <v>0</v>
      </c>
      <c r="S149" s="3">
        <v>4</v>
      </c>
      <c r="T149" s="3">
        <f t="shared" si="18"/>
        <v>80</v>
      </c>
      <c r="U149" s="4">
        <v>607001</v>
      </c>
      <c r="V149" s="4" t="s">
        <v>30</v>
      </c>
      <c r="W149" s="3">
        <f t="shared" si="16"/>
        <v>20000</v>
      </c>
      <c r="X149" s="3">
        <f t="shared" si="16"/>
        <v>416002</v>
      </c>
      <c r="Y149" s="3" t="str">
        <f t="shared" si="16"/>
        <v>四轮马车</v>
      </c>
      <c r="Z149" s="3">
        <f t="shared" si="16"/>
        <v>50</v>
      </c>
      <c r="AA149" s="4">
        <f t="shared" si="16"/>
        <v>403002</v>
      </c>
      <c r="AB149" s="138" t="str">
        <f t="shared" si="16"/>
        <v>优质工具</v>
      </c>
      <c r="AC149" s="3">
        <f t="shared" si="16"/>
        <v>1000</v>
      </c>
    </row>
    <row r="150" spans="1:29" x14ac:dyDescent="0.15">
      <c r="A150" s="3">
        <v>101604</v>
      </c>
      <c r="B150" s="3"/>
      <c r="C150" s="3">
        <v>0</v>
      </c>
      <c r="D150" s="3">
        <v>5</v>
      </c>
      <c r="E150" s="35">
        <v>616002</v>
      </c>
      <c r="F150" s="35" t="s">
        <v>56</v>
      </c>
      <c r="G150" s="3">
        <v>2500</v>
      </c>
      <c r="H150" s="134">
        <f>VLOOKUP(E150,[1]stuff!$A:$C,3,FALSE)</f>
        <v>2</v>
      </c>
      <c r="I150" s="130">
        <f t="shared" si="15"/>
        <v>80</v>
      </c>
      <c r="J150" s="130">
        <v>300</v>
      </c>
      <c r="K150" s="130">
        <f t="shared" si="17"/>
        <v>60</v>
      </c>
      <c r="L150" s="3">
        <f t="shared" si="12"/>
        <v>31000</v>
      </c>
      <c r="M150" s="3">
        <f t="shared" si="13"/>
        <v>161.29032258064515</v>
      </c>
      <c r="N150" s="4">
        <v>0</v>
      </c>
      <c r="O150" s="4"/>
      <c r="P150" s="3">
        <v>0</v>
      </c>
      <c r="Q150" s="3">
        <v>0</v>
      </c>
      <c r="R150" s="3">
        <v>0</v>
      </c>
      <c r="S150" s="3">
        <v>6</v>
      </c>
      <c r="T150" s="3">
        <f t="shared" si="18"/>
        <v>120</v>
      </c>
      <c r="U150" s="4">
        <v>607001</v>
      </c>
      <c r="V150" s="4" t="s">
        <v>30</v>
      </c>
      <c r="W150" s="3">
        <f t="shared" si="16"/>
        <v>50000</v>
      </c>
      <c r="X150" s="3">
        <f t="shared" si="16"/>
        <v>416002</v>
      </c>
      <c r="Y150" s="3" t="str">
        <f t="shared" si="16"/>
        <v>四轮马车</v>
      </c>
      <c r="Z150" s="3">
        <f t="shared" si="16"/>
        <v>50</v>
      </c>
      <c r="AA150" s="4">
        <f t="shared" si="16"/>
        <v>403002</v>
      </c>
      <c r="AB150" s="138" t="str">
        <f t="shared" si="16"/>
        <v>优质工具</v>
      </c>
      <c r="AC150" s="3">
        <f t="shared" si="16"/>
        <v>2000</v>
      </c>
    </row>
    <row r="151" spans="1:29" x14ac:dyDescent="0.15">
      <c r="A151" s="135">
        <v>101700</v>
      </c>
      <c r="B151" s="136" t="s">
        <v>91</v>
      </c>
      <c r="C151" s="3">
        <v>101701</v>
      </c>
      <c r="D151" s="3">
        <v>1</v>
      </c>
      <c r="E151" s="20">
        <v>602001</v>
      </c>
      <c r="F151" s="20" t="s">
        <v>51</v>
      </c>
      <c r="G151" s="3">
        <v>1000</v>
      </c>
      <c r="H151" s="134">
        <f>VLOOKUP(E151,[1]stuff!$A:$C,3,FALSE)</f>
        <v>5</v>
      </c>
      <c r="I151" s="130">
        <f t="shared" si="15"/>
        <v>95</v>
      </c>
      <c r="J151" s="130">
        <v>200</v>
      </c>
      <c r="K151" s="130">
        <f t="shared" si="17"/>
        <v>40</v>
      </c>
      <c r="L151" s="3">
        <f t="shared" si="12"/>
        <v>20250</v>
      </c>
      <c r="M151" s="3">
        <f t="shared" si="13"/>
        <v>9.8765432098765427</v>
      </c>
      <c r="N151" s="4">
        <v>0</v>
      </c>
      <c r="O151" s="4"/>
      <c r="P151" s="3">
        <v>0</v>
      </c>
      <c r="Q151" s="3">
        <v>0</v>
      </c>
      <c r="R151" s="3">
        <v>0</v>
      </c>
      <c r="S151" s="3">
        <v>1</v>
      </c>
      <c r="T151" s="3">
        <f t="shared" si="18"/>
        <v>20</v>
      </c>
      <c r="U151" s="4">
        <v>607001</v>
      </c>
      <c r="V151" s="4" t="s">
        <v>30</v>
      </c>
      <c r="W151" s="3">
        <f t="shared" si="16"/>
        <v>2000</v>
      </c>
      <c r="X151" s="3">
        <f t="shared" si="16"/>
        <v>416001</v>
      </c>
      <c r="Y151" s="3" t="str">
        <f t="shared" si="16"/>
        <v>两轮马车</v>
      </c>
      <c r="Z151" s="3">
        <f t="shared" si="16"/>
        <v>20</v>
      </c>
      <c r="AA151" s="4">
        <f t="shared" si="16"/>
        <v>403002</v>
      </c>
      <c r="AB151" s="138" t="str">
        <f t="shared" si="16"/>
        <v>优质工具</v>
      </c>
      <c r="AC151" s="3">
        <f t="shared" si="16"/>
        <v>200</v>
      </c>
    </row>
    <row r="152" spans="1:29" x14ac:dyDescent="0.15">
      <c r="A152" s="3">
        <v>101701</v>
      </c>
      <c r="B152" s="3"/>
      <c r="C152" s="3">
        <v>101702</v>
      </c>
      <c r="D152" s="3">
        <v>2</v>
      </c>
      <c r="E152" s="21">
        <v>602001</v>
      </c>
      <c r="F152" s="21" t="s">
        <v>51</v>
      </c>
      <c r="G152" s="3">
        <v>2000</v>
      </c>
      <c r="H152" s="134">
        <f>VLOOKUP(E152,[1]stuff!$A:$C,3,FALSE)</f>
        <v>5</v>
      </c>
      <c r="I152" s="130">
        <f t="shared" si="15"/>
        <v>90</v>
      </c>
      <c r="J152" s="130">
        <v>300</v>
      </c>
      <c r="K152" s="130">
        <f t="shared" si="17"/>
        <v>60</v>
      </c>
      <c r="L152" s="3">
        <f t="shared" si="12"/>
        <v>31000</v>
      </c>
      <c r="M152" s="3">
        <f t="shared" si="13"/>
        <v>16.129032258064516</v>
      </c>
      <c r="N152" s="4">
        <v>0</v>
      </c>
      <c r="O152" s="4"/>
      <c r="P152" s="3">
        <v>0</v>
      </c>
      <c r="Q152" s="3">
        <v>0</v>
      </c>
      <c r="R152" s="3">
        <v>0</v>
      </c>
      <c r="S152" s="3">
        <v>2</v>
      </c>
      <c r="T152" s="3">
        <f t="shared" si="18"/>
        <v>40</v>
      </c>
      <c r="U152" s="4">
        <v>607001</v>
      </c>
      <c r="V152" s="4" t="s">
        <v>30</v>
      </c>
      <c r="W152" s="3">
        <f t="shared" si="16"/>
        <v>5000</v>
      </c>
      <c r="X152" s="3">
        <f t="shared" si="16"/>
        <v>416001</v>
      </c>
      <c r="Y152" s="3" t="str">
        <f t="shared" si="16"/>
        <v>两轮马车</v>
      </c>
      <c r="Z152" s="3">
        <f t="shared" si="16"/>
        <v>30</v>
      </c>
      <c r="AA152" s="4">
        <f t="shared" si="16"/>
        <v>403002</v>
      </c>
      <c r="AB152" s="138" t="str">
        <f t="shared" si="16"/>
        <v>优质工具</v>
      </c>
      <c r="AC152" s="3">
        <f t="shared" si="16"/>
        <v>500</v>
      </c>
    </row>
    <row r="153" spans="1:29" x14ac:dyDescent="0.15">
      <c r="A153" s="3">
        <v>101702</v>
      </c>
      <c r="B153" s="3"/>
      <c r="C153" s="3">
        <v>101703</v>
      </c>
      <c r="D153" s="3">
        <v>3</v>
      </c>
      <c r="E153" s="17">
        <v>602001</v>
      </c>
      <c r="F153" s="17" t="s">
        <v>51</v>
      </c>
      <c r="G153" s="3">
        <v>3000</v>
      </c>
      <c r="H153" s="134">
        <f>VLOOKUP(E153,[1]stuff!$A:$C,3,FALSE)</f>
        <v>5</v>
      </c>
      <c r="I153" s="130">
        <f t="shared" si="15"/>
        <v>85</v>
      </c>
      <c r="J153" s="130">
        <v>400</v>
      </c>
      <c r="K153" s="130">
        <f t="shared" si="17"/>
        <v>80</v>
      </c>
      <c r="L153" s="3">
        <f t="shared" si="12"/>
        <v>42250</v>
      </c>
      <c r="M153" s="3">
        <f t="shared" si="13"/>
        <v>23.668639053254438</v>
      </c>
      <c r="N153" s="4">
        <v>0</v>
      </c>
      <c r="O153" s="4"/>
      <c r="P153" s="3">
        <v>0</v>
      </c>
      <c r="Q153" s="3">
        <v>0</v>
      </c>
      <c r="R153" s="3">
        <v>0</v>
      </c>
      <c r="S153" s="3">
        <v>3</v>
      </c>
      <c r="T153" s="3">
        <f t="shared" si="18"/>
        <v>60</v>
      </c>
      <c r="U153" s="4">
        <v>607001</v>
      </c>
      <c r="V153" s="4" t="s">
        <v>30</v>
      </c>
      <c r="W153" s="3">
        <f t="shared" si="16"/>
        <v>10000</v>
      </c>
      <c r="X153" s="3">
        <f t="shared" si="16"/>
        <v>416001</v>
      </c>
      <c r="Y153" s="3" t="str">
        <f t="shared" si="16"/>
        <v>两轮马车</v>
      </c>
      <c r="Z153" s="3">
        <f t="shared" si="16"/>
        <v>40</v>
      </c>
      <c r="AA153" s="4">
        <f t="shared" si="16"/>
        <v>403002</v>
      </c>
      <c r="AB153" s="138" t="str">
        <f t="shared" si="16"/>
        <v>优质工具</v>
      </c>
      <c r="AC153" s="3">
        <f t="shared" si="16"/>
        <v>1000</v>
      </c>
    </row>
    <row r="154" spans="1:29" x14ac:dyDescent="0.15">
      <c r="A154" s="3">
        <v>101703</v>
      </c>
      <c r="B154" s="3"/>
      <c r="C154" s="3">
        <v>101704</v>
      </c>
      <c r="D154" s="3">
        <v>4</v>
      </c>
      <c r="E154" s="18">
        <v>602001</v>
      </c>
      <c r="F154" s="18" t="s">
        <v>51</v>
      </c>
      <c r="G154" s="3">
        <v>4000</v>
      </c>
      <c r="H154" s="134">
        <f>VLOOKUP(E154,[1]stuff!$A:$C,3,FALSE)</f>
        <v>5</v>
      </c>
      <c r="I154" s="130">
        <f t="shared" si="15"/>
        <v>85</v>
      </c>
      <c r="J154" s="130">
        <v>500</v>
      </c>
      <c r="K154" s="130">
        <f t="shared" si="17"/>
        <v>100</v>
      </c>
      <c r="L154" s="3">
        <f t="shared" si="12"/>
        <v>53000</v>
      </c>
      <c r="M154" s="3">
        <f t="shared" si="13"/>
        <v>37.735849056603776</v>
      </c>
      <c r="N154" s="4">
        <v>0</v>
      </c>
      <c r="O154" s="4"/>
      <c r="P154" s="3">
        <v>0</v>
      </c>
      <c r="Q154" s="3">
        <v>0</v>
      </c>
      <c r="R154" s="3">
        <v>0</v>
      </c>
      <c r="S154" s="3">
        <v>4</v>
      </c>
      <c r="T154" s="3">
        <f t="shared" si="18"/>
        <v>80</v>
      </c>
      <c r="U154" s="4">
        <v>607001</v>
      </c>
      <c r="V154" s="4" t="s">
        <v>30</v>
      </c>
      <c r="W154" s="3">
        <f t="shared" si="16"/>
        <v>20000</v>
      </c>
      <c r="X154" s="3">
        <f t="shared" si="16"/>
        <v>416002</v>
      </c>
      <c r="Y154" s="3" t="str">
        <f t="shared" si="16"/>
        <v>四轮马车</v>
      </c>
      <c r="Z154" s="3">
        <f t="shared" si="16"/>
        <v>50</v>
      </c>
      <c r="AA154" s="4">
        <f t="shared" si="16"/>
        <v>403002</v>
      </c>
      <c r="AB154" s="138" t="str">
        <f t="shared" si="16"/>
        <v>优质工具</v>
      </c>
      <c r="AC154" s="3">
        <f t="shared" si="16"/>
        <v>1000</v>
      </c>
    </row>
    <row r="155" spans="1:29" x14ac:dyDescent="0.15">
      <c r="A155" s="3">
        <v>101704</v>
      </c>
      <c r="B155" s="3"/>
      <c r="C155" s="3">
        <v>0</v>
      </c>
      <c r="D155" s="3">
        <v>5</v>
      </c>
      <c r="E155" s="19">
        <v>602001</v>
      </c>
      <c r="F155" s="19" t="s">
        <v>51</v>
      </c>
      <c r="G155" s="3">
        <v>5000</v>
      </c>
      <c r="H155" s="134">
        <f>VLOOKUP(E155,[1]stuff!$A:$C,3,FALSE)</f>
        <v>5</v>
      </c>
      <c r="I155" s="130">
        <f t="shared" si="15"/>
        <v>80</v>
      </c>
      <c r="J155" s="130">
        <v>600</v>
      </c>
      <c r="K155" s="130">
        <f t="shared" si="17"/>
        <v>120</v>
      </c>
      <c r="L155" s="3">
        <f t="shared" si="12"/>
        <v>65000</v>
      </c>
      <c r="M155" s="3">
        <f t="shared" si="13"/>
        <v>76.92307692307692</v>
      </c>
      <c r="N155" s="4">
        <v>0</v>
      </c>
      <c r="O155" s="4"/>
      <c r="P155" s="3">
        <v>0</v>
      </c>
      <c r="Q155" s="3">
        <v>0</v>
      </c>
      <c r="R155" s="3">
        <v>0</v>
      </c>
      <c r="S155" s="3">
        <v>6</v>
      </c>
      <c r="T155" s="3">
        <f t="shared" si="18"/>
        <v>120</v>
      </c>
      <c r="U155" s="4">
        <v>607001</v>
      </c>
      <c r="V155" s="4" t="s">
        <v>30</v>
      </c>
      <c r="W155" s="3">
        <f t="shared" si="16"/>
        <v>50000</v>
      </c>
      <c r="X155" s="3">
        <f t="shared" si="16"/>
        <v>416002</v>
      </c>
      <c r="Y155" s="3" t="str">
        <f t="shared" si="16"/>
        <v>四轮马车</v>
      </c>
      <c r="Z155" s="3">
        <f t="shared" si="16"/>
        <v>50</v>
      </c>
      <c r="AA155" s="4">
        <f t="shared" si="16"/>
        <v>403002</v>
      </c>
      <c r="AB155" s="138" t="str">
        <f t="shared" si="16"/>
        <v>优质工具</v>
      </c>
      <c r="AC155" s="3">
        <f t="shared" si="16"/>
        <v>2000</v>
      </c>
    </row>
    <row r="156" spans="1:29" s="102" customFormat="1" x14ac:dyDescent="0.15">
      <c r="A156" s="100">
        <v>101800</v>
      </c>
      <c r="B156" s="100"/>
      <c r="C156" s="100">
        <v>101801</v>
      </c>
      <c r="D156" s="100">
        <v>1</v>
      </c>
      <c r="E156" s="103">
        <v>422001</v>
      </c>
      <c r="F156" s="103" t="s">
        <v>52</v>
      </c>
      <c r="G156" s="100">
        <v>500</v>
      </c>
      <c r="H156" s="134">
        <f>VLOOKUP(E156,[1]stuff!$A:$C,3,FALSE)</f>
        <v>100</v>
      </c>
      <c r="I156" s="130">
        <f t="shared" si="15"/>
        <v>95</v>
      </c>
      <c r="J156" s="130">
        <v>200</v>
      </c>
      <c r="K156" s="130">
        <f t="shared" si="17"/>
        <v>40</v>
      </c>
      <c r="L156" s="3">
        <f t="shared" si="12"/>
        <v>22500</v>
      </c>
      <c r="M156" s="3">
        <f t="shared" si="13"/>
        <v>8.8888888888888893</v>
      </c>
      <c r="N156" s="101">
        <v>202897</v>
      </c>
      <c r="O156" s="101" t="s">
        <v>71</v>
      </c>
      <c r="P156" s="100">
        <v>30</v>
      </c>
      <c r="Q156" s="100">
        <v>5</v>
      </c>
      <c r="R156" s="100">
        <v>20</v>
      </c>
      <c r="S156" s="3">
        <v>1</v>
      </c>
      <c r="T156" s="3">
        <f t="shared" si="18"/>
        <v>20</v>
      </c>
      <c r="U156" s="101">
        <v>607001</v>
      </c>
      <c r="V156" s="101" t="s">
        <v>30</v>
      </c>
      <c r="W156" s="3">
        <f t="shared" si="16"/>
        <v>2000</v>
      </c>
      <c r="X156" s="3">
        <f t="shared" si="16"/>
        <v>416001</v>
      </c>
      <c r="Y156" s="3" t="str">
        <f t="shared" si="16"/>
        <v>两轮马车</v>
      </c>
      <c r="Z156" s="3">
        <f t="shared" si="16"/>
        <v>20</v>
      </c>
      <c r="AA156" s="4">
        <f t="shared" si="16"/>
        <v>403002</v>
      </c>
      <c r="AB156" s="138" t="str">
        <f t="shared" si="16"/>
        <v>优质工具</v>
      </c>
      <c r="AC156" s="3">
        <f t="shared" si="16"/>
        <v>200</v>
      </c>
    </row>
    <row r="157" spans="1:29" s="102" customFormat="1" x14ac:dyDescent="0.15">
      <c r="A157" s="100">
        <v>101801</v>
      </c>
      <c r="B157" s="100"/>
      <c r="C157" s="100">
        <v>101802</v>
      </c>
      <c r="D157" s="100">
        <v>2</v>
      </c>
      <c r="E157" s="104">
        <v>422001</v>
      </c>
      <c r="F157" s="104" t="s">
        <v>52</v>
      </c>
      <c r="G157" s="100">
        <v>1000</v>
      </c>
      <c r="H157" s="134">
        <f>VLOOKUP(E157,[1]stuff!$A:$C,3,FALSE)</f>
        <v>100</v>
      </c>
      <c r="I157" s="130">
        <f t="shared" si="15"/>
        <v>90</v>
      </c>
      <c r="J157" s="130">
        <v>400</v>
      </c>
      <c r="K157" s="130">
        <f t="shared" si="17"/>
        <v>80</v>
      </c>
      <c r="L157" s="3">
        <f t="shared" si="12"/>
        <v>50000</v>
      </c>
      <c r="M157" s="3">
        <f t="shared" si="13"/>
        <v>10</v>
      </c>
      <c r="N157" s="101">
        <v>202897</v>
      </c>
      <c r="O157" s="101" t="s">
        <v>71</v>
      </c>
      <c r="P157" s="100">
        <v>40</v>
      </c>
      <c r="Q157" s="100">
        <v>6</v>
      </c>
      <c r="R157" s="100">
        <v>50</v>
      </c>
      <c r="S157" s="3">
        <v>2</v>
      </c>
      <c r="T157" s="3">
        <f t="shared" si="18"/>
        <v>40</v>
      </c>
      <c r="U157" s="101">
        <v>607001</v>
      </c>
      <c r="V157" s="101" t="s">
        <v>30</v>
      </c>
      <c r="W157" s="3">
        <f t="shared" si="16"/>
        <v>5000</v>
      </c>
      <c r="X157" s="3">
        <f t="shared" si="16"/>
        <v>416001</v>
      </c>
      <c r="Y157" s="3" t="str">
        <f t="shared" si="16"/>
        <v>两轮马车</v>
      </c>
      <c r="Z157" s="3">
        <f t="shared" si="16"/>
        <v>30</v>
      </c>
      <c r="AA157" s="4">
        <f t="shared" si="16"/>
        <v>403002</v>
      </c>
      <c r="AB157" s="138" t="str">
        <f t="shared" si="16"/>
        <v>优质工具</v>
      </c>
      <c r="AC157" s="3">
        <f t="shared" si="16"/>
        <v>500</v>
      </c>
    </row>
    <row r="158" spans="1:29" s="102" customFormat="1" x14ac:dyDescent="0.15">
      <c r="A158" s="100">
        <v>101802</v>
      </c>
      <c r="B158" s="100"/>
      <c r="C158" s="100">
        <v>101803</v>
      </c>
      <c r="D158" s="100">
        <v>3</v>
      </c>
      <c r="E158" s="105">
        <v>422001</v>
      </c>
      <c r="F158" s="105" t="s">
        <v>52</v>
      </c>
      <c r="G158" s="100">
        <v>1500</v>
      </c>
      <c r="H158" s="134">
        <f>VLOOKUP(E158,[1]stuff!$A:$C,3,FALSE)</f>
        <v>100</v>
      </c>
      <c r="I158" s="130">
        <f t="shared" si="15"/>
        <v>85</v>
      </c>
      <c r="J158" s="130">
        <v>600</v>
      </c>
      <c r="K158" s="130">
        <f t="shared" si="17"/>
        <v>120</v>
      </c>
      <c r="L158" s="3">
        <f t="shared" si="12"/>
        <v>82500</v>
      </c>
      <c r="M158" s="3">
        <f t="shared" si="13"/>
        <v>12.121212121212121</v>
      </c>
      <c r="N158" s="101">
        <v>202897</v>
      </c>
      <c r="O158" s="101" t="s">
        <v>71</v>
      </c>
      <c r="P158" s="100">
        <v>50</v>
      </c>
      <c r="Q158" s="100">
        <v>7</v>
      </c>
      <c r="R158" s="100">
        <v>100</v>
      </c>
      <c r="S158" s="3">
        <v>3</v>
      </c>
      <c r="T158" s="3">
        <f t="shared" si="18"/>
        <v>60</v>
      </c>
      <c r="U158" s="101">
        <v>607001</v>
      </c>
      <c r="V158" s="101" t="s">
        <v>30</v>
      </c>
      <c r="W158" s="3">
        <f t="shared" si="16"/>
        <v>10000</v>
      </c>
      <c r="X158" s="3">
        <f t="shared" si="16"/>
        <v>416001</v>
      </c>
      <c r="Y158" s="3" t="str">
        <f t="shared" si="16"/>
        <v>两轮马车</v>
      </c>
      <c r="Z158" s="3">
        <f t="shared" si="16"/>
        <v>40</v>
      </c>
      <c r="AA158" s="4">
        <f t="shared" si="16"/>
        <v>403002</v>
      </c>
      <c r="AB158" s="138" t="str">
        <f t="shared" si="16"/>
        <v>优质工具</v>
      </c>
      <c r="AC158" s="3">
        <f t="shared" ref="AC158:AC221" si="19">AC153</f>
        <v>1000</v>
      </c>
    </row>
    <row r="159" spans="1:29" s="102" customFormat="1" x14ac:dyDescent="0.15">
      <c r="A159" s="100">
        <v>101803</v>
      </c>
      <c r="B159" s="100"/>
      <c r="C159" s="100">
        <v>101804</v>
      </c>
      <c r="D159" s="100">
        <v>4</v>
      </c>
      <c r="E159" s="106">
        <v>422001</v>
      </c>
      <c r="F159" s="106" t="s">
        <v>52</v>
      </c>
      <c r="G159" s="100">
        <v>2000</v>
      </c>
      <c r="H159" s="134">
        <f>VLOOKUP(E159,[1]stuff!$A:$C,3,FALSE)</f>
        <v>100</v>
      </c>
      <c r="I159" s="130">
        <f t="shared" si="15"/>
        <v>85</v>
      </c>
      <c r="J159" s="130">
        <v>800</v>
      </c>
      <c r="K159" s="130">
        <f t="shared" si="17"/>
        <v>160</v>
      </c>
      <c r="L159" s="3">
        <f t="shared" si="12"/>
        <v>110000</v>
      </c>
      <c r="M159" s="3">
        <f t="shared" si="13"/>
        <v>18.181818181818183</v>
      </c>
      <c r="N159" s="101">
        <v>202897</v>
      </c>
      <c r="O159" s="101" t="s">
        <v>71</v>
      </c>
      <c r="P159" s="100">
        <v>60</v>
      </c>
      <c r="Q159" s="100">
        <v>8</v>
      </c>
      <c r="R159" s="100">
        <v>200</v>
      </c>
      <c r="S159" s="3">
        <v>4</v>
      </c>
      <c r="T159" s="3">
        <f t="shared" si="18"/>
        <v>80</v>
      </c>
      <c r="U159" s="101">
        <v>607001</v>
      </c>
      <c r="V159" s="101" t="s">
        <v>30</v>
      </c>
      <c r="W159" s="3">
        <f t="shared" si="16"/>
        <v>20000</v>
      </c>
      <c r="X159" s="3">
        <f t="shared" ref="X159:AB159" si="20">X154</f>
        <v>416002</v>
      </c>
      <c r="Y159" s="3" t="str">
        <f t="shared" si="20"/>
        <v>四轮马车</v>
      </c>
      <c r="Z159" s="3">
        <f t="shared" si="20"/>
        <v>50</v>
      </c>
      <c r="AA159" s="4">
        <f t="shared" si="20"/>
        <v>403002</v>
      </c>
      <c r="AB159" s="138" t="str">
        <f t="shared" si="20"/>
        <v>优质工具</v>
      </c>
      <c r="AC159" s="3">
        <f t="shared" si="19"/>
        <v>1000</v>
      </c>
    </row>
    <row r="160" spans="1:29" s="102" customFormat="1" x14ac:dyDescent="0.15">
      <c r="A160" s="100">
        <v>101804</v>
      </c>
      <c r="B160" s="100"/>
      <c r="C160" s="100">
        <v>0</v>
      </c>
      <c r="D160" s="100">
        <v>5</v>
      </c>
      <c r="E160" s="107">
        <v>422001</v>
      </c>
      <c r="F160" s="107" t="s">
        <v>52</v>
      </c>
      <c r="G160" s="100">
        <v>2500</v>
      </c>
      <c r="H160" s="134">
        <f>VLOOKUP(E160,[1]stuff!$A:$C,3,FALSE)</f>
        <v>100</v>
      </c>
      <c r="I160" s="130">
        <f t="shared" si="15"/>
        <v>80</v>
      </c>
      <c r="J160" s="130">
        <v>1000</v>
      </c>
      <c r="K160" s="130">
        <f t="shared" si="17"/>
        <v>200</v>
      </c>
      <c r="L160" s="3">
        <f t="shared" si="12"/>
        <v>150000</v>
      </c>
      <c r="M160" s="3">
        <f t="shared" si="13"/>
        <v>33.333333333333336</v>
      </c>
      <c r="N160" s="101">
        <v>202897</v>
      </c>
      <c r="O160" s="101" t="s">
        <v>71</v>
      </c>
      <c r="P160" s="100">
        <v>70</v>
      </c>
      <c r="Q160" s="100">
        <v>9</v>
      </c>
      <c r="R160" s="100">
        <v>400</v>
      </c>
      <c r="S160" s="3">
        <v>6</v>
      </c>
      <c r="T160" s="3">
        <f t="shared" si="18"/>
        <v>120</v>
      </c>
      <c r="U160" s="101">
        <v>607001</v>
      </c>
      <c r="V160" s="101" t="s">
        <v>30</v>
      </c>
      <c r="W160" s="3">
        <f t="shared" si="16"/>
        <v>50000</v>
      </c>
      <c r="X160" s="3">
        <f t="shared" ref="X160:AB160" si="21">X155</f>
        <v>416002</v>
      </c>
      <c r="Y160" s="3" t="str">
        <f t="shared" si="21"/>
        <v>四轮马车</v>
      </c>
      <c r="Z160" s="3">
        <f t="shared" si="21"/>
        <v>50</v>
      </c>
      <c r="AA160" s="4">
        <f t="shared" si="21"/>
        <v>403002</v>
      </c>
      <c r="AB160" s="138" t="str">
        <f t="shared" si="21"/>
        <v>优质工具</v>
      </c>
      <c r="AC160" s="3">
        <f t="shared" si="19"/>
        <v>2000</v>
      </c>
    </row>
    <row r="161" spans="1:29" s="102" customFormat="1" x14ac:dyDescent="0.15">
      <c r="A161" s="100">
        <v>101900</v>
      </c>
      <c r="B161" s="100"/>
      <c r="C161" s="100">
        <v>101901</v>
      </c>
      <c r="D161" s="100">
        <v>1</v>
      </c>
      <c r="E161" s="35">
        <v>616002</v>
      </c>
      <c r="F161" s="35" t="s">
        <v>56</v>
      </c>
      <c r="G161" s="3">
        <v>500</v>
      </c>
      <c r="H161" s="134">
        <f>VLOOKUP(E161,[1]stuff!$A:$C,3,FALSE)</f>
        <v>2</v>
      </c>
      <c r="I161" s="130">
        <f t="shared" si="15"/>
        <v>95</v>
      </c>
      <c r="J161" s="130">
        <v>200</v>
      </c>
      <c r="K161" s="130">
        <f t="shared" si="17"/>
        <v>40</v>
      </c>
      <c r="L161" s="3">
        <f t="shared" si="12"/>
        <v>20050</v>
      </c>
      <c r="M161" s="3">
        <f t="shared" si="13"/>
        <v>9.9750623441396513</v>
      </c>
      <c r="N161" s="101">
        <v>202896</v>
      </c>
      <c r="O161" s="101" t="s">
        <v>72</v>
      </c>
      <c r="P161" s="100">
        <v>30</v>
      </c>
      <c r="Q161" s="100">
        <v>5</v>
      </c>
      <c r="R161" s="100">
        <v>20</v>
      </c>
      <c r="S161" s="3">
        <v>1</v>
      </c>
      <c r="T161" s="3">
        <f t="shared" si="18"/>
        <v>20</v>
      </c>
      <c r="U161" s="101">
        <v>607001</v>
      </c>
      <c r="V161" s="101" t="s">
        <v>30</v>
      </c>
      <c r="W161" s="3">
        <f t="shared" si="16"/>
        <v>2000</v>
      </c>
      <c r="X161" s="3">
        <f t="shared" ref="X161:AB161" si="22">X156</f>
        <v>416001</v>
      </c>
      <c r="Y161" s="3" t="str">
        <f t="shared" si="22"/>
        <v>两轮马车</v>
      </c>
      <c r="Z161" s="3">
        <f t="shared" si="22"/>
        <v>20</v>
      </c>
      <c r="AA161" s="4">
        <f t="shared" si="22"/>
        <v>403002</v>
      </c>
      <c r="AB161" s="138" t="str">
        <f t="shared" si="22"/>
        <v>优质工具</v>
      </c>
      <c r="AC161" s="3">
        <f t="shared" si="19"/>
        <v>200</v>
      </c>
    </row>
    <row r="162" spans="1:29" s="102" customFormat="1" x14ac:dyDescent="0.15">
      <c r="A162" s="100">
        <v>101901</v>
      </c>
      <c r="B162" s="100"/>
      <c r="C162" s="100">
        <v>101902</v>
      </c>
      <c r="D162" s="100">
        <v>2</v>
      </c>
      <c r="E162" s="35">
        <v>616002</v>
      </c>
      <c r="F162" s="35" t="s">
        <v>56</v>
      </c>
      <c r="G162" s="3">
        <v>1000</v>
      </c>
      <c r="H162" s="134">
        <f>VLOOKUP(E162,[1]stuff!$A:$C,3,FALSE)</f>
        <v>2</v>
      </c>
      <c r="I162" s="130">
        <f t="shared" si="15"/>
        <v>90</v>
      </c>
      <c r="J162" s="130">
        <v>400</v>
      </c>
      <c r="K162" s="130">
        <f t="shared" si="17"/>
        <v>80</v>
      </c>
      <c r="L162" s="3">
        <f t="shared" si="12"/>
        <v>40200</v>
      </c>
      <c r="M162" s="3">
        <f t="shared" si="13"/>
        <v>12.437810945273633</v>
      </c>
      <c r="N162" s="101">
        <v>202896</v>
      </c>
      <c r="O162" s="101" t="s">
        <v>72</v>
      </c>
      <c r="P162" s="100">
        <v>40</v>
      </c>
      <c r="Q162" s="100">
        <v>6</v>
      </c>
      <c r="R162" s="100">
        <v>50</v>
      </c>
      <c r="S162" s="3">
        <v>2</v>
      </c>
      <c r="T162" s="3">
        <f t="shared" si="18"/>
        <v>40</v>
      </c>
      <c r="U162" s="101">
        <v>607001</v>
      </c>
      <c r="V162" s="101" t="s">
        <v>30</v>
      </c>
      <c r="W162" s="3">
        <f t="shared" si="16"/>
        <v>5000</v>
      </c>
      <c r="X162" s="3">
        <f t="shared" ref="X162:AB162" si="23">X157</f>
        <v>416001</v>
      </c>
      <c r="Y162" s="3" t="str">
        <f t="shared" si="23"/>
        <v>两轮马车</v>
      </c>
      <c r="Z162" s="3">
        <f t="shared" si="23"/>
        <v>30</v>
      </c>
      <c r="AA162" s="4">
        <f t="shared" si="23"/>
        <v>403002</v>
      </c>
      <c r="AB162" s="138" t="str">
        <f t="shared" si="23"/>
        <v>优质工具</v>
      </c>
      <c r="AC162" s="3">
        <f t="shared" si="19"/>
        <v>500</v>
      </c>
    </row>
    <row r="163" spans="1:29" s="102" customFormat="1" x14ac:dyDescent="0.15">
      <c r="A163" s="100">
        <v>101902</v>
      </c>
      <c r="B163" s="100"/>
      <c r="C163" s="100">
        <v>101903</v>
      </c>
      <c r="D163" s="100">
        <v>3</v>
      </c>
      <c r="E163" s="35">
        <v>616002</v>
      </c>
      <c r="F163" s="35" t="s">
        <v>56</v>
      </c>
      <c r="G163" s="3">
        <v>1500</v>
      </c>
      <c r="H163" s="134">
        <f>VLOOKUP(E163,[1]stuff!$A:$C,3,FALSE)</f>
        <v>2</v>
      </c>
      <c r="I163" s="130">
        <f t="shared" si="15"/>
        <v>85</v>
      </c>
      <c r="J163" s="130">
        <v>600</v>
      </c>
      <c r="K163" s="130">
        <f t="shared" si="17"/>
        <v>120</v>
      </c>
      <c r="L163" s="3">
        <f t="shared" si="12"/>
        <v>60450</v>
      </c>
      <c r="M163" s="3">
        <f t="shared" si="13"/>
        <v>16.542597187758478</v>
      </c>
      <c r="N163" s="101">
        <v>202896</v>
      </c>
      <c r="O163" s="101" t="s">
        <v>72</v>
      </c>
      <c r="P163" s="100">
        <v>50</v>
      </c>
      <c r="Q163" s="100">
        <v>7</v>
      </c>
      <c r="R163" s="100">
        <v>100</v>
      </c>
      <c r="S163" s="3">
        <v>3</v>
      </c>
      <c r="T163" s="3">
        <f t="shared" si="18"/>
        <v>60</v>
      </c>
      <c r="U163" s="101">
        <v>607001</v>
      </c>
      <c r="V163" s="101" t="s">
        <v>30</v>
      </c>
      <c r="W163" s="3">
        <f t="shared" si="16"/>
        <v>10000</v>
      </c>
      <c r="X163" s="3">
        <f t="shared" ref="X163:AB163" si="24">X158</f>
        <v>416001</v>
      </c>
      <c r="Y163" s="3" t="str">
        <f t="shared" si="24"/>
        <v>两轮马车</v>
      </c>
      <c r="Z163" s="3">
        <f t="shared" si="24"/>
        <v>40</v>
      </c>
      <c r="AA163" s="4">
        <f t="shared" si="24"/>
        <v>403002</v>
      </c>
      <c r="AB163" s="138" t="str">
        <f t="shared" si="24"/>
        <v>优质工具</v>
      </c>
      <c r="AC163" s="3">
        <f t="shared" si="19"/>
        <v>1000</v>
      </c>
    </row>
    <row r="164" spans="1:29" s="102" customFormat="1" x14ac:dyDescent="0.15">
      <c r="A164" s="100">
        <v>101903</v>
      </c>
      <c r="B164" s="100"/>
      <c r="C164" s="100">
        <v>101904</v>
      </c>
      <c r="D164" s="100">
        <v>4</v>
      </c>
      <c r="E164" s="35">
        <v>616002</v>
      </c>
      <c r="F164" s="35" t="s">
        <v>56</v>
      </c>
      <c r="G164" s="3">
        <v>2000</v>
      </c>
      <c r="H164" s="134">
        <f>VLOOKUP(E164,[1]stuff!$A:$C,3,FALSE)</f>
        <v>2</v>
      </c>
      <c r="I164" s="130">
        <f t="shared" si="15"/>
        <v>85</v>
      </c>
      <c r="J164" s="130">
        <v>800</v>
      </c>
      <c r="K164" s="130">
        <f t="shared" si="17"/>
        <v>160</v>
      </c>
      <c r="L164" s="3">
        <f t="shared" si="12"/>
        <v>80600</v>
      </c>
      <c r="M164" s="3">
        <f t="shared" si="13"/>
        <v>24.813895781637719</v>
      </c>
      <c r="N164" s="101">
        <v>202896</v>
      </c>
      <c r="O164" s="101" t="s">
        <v>72</v>
      </c>
      <c r="P164" s="100">
        <v>60</v>
      </c>
      <c r="Q164" s="100">
        <v>8</v>
      </c>
      <c r="R164" s="100">
        <v>200</v>
      </c>
      <c r="S164" s="3">
        <v>4</v>
      </c>
      <c r="T164" s="3">
        <f t="shared" si="18"/>
        <v>80</v>
      </c>
      <c r="U164" s="101">
        <v>607001</v>
      </c>
      <c r="V164" s="101" t="s">
        <v>30</v>
      </c>
      <c r="W164" s="3">
        <f t="shared" si="16"/>
        <v>20000</v>
      </c>
      <c r="X164" s="3">
        <f t="shared" ref="X164:AB164" si="25">X159</f>
        <v>416002</v>
      </c>
      <c r="Y164" s="3" t="str">
        <f t="shared" si="25"/>
        <v>四轮马车</v>
      </c>
      <c r="Z164" s="3">
        <f t="shared" si="25"/>
        <v>50</v>
      </c>
      <c r="AA164" s="4">
        <f t="shared" si="25"/>
        <v>403002</v>
      </c>
      <c r="AB164" s="138" t="str">
        <f t="shared" si="25"/>
        <v>优质工具</v>
      </c>
      <c r="AC164" s="3">
        <f t="shared" si="19"/>
        <v>1000</v>
      </c>
    </row>
    <row r="165" spans="1:29" s="102" customFormat="1" x14ac:dyDescent="0.15">
      <c r="A165" s="100">
        <v>101904</v>
      </c>
      <c r="B165" s="100"/>
      <c r="C165" s="100">
        <v>0</v>
      </c>
      <c r="D165" s="100">
        <v>5</v>
      </c>
      <c r="E165" s="35">
        <v>616002</v>
      </c>
      <c r="F165" s="35" t="s">
        <v>56</v>
      </c>
      <c r="G165" s="3">
        <v>2500</v>
      </c>
      <c r="H165" s="134">
        <f>VLOOKUP(E165,[1]stuff!$A:$C,3,FALSE)</f>
        <v>2</v>
      </c>
      <c r="I165" s="130">
        <f t="shared" si="15"/>
        <v>80</v>
      </c>
      <c r="J165" s="130">
        <v>1000</v>
      </c>
      <c r="K165" s="130">
        <f t="shared" si="17"/>
        <v>200</v>
      </c>
      <c r="L165" s="3">
        <f t="shared" si="12"/>
        <v>101000</v>
      </c>
      <c r="M165" s="3">
        <f t="shared" si="13"/>
        <v>49.504950495049506</v>
      </c>
      <c r="N165" s="101">
        <v>202896</v>
      </c>
      <c r="O165" s="101" t="s">
        <v>72</v>
      </c>
      <c r="P165" s="100">
        <v>70</v>
      </c>
      <c r="Q165" s="100">
        <v>9</v>
      </c>
      <c r="R165" s="100">
        <v>400</v>
      </c>
      <c r="S165" s="3">
        <v>6</v>
      </c>
      <c r="T165" s="3">
        <f t="shared" si="18"/>
        <v>120</v>
      </c>
      <c r="U165" s="101">
        <v>607001</v>
      </c>
      <c r="V165" s="101" t="s">
        <v>30</v>
      </c>
      <c r="W165" s="3">
        <f t="shared" si="16"/>
        <v>50000</v>
      </c>
      <c r="X165" s="3">
        <f t="shared" ref="X165:AB165" si="26">X160</f>
        <v>416002</v>
      </c>
      <c r="Y165" s="3" t="str">
        <f t="shared" si="26"/>
        <v>四轮马车</v>
      </c>
      <c r="Z165" s="3">
        <f t="shared" si="26"/>
        <v>50</v>
      </c>
      <c r="AA165" s="4">
        <f t="shared" si="26"/>
        <v>403002</v>
      </c>
      <c r="AB165" s="138" t="str">
        <f t="shared" si="26"/>
        <v>优质工具</v>
      </c>
      <c r="AC165" s="3">
        <f t="shared" si="19"/>
        <v>2000</v>
      </c>
    </row>
    <row r="166" spans="1:29" x14ac:dyDescent="0.15">
      <c r="A166" s="3">
        <v>102200</v>
      </c>
      <c r="B166" s="3"/>
      <c r="C166" s="3">
        <v>102201</v>
      </c>
      <c r="D166" s="3">
        <v>1</v>
      </c>
      <c r="E166" s="36">
        <v>604001</v>
      </c>
      <c r="F166" s="36" t="s">
        <v>53</v>
      </c>
      <c r="G166" s="3">
        <v>2000</v>
      </c>
      <c r="H166" s="134">
        <f>VLOOKUP(E166,[1]stuff!$A:$C,3,FALSE)</f>
        <v>2</v>
      </c>
      <c r="I166" s="130">
        <f t="shared" si="15"/>
        <v>95</v>
      </c>
      <c r="J166" s="130">
        <v>100</v>
      </c>
      <c r="K166" s="130">
        <f t="shared" si="17"/>
        <v>20</v>
      </c>
      <c r="L166" s="3">
        <f t="shared" si="12"/>
        <v>10200</v>
      </c>
      <c r="M166" s="3">
        <f t="shared" si="13"/>
        <v>19.607843137254903</v>
      </c>
      <c r="N166" s="4">
        <v>0</v>
      </c>
      <c r="O166" s="4"/>
      <c r="P166" s="3">
        <v>0</v>
      </c>
      <c r="Q166" s="3">
        <v>0</v>
      </c>
      <c r="R166" s="3">
        <v>0</v>
      </c>
      <c r="S166" s="3">
        <v>1</v>
      </c>
      <c r="T166" s="3">
        <f t="shared" si="18"/>
        <v>20</v>
      </c>
      <c r="U166" s="4">
        <v>607001</v>
      </c>
      <c r="V166" s="4" t="s">
        <v>30</v>
      </c>
      <c r="W166" s="3">
        <f t="shared" si="16"/>
        <v>2000</v>
      </c>
      <c r="X166" s="3">
        <f t="shared" ref="X166:AB166" si="27">X161</f>
        <v>416001</v>
      </c>
      <c r="Y166" s="3" t="str">
        <f t="shared" si="27"/>
        <v>两轮马车</v>
      </c>
      <c r="Z166" s="3">
        <f t="shared" si="27"/>
        <v>20</v>
      </c>
      <c r="AA166" s="4">
        <f t="shared" si="27"/>
        <v>403002</v>
      </c>
      <c r="AB166" s="138" t="str">
        <f t="shared" si="27"/>
        <v>优质工具</v>
      </c>
      <c r="AC166" s="3">
        <f t="shared" si="19"/>
        <v>200</v>
      </c>
    </row>
    <row r="167" spans="1:29" x14ac:dyDescent="0.15">
      <c r="A167" s="3">
        <v>102201</v>
      </c>
      <c r="B167" s="3"/>
      <c r="C167" s="3">
        <v>102202</v>
      </c>
      <c r="D167" s="3">
        <v>2</v>
      </c>
      <c r="E167" s="37">
        <v>604001</v>
      </c>
      <c r="F167" s="37" t="s">
        <v>53</v>
      </c>
      <c r="G167" s="3">
        <v>4000</v>
      </c>
      <c r="H167" s="134">
        <f>VLOOKUP(E167,[1]stuff!$A:$C,3,FALSE)</f>
        <v>2</v>
      </c>
      <c r="I167" s="130">
        <f t="shared" si="15"/>
        <v>90</v>
      </c>
      <c r="J167" s="130">
        <v>150</v>
      </c>
      <c r="K167" s="130">
        <f t="shared" si="17"/>
        <v>30</v>
      </c>
      <c r="L167" s="3">
        <f t="shared" si="12"/>
        <v>15800</v>
      </c>
      <c r="M167" s="3">
        <f t="shared" si="13"/>
        <v>31.645569620253166</v>
      </c>
      <c r="N167" s="4">
        <v>0</v>
      </c>
      <c r="O167" s="4"/>
      <c r="P167" s="3">
        <v>0</v>
      </c>
      <c r="Q167" s="3">
        <v>0</v>
      </c>
      <c r="R167" s="3">
        <v>0</v>
      </c>
      <c r="S167" s="3">
        <v>2</v>
      </c>
      <c r="T167" s="3">
        <f t="shared" si="18"/>
        <v>40</v>
      </c>
      <c r="U167" s="4">
        <v>607001</v>
      </c>
      <c r="V167" s="4" t="s">
        <v>30</v>
      </c>
      <c r="W167" s="3">
        <f t="shared" si="16"/>
        <v>5000</v>
      </c>
      <c r="X167" s="3">
        <f t="shared" ref="X167:AB167" si="28">X162</f>
        <v>416001</v>
      </c>
      <c r="Y167" s="3" t="str">
        <f t="shared" si="28"/>
        <v>两轮马车</v>
      </c>
      <c r="Z167" s="3">
        <f t="shared" si="28"/>
        <v>30</v>
      </c>
      <c r="AA167" s="4">
        <f t="shared" si="28"/>
        <v>403002</v>
      </c>
      <c r="AB167" s="138" t="str">
        <f t="shared" si="28"/>
        <v>优质工具</v>
      </c>
      <c r="AC167" s="3">
        <f t="shared" si="19"/>
        <v>500</v>
      </c>
    </row>
    <row r="168" spans="1:29" x14ac:dyDescent="0.15">
      <c r="A168" s="3">
        <v>102202</v>
      </c>
      <c r="B168" s="3"/>
      <c r="C168" s="3">
        <v>102203</v>
      </c>
      <c r="D168" s="3">
        <v>3</v>
      </c>
      <c r="E168" s="38">
        <v>604001</v>
      </c>
      <c r="F168" s="38" t="s">
        <v>53</v>
      </c>
      <c r="G168" s="3">
        <v>6000</v>
      </c>
      <c r="H168" s="134">
        <f>VLOOKUP(E168,[1]stuff!$A:$C,3,FALSE)</f>
        <v>2</v>
      </c>
      <c r="I168" s="130">
        <f t="shared" si="15"/>
        <v>85</v>
      </c>
      <c r="J168" s="130">
        <v>200</v>
      </c>
      <c r="K168" s="130">
        <f t="shared" si="17"/>
        <v>40</v>
      </c>
      <c r="L168" s="3">
        <f t="shared" si="12"/>
        <v>21800</v>
      </c>
      <c r="M168" s="3">
        <f t="shared" si="13"/>
        <v>45.871559633027523</v>
      </c>
      <c r="N168" s="4">
        <v>0</v>
      </c>
      <c r="O168" s="4"/>
      <c r="P168" s="3">
        <v>0</v>
      </c>
      <c r="Q168" s="3">
        <v>0</v>
      </c>
      <c r="R168" s="3">
        <v>0</v>
      </c>
      <c r="S168" s="3">
        <v>3</v>
      </c>
      <c r="T168" s="3">
        <f t="shared" si="18"/>
        <v>60</v>
      </c>
      <c r="U168" s="4">
        <v>607001</v>
      </c>
      <c r="V168" s="4" t="s">
        <v>30</v>
      </c>
      <c r="W168" s="3">
        <f t="shared" si="16"/>
        <v>10000</v>
      </c>
      <c r="X168" s="3">
        <f t="shared" ref="X168:AB168" si="29">X163</f>
        <v>416001</v>
      </c>
      <c r="Y168" s="3" t="str">
        <f t="shared" si="29"/>
        <v>两轮马车</v>
      </c>
      <c r="Z168" s="3">
        <f t="shared" si="29"/>
        <v>40</v>
      </c>
      <c r="AA168" s="4">
        <f t="shared" si="29"/>
        <v>403002</v>
      </c>
      <c r="AB168" s="138" t="str">
        <f t="shared" si="29"/>
        <v>优质工具</v>
      </c>
      <c r="AC168" s="3">
        <f t="shared" si="19"/>
        <v>1000</v>
      </c>
    </row>
    <row r="169" spans="1:29" x14ac:dyDescent="0.15">
      <c r="A169" s="3">
        <v>102203</v>
      </c>
      <c r="B169" s="3"/>
      <c r="C169" s="3">
        <v>102204</v>
      </c>
      <c r="D169" s="3">
        <v>4</v>
      </c>
      <c r="E169" s="40">
        <v>604001</v>
      </c>
      <c r="F169" s="40" t="s">
        <v>53</v>
      </c>
      <c r="G169" s="3">
        <v>8000</v>
      </c>
      <c r="H169" s="134">
        <f>VLOOKUP(E169,[1]stuff!$A:$C,3,FALSE)</f>
        <v>2</v>
      </c>
      <c r="I169" s="130">
        <f t="shared" si="15"/>
        <v>85</v>
      </c>
      <c r="J169" s="130">
        <v>250</v>
      </c>
      <c r="K169" s="130">
        <f t="shared" si="17"/>
        <v>50</v>
      </c>
      <c r="L169" s="3">
        <f t="shared" si="12"/>
        <v>27400</v>
      </c>
      <c r="M169" s="3">
        <f t="shared" si="13"/>
        <v>72.992700729927009</v>
      </c>
      <c r="N169" s="4">
        <v>0</v>
      </c>
      <c r="O169" s="4"/>
      <c r="P169" s="3">
        <v>0</v>
      </c>
      <c r="Q169" s="3">
        <v>0</v>
      </c>
      <c r="R169" s="3">
        <v>0</v>
      </c>
      <c r="S169" s="3">
        <v>4</v>
      </c>
      <c r="T169" s="3">
        <f t="shared" si="18"/>
        <v>80</v>
      </c>
      <c r="U169" s="4">
        <v>607001</v>
      </c>
      <c r="V169" s="4" t="s">
        <v>30</v>
      </c>
      <c r="W169" s="3">
        <f t="shared" si="16"/>
        <v>20000</v>
      </c>
      <c r="X169" s="3">
        <f t="shared" ref="X169:AB169" si="30">X164</f>
        <v>416002</v>
      </c>
      <c r="Y169" s="3" t="str">
        <f t="shared" si="30"/>
        <v>四轮马车</v>
      </c>
      <c r="Z169" s="3">
        <f t="shared" si="30"/>
        <v>50</v>
      </c>
      <c r="AA169" s="4">
        <f t="shared" si="30"/>
        <v>403002</v>
      </c>
      <c r="AB169" s="138" t="str">
        <f t="shared" si="30"/>
        <v>优质工具</v>
      </c>
      <c r="AC169" s="3">
        <f t="shared" si="19"/>
        <v>1000</v>
      </c>
    </row>
    <row r="170" spans="1:29" x14ac:dyDescent="0.15">
      <c r="A170" s="3">
        <v>102204</v>
      </c>
      <c r="B170" s="3"/>
      <c r="C170" s="3">
        <v>0</v>
      </c>
      <c r="D170" s="3">
        <v>5</v>
      </c>
      <c r="E170" s="39">
        <v>604001</v>
      </c>
      <c r="F170" s="39" t="s">
        <v>53</v>
      </c>
      <c r="G170" s="3">
        <v>10000</v>
      </c>
      <c r="H170" s="134">
        <f>VLOOKUP(E170,[1]stuff!$A:$C,3,FALSE)</f>
        <v>2</v>
      </c>
      <c r="I170" s="130">
        <f t="shared" si="15"/>
        <v>80</v>
      </c>
      <c r="J170" s="130">
        <v>300</v>
      </c>
      <c r="K170" s="130">
        <f t="shared" si="17"/>
        <v>60</v>
      </c>
      <c r="L170" s="3">
        <f t="shared" si="12"/>
        <v>34000</v>
      </c>
      <c r="M170" s="3">
        <f t="shared" si="13"/>
        <v>147.05882352941177</v>
      </c>
      <c r="N170" s="4">
        <v>0</v>
      </c>
      <c r="O170" s="4"/>
      <c r="P170" s="3">
        <v>0</v>
      </c>
      <c r="Q170" s="3">
        <v>0</v>
      </c>
      <c r="R170" s="3">
        <v>0</v>
      </c>
      <c r="S170" s="3">
        <v>6</v>
      </c>
      <c r="T170" s="3">
        <f t="shared" si="18"/>
        <v>120</v>
      </c>
      <c r="U170" s="4">
        <v>607001</v>
      </c>
      <c r="V170" s="4" t="s">
        <v>30</v>
      </c>
      <c r="W170" s="3">
        <f t="shared" si="16"/>
        <v>50000</v>
      </c>
      <c r="X170" s="3">
        <f t="shared" ref="X170:AB170" si="31">X165</f>
        <v>416002</v>
      </c>
      <c r="Y170" s="3" t="str">
        <f t="shared" si="31"/>
        <v>四轮马车</v>
      </c>
      <c r="Z170" s="3">
        <f t="shared" si="31"/>
        <v>50</v>
      </c>
      <c r="AA170" s="4">
        <f t="shared" si="31"/>
        <v>403002</v>
      </c>
      <c r="AB170" s="138" t="str">
        <f t="shared" si="31"/>
        <v>优质工具</v>
      </c>
      <c r="AC170" s="3">
        <f t="shared" si="19"/>
        <v>2000</v>
      </c>
    </row>
    <row r="171" spans="1:29" x14ac:dyDescent="0.15">
      <c r="A171" s="3">
        <v>102300</v>
      </c>
      <c r="B171" s="3"/>
      <c r="C171" s="3">
        <v>102301</v>
      </c>
      <c r="D171" s="3">
        <v>1</v>
      </c>
      <c r="E171" s="27">
        <v>422001</v>
      </c>
      <c r="F171" s="27" t="s">
        <v>52</v>
      </c>
      <c r="G171" s="3">
        <v>1000</v>
      </c>
      <c r="H171" s="134">
        <f>VLOOKUP(E171,[1]stuff!$A:$C,3,FALSE)</f>
        <v>100</v>
      </c>
      <c r="I171" s="130">
        <f t="shared" si="15"/>
        <v>95</v>
      </c>
      <c r="J171" s="130">
        <v>100</v>
      </c>
      <c r="K171" s="130">
        <f t="shared" si="17"/>
        <v>20</v>
      </c>
      <c r="L171" s="3">
        <f t="shared" si="12"/>
        <v>15000</v>
      </c>
      <c r="M171" s="3">
        <f t="shared" si="13"/>
        <v>13.333333333333334</v>
      </c>
      <c r="N171" s="4">
        <v>0</v>
      </c>
      <c r="O171" s="4"/>
      <c r="P171" s="3">
        <v>0</v>
      </c>
      <c r="Q171" s="3">
        <v>0</v>
      </c>
      <c r="R171" s="3">
        <v>0</v>
      </c>
      <c r="S171" s="3">
        <v>1</v>
      </c>
      <c r="T171" s="3">
        <f t="shared" si="18"/>
        <v>20</v>
      </c>
      <c r="U171" s="4">
        <v>607001</v>
      </c>
      <c r="V171" s="4" t="s">
        <v>30</v>
      </c>
      <c r="W171" s="3">
        <f t="shared" si="16"/>
        <v>2000</v>
      </c>
      <c r="X171" s="3">
        <f t="shared" ref="X171:AB171" si="32">X166</f>
        <v>416001</v>
      </c>
      <c r="Y171" s="3" t="str">
        <f t="shared" si="32"/>
        <v>两轮马车</v>
      </c>
      <c r="Z171" s="3">
        <f t="shared" si="32"/>
        <v>20</v>
      </c>
      <c r="AA171" s="4">
        <f t="shared" si="32"/>
        <v>403002</v>
      </c>
      <c r="AB171" s="138" t="str">
        <f t="shared" si="32"/>
        <v>优质工具</v>
      </c>
      <c r="AC171" s="3">
        <f t="shared" si="19"/>
        <v>200</v>
      </c>
    </row>
    <row r="172" spans="1:29" x14ac:dyDescent="0.15">
      <c r="A172" s="3">
        <v>102301</v>
      </c>
      <c r="B172" s="3"/>
      <c r="C172" s="3">
        <v>102302</v>
      </c>
      <c r="D172" s="3">
        <v>2</v>
      </c>
      <c r="E172" s="28">
        <v>422001</v>
      </c>
      <c r="F172" s="28" t="s">
        <v>52</v>
      </c>
      <c r="G172" s="3">
        <v>2000</v>
      </c>
      <c r="H172" s="134">
        <f>VLOOKUP(E172,[1]stuff!$A:$C,3,FALSE)</f>
        <v>100</v>
      </c>
      <c r="I172" s="130">
        <f t="shared" si="15"/>
        <v>90</v>
      </c>
      <c r="J172" s="130">
        <v>150</v>
      </c>
      <c r="K172" s="130">
        <f t="shared" si="17"/>
        <v>30</v>
      </c>
      <c r="L172" s="3">
        <f t="shared" si="12"/>
        <v>35000</v>
      </c>
      <c r="M172" s="3">
        <f t="shared" si="13"/>
        <v>14.285714285714286</v>
      </c>
      <c r="N172" s="4">
        <v>0</v>
      </c>
      <c r="O172" s="4"/>
      <c r="P172" s="3">
        <v>0</v>
      </c>
      <c r="Q172" s="3">
        <v>0</v>
      </c>
      <c r="R172" s="3">
        <v>0</v>
      </c>
      <c r="S172" s="3">
        <v>2</v>
      </c>
      <c r="T172" s="3">
        <f t="shared" si="18"/>
        <v>40</v>
      </c>
      <c r="U172" s="4">
        <v>607001</v>
      </c>
      <c r="V172" s="4" t="s">
        <v>30</v>
      </c>
      <c r="W172" s="3">
        <f t="shared" si="16"/>
        <v>5000</v>
      </c>
      <c r="X172" s="3">
        <f t="shared" ref="X172:AB172" si="33">X167</f>
        <v>416001</v>
      </c>
      <c r="Y172" s="3" t="str">
        <f t="shared" si="33"/>
        <v>两轮马车</v>
      </c>
      <c r="Z172" s="3">
        <f t="shared" si="33"/>
        <v>30</v>
      </c>
      <c r="AA172" s="4">
        <f t="shared" si="33"/>
        <v>403002</v>
      </c>
      <c r="AB172" s="138" t="str">
        <f t="shared" si="33"/>
        <v>优质工具</v>
      </c>
      <c r="AC172" s="3">
        <f t="shared" si="19"/>
        <v>500</v>
      </c>
    </row>
    <row r="173" spans="1:29" x14ac:dyDescent="0.15">
      <c r="A173" s="3">
        <v>102302</v>
      </c>
      <c r="B173" s="3"/>
      <c r="C173" s="3">
        <v>102303</v>
      </c>
      <c r="D173" s="3">
        <v>3</v>
      </c>
      <c r="E173" s="29">
        <v>422001</v>
      </c>
      <c r="F173" s="29" t="s">
        <v>52</v>
      </c>
      <c r="G173" s="3">
        <v>3000</v>
      </c>
      <c r="H173" s="134">
        <f>VLOOKUP(E173,[1]stuff!$A:$C,3,FALSE)</f>
        <v>100</v>
      </c>
      <c r="I173" s="130">
        <f t="shared" si="15"/>
        <v>85</v>
      </c>
      <c r="J173" s="130">
        <v>200</v>
      </c>
      <c r="K173" s="130">
        <f t="shared" si="17"/>
        <v>40</v>
      </c>
      <c r="L173" s="3">
        <f t="shared" si="12"/>
        <v>65000</v>
      </c>
      <c r="M173" s="3">
        <f t="shared" si="13"/>
        <v>15.384615384615385</v>
      </c>
      <c r="N173" s="4">
        <v>0</v>
      </c>
      <c r="O173" s="4"/>
      <c r="P173" s="3">
        <v>0</v>
      </c>
      <c r="Q173" s="3">
        <v>0</v>
      </c>
      <c r="R173" s="3">
        <v>0</v>
      </c>
      <c r="S173" s="3">
        <v>3</v>
      </c>
      <c r="T173" s="3">
        <f t="shared" si="18"/>
        <v>60</v>
      </c>
      <c r="U173" s="4">
        <v>607001</v>
      </c>
      <c r="V173" s="4" t="s">
        <v>30</v>
      </c>
      <c r="W173" s="3">
        <f t="shared" si="16"/>
        <v>10000</v>
      </c>
      <c r="X173" s="3">
        <f t="shared" ref="X173:AB173" si="34">X168</f>
        <v>416001</v>
      </c>
      <c r="Y173" s="3" t="str">
        <f t="shared" si="34"/>
        <v>两轮马车</v>
      </c>
      <c r="Z173" s="3">
        <f t="shared" si="34"/>
        <v>40</v>
      </c>
      <c r="AA173" s="4">
        <f t="shared" si="34"/>
        <v>403002</v>
      </c>
      <c r="AB173" s="138" t="str">
        <f t="shared" si="34"/>
        <v>优质工具</v>
      </c>
      <c r="AC173" s="3">
        <f t="shared" si="19"/>
        <v>1000</v>
      </c>
    </row>
    <row r="174" spans="1:29" x14ac:dyDescent="0.15">
      <c r="A174" s="3">
        <v>102303</v>
      </c>
      <c r="B174" s="3"/>
      <c r="C174" s="3">
        <v>102304</v>
      </c>
      <c r="D174" s="3">
        <v>4</v>
      </c>
      <c r="E174" s="30">
        <v>422001</v>
      </c>
      <c r="F174" s="30" t="s">
        <v>52</v>
      </c>
      <c r="G174" s="3">
        <v>4000</v>
      </c>
      <c r="H174" s="134">
        <f>VLOOKUP(E174,[1]stuff!$A:$C,3,FALSE)</f>
        <v>100</v>
      </c>
      <c r="I174" s="130">
        <f t="shared" si="15"/>
        <v>85</v>
      </c>
      <c r="J174" s="130">
        <v>250</v>
      </c>
      <c r="K174" s="130">
        <f t="shared" si="17"/>
        <v>50</v>
      </c>
      <c r="L174" s="3">
        <f t="shared" si="12"/>
        <v>85000</v>
      </c>
      <c r="M174" s="3">
        <f t="shared" si="13"/>
        <v>23.529411764705884</v>
      </c>
      <c r="N174" s="4">
        <v>0</v>
      </c>
      <c r="O174" s="4"/>
      <c r="P174" s="3">
        <v>0</v>
      </c>
      <c r="Q174" s="3">
        <v>0</v>
      </c>
      <c r="R174" s="3">
        <v>0</v>
      </c>
      <c r="S174" s="3">
        <v>4</v>
      </c>
      <c r="T174" s="3">
        <f t="shared" si="18"/>
        <v>80</v>
      </c>
      <c r="U174" s="4">
        <v>607001</v>
      </c>
      <c r="V174" s="4" t="s">
        <v>30</v>
      </c>
      <c r="W174" s="3">
        <f t="shared" si="16"/>
        <v>20000</v>
      </c>
      <c r="X174" s="3">
        <f t="shared" ref="X174:AB174" si="35">X169</f>
        <v>416002</v>
      </c>
      <c r="Y174" s="3" t="str">
        <f t="shared" si="35"/>
        <v>四轮马车</v>
      </c>
      <c r="Z174" s="3">
        <f t="shared" si="35"/>
        <v>50</v>
      </c>
      <c r="AA174" s="4">
        <f t="shared" si="35"/>
        <v>403002</v>
      </c>
      <c r="AB174" s="138" t="str">
        <f t="shared" si="35"/>
        <v>优质工具</v>
      </c>
      <c r="AC174" s="3">
        <f t="shared" si="19"/>
        <v>1000</v>
      </c>
    </row>
    <row r="175" spans="1:29" x14ac:dyDescent="0.15">
      <c r="A175" s="3">
        <v>102304</v>
      </c>
      <c r="B175" s="3"/>
      <c r="C175" s="3">
        <v>0</v>
      </c>
      <c r="D175" s="3">
        <v>5</v>
      </c>
      <c r="E175" s="31">
        <v>422001</v>
      </c>
      <c r="F175" s="31" t="s">
        <v>52</v>
      </c>
      <c r="G175" s="3">
        <v>5000</v>
      </c>
      <c r="H175" s="134">
        <f>VLOOKUP(E175,[1]stuff!$A:$C,3,FALSE)</f>
        <v>100</v>
      </c>
      <c r="I175" s="130">
        <f t="shared" si="15"/>
        <v>80</v>
      </c>
      <c r="J175" s="130">
        <v>300</v>
      </c>
      <c r="K175" s="130">
        <f t="shared" si="17"/>
        <v>60</v>
      </c>
      <c r="L175" s="3">
        <f t="shared" si="12"/>
        <v>130000</v>
      </c>
      <c r="M175" s="3">
        <f t="shared" si="13"/>
        <v>38.46153846153846</v>
      </c>
      <c r="N175" s="4">
        <v>0</v>
      </c>
      <c r="O175" s="4"/>
      <c r="P175" s="3">
        <v>0</v>
      </c>
      <c r="Q175" s="3">
        <v>0</v>
      </c>
      <c r="R175" s="3">
        <v>0</v>
      </c>
      <c r="S175" s="3">
        <v>6</v>
      </c>
      <c r="T175" s="3">
        <f t="shared" si="18"/>
        <v>120</v>
      </c>
      <c r="U175" s="4">
        <v>607001</v>
      </c>
      <c r="V175" s="4" t="s">
        <v>30</v>
      </c>
      <c r="W175" s="3">
        <f t="shared" si="16"/>
        <v>50000</v>
      </c>
      <c r="X175" s="3">
        <f t="shared" ref="X175:AB175" si="36">X170</f>
        <v>416002</v>
      </c>
      <c r="Y175" s="3" t="str">
        <f t="shared" si="36"/>
        <v>四轮马车</v>
      </c>
      <c r="Z175" s="3">
        <f t="shared" si="36"/>
        <v>50</v>
      </c>
      <c r="AA175" s="4">
        <f t="shared" si="36"/>
        <v>403002</v>
      </c>
      <c r="AB175" s="138" t="str">
        <f t="shared" si="36"/>
        <v>优质工具</v>
      </c>
      <c r="AC175" s="3">
        <f t="shared" si="19"/>
        <v>2000</v>
      </c>
    </row>
    <row r="176" spans="1:29" x14ac:dyDescent="0.15">
      <c r="A176" s="135">
        <v>102500</v>
      </c>
      <c r="B176" s="136" t="s">
        <v>91</v>
      </c>
      <c r="C176" s="3">
        <v>102501</v>
      </c>
      <c r="D176" s="3">
        <v>1</v>
      </c>
      <c r="E176" s="41">
        <v>615001</v>
      </c>
      <c r="F176" s="41" t="s">
        <v>59</v>
      </c>
      <c r="G176" s="3">
        <v>1000</v>
      </c>
      <c r="H176" s="134">
        <f>VLOOKUP(E176,[1]stuff!$A:$C,3,FALSE)</f>
        <v>50</v>
      </c>
      <c r="I176" s="130">
        <f t="shared" si="15"/>
        <v>95</v>
      </c>
      <c r="J176" s="130">
        <v>200</v>
      </c>
      <c r="K176" s="130">
        <f t="shared" si="17"/>
        <v>40</v>
      </c>
      <c r="L176" s="3">
        <f t="shared" si="12"/>
        <v>22500</v>
      </c>
      <c r="M176" s="3">
        <f t="shared" si="13"/>
        <v>8.8888888888888893</v>
      </c>
      <c r="N176" s="4">
        <v>0</v>
      </c>
      <c r="O176" s="4"/>
      <c r="P176" s="3">
        <v>0</v>
      </c>
      <c r="Q176" s="3">
        <v>0</v>
      </c>
      <c r="R176" s="3">
        <v>0</v>
      </c>
      <c r="S176" s="3">
        <v>1</v>
      </c>
      <c r="T176" s="3">
        <f t="shared" si="18"/>
        <v>20</v>
      </c>
      <c r="U176" s="4">
        <v>607001</v>
      </c>
      <c r="V176" s="4" t="s">
        <v>30</v>
      </c>
      <c r="W176" s="3">
        <f t="shared" si="16"/>
        <v>2000</v>
      </c>
      <c r="X176" s="3">
        <f t="shared" ref="X176:AB176" si="37">X171</f>
        <v>416001</v>
      </c>
      <c r="Y176" s="3" t="str">
        <f t="shared" si="37"/>
        <v>两轮马车</v>
      </c>
      <c r="Z176" s="3">
        <f t="shared" si="37"/>
        <v>20</v>
      </c>
      <c r="AA176" s="4">
        <f t="shared" si="37"/>
        <v>403002</v>
      </c>
      <c r="AB176" s="138" t="str">
        <f t="shared" si="37"/>
        <v>优质工具</v>
      </c>
      <c r="AC176" s="3">
        <f t="shared" si="19"/>
        <v>200</v>
      </c>
    </row>
    <row r="177" spans="1:29" x14ac:dyDescent="0.15">
      <c r="A177" s="3">
        <v>102501</v>
      </c>
      <c r="B177" s="3"/>
      <c r="C177" s="3">
        <v>102502</v>
      </c>
      <c r="D177" s="3">
        <v>2</v>
      </c>
      <c r="E177" s="42">
        <v>615001</v>
      </c>
      <c r="F177" s="42" t="s">
        <v>59</v>
      </c>
      <c r="G177" s="3">
        <v>2000</v>
      </c>
      <c r="H177" s="134">
        <f>VLOOKUP(E177,[1]stuff!$A:$C,3,FALSE)</f>
        <v>50</v>
      </c>
      <c r="I177" s="130">
        <f t="shared" si="15"/>
        <v>90</v>
      </c>
      <c r="J177" s="130">
        <v>300</v>
      </c>
      <c r="K177" s="130">
        <f t="shared" si="17"/>
        <v>60</v>
      </c>
      <c r="L177" s="3">
        <f t="shared" si="12"/>
        <v>40000</v>
      </c>
      <c r="M177" s="3">
        <f t="shared" si="13"/>
        <v>12.5</v>
      </c>
      <c r="N177" s="4">
        <v>0</v>
      </c>
      <c r="O177" s="4"/>
      <c r="P177" s="3">
        <v>0</v>
      </c>
      <c r="Q177" s="3">
        <v>0</v>
      </c>
      <c r="R177" s="3">
        <v>0</v>
      </c>
      <c r="S177" s="3">
        <v>2</v>
      </c>
      <c r="T177" s="3">
        <f t="shared" si="18"/>
        <v>40</v>
      </c>
      <c r="U177" s="4">
        <v>607001</v>
      </c>
      <c r="V177" s="4" t="s">
        <v>30</v>
      </c>
      <c r="W177" s="3">
        <f t="shared" si="16"/>
        <v>5000</v>
      </c>
      <c r="X177" s="3">
        <f t="shared" ref="X177:AB177" si="38">X172</f>
        <v>416001</v>
      </c>
      <c r="Y177" s="3" t="str">
        <f t="shared" si="38"/>
        <v>两轮马车</v>
      </c>
      <c r="Z177" s="3">
        <f t="shared" si="38"/>
        <v>30</v>
      </c>
      <c r="AA177" s="4">
        <f t="shared" si="38"/>
        <v>403002</v>
      </c>
      <c r="AB177" s="138" t="str">
        <f t="shared" si="38"/>
        <v>优质工具</v>
      </c>
      <c r="AC177" s="3">
        <f t="shared" si="19"/>
        <v>500</v>
      </c>
    </row>
    <row r="178" spans="1:29" x14ac:dyDescent="0.15">
      <c r="A178" s="3">
        <v>102502</v>
      </c>
      <c r="B178" s="3"/>
      <c r="C178" s="3">
        <v>102503</v>
      </c>
      <c r="D178" s="3">
        <v>3</v>
      </c>
      <c r="E178" s="43">
        <v>615001</v>
      </c>
      <c r="F178" s="43" t="s">
        <v>59</v>
      </c>
      <c r="G178" s="3">
        <v>3000</v>
      </c>
      <c r="H178" s="134">
        <f>VLOOKUP(E178,[1]stuff!$A:$C,3,FALSE)</f>
        <v>50</v>
      </c>
      <c r="I178" s="130">
        <f t="shared" si="15"/>
        <v>85</v>
      </c>
      <c r="J178" s="130">
        <v>400</v>
      </c>
      <c r="K178" s="130">
        <f t="shared" si="17"/>
        <v>80</v>
      </c>
      <c r="L178" s="3">
        <f t="shared" si="12"/>
        <v>62500</v>
      </c>
      <c r="M178" s="3">
        <f t="shared" si="13"/>
        <v>16</v>
      </c>
      <c r="N178" s="4">
        <v>0</v>
      </c>
      <c r="O178" s="4"/>
      <c r="P178" s="3">
        <v>0</v>
      </c>
      <c r="Q178" s="3">
        <v>0</v>
      </c>
      <c r="R178" s="3">
        <v>0</v>
      </c>
      <c r="S178" s="3">
        <v>3</v>
      </c>
      <c r="T178" s="3">
        <f t="shared" si="18"/>
        <v>60</v>
      </c>
      <c r="U178" s="4">
        <v>607001</v>
      </c>
      <c r="V178" s="4" t="s">
        <v>30</v>
      </c>
      <c r="W178" s="3">
        <f t="shared" si="16"/>
        <v>10000</v>
      </c>
      <c r="X178" s="3">
        <f t="shared" ref="X178:AB178" si="39">X173</f>
        <v>416001</v>
      </c>
      <c r="Y178" s="3" t="str">
        <f t="shared" si="39"/>
        <v>两轮马车</v>
      </c>
      <c r="Z178" s="3">
        <f t="shared" si="39"/>
        <v>40</v>
      </c>
      <c r="AA178" s="4">
        <f t="shared" si="39"/>
        <v>403002</v>
      </c>
      <c r="AB178" s="138" t="str">
        <f t="shared" si="39"/>
        <v>优质工具</v>
      </c>
      <c r="AC178" s="3">
        <f t="shared" si="19"/>
        <v>1000</v>
      </c>
    </row>
    <row r="179" spans="1:29" x14ac:dyDescent="0.15">
      <c r="A179" s="3">
        <v>102503</v>
      </c>
      <c r="B179" s="3"/>
      <c r="C179" s="3">
        <v>102504</v>
      </c>
      <c r="D179" s="3">
        <v>4</v>
      </c>
      <c r="E179" s="44">
        <v>615001</v>
      </c>
      <c r="F179" s="44" t="s">
        <v>59</v>
      </c>
      <c r="G179" s="3">
        <v>4000</v>
      </c>
      <c r="H179" s="134">
        <f>VLOOKUP(E179,[1]stuff!$A:$C,3,FALSE)</f>
        <v>50</v>
      </c>
      <c r="I179" s="130">
        <f t="shared" si="15"/>
        <v>85</v>
      </c>
      <c r="J179" s="130">
        <v>500</v>
      </c>
      <c r="K179" s="130">
        <f t="shared" si="17"/>
        <v>100</v>
      </c>
      <c r="L179" s="3">
        <f t="shared" si="12"/>
        <v>80000</v>
      </c>
      <c r="M179" s="3">
        <f t="shared" si="13"/>
        <v>25</v>
      </c>
      <c r="N179" s="4">
        <v>0</v>
      </c>
      <c r="O179" s="4"/>
      <c r="P179" s="3">
        <v>0</v>
      </c>
      <c r="Q179" s="3">
        <v>0</v>
      </c>
      <c r="R179" s="3">
        <v>0</v>
      </c>
      <c r="S179" s="3">
        <v>4</v>
      </c>
      <c r="T179" s="3">
        <f t="shared" si="18"/>
        <v>80</v>
      </c>
      <c r="U179" s="4">
        <v>607001</v>
      </c>
      <c r="V179" s="4" t="s">
        <v>30</v>
      </c>
      <c r="W179" s="3">
        <f t="shared" si="16"/>
        <v>20000</v>
      </c>
      <c r="X179" s="3">
        <f t="shared" ref="X179:AB179" si="40">X174</f>
        <v>416002</v>
      </c>
      <c r="Y179" s="3" t="str">
        <f t="shared" si="40"/>
        <v>四轮马车</v>
      </c>
      <c r="Z179" s="3">
        <f t="shared" si="40"/>
        <v>50</v>
      </c>
      <c r="AA179" s="4">
        <f t="shared" si="40"/>
        <v>403002</v>
      </c>
      <c r="AB179" s="138" t="str">
        <f t="shared" si="40"/>
        <v>优质工具</v>
      </c>
      <c r="AC179" s="3">
        <f t="shared" si="19"/>
        <v>1000</v>
      </c>
    </row>
    <row r="180" spans="1:29" x14ac:dyDescent="0.15">
      <c r="A180" s="3">
        <v>102504</v>
      </c>
      <c r="B180" s="3"/>
      <c r="C180" s="3">
        <v>0</v>
      </c>
      <c r="D180" s="3">
        <v>5</v>
      </c>
      <c r="E180" s="45">
        <v>615001</v>
      </c>
      <c r="F180" s="45" t="s">
        <v>59</v>
      </c>
      <c r="G180" s="3">
        <v>5000</v>
      </c>
      <c r="H180" s="134">
        <f>VLOOKUP(E180,[1]stuff!$A:$C,3,FALSE)</f>
        <v>50</v>
      </c>
      <c r="I180" s="130">
        <f t="shared" si="15"/>
        <v>80</v>
      </c>
      <c r="J180" s="130">
        <v>600</v>
      </c>
      <c r="K180" s="130">
        <f t="shared" si="17"/>
        <v>120</v>
      </c>
      <c r="L180" s="3">
        <f t="shared" si="12"/>
        <v>110000</v>
      </c>
      <c r="M180" s="3">
        <f t="shared" si="13"/>
        <v>45.454545454545453</v>
      </c>
      <c r="N180" s="4">
        <v>0</v>
      </c>
      <c r="O180" s="4"/>
      <c r="P180" s="3">
        <v>0</v>
      </c>
      <c r="Q180" s="3">
        <v>0</v>
      </c>
      <c r="R180" s="3">
        <v>0</v>
      </c>
      <c r="S180" s="3">
        <v>6</v>
      </c>
      <c r="T180" s="3">
        <f t="shared" si="18"/>
        <v>120</v>
      </c>
      <c r="U180" s="4">
        <v>607001</v>
      </c>
      <c r="V180" s="4" t="s">
        <v>30</v>
      </c>
      <c r="W180" s="3">
        <f t="shared" si="16"/>
        <v>50000</v>
      </c>
      <c r="X180" s="3">
        <f t="shared" ref="X180:AB180" si="41">X175</f>
        <v>416002</v>
      </c>
      <c r="Y180" s="3" t="str">
        <f t="shared" si="41"/>
        <v>四轮马车</v>
      </c>
      <c r="Z180" s="3">
        <f t="shared" si="41"/>
        <v>50</v>
      </c>
      <c r="AA180" s="4">
        <f t="shared" si="41"/>
        <v>403002</v>
      </c>
      <c r="AB180" s="138" t="str">
        <f t="shared" si="41"/>
        <v>优质工具</v>
      </c>
      <c r="AC180" s="3">
        <f t="shared" si="19"/>
        <v>2000</v>
      </c>
    </row>
    <row r="181" spans="1:29" s="102" customFormat="1" x14ac:dyDescent="0.15">
      <c r="A181" s="100">
        <v>102600</v>
      </c>
      <c r="B181" s="100"/>
      <c r="C181" s="100">
        <v>102601</v>
      </c>
      <c r="D181" s="100">
        <v>1</v>
      </c>
      <c r="E181" s="108">
        <v>615001</v>
      </c>
      <c r="F181" s="108" t="s">
        <v>59</v>
      </c>
      <c r="G181" s="100">
        <v>40</v>
      </c>
      <c r="H181" s="134">
        <f>VLOOKUP(E181,[1]stuff!$A:$C,3,FALSE)</f>
        <v>50</v>
      </c>
      <c r="I181" s="130">
        <f t="shared" si="15"/>
        <v>95</v>
      </c>
      <c r="J181" s="130">
        <v>200</v>
      </c>
      <c r="K181" s="130">
        <f t="shared" si="17"/>
        <v>40</v>
      </c>
      <c r="L181" s="3">
        <f t="shared" si="12"/>
        <v>20100</v>
      </c>
      <c r="M181" s="3">
        <f t="shared" si="13"/>
        <v>9.9502487562189046</v>
      </c>
      <c r="N181" s="101">
        <v>202888</v>
      </c>
      <c r="O181" s="101" t="s">
        <v>73</v>
      </c>
      <c r="P181" s="100">
        <v>30</v>
      </c>
      <c r="Q181" s="100">
        <v>5</v>
      </c>
      <c r="R181" s="100">
        <v>30</v>
      </c>
      <c r="S181" s="3">
        <v>1</v>
      </c>
      <c r="T181" s="3">
        <f t="shared" si="18"/>
        <v>20</v>
      </c>
      <c r="U181" s="101">
        <v>607001</v>
      </c>
      <c r="V181" s="101" t="s">
        <v>30</v>
      </c>
      <c r="W181" s="3">
        <f t="shared" si="16"/>
        <v>2000</v>
      </c>
      <c r="X181" s="3">
        <f t="shared" ref="X181:AB181" si="42">X176</f>
        <v>416001</v>
      </c>
      <c r="Y181" s="3" t="str">
        <f t="shared" si="42"/>
        <v>两轮马车</v>
      </c>
      <c r="Z181" s="3">
        <f t="shared" si="42"/>
        <v>20</v>
      </c>
      <c r="AA181" s="4">
        <f t="shared" si="42"/>
        <v>403002</v>
      </c>
      <c r="AB181" s="138" t="str">
        <f t="shared" si="42"/>
        <v>优质工具</v>
      </c>
      <c r="AC181" s="3">
        <f t="shared" si="19"/>
        <v>200</v>
      </c>
    </row>
    <row r="182" spans="1:29" s="102" customFormat="1" x14ac:dyDescent="0.15">
      <c r="A182" s="100">
        <v>102601</v>
      </c>
      <c r="B182" s="100"/>
      <c r="C182" s="100">
        <v>102602</v>
      </c>
      <c r="D182" s="100">
        <v>2</v>
      </c>
      <c r="E182" s="109">
        <v>615001</v>
      </c>
      <c r="F182" s="109" t="s">
        <v>59</v>
      </c>
      <c r="G182" s="100">
        <v>80</v>
      </c>
      <c r="H182" s="134">
        <f>VLOOKUP(E182,[1]stuff!$A:$C,3,FALSE)</f>
        <v>50</v>
      </c>
      <c r="I182" s="130">
        <f t="shared" si="15"/>
        <v>90</v>
      </c>
      <c r="J182" s="130">
        <v>400</v>
      </c>
      <c r="K182" s="130">
        <f t="shared" si="17"/>
        <v>80</v>
      </c>
      <c r="L182" s="3">
        <f t="shared" si="12"/>
        <v>40400</v>
      </c>
      <c r="M182" s="3">
        <f t="shared" si="13"/>
        <v>12.376237623762377</v>
      </c>
      <c r="N182" s="101">
        <v>202888</v>
      </c>
      <c r="O182" s="101" t="s">
        <v>73</v>
      </c>
      <c r="P182" s="100">
        <v>40</v>
      </c>
      <c r="Q182" s="100">
        <v>6</v>
      </c>
      <c r="R182" s="100">
        <v>60</v>
      </c>
      <c r="S182" s="3">
        <v>2</v>
      </c>
      <c r="T182" s="3">
        <f t="shared" si="18"/>
        <v>40</v>
      </c>
      <c r="U182" s="101">
        <v>607001</v>
      </c>
      <c r="V182" s="101" t="s">
        <v>30</v>
      </c>
      <c r="W182" s="3">
        <f t="shared" si="16"/>
        <v>5000</v>
      </c>
      <c r="X182" s="3">
        <f t="shared" ref="X182:AB182" si="43">X177</f>
        <v>416001</v>
      </c>
      <c r="Y182" s="3" t="str">
        <f t="shared" si="43"/>
        <v>两轮马车</v>
      </c>
      <c r="Z182" s="3">
        <f t="shared" si="43"/>
        <v>30</v>
      </c>
      <c r="AA182" s="4">
        <f t="shared" si="43"/>
        <v>403002</v>
      </c>
      <c r="AB182" s="138" t="str">
        <f t="shared" si="43"/>
        <v>优质工具</v>
      </c>
      <c r="AC182" s="3">
        <f t="shared" si="19"/>
        <v>500</v>
      </c>
    </row>
    <row r="183" spans="1:29" s="102" customFormat="1" x14ac:dyDescent="0.15">
      <c r="A183" s="100">
        <v>102602</v>
      </c>
      <c r="B183" s="100"/>
      <c r="C183" s="100">
        <v>102603</v>
      </c>
      <c r="D183" s="100">
        <v>3</v>
      </c>
      <c r="E183" s="110">
        <v>615001</v>
      </c>
      <c r="F183" s="110" t="s">
        <v>59</v>
      </c>
      <c r="G183" s="100">
        <v>120</v>
      </c>
      <c r="H183" s="134">
        <f>VLOOKUP(E183,[1]stuff!$A:$C,3,FALSE)</f>
        <v>50</v>
      </c>
      <c r="I183" s="130">
        <f t="shared" si="15"/>
        <v>85</v>
      </c>
      <c r="J183" s="130">
        <v>600</v>
      </c>
      <c r="K183" s="130">
        <f t="shared" si="17"/>
        <v>120</v>
      </c>
      <c r="L183" s="3">
        <f t="shared" si="12"/>
        <v>60900</v>
      </c>
      <c r="M183" s="3">
        <f t="shared" si="13"/>
        <v>16.420361247947454</v>
      </c>
      <c r="N183" s="101">
        <v>202888</v>
      </c>
      <c r="O183" s="101" t="s">
        <v>73</v>
      </c>
      <c r="P183" s="100">
        <v>50</v>
      </c>
      <c r="Q183" s="100">
        <v>7</v>
      </c>
      <c r="R183" s="100">
        <v>120</v>
      </c>
      <c r="S183" s="3">
        <v>3</v>
      </c>
      <c r="T183" s="3">
        <f t="shared" si="18"/>
        <v>60</v>
      </c>
      <c r="U183" s="101">
        <v>607001</v>
      </c>
      <c r="V183" s="101" t="s">
        <v>30</v>
      </c>
      <c r="W183" s="3">
        <f t="shared" si="16"/>
        <v>10000</v>
      </c>
      <c r="X183" s="3">
        <f t="shared" ref="X183:AB183" si="44">X178</f>
        <v>416001</v>
      </c>
      <c r="Y183" s="3" t="str">
        <f t="shared" si="44"/>
        <v>两轮马车</v>
      </c>
      <c r="Z183" s="3">
        <f t="shared" si="44"/>
        <v>40</v>
      </c>
      <c r="AA183" s="4">
        <f t="shared" si="44"/>
        <v>403002</v>
      </c>
      <c r="AB183" s="138" t="str">
        <f t="shared" si="44"/>
        <v>优质工具</v>
      </c>
      <c r="AC183" s="3">
        <f t="shared" si="19"/>
        <v>1000</v>
      </c>
    </row>
    <row r="184" spans="1:29" s="102" customFormat="1" x14ac:dyDescent="0.15">
      <c r="A184" s="100">
        <v>102603</v>
      </c>
      <c r="B184" s="100"/>
      <c r="C184" s="100">
        <v>102604</v>
      </c>
      <c r="D184" s="100">
        <v>4</v>
      </c>
      <c r="E184" s="111">
        <v>615001</v>
      </c>
      <c r="F184" s="111" t="s">
        <v>59</v>
      </c>
      <c r="G184" s="100">
        <v>160</v>
      </c>
      <c r="H184" s="134">
        <f>VLOOKUP(E184,[1]stuff!$A:$C,3,FALSE)</f>
        <v>50</v>
      </c>
      <c r="I184" s="130">
        <f t="shared" si="15"/>
        <v>85</v>
      </c>
      <c r="J184" s="130">
        <v>800</v>
      </c>
      <c r="K184" s="130">
        <f t="shared" si="17"/>
        <v>160</v>
      </c>
      <c r="L184" s="3">
        <f t="shared" si="12"/>
        <v>81200</v>
      </c>
      <c r="M184" s="3">
        <f t="shared" si="13"/>
        <v>24.630541871921181</v>
      </c>
      <c r="N184" s="101">
        <v>202888</v>
      </c>
      <c r="O184" s="101" t="s">
        <v>73</v>
      </c>
      <c r="P184" s="100">
        <v>60</v>
      </c>
      <c r="Q184" s="100">
        <v>8</v>
      </c>
      <c r="R184" s="100">
        <v>250</v>
      </c>
      <c r="S184" s="3">
        <v>4</v>
      </c>
      <c r="T184" s="3">
        <f t="shared" si="18"/>
        <v>80</v>
      </c>
      <c r="U184" s="101">
        <v>607001</v>
      </c>
      <c r="V184" s="101" t="s">
        <v>30</v>
      </c>
      <c r="W184" s="3">
        <f t="shared" si="16"/>
        <v>20000</v>
      </c>
      <c r="X184" s="3">
        <f t="shared" ref="X184:AB184" si="45">X179</f>
        <v>416002</v>
      </c>
      <c r="Y184" s="3" t="str">
        <f t="shared" si="45"/>
        <v>四轮马车</v>
      </c>
      <c r="Z184" s="3">
        <f t="shared" si="45"/>
        <v>50</v>
      </c>
      <c r="AA184" s="4">
        <f t="shared" si="45"/>
        <v>403002</v>
      </c>
      <c r="AB184" s="138" t="str">
        <f t="shared" si="45"/>
        <v>优质工具</v>
      </c>
      <c r="AC184" s="3">
        <f t="shared" si="19"/>
        <v>1000</v>
      </c>
    </row>
    <row r="185" spans="1:29" s="102" customFormat="1" x14ac:dyDescent="0.15">
      <c r="A185" s="100">
        <v>102604</v>
      </c>
      <c r="B185" s="100"/>
      <c r="C185" s="100">
        <v>0</v>
      </c>
      <c r="D185" s="100">
        <v>5</v>
      </c>
      <c r="E185" s="112">
        <v>615001</v>
      </c>
      <c r="F185" s="112" t="s">
        <v>59</v>
      </c>
      <c r="G185" s="100">
        <v>200</v>
      </c>
      <c r="H185" s="134">
        <f>VLOOKUP(E185,[1]stuff!$A:$C,3,FALSE)</f>
        <v>50</v>
      </c>
      <c r="I185" s="130">
        <f t="shared" si="15"/>
        <v>80</v>
      </c>
      <c r="J185" s="130">
        <v>1000</v>
      </c>
      <c r="K185" s="130">
        <f t="shared" si="17"/>
        <v>200</v>
      </c>
      <c r="L185" s="3">
        <f t="shared" si="12"/>
        <v>102000</v>
      </c>
      <c r="M185" s="3">
        <f t="shared" si="13"/>
        <v>49.019607843137258</v>
      </c>
      <c r="N185" s="101">
        <v>202888</v>
      </c>
      <c r="O185" s="101" t="s">
        <v>73</v>
      </c>
      <c r="P185" s="100">
        <v>70</v>
      </c>
      <c r="Q185" s="100">
        <v>9</v>
      </c>
      <c r="R185" s="100">
        <v>500</v>
      </c>
      <c r="S185" s="3">
        <v>6</v>
      </c>
      <c r="T185" s="3">
        <f t="shared" si="18"/>
        <v>120</v>
      </c>
      <c r="U185" s="101">
        <v>607001</v>
      </c>
      <c r="V185" s="101" t="s">
        <v>30</v>
      </c>
      <c r="W185" s="3">
        <f t="shared" si="16"/>
        <v>50000</v>
      </c>
      <c r="X185" s="3">
        <f t="shared" ref="X185:AB185" si="46">X180</f>
        <v>416002</v>
      </c>
      <c r="Y185" s="3" t="str">
        <f t="shared" si="46"/>
        <v>四轮马车</v>
      </c>
      <c r="Z185" s="3">
        <f t="shared" si="46"/>
        <v>50</v>
      </c>
      <c r="AA185" s="4">
        <f t="shared" si="46"/>
        <v>403002</v>
      </c>
      <c r="AB185" s="138" t="str">
        <f t="shared" si="46"/>
        <v>优质工具</v>
      </c>
      <c r="AC185" s="3">
        <f t="shared" si="19"/>
        <v>2000</v>
      </c>
    </row>
    <row r="186" spans="1:29" x14ac:dyDescent="0.15">
      <c r="A186" s="135">
        <v>103100</v>
      </c>
      <c r="B186" s="136" t="s">
        <v>91</v>
      </c>
      <c r="C186" s="3">
        <v>103101</v>
      </c>
      <c r="D186" s="3">
        <v>1</v>
      </c>
      <c r="E186" s="46">
        <v>301006</v>
      </c>
      <c r="F186" s="46" t="s">
        <v>35</v>
      </c>
      <c r="G186" s="3">
        <v>2000</v>
      </c>
      <c r="H186" s="134">
        <f>VLOOKUP(E186,[1]stuff!$A:$C,3,FALSE)</f>
        <v>1</v>
      </c>
      <c r="I186" s="130">
        <f t="shared" si="15"/>
        <v>95</v>
      </c>
      <c r="J186" s="130">
        <v>100</v>
      </c>
      <c r="K186" s="130">
        <f t="shared" si="17"/>
        <v>20</v>
      </c>
      <c r="L186" s="3">
        <f t="shared" ref="L186:L249" si="47">G186*H186*(100-I186)/100+J186*100</f>
        <v>10100</v>
      </c>
      <c r="M186" s="3">
        <f t="shared" ref="M186:M249" si="48">W186*100/L186</f>
        <v>19.801980198019802</v>
      </c>
      <c r="N186" s="4">
        <v>0</v>
      </c>
      <c r="O186" s="4"/>
      <c r="P186" s="3">
        <v>0</v>
      </c>
      <c r="Q186" s="3">
        <v>0</v>
      </c>
      <c r="R186" s="3">
        <v>0</v>
      </c>
      <c r="S186" s="3">
        <v>1</v>
      </c>
      <c r="T186" s="3">
        <f t="shared" si="18"/>
        <v>20</v>
      </c>
      <c r="U186" s="4">
        <v>607001</v>
      </c>
      <c r="V186" s="4" t="s">
        <v>30</v>
      </c>
      <c r="W186" s="3">
        <f t="shared" si="16"/>
        <v>2000</v>
      </c>
      <c r="X186" s="3">
        <f t="shared" ref="X186:AB186" si="49">X181</f>
        <v>416001</v>
      </c>
      <c r="Y186" s="3" t="str">
        <f t="shared" si="49"/>
        <v>两轮马车</v>
      </c>
      <c r="Z186" s="3">
        <f t="shared" si="49"/>
        <v>20</v>
      </c>
      <c r="AA186" s="4">
        <f t="shared" si="49"/>
        <v>403002</v>
      </c>
      <c r="AB186" s="138" t="str">
        <f t="shared" si="49"/>
        <v>优质工具</v>
      </c>
      <c r="AC186" s="3">
        <f t="shared" si="19"/>
        <v>200</v>
      </c>
    </row>
    <row r="187" spans="1:29" x14ac:dyDescent="0.15">
      <c r="A187" s="3">
        <v>103101</v>
      </c>
      <c r="B187" s="3"/>
      <c r="C187" s="3">
        <v>103102</v>
      </c>
      <c r="D187" s="3">
        <v>2</v>
      </c>
      <c r="E187" s="47">
        <v>301006</v>
      </c>
      <c r="F187" s="47" t="s">
        <v>35</v>
      </c>
      <c r="G187" s="3">
        <v>4000</v>
      </c>
      <c r="H187" s="134">
        <f>VLOOKUP(E187,[1]stuff!$A:$C,3,FALSE)</f>
        <v>1</v>
      </c>
      <c r="I187" s="130">
        <f t="shared" si="15"/>
        <v>90</v>
      </c>
      <c r="J187" s="130">
        <v>150</v>
      </c>
      <c r="K187" s="130">
        <f t="shared" si="17"/>
        <v>30</v>
      </c>
      <c r="L187" s="3">
        <f t="shared" si="47"/>
        <v>15400</v>
      </c>
      <c r="M187" s="3">
        <f t="shared" si="48"/>
        <v>32.467532467532465</v>
      </c>
      <c r="N187" s="4">
        <v>0</v>
      </c>
      <c r="O187" s="4"/>
      <c r="P187" s="3">
        <v>0</v>
      </c>
      <c r="Q187" s="3">
        <v>0</v>
      </c>
      <c r="R187" s="3">
        <v>0</v>
      </c>
      <c r="S187" s="3">
        <v>2</v>
      </c>
      <c r="T187" s="3">
        <f t="shared" si="18"/>
        <v>40</v>
      </c>
      <c r="U187" s="4">
        <v>607001</v>
      </c>
      <c r="V187" s="4" t="s">
        <v>30</v>
      </c>
      <c r="W187" s="3">
        <f t="shared" si="16"/>
        <v>5000</v>
      </c>
      <c r="X187" s="3">
        <f t="shared" ref="X187:AB187" si="50">X182</f>
        <v>416001</v>
      </c>
      <c r="Y187" s="3" t="str">
        <f t="shared" si="50"/>
        <v>两轮马车</v>
      </c>
      <c r="Z187" s="3">
        <f t="shared" si="50"/>
        <v>30</v>
      </c>
      <c r="AA187" s="4">
        <f t="shared" si="50"/>
        <v>403002</v>
      </c>
      <c r="AB187" s="138" t="str">
        <f t="shared" si="50"/>
        <v>优质工具</v>
      </c>
      <c r="AC187" s="3">
        <f t="shared" si="19"/>
        <v>500</v>
      </c>
    </row>
    <row r="188" spans="1:29" x14ac:dyDescent="0.15">
      <c r="A188" s="3">
        <v>103102</v>
      </c>
      <c r="B188" s="3"/>
      <c r="C188" s="3">
        <v>103103</v>
      </c>
      <c r="D188" s="3">
        <v>3</v>
      </c>
      <c r="E188" s="48">
        <v>301006</v>
      </c>
      <c r="F188" s="48" t="s">
        <v>35</v>
      </c>
      <c r="G188" s="3">
        <v>6000</v>
      </c>
      <c r="H188" s="134">
        <f>VLOOKUP(E188,[1]stuff!$A:$C,3,FALSE)</f>
        <v>1</v>
      </c>
      <c r="I188" s="130">
        <f t="shared" si="15"/>
        <v>85</v>
      </c>
      <c r="J188" s="130">
        <v>200</v>
      </c>
      <c r="K188" s="130">
        <f t="shared" si="17"/>
        <v>40</v>
      </c>
      <c r="L188" s="3">
        <f t="shared" si="47"/>
        <v>20900</v>
      </c>
      <c r="M188" s="3">
        <f t="shared" si="48"/>
        <v>47.846889952153113</v>
      </c>
      <c r="N188" s="4">
        <v>0</v>
      </c>
      <c r="O188" s="4"/>
      <c r="P188" s="3">
        <v>0</v>
      </c>
      <c r="Q188" s="3">
        <v>0</v>
      </c>
      <c r="R188" s="3">
        <v>0</v>
      </c>
      <c r="S188" s="3">
        <v>3</v>
      </c>
      <c r="T188" s="3">
        <f t="shared" si="18"/>
        <v>60</v>
      </c>
      <c r="U188" s="4">
        <v>607001</v>
      </c>
      <c r="V188" s="4" t="s">
        <v>30</v>
      </c>
      <c r="W188" s="3">
        <f t="shared" si="16"/>
        <v>10000</v>
      </c>
      <c r="X188" s="3">
        <f t="shared" ref="X188:AB188" si="51">X183</f>
        <v>416001</v>
      </c>
      <c r="Y188" s="3" t="str">
        <f t="shared" si="51"/>
        <v>两轮马车</v>
      </c>
      <c r="Z188" s="3">
        <f t="shared" si="51"/>
        <v>40</v>
      </c>
      <c r="AA188" s="4">
        <f t="shared" si="51"/>
        <v>403002</v>
      </c>
      <c r="AB188" s="138" t="str">
        <f t="shared" si="51"/>
        <v>优质工具</v>
      </c>
      <c r="AC188" s="3">
        <f t="shared" si="19"/>
        <v>1000</v>
      </c>
    </row>
    <row r="189" spans="1:29" x14ac:dyDescent="0.15">
      <c r="A189" s="3">
        <v>103103</v>
      </c>
      <c r="B189" s="3"/>
      <c r="C189" s="3">
        <v>103104</v>
      </c>
      <c r="D189" s="3">
        <v>4</v>
      </c>
      <c r="E189" s="49">
        <v>301006</v>
      </c>
      <c r="F189" s="49" t="s">
        <v>35</v>
      </c>
      <c r="G189" s="3">
        <v>8000</v>
      </c>
      <c r="H189" s="134">
        <f>VLOOKUP(E189,[1]stuff!$A:$C,3,FALSE)</f>
        <v>1</v>
      </c>
      <c r="I189" s="130">
        <f t="shared" si="15"/>
        <v>85</v>
      </c>
      <c r="J189" s="130">
        <v>250</v>
      </c>
      <c r="K189" s="130">
        <f t="shared" si="17"/>
        <v>50</v>
      </c>
      <c r="L189" s="3">
        <f t="shared" si="47"/>
        <v>26200</v>
      </c>
      <c r="M189" s="3">
        <f t="shared" si="48"/>
        <v>76.335877862595424</v>
      </c>
      <c r="N189" s="4">
        <v>0</v>
      </c>
      <c r="O189" s="4"/>
      <c r="P189" s="3">
        <v>0</v>
      </c>
      <c r="Q189" s="3">
        <v>0</v>
      </c>
      <c r="R189" s="3">
        <v>0</v>
      </c>
      <c r="S189" s="3">
        <v>4</v>
      </c>
      <c r="T189" s="3">
        <f t="shared" si="18"/>
        <v>80</v>
      </c>
      <c r="U189" s="4">
        <v>607001</v>
      </c>
      <c r="V189" s="4" t="s">
        <v>30</v>
      </c>
      <c r="W189" s="3">
        <f t="shared" si="16"/>
        <v>20000</v>
      </c>
      <c r="X189" s="3">
        <f t="shared" ref="X189:AB189" si="52">X184</f>
        <v>416002</v>
      </c>
      <c r="Y189" s="3" t="str">
        <f t="shared" si="52"/>
        <v>四轮马车</v>
      </c>
      <c r="Z189" s="3">
        <f t="shared" si="52"/>
        <v>50</v>
      </c>
      <c r="AA189" s="4">
        <f t="shared" si="52"/>
        <v>403002</v>
      </c>
      <c r="AB189" s="138" t="str">
        <f t="shared" si="52"/>
        <v>优质工具</v>
      </c>
      <c r="AC189" s="3">
        <f t="shared" si="19"/>
        <v>1000</v>
      </c>
    </row>
    <row r="190" spans="1:29" x14ac:dyDescent="0.15">
      <c r="A190" s="3">
        <v>103104</v>
      </c>
      <c r="B190" s="3"/>
      <c r="C190" s="3">
        <v>0</v>
      </c>
      <c r="D190" s="3">
        <v>5</v>
      </c>
      <c r="E190" s="49">
        <v>301006</v>
      </c>
      <c r="F190" s="49" t="s">
        <v>35</v>
      </c>
      <c r="G190" s="3">
        <v>10000</v>
      </c>
      <c r="H190" s="134">
        <f>VLOOKUP(E190,[1]stuff!$A:$C,3,FALSE)</f>
        <v>1</v>
      </c>
      <c r="I190" s="130">
        <f t="shared" si="15"/>
        <v>80</v>
      </c>
      <c r="J190" s="130">
        <v>300</v>
      </c>
      <c r="K190" s="130">
        <f t="shared" si="17"/>
        <v>60</v>
      </c>
      <c r="L190" s="3">
        <f t="shared" si="47"/>
        <v>32000</v>
      </c>
      <c r="M190" s="3">
        <f t="shared" si="48"/>
        <v>156.25</v>
      </c>
      <c r="N190" s="4">
        <v>0</v>
      </c>
      <c r="O190" s="4"/>
      <c r="P190" s="3">
        <v>0</v>
      </c>
      <c r="Q190" s="3">
        <v>0</v>
      </c>
      <c r="R190" s="3">
        <v>0</v>
      </c>
      <c r="S190" s="3">
        <v>6</v>
      </c>
      <c r="T190" s="3">
        <f t="shared" si="18"/>
        <v>120</v>
      </c>
      <c r="U190" s="4">
        <v>607001</v>
      </c>
      <c r="V190" s="4" t="s">
        <v>30</v>
      </c>
      <c r="W190" s="3">
        <f t="shared" si="16"/>
        <v>50000</v>
      </c>
      <c r="X190" s="3">
        <f t="shared" ref="X190:AB190" si="53">X185</f>
        <v>416002</v>
      </c>
      <c r="Y190" s="3" t="str">
        <f t="shared" si="53"/>
        <v>四轮马车</v>
      </c>
      <c r="Z190" s="3">
        <f t="shared" si="53"/>
        <v>50</v>
      </c>
      <c r="AA190" s="4">
        <f t="shared" si="53"/>
        <v>403002</v>
      </c>
      <c r="AB190" s="138" t="str">
        <f t="shared" si="53"/>
        <v>优质工具</v>
      </c>
      <c r="AC190" s="3">
        <f t="shared" si="19"/>
        <v>2000</v>
      </c>
    </row>
    <row r="191" spans="1:29" x14ac:dyDescent="0.15">
      <c r="A191" s="3">
        <v>103200</v>
      </c>
      <c r="B191" s="3"/>
      <c r="C191" s="3">
        <v>103201</v>
      </c>
      <c r="D191" s="3">
        <v>1</v>
      </c>
      <c r="E191" s="50">
        <v>615002</v>
      </c>
      <c r="F191" s="50" t="s">
        <v>60</v>
      </c>
      <c r="G191" s="3">
        <v>1000</v>
      </c>
      <c r="H191" s="134">
        <f>VLOOKUP(E191,[1]stuff!$A:$C,3,FALSE)</f>
        <v>50</v>
      </c>
      <c r="I191" s="130">
        <f t="shared" ref="I191:I254" si="54">I186</f>
        <v>95</v>
      </c>
      <c r="J191" s="130">
        <v>100</v>
      </c>
      <c r="K191" s="130">
        <f t="shared" si="17"/>
        <v>20</v>
      </c>
      <c r="L191" s="3">
        <f t="shared" si="47"/>
        <v>12500</v>
      </c>
      <c r="M191" s="3">
        <f t="shared" si="48"/>
        <v>16</v>
      </c>
      <c r="N191" s="4">
        <v>0</v>
      </c>
      <c r="O191" s="4"/>
      <c r="P191" s="3">
        <v>0</v>
      </c>
      <c r="Q191" s="3">
        <v>0</v>
      </c>
      <c r="R191" s="3">
        <v>0</v>
      </c>
      <c r="S191" s="3">
        <v>1</v>
      </c>
      <c r="T191" s="3">
        <f t="shared" si="18"/>
        <v>20</v>
      </c>
      <c r="U191" s="4">
        <v>607001</v>
      </c>
      <c r="V191" s="4" t="s">
        <v>30</v>
      </c>
      <c r="W191" s="3">
        <f t="shared" ref="W191:AC254" si="55">W186</f>
        <v>2000</v>
      </c>
      <c r="X191" s="3">
        <f t="shared" si="55"/>
        <v>416001</v>
      </c>
      <c r="Y191" s="3" t="str">
        <f t="shared" si="55"/>
        <v>两轮马车</v>
      </c>
      <c r="Z191" s="3">
        <f t="shared" si="55"/>
        <v>20</v>
      </c>
      <c r="AA191" s="4">
        <f t="shared" si="55"/>
        <v>403002</v>
      </c>
      <c r="AB191" s="138" t="str">
        <f t="shared" si="55"/>
        <v>优质工具</v>
      </c>
      <c r="AC191" s="3">
        <f t="shared" si="19"/>
        <v>200</v>
      </c>
    </row>
    <row r="192" spans="1:29" x14ac:dyDescent="0.15">
      <c r="A192" s="3">
        <v>103201</v>
      </c>
      <c r="B192" s="3"/>
      <c r="C192" s="3">
        <v>103202</v>
      </c>
      <c r="D192" s="3">
        <v>2</v>
      </c>
      <c r="E192" s="51">
        <v>615002</v>
      </c>
      <c r="F192" s="51" t="s">
        <v>60</v>
      </c>
      <c r="G192" s="3">
        <v>2000</v>
      </c>
      <c r="H192" s="134">
        <f>VLOOKUP(E192,[1]stuff!$A:$C,3,FALSE)</f>
        <v>50</v>
      </c>
      <c r="I192" s="130">
        <f t="shared" si="54"/>
        <v>90</v>
      </c>
      <c r="J192" s="130">
        <v>150</v>
      </c>
      <c r="K192" s="130">
        <f t="shared" si="17"/>
        <v>30</v>
      </c>
      <c r="L192" s="3">
        <f t="shared" si="47"/>
        <v>25000</v>
      </c>
      <c r="M192" s="3">
        <f t="shared" si="48"/>
        <v>20</v>
      </c>
      <c r="N192" s="4">
        <v>0</v>
      </c>
      <c r="O192" s="4"/>
      <c r="P192" s="3">
        <v>0</v>
      </c>
      <c r="Q192" s="3">
        <v>0</v>
      </c>
      <c r="R192" s="3">
        <v>0</v>
      </c>
      <c r="S192" s="3">
        <v>2</v>
      </c>
      <c r="T192" s="3">
        <f t="shared" si="18"/>
        <v>40</v>
      </c>
      <c r="U192" s="4">
        <v>607001</v>
      </c>
      <c r="V192" s="4" t="s">
        <v>30</v>
      </c>
      <c r="W192" s="3">
        <f t="shared" si="55"/>
        <v>5000</v>
      </c>
      <c r="X192" s="3">
        <f t="shared" si="55"/>
        <v>416001</v>
      </c>
      <c r="Y192" s="3" t="str">
        <f t="shared" si="55"/>
        <v>两轮马车</v>
      </c>
      <c r="Z192" s="3">
        <f t="shared" si="55"/>
        <v>30</v>
      </c>
      <c r="AA192" s="4">
        <f t="shared" si="55"/>
        <v>403002</v>
      </c>
      <c r="AB192" s="138" t="str">
        <f t="shared" si="55"/>
        <v>优质工具</v>
      </c>
      <c r="AC192" s="3">
        <f t="shared" si="19"/>
        <v>500</v>
      </c>
    </row>
    <row r="193" spans="1:29" x14ac:dyDescent="0.15">
      <c r="A193" s="3">
        <v>103202</v>
      </c>
      <c r="B193" s="3"/>
      <c r="C193" s="3">
        <v>103203</v>
      </c>
      <c r="D193" s="3">
        <v>3</v>
      </c>
      <c r="E193" s="52">
        <v>615002</v>
      </c>
      <c r="F193" s="52" t="s">
        <v>60</v>
      </c>
      <c r="G193" s="3">
        <v>3000</v>
      </c>
      <c r="H193" s="134">
        <f>VLOOKUP(E193,[1]stuff!$A:$C,3,FALSE)</f>
        <v>50</v>
      </c>
      <c r="I193" s="130">
        <f t="shared" si="54"/>
        <v>85</v>
      </c>
      <c r="J193" s="130">
        <v>200</v>
      </c>
      <c r="K193" s="130">
        <f t="shared" si="17"/>
        <v>40</v>
      </c>
      <c r="L193" s="3">
        <f t="shared" si="47"/>
        <v>42500</v>
      </c>
      <c r="M193" s="3">
        <f t="shared" si="48"/>
        <v>23.529411764705884</v>
      </c>
      <c r="N193" s="4">
        <v>0</v>
      </c>
      <c r="O193" s="4"/>
      <c r="P193" s="3">
        <v>0</v>
      </c>
      <c r="Q193" s="3">
        <v>0</v>
      </c>
      <c r="R193" s="3">
        <v>0</v>
      </c>
      <c r="S193" s="3">
        <v>3</v>
      </c>
      <c r="T193" s="3">
        <f t="shared" si="18"/>
        <v>60</v>
      </c>
      <c r="U193" s="4">
        <v>607001</v>
      </c>
      <c r="V193" s="4" t="s">
        <v>30</v>
      </c>
      <c r="W193" s="3">
        <f t="shared" si="55"/>
        <v>10000</v>
      </c>
      <c r="X193" s="3">
        <f t="shared" si="55"/>
        <v>416001</v>
      </c>
      <c r="Y193" s="3" t="str">
        <f t="shared" si="55"/>
        <v>两轮马车</v>
      </c>
      <c r="Z193" s="3">
        <f t="shared" si="55"/>
        <v>40</v>
      </c>
      <c r="AA193" s="4">
        <f t="shared" si="55"/>
        <v>403002</v>
      </c>
      <c r="AB193" s="138" t="str">
        <f t="shared" si="55"/>
        <v>优质工具</v>
      </c>
      <c r="AC193" s="3">
        <f t="shared" si="19"/>
        <v>1000</v>
      </c>
    </row>
    <row r="194" spans="1:29" x14ac:dyDescent="0.15">
      <c r="A194" s="3">
        <v>103203</v>
      </c>
      <c r="B194" s="3"/>
      <c r="C194" s="3">
        <v>103204</v>
      </c>
      <c r="D194" s="3">
        <v>4</v>
      </c>
      <c r="E194" s="53">
        <v>615002</v>
      </c>
      <c r="F194" s="53" t="s">
        <v>60</v>
      </c>
      <c r="G194" s="3">
        <v>4000</v>
      </c>
      <c r="H194" s="134">
        <f>VLOOKUP(E194,[1]stuff!$A:$C,3,FALSE)</f>
        <v>50</v>
      </c>
      <c r="I194" s="130">
        <f t="shared" si="54"/>
        <v>85</v>
      </c>
      <c r="J194" s="130">
        <v>250</v>
      </c>
      <c r="K194" s="130">
        <f t="shared" si="17"/>
        <v>50</v>
      </c>
      <c r="L194" s="3">
        <f t="shared" si="47"/>
        <v>55000</v>
      </c>
      <c r="M194" s="3">
        <f t="shared" si="48"/>
        <v>36.363636363636367</v>
      </c>
      <c r="N194" s="4">
        <v>0</v>
      </c>
      <c r="O194" s="4"/>
      <c r="P194" s="3">
        <v>0</v>
      </c>
      <c r="Q194" s="3">
        <v>0</v>
      </c>
      <c r="R194" s="3">
        <v>0</v>
      </c>
      <c r="S194" s="3">
        <v>4</v>
      </c>
      <c r="T194" s="3">
        <f t="shared" si="18"/>
        <v>80</v>
      </c>
      <c r="U194" s="4">
        <v>607001</v>
      </c>
      <c r="V194" s="4" t="s">
        <v>30</v>
      </c>
      <c r="W194" s="3">
        <f t="shared" si="55"/>
        <v>20000</v>
      </c>
      <c r="X194" s="3">
        <f t="shared" si="55"/>
        <v>416002</v>
      </c>
      <c r="Y194" s="3" t="str">
        <f t="shared" si="55"/>
        <v>四轮马车</v>
      </c>
      <c r="Z194" s="3">
        <f t="shared" si="55"/>
        <v>50</v>
      </c>
      <c r="AA194" s="4">
        <f t="shared" si="55"/>
        <v>403002</v>
      </c>
      <c r="AB194" s="138" t="str">
        <f t="shared" si="55"/>
        <v>优质工具</v>
      </c>
      <c r="AC194" s="3">
        <f t="shared" si="19"/>
        <v>1000</v>
      </c>
    </row>
    <row r="195" spans="1:29" x14ac:dyDescent="0.15">
      <c r="A195" s="3">
        <v>103204</v>
      </c>
      <c r="B195" s="3"/>
      <c r="C195" s="3">
        <v>0</v>
      </c>
      <c r="D195" s="3">
        <v>5</v>
      </c>
      <c r="E195" s="54">
        <v>615002</v>
      </c>
      <c r="F195" s="54" t="s">
        <v>60</v>
      </c>
      <c r="G195" s="3">
        <v>5000</v>
      </c>
      <c r="H195" s="134">
        <f>VLOOKUP(E195,[1]stuff!$A:$C,3,FALSE)</f>
        <v>50</v>
      </c>
      <c r="I195" s="130">
        <f t="shared" si="54"/>
        <v>80</v>
      </c>
      <c r="J195" s="130">
        <v>300</v>
      </c>
      <c r="K195" s="130">
        <f t="shared" si="17"/>
        <v>60</v>
      </c>
      <c r="L195" s="3">
        <f t="shared" si="47"/>
        <v>80000</v>
      </c>
      <c r="M195" s="3">
        <f t="shared" si="48"/>
        <v>62.5</v>
      </c>
      <c r="N195" s="4">
        <v>0</v>
      </c>
      <c r="O195" s="4"/>
      <c r="P195" s="3">
        <v>0</v>
      </c>
      <c r="Q195" s="3">
        <v>0</v>
      </c>
      <c r="R195" s="3">
        <v>0</v>
      </c>
      <c r="S195" s="3">
        <v>6</v>
      </c>
      <c r="T195" s="3">
        <f t="shared" si="18"/>
        <v>120</v>
      </c>
      <c r="U195" s="4">
        <v>607001</v>
      </c>
      <c r="V195" s="4" t="s">
        <v>30</v>
      </c>
      <c r="W195" s="3">
        <f t="shared" si="55"/>
        <v>50000</v>
      </c>
      <c r="X195" s="3">
        <f t="shared" si="55"/>
        <v>416002</v>
      </c>
      <c r="Y195" s="3" t="str">
        <f t="shared" si="55"/>
        <v>四轮马车</v>
      </c>
      <c r="Z195" s="3">
        <f t="shared" si="55"/>
        <v>50</v>
      </c>
      <c r="AA195" s="4">
        <f t="shared" si="55"/>
        <v>403002</v>
      </c>
      <c r="AB195" s="138" t="str">
        <f t="shared" si="55"/>
        <v>优质工具</v>
      </c>
      <c r="AC195" s="3">
        <f t="shared" si="19"/>
        <v>2000</v>
      </c>
    </row>
    <row r="196" spans="1:29" x14ac:dyDescent="0.15">
      <c r="A196" s="135">
        <v>103500</v>
      </c>
      <c r="B196" s="136" t="s">
        <v>91</v>
      </c>
      <c r="C196" s="3">
        <v>103501</v>
      </c>
      <c r="D196" s="3">
        <v>1</v>
      </c>
      <c r="E196" s="55">
        <v>304002</v>
      </c>
      <c r="F196" s="55" t="s">
        <v>47</v>
      </c>
      <c r="G196" s="3">
        <v>2000</v>
      </c>
      <c r="H196" s="134">
        <f>VLOOKUP(E196,[1]stuff!$A:$C,3,FALSE)</f>
        <v>2</v>
      </c>
      <c r="I196" s="130">
        <f t="shared" si="54"/>
        <v>95</v>
      </c>
      <c r="J196" s="130">
        <v>200</v>
      </c>
      <c r="K196" s="130">
        <f t="shared" si="17"/>
        <v>40</v>
      </c>
      <c r="L196" s="3">
        <f t="shared" si="47"/>
        <v>20200</v>
      </c>
      <c r="M196" s="3">
        <f t="shared" si="48"/>
        <v>9.9009900990099009</v>
      </c>
      <c r="N196" s="4">
        <v>0</v>
      </c>
      <c r="O196" s="4"/>
      <c r="P196" s="3">
        <v>0</v>
      </c>
      <c r="Q196" s="3">
        <v>0</v>
      </c>
      <c r="R196" s="3">
        <v>0</v>
      </c>
      <c r="S196" s="3">
        <v>1</v>
      </c>
      <c r="T196" s="3">
        <f t="shared" si="18"/>
        <v>20</v>
      </c>
      <c r="U196" s="4">
        <v>607001</v>
      </c>
      <c r="V196" s="4" t="s">
        <v>30</v>
      </c>
      <c r="W196" s="3">
        <f t="shared" si="55"/>
        <v>2000</v>
      </c>
      <c r="X196" s="3">
        <f t="shared" si="55"/>
        <v>416001</v>
      </c>
      <c r="Y196" s="3" t="str">
        <f t="shared" si="55"/>
        <v>两轮马车</v>
      </c>
      <c r="Z196" s="3">
        <f t="shared" si="55"/>
        <v>20</v>
      </c>
      <c r="AA196" s="4">
        <f t="shared" si="55"/>
        <v>403002</v>
      </c>
      <c r="AB196" s="138" t="str">
        <f t="shared" si="55"/>
        <v>优质工具</v>
      </c>
      <c r="AC196" s="3">
        <f t="shared" si="19"/>
        <v>200</v>
      </c>
    </row>
    <row r="197" spans="1:29" x14ac:dyDescent="0.15">
      <c r="A197" s="3">
        <v>103501</v>
      </c>
      <c r="B197" s="3"/>
      <c r="C197" s="3">
        <v>103502</v>
      </c>
      <c r="D197" s="3">
        <v>2</v>
      </c>
      <c r="E197" s="56">
        <v>304002</v>
      </c>
      <c r="F197" s="56" t="s">
        <v>47</v>
      </c>
      <c r="G197" s="3">
        <v>4000</v>
      </c>
      <c r="H197" s="134">
        <f>VLOOKUP(E197,[1]stuff!$A:$C,3,FALSE)</f>
        <v>2</v>
      </c>
      <c r="I197" s="130">
        <f t="shared" si="54"/>
        <v>90</v>
      </c>
      <c r="J197" s="130">
        <v>300</v>
      </c>
      <c r="K197" s="130">
        <f t="shared" si="17"/>
        <v>60</v>
      </c>
      <c r="L197" s="3">
        <f t="shared" si="47"/>
        <v>30800</v>
      </c>
      <c r="M197" s="3">
        <f t="shared" si="48"/>
        <v>16.233766233766232</v>
      </c>
      <c r="N197" s="4">
        <v>0</v>
      </c>
      <c r="O197" s="4"/>
      <c r="P197" s="3">
        <v>0</v>
      </c>
      <c r="Q197" s="3">
        <v>0</v>
      </c>
      <c r="R197" s="3">
        <v>0</v>
      </c>
      <c r="S197" s="3">
        <v>2</v>
      </c>
      <c r="T197" s="3">
        <f t="shared" si="18"/>
        <v>40</v>
      </c>
      <c r="U197" s="4">
        <v>607001</v>
      </c>
      <c r="V197" s="4" t="s">
        <v>30</v>
      </c>
      <c r="W197" s="3">
        <f t="shared" si="55"/>
        <v>5000</v>
      </c>
      <c r="X197" s="3">
        <f t="shared" si="55"/>
        <v>416001</v>
      </c>
      <c r="Y197" s="3" t="str">
        <f t="shared" si="55"/>
        <v>两轮马车</v>
      </c>
      <c r="Z197" s="3">
        <f t="shared" si="55"/>
        <v>30</v>
      </c>
      <c r="AA197" s="4">
        <f t="shared" si="55"/>
        <v>403002</v>
      </c>
      <c r="AB197" s="138" t="str">
        <f t="shared" si="55"/>
        <v>优质工具</v>
      </c>
      <c r="AC197" s="3">
        <f t="shared" si="19"/>
        <v>500</v>
      </c>
    </row>
    <row r="198" spans="1:29" x14ac:dyDescent="0.15">
      <c r="A198" s="3">
        <v>103502</v>
      </c>
      <c r="B198" s="3"/>
      <c r="C198" s="3">
        <v>103503</v>
      </c>
      <c r="D198" s="3">
        <v>3</v>
      </c>
      <c r="E198" s="57">
        <v>304002</v>
      </c>
      <c r="F198" s="57" t="s">
        <v>47</v>
      </c>
      <c r="G198" s="3">
        <v>6000</v>
      </c>
      <c r="H198" s="134">
        <f>VLOOKUP(E198,[1]stuff!$A:$C,3,FALSE)</f>
        <v>2</v>
      </c>
      <c r="I198" s="130">
        <f t="shared" si="54"/>
        <v>85</v>
      </c>
      <c r="J198" s="130">
        <v>400</v>
      </c>
      <c r="K198" s="130">
        <f t="shared" si="17"/>
        <v>80</v>
      </c>
      <c r="L198" s="3">
        <f t="shared" si="47"/>
        <v>41800</v>
      </c>
      <c r="M198" s="3">
        <f t="shared" si="48"/>
        <v>23.923444976076556</v>
      </c>
      <c r="N198" s="4">
        <v>0</v>
      </c>
      <c r="O198" s="4"/>
      <c r="P198" s="3">
        <v>0</v>
      </c>
      <c r="Q198" s="3">
        <v>0</v>
      </c>
      <c r="R198" s="3">
        <v>0</v>
      </c>
      <c r="S198" s="3">
        <v>3</v>
      </c>
      <c r="T198" s="3">
        <f t="shared" si="18"/>
        <v>60</v>
      </c>
      <c r="U198" s="4">
        <v>607001</v>
      </c>
      <c r="V198" s="4" t="s">
        <v>30</v>
      </c>
      <c r="W198" s="3">
        <f t="shared" si="55"/>
        <v>10000</v>
      </c>
      <c r="X198" s="3">
        <f t="shared" si="55"/>
        <v>416001</v>
      </c>
      <c r="Y198" s="3" t="str">
        <f t="shared" si="55"/>
        <v>两轮马车</v>
      </c>
      <c r="Z198" s="3">
        <f t="shared" si="55"/>
        <v>40</v>
      </c>
      <c r="AA198" s="4">
        <f t="shared" si="55"/>
        <v>403002</v>
      </c>
      <c r="AB198" s="138" t="str">
        <f t="shared" si="55"/>
        <v>优质工具</v>
      </c>
      <c r="AC198" s="3">
        <f t="shared" si="19"/>
        <v>1000</v>
      </c>
    </row>
    <row r="199" spans="1:29" x14ac:dyDescent="0.15">
      <c r="A199" s="3">
        <v>103503</v>
      </c>
      <c r="B199" s="3"/>
      <c r="C199" s="3">
        <v>103504</v>
      </c>
      <c r="D199" s="3">
        <v>4</v>
      </c>
      <c r="E199" s="58">
        <v>304002</v>
      </c>
      <c r="F199" s="58" t="s">
        <v>47</v>
      </c>
      <c r="G199" s="3">
        <v>8000</v>
      </c>
      <c r="H199" s="134">
        <f>VLOOKUP(E199,[1]stuff!$A:$C,3,FALSE)</f>
        <v>2</v>
      </c>
      <c r="I199" s="130">
        <f t="shared" si="54"/>
        <v>85</v>
      </c>
      <c r="J199" s="130">
        <v>500</v>
      </c>
      <c r="K199" s="130">
        <f t="shared" si="17"/>
        <v>100</v>
      </c>
      <c r="L199" s="3">
        <f t="shared" si="47"/>
        <v>52400</v>
      </c>
      <c r="M199" s="3">
        <f t="shared" si="48"/>
        <v>38.167938931297712</v>
      </c>
      <c r="N199" s="4">
        <v>0</v>
      </c>
      <c r="O199" s="4"/>
      <c r="P199" s="3">
        <v>0</v>
      </c>
      <c r="Q199" s="3">
        <v>0</v>
      </c>
      <c r="R199" s="3">
        <v>0</v>
      </c>
      <c r="S199" s="3">
        <v>4</v>
      </c>
      <c r="T199" s="3">
        <f t="shared" si="18"/>
        <v>80</v>
      </c>
      <c r="U199" s="4">
        <v>607001</v>
      </c>
      <c r="V199" s="4" t="s">
        <v>30</v>
      </c>
      <c r="W199" s="3">
        <f t="shared" si="55"/>
        <v>20000</v>
      </c>
      <c r="X199" s="3">
        <f t="shared" si="55"/>
        <v>416002</v>
      </c>
      <c r="Y199" s="3" t="str">
        <f t="shared" si="55"/>
        <v>四轮马车</v>
      </c>
      <c r="Z199" s="3">
        <f t="shared" si="55"/>
        <v>50</v>
      </c>
      <c r="AA199" s="4">
        <f t="shared" si="55"/>
        <v>403002</v>
      </c>
      <c r="AB199" s="138" t="str">
        <f t="shared" si="55"/>
        <v>优质工具</v>
      </c>
      <c r="AC199" s="3">
        <f t="shared" si="19"/>
        <v>1000</v>
      </c>
    </row>
    <row r="200" spans="1:29" x14ac:dyDescent="0.15">
      <c r="A200" s="3">
        <v>103504</v>
      </c>
      <c r="B200" s="3"/>
      <c r="C200" s="3">
        <v>0</v>
      </c>
      <c r="D200" s="3">
        <v>5</v>
      </c>
      <c r="E200" s="59">
        <v>304002</v>
      </c>
      <c r="F200" s="59" t="s">
        <v>47</v>
      </c>
      <c r="G200" s="3">
        <v>10000</v>
      </c>
      <c r="H200" s="134">
        <f>VLOOKUP(E200,[1]stuff!$A:$C,3,FALSE)</f>
        <v>2</v>
      </c>
      <c r="I200" s="130">
        <f t="shared" si="54"/>
        <v>80</v>
      </c>
      <c r="J200" s="130">
        <v>600</v>
      </c>
      <c r="K200" s="130">
        <f t="shared" si="17"/>
        <v>120</v>
      </c>
      <c r="L200" s="3">
        <f t="shared" si="47"/>
        <v>64000</v>
      </c>
      <c r="M200" s="3">
        <f t="shared" si="48"/>
        <v>78.125</v>
      </c>
      <c r="N200" s="4">
        <v>0</v>
      </c>
      <c r="O200" s="4"/>
      <c r="P200" s="3">
        <v>0</v>
      </c>
      <c r="Q200" s="3">
        <v>0</v>
      </c>
      <c r="R200" s="3">
        <v>0</v>
      </c>
      <c r="S200" s="3">
        <v>6</v>
      </c>
      <c r="T200" s="3">
        <f t="shared" si="18"/>
        <v>120</v>
      </c>
      <c r="U200" s="4">
        <v>607001</v>
      </c>
      <c r="V200" s="4" t="s">
        <v>30</v>
      </c>
      <c r="W200" s="3">
        <f t="shared" si="55"/>
        <v>50000</v>
      </c>
      <c r="X200" s="3">
        <f t="shared" si="55"/>
        <v>416002</v>
      </c>
      <c r="Y200" s="3" t="str">
        <f t="shared" si="55"/>
        <v>四轮马车</v>
      </c>
      <c r="Z200" s="3">
        <f t="shared" si="55"/>
        <v>50</v>
      </c>
      <c r="AA200" s="4">
        <f t="shared" si="55"/>
        <v>403002</v>
      </c>
      <c r="AB200" s="138" t="str">
        <f t="shared" si="55"/>
        <v>优质工具</v>
      </c>
      <c r="AC200" s="3">
        <f t="shared" si="19"/>
        <v>2000</v>
      </c>
    </row>
    <row r="201" spans="1:29" x14ac:dyDescent="0.15">
      <c r="A201" s="3">
        <v>103600</v>
      </c>
      <c r="B201" s="3"/>
      <c r="C201" s="3">
        <v>103601</v>
      </c>
      <c r="D201" s="3">
        <v>1</v>
      </c>
      <c r="E201" s="60">
        <v>604001</v>
      </c>
      <c r="F201" s="60" t="s">
        <v>53</v>
      </c>
      <c r="G201" s="3">
        <v>2000</v>
      </c>
      <c r="H201" s="134">
        <f>VLOOKUP(E201,[1]stuff!$A:$C,3,FALSE)</f>
        <v>2</v>
      </c>
      <c r="I201" s="130">
        <f t="shared" si="54"/>
        <v>95</v>
      </c>
      <c r="J201" s="130">
        <v>100</v>
      </c>
      <c r="K201" s="130">
        <f t="shared" si="17"/>
        <v>20</v>
      </c>
      <c r="L201" s="3">
        <f t="shared" si="47"/>
        <v>10200</v>
      </c>
      <c r="M201" s="3">
        <f t="shared" si="48"/>
        <v>19.607843137254903</v>
      </c>
      <c r="N201" s="4">
        <v>0</v>
      </c>
      <c r="O201" s="4"/>
      <c r="P201" s="3">
        <v>0</v>
      </c>
      <c r="Q201" s="3">
        <v>0</v>
      </c>
      <c r="R201" s="3">
        <v>0</v>
      </c>
      <c r="S201" s="3">
        <v>1</v>
      </c>
      <c r="T201" s="3">
        <f t="shared" si="18"/>
        <v>20</v>
      </c>
      <c r="U201" s="4">
        <v>607001</v>
      </c>
      <c r="V201" s="4" t="s">
        <v>30</v>
      </c>
      <c r="W201" s="3">
        <f t="shared" si="55"/>
        <v>2000</v>
      </c>
      <c r="X201" s="3">
        <f t="shared" si="55"/>
        <v>416001</v>
      </c>
      <c r="Y201" s="3" t="str">
        <f t="shared" si="55"/>
        <v>两轮马车</v>
      </c>
      <c r="Z201" s="3">
        <f t="shared" si="55"/>
        <v>20</v>
      </c>
      <c r="AA201" s="4">
        <f t="shared" si="55"/>
        <v>403002</v>
      </c>
      <c r="AB201" s="138" t="str">
        <f t="shared" si="55"/>
        <v>优质工具</v>
      </c>
      <c r="AC201" s="3">
        <f t="shared" si="19"/>
        <v>200</v>
      </c>
    </row>
    <row r="202" spans="1:29" x14ac:dyDescent="0.15">
      <c r="A202" s="3">
        <v>103601</v>
      </c>
      <c r="B202" s="3"/>
      <c r="C202" s="3">
        <v>103602</v>
      </c>
      <c r="D202" s="3">
        <v>2</v>
      </c>
      <c r="E202" s="61">
        <v>604001</v>
      </c>
      <c r="F202" s="61" t="s">
        <v>53</v>
      </c>
      <c r="G202" s="3">
        <v>4000</v>
      </c>
      <c r="H202" s="134">
        <f>VLOOKUP(E202,[1]stuff!$A:$C,3,FALSE)</f>
        <v>2</v>
      </c>
      <c r="I202" s="130">
        <f t="shared" si="54"/>
        <v>90</v>
      </c>
      <c r="J202" s="130">
        <v>150</v>
      </c>
      <c r="K202" s="130">
        <f t="shared" si="17"/>
        <v>30</v>
      </c>
      <c r="L202" s="3">
        <f t="shared" si="47"/>
        <v>15800</v>
      </c>
      <c r="M202" s="3">
        <f t="shared" si="48"/>
        <v>31.645569620253166</v>
      </c>
      <c r="N202" s="4">
        <v>0</v>
      </c>
      <c r="O202" s="4"/>
      <c r="P202" s="3">
        <v>0</v>
      </c>
      <c r="Q202" s="3">
        <v>0</v>
      </c>
      <c r="R202" s="3">
        <v>0</v>
      </c>
      <c r="S202" s="3">
        <v>2</v>
      </c>
      <c r="T202" s="3">
        <f t="shared" si="18"/>
        <v>40</v>
      </c>
      <c r="U202" s="4">
        <v>607001</v>
      </c>
      <c r="V202" s="4" t="s">
        <v>30</v>
      </c>
      <c r="W202" s="3">
        <f t="shared" si="55"/>
        <v>5000</v>
      </c>
      <c r="X202" s="3">
        <f t="shared" si="55"/>
        <v>416001</v>
      </c>
      <c r="Y202" s="3" t="str">
        <f t="shared" si="55"/>
        <v>两轮马车</v>
      </c>
      <c r="Z202" s="3">
        <f t="shared" si="55"/>
        <v>30</v>
      </c>
      <c r="AA202" s="4">
        <f t="shared" si="55"/>
        <v>403002</v>
      </c>
      <c r="AB202" s="138" t="str">
        <f t="shared" si="55"/>
        <v>优质工具</v>
      </c>
      <c r="AC202" s="3">
        <f t="shared" si="19"/>
        <v>500</v>
      </c>
    </row>
    <row r="203" spans="1:29" x14ac:dyDescent="0.15">
      <c r="A203" s="3">
        <v>103602</v>
      </c>
      <c r="B203" s="3"/>
      <c r="C203" s="3">
        <v>103603</v>
      </c>
      <c r="D203" s="3">
        <v>3</v>
      </c>
      <c r="E203" s="62">
        <v>604001</v>
      </c>
      <c r="F203" s="62" t="s">
        <v>53</v>
      </c>
      <c r="G203" s="3">
        <v>6000</v>
      </c>
      <c r="H203" s="134">
        <f>VLOOKUP(E203,[1]stuff!$A:$C,3,FALSE)</f>
        <v>2</v>
      </c>
      <c r="I203" s="130">
        <f t="shared" si="54"/>
        <v>85</v>
      </c>
      <c r="J203" s="130">
        <v>200</v>
      </c>
      <c r="K203" s="130">
        <f t="shared" si="17"/>
        <v>40</v>
      </c>
      <c r="L203" s="3">
        <f t="shared" si="47"/>
        <v>21800</v>
      </c>
      <c r="M203" s="3">
        <f t="shared" si="48"/>
        <v>45.871559633027523</v>
      </c>
      <c r="N203" s="4">
        <v>0</v>
      </c>
      <c r="O203" s="4"/>
      <c r="P203" s="3">
        <v>0</v>
      </c>
      <c r="Q203" s="3">
        <v>0</v>
      </c>
      <c r="R203" s="3">
        <v>0</v>
      </c>
      <c r="S203" s="3">
        <v>3</v>
      </c>
      <c r="T203" s="3">
        <f t="shared" si="18"/>
        <v>60</v>
      </c>
      <c r="U203" s="4">
        <v>607001</v>
      </c>
      <c r="V203" s="4" t="s">
        <v>30</v>
      </c>
      <c r="W203" s="3">
        <f t="shared" si="55"/>
        <v>10000</v>
      </c>
      <c r="X203" s="3">
        <f t="shared" si="55"/>
        <v>416001</v>
      </c>
      <c r="Y203" s="3" t="str">
        <f t="shared" si="55"/>
        <v>两轮马车</v>
      </c>
      <c r="Z203" s="3">
        <f t="shared" si="55"/>
        <v>40</v>
      </c>
      <c r="AA203" s="4">
        <f t="shared" si="55"/>
        <v>403002</v>
      </c>
      <c r="AB203" s="138" t="str">
        <f t="shared" si="55"/>
        <v>优质工具</v>
      </c>
      <c r="AC203" s="3">
        <f t="shared" si="19"/>
        <v>1000</v>
      </c>
    </row>
    <row r="204" spans="1:29" x14ac:dyDescent="0.15">
      <c r="A204" s="3">
        <v>103603</v>
      </c>
      <c r="B204" s="3"/>
      <c r="C204" s="3">
        <v>103604</v>
      </c>
      <c r="D204" s="3">
        <v>4</v>
      </c>
      <c r="E204" s="64">
        <v>604001</v>
      </c>
      <c r="F204" s="64" t="s">
        <v>53</v>
      </c>
      <c r="G204" s="3">
        <v>8000</v>
      </c>
      <c r="H204" s="134">
        <f>VLOOKUP(E204,[1]stuff!$A:$C,3,FALSE)</f>
        <v>2</v>
      </c>
      <c r="I204" s="130">
        <f t="shared" si="54"/>
        <v>85</v>
      </c>
      <c r="J204" s="130">
        <v>250</v>
      </c>
      <c r="K204" s="130">
        <f t="shared" si="17"/>
        <v>50</v>
      </c>
      <c r="L204" s="3">
        <f t="shared" si="47"/>
        <v>27400</v>
      </c>
      <c r="M204" s="3">
        <f t="shared" si="48"/>
        <v>72.992700729927009</v>
      </c>
      <c r="N204" s="4">
        <v>0</v>
      </c>
      <c r="O204" s="4"/>
      <c r="P204" s="3">
        <v>0</v>
      </c>
      <c r="Q204" s="3">
        <v>0</v>
      </c>
      <c r="R204" s="3">
        <v>0</v>
      </c>
      <c r="S204" s="3">
        <v>4</v>
      </c>
      <c r="T204" s="3">
        <f t="shared" si="18"/>
        <v>80</v>
      </c>
      <c r="U204" s="4">
        <v>607001</v>
      </c>
      <c r="V204" s="4" t="s">
        <v>30</v>
      </c>
      <c r="W204" s="3">
        <f t="shared" si="55"/>
        <v>20000</v>
      </c>
      <c r="X204" s="3">
        <f t="shared" si="55"/>
        <v>416002</v>
      </c>
      <c r="Y204" s="3" t="str">
        <f t="shared" si="55"/>
        <v>四轮马车</v>
      </c>
      <c r="Z204" s="3">
        <f t="shared" si="55"/>
        <v>50</v>
      </c>
      <c r="AA204" s="4">
        <f t="shared" si="55"/>
        <v>403002</v>
      </c>
      <c r="AB204" s="138" t="str">
        <f t="shared" si="55"/>
        <v>优质工具</v>
      </c>
      <c r="AC204" s="3">
        <f t="shared" si="19"/>
        <v>1000</v>
      </c>
    </row>
    <row r="205" spans="1:29" x14ac:dyDescent="0.15">
      <c r="A205" s="3">
        <v>103604</v>
      </c>
      <c r="B205" s="3"/>
      <c r="C205" s="3">
        <v>0</v>
      </c>
      <c r="D205" s="3">
        <v>5</v>
      </c>
      <c r="E205" s="63">
        <v>604001</v>
      </c>
      <c r="F205" s="63" t="s">
        <v>53</v>
      </c>
      <c r="G205" s="3">
        <v>10000</v>
      </c>
      <c r="H205" s="134">
        <f>VLOOKUP(E205,[1]stuff!$A:$C,3,FALSE)</f>
        <v>2</v>
      </c>
      <c r="I205" s="130">
        <f t="shared" si="54"/>
        <v>80</v>
      </c>
      <c r="J205" s="130">
        <v>300</v>
      </c>
      <c r="K205" s="130">
        <f t="shared" si="17"/>
        <v>60</v>
      </c>
      <c r="L205" s="3">
        <f t="shared" si="47"/>
        <v>34000</v>
      </c>
      <c r="M205" s="3">
        <f t="shared" si="48"/>
        <v>147.05882352941177</v>
      </c>
      <c r="N205" s="4">
        <v>0</v>
      </c>
      <c r="O205" s="4"/>
      <c r="P205" s="3">
        <v>0</v>
      </c>
      <c r="Q205" s="3">
        <v>0</v>
      </c>
      <c r="R205" s="3">
        <v>0</v>
      </c>
      <c r="S205" s="3">
        <v>6</v>
      </c>
      <c r="T205" s="3">
        <f t="shared" si="18"/>
        <v>120</v>
      </c>
      <c r="U205" s="4">
        <v>607001</v>
      </c>
      <c r="V205" s="4" t="s">
        <v>30</v>
      </c>
      <c r="W205" s="3">
        <f t="shared" si="55"/>
        <v>50000</v>
      </c>
      <c r="X205" s="3">
        <f t="shared" si="55"/>
        <v>416002</v>
      </c>
      <c r="Y205" s="3" t="str">
        <f t="shared" si="55"/>
        <v>四轮马车</v>
      </c>
      <c r="Z205" s="3">
        <f t="shared" si="55"/>
        <v>50</v>
      </c>
      <c r="AA205" s="4">
        <f t="shared" si="55"/>
        <v>403002</v>
      </c>
      <c r="AB205" s="138" t="str">
        <f t="shared" si="55"/>
        <v>优质工具</v>
      </c>
      <c r="AC205" s="3">
        <f t="shared" si="19"/>
        <v>2000</v>
      </c>
    </row>
    <row r="206" spans="1:29" x14ac:dyDescent="0.15">
      <c r="A206" s="3">
        <v>103700</v>
      </c>
      <c r="B206" s="3"/>
      <c r="C206" s="3">
        <v>103701</v>
      </c>
      <c r="D206" s="3">
        <v>1</v>
      </c>
      <c r="E206" s="65">
        <v>615003</v>
      </c>
      <c r="F206" s="65" t="s">
        <v>61</v>
      </c>
      <c r="G206" s="3">
        <v>1000</v>
      </c>
      <c r="H206" s="134">
        <f>VLOOKUP(E206,[1]stuff!$A:$C,3,FALSE)</f>
        <v>50</v>
      </c>
      <c r="I206" s="130">
        <f t="shared" si="54"/>
        <v>95</v>
      </c>
      <c r="J206" s="130">
        <v>100</v>
      </c>
      <c r="K206" s="130">
        <f t="shared" si="17"/>
        <v>20</v>
      </c>
      <c r="L206" s="3">
        <f t="shared" si="47"/>
        <v>12500</v>
      </c>
      <c r="M206" s="3">
        <f t="shared" si="48"/>
        <v>16</v>
      </c>
      <c r="N206" s="4">
        <v>0</v>
      </c>
      <c r="O206" s="4"/>
      <c r="P206" s="3">
        <v>0</v>
      </c>
      <c r="Q206" s="3">
        <v>0</v>
      </c>
      <c r="R206" s="3">
        <v>0</v>
      </c>
      <c r="S206" s="3">
        <v>1</v>
      </c>
      <c r="T206" s="3">
        <f t="shared" si="18"/>
        <v>20</v>
      </c>
      <c r="U206" s="4">
        <v>607001</v>
      </c>
      <c r="V206" s="4" t="s">
        <v>30</v>
      </c>
      <c r="W206" s="3">
        <f t="shared" si="55"/>
        <v>2000</v>
      </c>
      <c r="X206" s="3">
        <f t="shared" si="55"/>
        <v>416001</v>
      </c>
      <c r="Y206" s="3" t="str">
        <f t="shared" si="55"/>
        <v>两轮马车</v>
      </c>
      <c r="Z206" s="3">
        <f t="shared" si="55"/>
        <v>20</v>
      </c>
      <c r="AA206" s="4">
        <f t="shared" si="55"/>
        <v>403002</v>
      </c>
      <c r="AB206" s="138" t="str">
        <f t="shared" si="55"/>
        <v>优质工具</v>
      </c>
      <c r="AC206" s="3">
        <f t="shared" si="19"/>
        <v>200</v>
      </c>
    </row>
    <row r="207" spans="1:29" x14ac:dyDescent="0.15">
      <c r="A207" s="3">
        <v>103701</v>
      </c>
      <c r="B207" s="3"/>
      <c r="C207" s="3">
        <v>103702</v>
      </c>
      <c r="D207" s="3">
        <v>2</v>
      </c>
      <c r="E207" s="66">
        <v>615003</v>
      </c>
      <c r="F207" s="66" t="s">
        <v>61</v>
      </c>
      <c r="G207" s="3">
        <v>2000</v>
      </c>
      <c r="H207" s="134">
        <f>VLOOKUP(E207,[1]stuff!$A:$C,3,FALSE)</f>
        <v>50</v>
      </c>
      <c r="I207" s="130">
        <f t="shared" si="54"/>
        <v>90</v>
      </c>
      <c r="J207" s="130">
        <v>150</v>
      </c>
      <c r="K207" s="130">
        <f t="shared" si="17"/>
        <v>30</v>
      </c>
      <c r="L207" s="3">
        <f t="shared" si="47"/>
        <v>25000</v>
      </c>
      <c r="M207" s="3">
        <f t="shared" si="48"/>
        <v>20</v>
      </c>
      <c r="N207" s="4">
        <v>0</v>
      </c>
      <c r="O207" s="4"/>
      <c r="P207" s="3">
        <v>0</v>
      </c>
      <c r="Q207" s="3">
        <v>0</v>
      </c>
      <c r="R207" s="3">
        <v>0</v>
      </c>
      <c r="S207" s="3">
        <v>2</v>
      </c>
      <c r="T207" s="3">
        <f t="shared" si="18"/>
        <v>40</v>
      </c>
      <c r="U207" s="4">
        <v>607001</v>
      </c>
      <c r="V207" s="4" t="s">
        <v>30</v>
      </c>
      <c r="W207" s="3">
        <f t="shared" si="55"/>
        <v>5000</v>
      </c>
      <c r="X207" s="3">
        <f t="shared" si="55"/>
        <v>416001</v>
      </c>
      <c r="Y207" s="3" t="str">
        <f t="shared" si="55"/>
        <v>两轮马车</v>
      </c>
      <c r="Z207" s="3">
        <f t="shared" si="55"/>
        <v>30</v>
      </c>
      <c r="AA207" s="4">
        <f t="shared" si="55"/>
        <v>403002</v>
      </c>
      <c r="AB207" s="138" t="str">
        <f t="shared" si="55"/>
        <v>优质工具</v>
      </c>
      <c r="AC207" s="3">
        <f t="shared" si="19"/>
        <v>500</v>
      </c>
    </row>
    <row r="208" spans="1:29" x14ac:dyDescent="0.15">
      <c r="A208" s="3">
        <v>103702</v>
      </c>
      <c r="B208" s="3"/>
      <c r="C208" s="3">
        <v>103703</v>
      </c>
      <c r="D208" s="3">
        <v>3</v>
      </c>
      <c r="E208" s="67">
        <v>615003</v>
      </c>
      <c r="F208" s="67" t="s">
        <v>61</v>
      </c>
      <c r="G208" s="3">
        <v>3000</v>
      </c>
      <c r="H208" s="134">
        <f>VLOOKUP(E208,[1]stuff!$A:$C,3,FALSE)</f>
        <v>50</v>
      </c>
      <c r="I208" s="130">
        <f t="shared" si="54"/>
        <v>85</v>
      </c>
      <c r="J208" s="130">
        <v>200</v>
      </c>
      <c r="K208" s="130">
        <f t="shared" si="17"/>
        <v>40</v>
      </c>
      <c r="L208" s="3">
        <f t="shared" si="47"/>
        <v>42500</v>
      </c>
      <c r="M208" s="3">
        <f t="shared" si="48"/>
        <v>23.529411764705884</v>
      </c>
      <c r="N208" s="4">
        <v>0</v>
      </c>
      <c r="O208" s="4"/>
      <c r="P208" s="3">
        <v>0</v>
      </c>
      <c r="Q208" s="3">
        <v>0</v>
      </c>
      <c r="R208" s="3">
        <v>0</v>
      </c>
      <c r="S208" s="3">
        <v>3</v>
      </c>
      <c r="T208" s="3">
        <f t="shared" si="18"/>
        <v>60</v>
      </c>
      <c r="U208" s="4">
        <v>607001</v>
      </c>
      <c r="V208" s="4" t="s">
        <v>30</v>
      </c>
      <c r="W208" s="3">
        <f t="shared" si="55"/>
        <v>10000</v>
      </c>
      <c r="X208" s="3">
        <f t="shared" si="55"/>
        <v>416001</v>
      </c>
      <c r="Y208" s="3" t="str">
        <f t="shared" si="55"/>
        <v>两轮马车</v>
      </c>
      <c r="Z208" s="3">
        <f t="shared" si="55"/>
        <v>40</v>
      </c>
      <c r="AA208" s="4">
        <f t="shared" si="55"/>
        <v>403002</v>
      </c>
      <c r="AB208" s="138" t="str">
        <f t="shared" si="55"/>
        <v>优质工具</v>
      </c>
      <c r="AC208" s="3">
        <f t="shared" si="19"/>
        <v>1000</v>
      </c>
    </row>
    <row r="209" spans="1:29" x14ac:dyDescent="0.15">
      <c r="A209" s="3">
        <v>103703</v>
      </c>
      <c r="B209" s="3"/>
      <c r="C209" s="3">
        <v>103704</v>
      </c>
      <c r="D209" s="3">
        <v>4</v>
      </c>
      <c r="E209" s="68">
        <v>615003</v>
      </c>
      <c r="F209" s="68" t="s">
        <v>61</v>
      </c>
      <c r="G209" s="3">
        <v>4000</v>
      </c>
      <c r="H209" s="134">
        <f>VLOOKUP(E209,[1]stuff!$A:$C,3,FALSE)</f>
        <v>50</v>
      </c>
      <c r="I209" s="130">
        <f t="shared" si="54"/>
        <v>85</v>
      </c>
      <c r="J209" s="130">
        <v>250</v>
      </c>
      <c r="K209" s="130">
        <f t="shared" si="17"/>
        <v>50</v>
      </c>
      <c r="L209" s="3">
        <f t="shared" si="47"/>
        <v>55000</v>
      </c>
      <c r="M209" s="3">
        <f t="shared" si="48"/>
        <v>36.363636363636367</v>
      </c>
      <c r="N209" s="4">
        <v>0</v>
      </c>
      <c r="O209" s="4"/>
      <c r="P209" s="3">
        <v>0</v>
      </c>
      <c r="Q209" s="3">
        <v>0</v>
      </c>
      <c r="R209" s="3">
        <v>0</v>
      </c>
      <c r="S209" s="3">
        <v>4</v>
      </c>
      <c r="T209" s="3">
        <f t="shared" si="18"/>
        <v>80</v>
      </c>
      <c r="U209" s="4">
        <v>607001</v>
      </c>
      <c r="V209" s="4" t="s">
        <v>30</v>
      </c>
      <c r="W209" s="3">
        <f t="shared" si="55"/>
        <v>20000</v>
      </c>
      <c r="X209" s="3">
        <f t="shared" si="55"/>
        <v>416002</v>
      </c>
      <c r="Y209" s="3" t="str">
        <f t="shared" si="55"/>
        <v>四轮马车</v>
      </c>
      <c r="Z209" s="3">
        <f t="shared" si="55"/>
        <v>50</v>
      </c>
      <c r="AA209" s="4">
        <f t="shared" si="55"/>
        <v>403002</v>
      </c>
      <c r="AB209" s="138" t="str">
        <f t="shared" si="55"/>
        <v>优质工具</v>
      </c>
      <c r="AC209" s="3">
        <f t="shared" si="19"/>
        <v>1000</v>
      </c>
    </row>
    <row r="210" spans="1:29" x14ac:dyDescent="0.15">
      <c r="A210" s="3">
        <v>103704</v>
      </c>
      <c r="B210" s="3"/>
      <c r="C210" s="3">
        <v>0</v>
      </c>
      <c r="D210" s="3">
        <v>5</v>
      </c>
      <c r="E210" s="69">
        <v>615003</v>
      </c>
      <c r="F210" s="69" t="s">
        <v>61</v>
      </c>
      <c r="G210" s="3">
        <v>5000</v>
      </c>
      <c r="H210" s="134">
        <f>VLOOKUP(E210,[1]stuff!$A:$C,3,FALSE)</f>
        <v>50</v>
      </c>
      <c r="I210" s="130">
        <f t="shared" si="54"/>
        <v>80</v>
      </c>
      <c r="J210" s="130">
        <v>300</v>
      </c>
      <c r="K210" s="130">
        <f t="shared" si="17"/>
        <v>60</v>
      </c>
      <c r="L210" s="3">
        <f t="shared" si="47"/>
        <v>80000</v>
      </c>
      <c r="M210" s="3">
        <f t="shared" si="48"/>
        <v>62.5</v>
      </c>
      <c r="N210" s="4">
        <v>0</v>
      </c>
      <c r="O210" s="4"/>
      <c r="P210" s="3">
        <v>0</v>
      </c>
      <c r="Q210" s="3">
        <v>0</v>
      </c>
      <c r="R210" s="3">
        <v>0</v>
      </c>
      <c r="S210" s="3">
        <v>6</v>
      </c>
      <c r="T210" s="3">
        <f t="shared" si="18"/>
        <v>120</v>
      </c>
      <c r="U210" s="4">
        <v>607001</v>
      </c>
      <c r="V210" s="4" t="s">
        <v>30</v>
      </c>
      <c r="W210" s="3">
        <f t="shared" si="55"/>
        <v>50000</v>
      </c>
      <c r="X210" s="3">
        <f t="shared" si="55"/>
        <v>416002</v>
      </c>
      <c r="Y210" s="3" t="str">
        <f t="shared" si="55"/>
        <v>四轮马车</v>
      </c>
      <c r="Z210" s="3">
        <f t="shared" si="55"/>
        <v>50</v>
      </c>
      <c r="AA210" s="4">
        <f t="shared" si="55"/>
        <v>403002</v>
      </c>
      <c r="AB210" s="138" t="str">
        <f t="shared" si="55"/>
        <v>优质工具</v>
      </c>
      <c r="AC210" s="3">
        <f t="shared" si="19"/>
        <v>2000</v>
      </c>
    </row>
    <row r="211" spans="1:29" s="102" customFormat="1" x14ac:dyDescent="0.15">
      <c r="A211" s="100">
        <v>103800</v>
      </c>
      <c r="B211" s="100"/>
      <c r="C211" s="100">
        <v>103801</v>
      </c>
      <c r="D211" s="100">
        <v>1</v>
      </c>
      <c r="E211" s="113">
        <v>601001</v>
      </c>
      <c r="F211" s="113" t="s">
        <v>50</v>
      </c>
      <c r="G211" s="100">
        <v>1000</v>
      </c>
      <c r="H211" s="134">
        <f>VLOOKUP(E211,[1]stuff!$A:$C,3,FALSE)</f>
        <v>5</v>
      </c>
      <c r="I211" s="130">
        <f t="shared" si="54"/>
        <v>95</v>
      </c>
      <c r="J211" s="130">
        <v>200</v>
      </c>
      <c r="K211" s="130">
        <f t="shared" ref="K211:K274" si="56">J211*0.2</f>
        <v>40</v>
      </c>
      <c r="L211" s="3">
        <f t="shared" si="47"/>
        <v>20250</v>
      </c>
      <c r="M211" s="3">
        <f t="shared" si="48"/>
        <v>9.8765432098765427</v>
      </c>
      <c r="N211" s="101">
        <v>202891</v>
      </c>
      <c r="O211" s="101" t="s">
        <v>74</v>
      </c>
      <c r="P211" s="100">
        <v>30</v>
      </c>
      <c r="Q211" s="100">
        <v>5</v>
      </c>
      <c r="R211" s="100">
        <v>30</v>
      </c>
      <c r="S211" s="3">
        <v>1</v>
      </c>
      <c r="T211" s="3">
        <f t="shared" ref="T211:T274" si="57">S211*20</f>
        <v>20</v>
      </c>
      <c r="U211" s="101">
        <v>607001</v>
      </c>
      <c r="V211" s="101" t="s">
        <v>30</v>
      </c>
      <c r="W211" s="3">
        <f t="shared" si="55"/>
        <v>2000</v>
      </c>
      <c r="X211" s="3">
        <f t="shared" si="55"/>
        <v>416001</v>
      </c>
      <c r="Y211" s="3" t="str">
        <f t="shared" si="55"/>
        <v>两轮马车</v>
      </c>
      <c r="Z211" s="3">
        <f t="shared" si="55"/>
        <v>20</v>
      </c>
      <c r="AA211" s="4">
        <f t="shared" si="55"/>
        <v>403002</v>
      </c>
      <c r="AB211" s="138" t="str">
        <f t="shared" si="55"/>
        <v>优质工具</v>
      </c>
      <c r="AC211" s="3">
        <f t="shared" si="19"/>
        <v>200</v>
      </c>
    </row>
    <row r="212" spans="1:29" s="102" customFormat="1" x14ac:dyDescent="0.15">
      <c r="A212" s="100">
        <v>103801</v>
      </c>
      <c r="B212" s="100"/>
      <c r="C212" s="100">
        <v>103802</v>
      </c>
      <c r="D212" s="100">
        <v>2</v>
      </c>
      <c r="E212" s="114">
        <v>601001</v>
      </c>
      <c r="F212" s="114" t="s">
        <v>50</v>
      </c>
      <c r="G212" s="100">
        <v>2000</v>
      </c>
      <c r="H212" s="134">
        <f>VLOOKUP(E212,[1]stuff!$A:$C,3,FALSE)</f>
        <v>5</v>
      </c>
      <c r="I212" s="130">
        <f t="shared" si="54"/>
        <v>90</v>
      </c>
      <c r="J212" s="130">
        <v>400</v>
      </c>
      <c r="K212" s="130">
        <f t="shared" si="56"/>
        <v>80</v>
      </c>
      <c r="L212" s="3">
        <f t="shared" si="47"/>
        <v>41000</v>
      </c>
      <c r="M212" s="3">
        <f t="shared" si="48"/>
        <v>12.195121951219512</v>
      </c>
      <c r="N212" s="101">
        <v>202891</v>
      </c>
      <c r="O212" s="101" t="s">
        <v>74</v>
      </c>
      <c r="P212" s="100">
        <v>40</v>
      </c>
      <c r="Q212" s="100">
        <v>6</v>
      </c>
      <c r="R212" s="100">
        <v>60</v>
      </c>
      <c r="S212" s="3">
        <v>2</v>
      </c>
      <c r="T212" s="3">
        <f t="shared" si="57"/>
        <v>40</v>
      </c>
      <c r="U212" s="101">
        <v>607001</v>
      </c>
      <c r="V212" s="101" t="s">
        <v>30</v>
      </c>
      <c r="W212" s="3">
        <f t="shared" si="55"/>
        <v>5000</v>
      </c>
      <c r="X212" s="3">
        <f t="shared" si="55"/>
        <v>416001</v>
      </c>
      <c r="Y212" s="3" t="str">
        <f t="shared" si="55"/>
        <v>两轮马车</v>
      </c>
      <c r="Z212" s="3">
        <f t="shared" si="55"/>
        <v>30</v>
      </c>
      <c r="AA212" s="4">
        <f t="shared" si="55"/>
        <v>403002</v>
      </c>
      <c r="AB212" s="138" t="str">
        <f t="shared" si="55"/>
        <v>优质工具</v>
      </c>
      <c r="AC212" s="3">
        <f t="shared" si="19"/>
        <v>500</v>
      </c>
    </row>
    <row r="213" spans="1:29" s="102" customFormat="1" x14ac:dyDescent="0.15">
      <c r="A213" s="100">
        <v>103802</v>
      </c>
      <c r="B213" s="100"/>
      <c r="C213" s="100">
        <v>103803</v>
      </c>
      <c r="D213" s="100">
        <v>3</v>
      </c>
      <c r="E213" s="115">
        <v>601001</v>
      </c>
      <c r="F213" s="115" t="s">
        <v>50</v>
      </c>
      <c r="G213" s="100">
        <v>3000</v>
      </c>
      <c r="H213" s="134">
        <f>VLOOKUP(E213,[1]stuff!$A:$C,3,FALSE)</f>
        <v>5</v>
      </c>
      <c r="I213" s="130">
        <f t="shared" si="54"/>
        <v>85</v>
      </c>
      <c r="J213" s="130">
        <v>600</v>
      </c>
      <c r="K213" s="130">
        <f t="shared" si="56"/>
        <v>120</v>
      </c>
      <c r="L213" s="3">
        <f t="shared" si="47"/>
        <v>62250</v>
      </c>
      <c r="M213" s="3">
        <f t="shared" si="48"/>
        <v>16.064257028112451</v>
      </c>
      <c r="N213" s="101">
        <v>202891</v>
      </c>
      <c r="O213" s="101" t="s">
        <v>74</v>
      </c>
      <c r="P213" s="100">
        <v>50</v>
      </c>
      <c r="Q213" s="100">
        <v>7</v>
      </c>
      <c r="R213" s="100">
        <v>120</v>
      </c>
      <c r="S213" s="3">
        <v>3</v>
      </c>
      <c r="T213" s="3">
        <f t="shared" si="57"/>
        <v>60</v>
      </c>
      <c r="U213" s="101">
        <v>607001</v>
      </c>
      <c r="V213" s="101" t="s">
        <v>30</v>
      </c>
      <c r="W213" s="3">
        <f t="shared" si="55"/>
        <v>10000</v>
      </c>
      <c r="X213" s="3">
        <f t="shared" si="55"/>
        <v>416001</v>
      </c>
      <c r="Y213" s="3" t="str">
        <f t="shared" si="55"/>
        <v>两轮马车</v>
      </c>
      <c r="Z213" s="3">
        <f t="shared" si="55"/>
        <v>40</v>
      </c>
      <c r="AA213" s="4">
        <f t="shared" si="55"/>
        <v>403002</v>
      </c>
      <c r="AB213" s="138" t="str">
        <f t="shared" si="55"/>
        <v>优质工具</v>
      </c>
      <c r="AC213" s="3">
        <f t="shared" si="19"/>
        <v>1000</v>
      </c>
    </row>
    <row r="214" spans="1:29" s="102" customFormat="1" x14ac:dyDescent="0.15">
      <c r="A214" s="100">
        <v>103803</v>
      </c>
      <c r="B214" s="100"/>
      <c r="C214" s="100">
        <v>103804</v>
      </c>
      <c r="D214" s="100">
        <v>4</v>
      </c>
      <c r="E214" s="116">
        <v>601001</v>
      </c>
      <c r="F214" s="116" t="s">
        <v>50</v>
      </c>
      <c r="G214" s="100">
        <v>4000</v>
      </c>
      <c r="H214" s="134">
        <f>VLOOKUP(E214,[1]stuff!$A:$C,3,FALSE)</f>
        <v>5</v>
      </c>
      <c r="I214" s="130">
        <f t="shared" si="54"/>
        <v>85</v>
      </c>
      <c r="J214" s="130">
        <v>800</v>
      </c>
      <c r="K214" s="130">
        <f t="shared" si="56"/>
        <v>160</v>
      </c>
      <c r="L214" s="3">
        <f t="shared" si="47"/>
        <v>83000</v>
      </c>
      <c r="M214" s="3">
        <f t="shared" si="48"/>
        <v>24.096385542168676</v>
      </c>
      <c r="N214" s="101">
        <v>202891</v>
      </c>
      <c r="O214" s="101" t="s">
        <v>74</v>
      </c>
      <c r="P214" s="100">
        <v>60</v>
      </c>
      <c r="Q214" s="100">
        <v>8</v>
      </c>
      <c r="R214" s="100">
        <v>250</v>
      </c>
      <c r="S214" s="3">
        <v>4</v>
      </c>
      <c r="T214" s="3">
        <f t="shared" si="57"/>
        <v>80</v>
      </c>
      <c r="U214" s="101">
        <v>607001</v>
      </c>
      <c r="V214" s="101" t="s">
        <v>30</v>
      </c>
      <c r="W214" s="3">
        <f t="shared" si="55"/>
        <v>20000</v>
      </c>
      <c r="X214" s="3">
        <f t="shared" si="55"/>
        <v>416002</v>
      </c>
      <c r="Y214" s="3" t="str">
        <f t="shared" si="55"/>
        <v>四轮马车</v>
      </c>
      <c r="Z214" s="3">
        <f t="shared" si="55"/>
        <v>50</v>
      </c>
      <c r="AA214" s="4">
        <f t="shared" si="55"/>
        <v>403002</v>
      </c>
      <c r="AB214" s="138" t="str">
        <f t="shared" si="55"/>
        <v>优质工具</v>
      </c>
      <c r="AC214" s="3">
        <f t="shared" si="19"/>
        <v>1000</v>
      </c>
    </row>
    <row r="215" spans="1:29" s="102" customFormat="1" x14ac:dyDescent="0.15">
      <c r="A215" s="100">
        <v>103804</v>
      </c>
      <c r="B215" s="100"/>
      <c r="C215" s="100">
        <v>0</v>
      </c>
      <c r="D215" s="100">
        <v>5</v>
      </c>
      <c r="E215" s="117">
        <v>601001</v>
      </c>
      <c r="F215" s="117" t="s">
        <v>50</v>
      </c>
      <c r="G215" s="100">
        <v>5000</v>
      </c>
      <c r="H215" s="134">
        <f>VLOOKUP(E215,[1]stuff!$A:$C,3,FALSE)</f>
        <v>5</v>
      </c>
      <c r="I215" s="130">
        <f t="shared" si="54"/>
        <v>80</v>
      </c>
      <c r="J215" s="130">
        <v>1000</v>
      </c>
      <c r="K215" s="130">
        <f t="shared" si="56"/>
        <v>200</v>
      </c>
      <c r="L215" s="3">
        <f t="shared" si="47"/>
        <v>105000</v>
      </c>
      <c r="M215" s="3">
        <f t="shared" si="48"/>
        <v>47.61904761904762</v>
      </c>
      <c r="N215" s="101">
        <v>202891</v>
      </c>
      <c r="O215" s="101" t="s">
        <v>74</v>
      </c>
      <c r="P215" s="100">
        <v>70</v>
      </c>
      <c r="Q215" s="100">
        <v>9</v>
      </c>
      <c r="R215" s="100">
        <v>500</v>
      </c>
      <c r="S215" s="3">
        <v>6</v>
      </c>
      <c r="T215" s="3">
        <f t="shared" si="57"/>
        <v>120</v>
      </c>
      <c r="U215" s="101">
        <v>607001</v>
      </c>
      <c r="V215" s="101" t="s">
        <v>30</v>
      </c>
      <c r="W215" s="3">
        <f t="shared" si="55"/>
        <v>50000</v>
      </c>
      <c r="X215" s="3">
        <f t="shared" si="55"/>
        <v>416002</v>
      </c>
      <c r="Y215" s="3" t="str">
        <f t="shared" si="55"/>
        <v>四轮马车</v>
      </c>
      <c r="Z215" s="3">
        <f t="shared" si="55"/>
        <v>50</v>
      </c>
      <c r="AA215" s="4">
        <f t="shared" si="55"/>
        <v>403002</v>
      </c>
      <c r="AB215" s="138" t="str">
        <f t="shared" si="55"/>
        <v>优质工具</v>
      </c>
      <c r="AC215" s="3">
        <f t="shared" si="19"/>
        <v>2000</v>
      </c>
    </row>
    <row r="216" spans="1:29" x14ac:dyDescent="0.15">
      <c r="A216" s="3">
        <v>103900</v>
      </c>
      <c r="B216" s="3"/>
      <c r="C216" s="3">
        <v>103901</v>
      </c>
      <c r="D216" s="3">
        <v>1</v>
      </c>
      <c r="E216" s="55">
        <v>304002</v>
      </c>
      <c r="F216" s="55" t="s">
        <v>47</v>
      </c>
      <c r="G216" s="3">
        <v>1000</v>
      </c>
      <c r="H216" s="134">
        <f>VLOOKUP(E216,[1]stuff!$A:$C,3,FALSE)</f>
        <v>2</v>
      </c>
      <c r="I216" s="130">
        <f t="shared" si="54"/>
        <v>95</v>
      </c>
      <c r="J216" s="130">
        <v>100</v>
      </c>
      <c r="K216" s="130">
        <f t="shared" si="56"/>
        <v>20</v>
      </c>
      <c r="L216" s="3">
        <f t="shared" si="47"/>
        <v>10100</v>
      </c>
      <c r="M216" s="3">
        <f t="shared" si="48"/>
        <v>19.801980198019802</v>
      </c>
      <c r="N216" s="4">
        <v>0</v>
      </c>
      <c r="O216" s="4"/>
      <c r="P216" s="3">
        <v>0</v>
      </c>
      <c r="Q216" s="3">
        <v>0</v>
      </c>
      <c r="R216" s="3">
        <v>0</v>
      </c>
      <c r="S216" s="3">
        <v>1</v>
      </c>
      <c r="T216" s="3">
        <f t="shared" si="57"/>
        <v>20</v>
      </c>
      <c r="U216" s="4">
        <v>607001</v>
      </c>
      <c r="V216" s="4" t="s">
        <v>30</v>
      </c>
      <c r="W216" s="3">
        <f t="shared" si="55"/>
        <v>2000</v>
      </c>
      <c r="X216" s="3">
        <f t="shared" si="55"/>
        <v>416001</v>
      </c>
      <c r="Y216" s="3" t="str">
        <f t="shared" si="55"/>
        <v>两轮马车</v>
      </c>
      <c r="Z216" s="3">
        <f t="shared" si="55"/>
        <v>20</v>
      </c>
      <c r="AA216" s="4">
        <f t="shared" si="55"/>
        <v>403002</v>
      </c>
      <c r="AB216" s="138" t="str">
        <f t="shared" si="55"/>
        <v>优质工具</v>
      </c>
      <c r="AC216" s="3">
        <f t="shared" si="19"/>
        <v>200</v>
      </c>
    </row>
    <row r="217" spans="1:29" x14ac:dyDescent="0.15">
      <c r="A217" s="3">
        <v>103901</v>
      </c>
      <c r="B217" s="3"/>
      <c r="C217" s="3">
        <v>103902</v>
      </c>
      <c r="D217" s="3">
        <v>2</v>
      </c>
      <c r="E217" s="56">
        <v>304002</v>
      </c>
      <c r="F217" s="56" t="s">
        <v>47</v>
      </c>
      <c r="G217" s="3">
        <v>2000</v>
      </c>
      <c r="H217" s="134">
        <f>VLOOKUP(E217,[1]stuff!$A:$C,3,FALSE)</f>
        <v>2</v>
      </c>
      <c r="I217" s="130">
        <f t="shared" si="54"/>
        <v>90</v>
      </c>
      <c r="J217" s="130">
        <v>150</v>
      </c>
      <c r="K217" s="130">
        <f t="shared" si="56"/>
        <v>30</v>
      </c>
      <c r="L217" s="3">
        <f t="shared" si="47"/>
        <v>15400</v>
      </c>
      <c r="M217" s="3">
        <f t="shared" si="48"/>
        <v>32.467532467532465</v>
      </c>
      <c r="N217" s="4">
        <v>0</v>
      </c>
      <c r="O217" s="4"/>
      <c r="P217" s="3">
        <v>0</v>
      </c>
      <c r="Q217" s="3">
        <v>0</v>
      </c>
      <c r="R217" s="3">
        <v>0</v>
      </c>
      <c r="S217" s="3">
        <v>2</v>
      </c>
      <c r="T217" s="3">
        <f t="shared" si="57"/>
        <v>40</v>
      </c>
      <c r="U217" s="4">
        <v>607001</v>
      </c>
      <c r="V217" s="4" t="s">
        <v>30</v>
      </c>
      <c r="W217" s="3">
        <f t="shared" si="55"/>
        <v>5000</v>
      </c>
      <c r="X217" s="3">
        <f t="shared" si="55"/>
        <v>416001</v>
      </c>
      <c r="Y217" s="3" t="str">
        <f t="shared" si="55"/>
        <v>两轮马车</v>
      </c>
      <c r="Z217" s="3">
        <f t="shared" si="55"/>
        <v>30</v>
      </c>
      <c r="AA217" s="4">
        <f t="shared" si="55"/>
        <v>403002</v>
      </c>
      <c r="AB217" s="138" t="str">
        <f t="shared" si="55"/>
        <v>优质工具</v>
      </c>
      <c r="AC217" s="3">
        <f t="shared" si="19"/>
        <v>500</v>
      </c>
    </row>
    <row r="218" spans="1:29" x14ac:dyDescent="0.15">
      <c r="A218" s="3">
        <v>103902</v>
      </c>
      <c r="B218" s="3"/>
      <c r="C218" s="3">
        <v>103903</v>
      </c>
      <c r="D218" s="3">
        <v>3</v>
      </c>
      <c r="E218" s="57">
        <v>304002</v>
      </c>
      <c r="F218" s="57" t="s">
        <v>47</v>
      </c>
      <c r="G218" s="3">
        <v>3000</v>
      </c>
      <c r="H218" s="134">
        <f>VLOOKUP(E218,[1]stuff!$A:$C,3,FALSE)</f>
        <v>2</v>
      </c>
      <c r="I218" s="130">
        <f t="shared" si="54"/>
        <v>85</v>
      </c>
      <c r="J218" s="130">
        <v>200</v>
      </c>
      <c r="K218" s="130">
        <f t="shared" si="56"/>
        <v>40</v>
      </c>
      <c r="L218" s="3">
        <f t="shared" si="47"/>
        <v>20900</v>
      </c>
      <c r="M218" s="3">
        <f t="shared" si="48"/>
        <v>47.846889952153113</v>
      </c>
      <c r="N218" s="4">
        <v>0</v>
      </c>
      <c r="O218" s="4"/>
      <c r="P218" s="3">
        <v>0</v>
      </c>
      <c r="Q218" s="3">
        <v>0</v>
      </c>
      <c r="R218" s="3">
        <v>0</v>
      </c>
      <c r="S218" s="3">
        <v>3</v>
      </c>
      <c r="T218" s="3">
        <f t="shared" si="57"/>
        <v>60</v>
      </c>
      <c r="U218" s="4">
        <v>607001</v>
      </c>
      <c r="V218" s="4" t="s">
        <v>30</v>
      </c>
      <c r="W218" s="3">
        <f t="shared" si="55"/>
        <v>10000</v>
      </c>
      <c r="X218" s="3">
        <f t="shared" si="55"/>
        <v>416001</v>
      </c>
      <c r="Y218" s="3" t="str">
        <f t="shared" si="55"/>
        <v>两轮马车</v>
      </c>
      <c r="Z218" s="3">
        <f t="shared" si="55"/>
        <v>40</v>
      </c>
      <c r="AA218" s="4">
        <f t="shared" si="55"/>
        <v>403002</v>
      </c>
      <c r="AB218" s="138" t="str">
        <f t="shared" si="55"/>
        <v>优质工具</v>
      </c>
      <c r="AC218" s="3">
        <f t="shared" si="19"/>
        <v>1000</v>
      </c>
    </row>
    <row r="219" spans="1:29" x14ac:dyDescent="0.15">
      <c r="A219" s="3">
        <v>103903</v>
      </c>
      <c r="B219" s="3"/>
      <c r="C219" s="3">
        <v>103904</v>
      </c>
      <c r="D219" s="3">
        <v>4</v>
      </c>
      <c r="E219" s="58">
        <v>304002</v>
      </c>
      <c r="F219" s="58" t="s">
        <v>47</v>
      </c>
      <c r="G219" s="3">
        <v>4000</v>
      </c>
      <c r="H219" s="134">
        <f>VLOOKUP(E219,[1]stuff!$A:$C,3,FALSE)</f>
        <v>2</v>
      </c>
      <c r="I219" s="130">
        <f t="shared" si="54"/>
        <v>85</v>
      </c>
      <c r="J219" s="130">
        <v>250</v>
      </c>
      <c r="K219" s="130">
        <f t="shared" si="56"/>
        <v>50</v>
      </c>
      <c r="L219" s="3">
        <f t="shared" si="47"/>
        <v>26200</v>
      </c>
      <c r="M219" s="3">
        <f t="shared" si="48"/>
        <v>76.335877862595424</v>
      </c>
      <c r="N219" s="4">
        <v>0</v>
      </c>
      <c r="O219" s="4"/>
      <c r="P219" s="3">
        <v>0</v>
      </c>
      <c r="Q219" s="3">
        <v>0</v>
      </c>
      <c r="R219" s="3">
        <v>0</v>
      </c>
      <c r="S219" s="3">
        <v>4</v>
      </c>
      <c r="T219" s="3">
        <f t="shared" si="57"/>
        <v>80</v>
      </c>
      <c r="U219" s="4">
        <v>607001</v>
      </c>
      <c r="V219" s="4" t="s">
        <v>30</v>
      </c>
      <c r="W219" s="3">
        <f t="shared" si="55"/>
        <v>20000</v>
      </c>
      <c r="X219" s="3">
        <f t="shared" si="55"/>
        <v>416002</v>
      </c>
      <c r="Y219" s="3" t="str">
        <f t="shared" si="55"/>
        <v>四轮马车</v>
      </c>
      <c r="Z219" s="3">
        <f t="shared" si="55"/>
        <v>50</v>
      </c>
      <c r="AA219" s="4">
        <f t="shared" si="55"/>
        <v>403002</v>
      </c>
      <c r="AB219" s="138" t="str">
        <f t="shared" si="55"/>
        <v>优质工具</v>
      </c>
      <c r="AC219" s="3">
        <f t="shared" si="19"/>
        <v>1000</v>
      </c>
    </row>
    <row r="220" spans="1:29" x14ac:dyDescent="0.15">
      <c r="A220" s="3">
        <v>103904</v>
      </c>
      <c r="B220" s="3"/>
      <c r="C220" s="3">
        <v>0</v>
      </c>
      <c r="D220" s="3">
        <v>5</v>
      </c>
      <c r="E220" s="59">
        <v>304002</v>
      </c>
      <c r="F220" s="59" t="s">
        <v>47</v>
      </c>
      <c r="G220" s="3">
        <v>5000</v>
      </c>
      <c r="H220" s="134">
        <f>VLOOKUP(E220,[1]stuff!$A:$C,3,FALSE)</f>
        <v>2</v>
      </c>
      <c r="I220" s="130">
        <f t="shared" si="54"/>
        <v>80</v>
      </c>
      <c r="J220" s="130">
        <v>300</v>
      </c>
      <c r="K220" s="130">
        <f t="shared" si="56"/>
        <v>60</v>
      </c>
      <c r="L220" s="3">
        <f t="shared" si="47"/>
        <v>32000</v>
      </c>
      <c r="M220" s="3">
        <f t="shared" si="48"/>
        <v>156.25</v>
      </c>
      <c r="N220" s="4">
        <v>0</v>
      </c>
      <c r="O220" s="4"/>
      <c r="P220" s="3">
        <v>0</v>
      </c>
      <c r="Q220" s="3">
        <v>0</v>
      </c>
      <c r="R220" s="3">
        <v>0</v>
      </c>
      <c r="S220" s="3">
        <v>6</v>
      </c>
      <c r="T220" s="3">
        <f t="shared" si="57"/>
        <v>120</v>
      </c>
      <c r="U220" s="4">
        <v>607001</v>
      </c>
      <c r="V220" s="4" t="s">
        <v>30</v>
      </c>
      <c r="W220" s="3">
        <f t="shared" si="55"/>
        <v>50000</v>
      </c>
      <c r="X220" s="3">
        <f t="shared" si="55"/>
        <v>416002</v>
      </c>
      <c r="Y220" s="3" t="str">
        <f t="shared" si="55"/>
        <v>四轮马车</v>
      </c>
      <c r="Z220" s="3">
        <f t="shared" si="55"/>
        <v>50</v>
      </c>
      <c r="AA220" s="4">
        <f t="shared" si="55"/>
        <v>403002</v>
      </c>
      <c r="AB220" s="138" t="str">
        <f t="shared" si="55"/>
        <v>优质工具</v>
      </c>
      <c r="AC220" s="3">
        <f t="shared" si="19"/>
        <v>2000</v>
      </c>
    </row>
    <row r="221" spans="1:29" x14ac:dyDescent="0.15">
      <c r="A221" s="3">
        <v>104000</v>
      </c>
      <c r="B221" s="3"/>
      <c r="C221" s="3">
        <v>104001</v>
      </c>
      <c r="D221" s="3">
        <v>1</v>
      </c>
      <c r="E221" s="41">
        <v>615001</v>
      </c>
      <c r="F221" s="41" t="s">
        <v>59</v>
      </c>
      <c r="G221" s="3">
        <v>1000</v>
      </c>
      <c r="H221" s="134">
        <f>VLOOKUP(E221,[1]stuff!$A:$C,3,FALSE)</f>
        <v>50</v>
      </c>
      <c r="I221" s="130">
        <f t="shared" si="54"/>
        <v>95</v>
      </c>
      <c r="J221" s="130">
        <v>100</v>
      </c>
      <c r="K221" s="130">
        <f t="shared" si="56"/>
        <v>20</v>
      </c>
      <c r="L221" s="3">
        <f t="shared" si="47"/>
        <v>12500</v>
      </c>
      <c r="M221" s="3">
        <f t="shared" si="48"/>
        <v>16</v>
      </c>
      <c r="N221" s="4">
        <v>0</v>
      </c>
      <c r="O221" s="4"/>
      <c r="P221" s="3">
        <v>0</v>
      </c>
      <c r="Q221" s="3">
        <v>0</v>
      </c>
      <c r="R221" s="3">
        <v>0</v>
      </c>
      <c r="S221" s="3">
        <v>1</v>
      </c>
      <c r="T221" s="3">
        <f t="shared" si="57"/>
        <v>20</v>
      </c>
      <c r="U221" s="4">
        <v>607001</v>
      </c>
      <c r="V221" s="4" t="s">
        <v>30</v>
      </c>
      <c r="W221" s="3">
        <f t="shared" si="55"/>
        <v>2000</v>
      </c>
      <c r="X221" s="3">
        <f t="shared" si="55"/>
        <v>416001</v>
      </c>
      <c r="Y221" s="3" t="str">
        <f t="shared" si="55"/>
        <v>两轮马车</v>
      </c>
      <c r="Z221" s="3">
        <f t="shared" si="55"/>
        <v>20</v>
      </c>
      <c r="AA221" s="4">
        <f t="shared" si="55"/>
        <v>403002</v>
      </c>
      <c r="AB221" s="138" t="str">
        <f t="shared" si="55"/>
        <v>优质工具</v>
      </c>
      <c r="AC221" s="3">
        <f t="shared" si="19"/>
        <v>200</v>
      </c>
    </row>
    <row r="222" spans="1:29" x14ac:dyDescent="0.15">
      <c r="A222" s="3">
        <v>104001</v>
      </c>
      <c r="B222" s="3"/>
      <c r="C222" s="3">
        <v>104002</v>
      </c>
      <c r="D222" s="3">
        <v>2</v>
      </c>
      <c r="E222" s="42">
        <v>615001</v>
      </c>
      <c r="F222" s="42" t="s">
        <v>59</v>
      </c>
      <c r="G222" s="3">
        <v>2000</v>
      </c>
      <c r="H222" s="134">
        <f>VLOOKUP(E222,[1]stuff!$A:$C,3,FALSE)</f>
        <v>50</v>
      </c>
      <c r="I222" s="130">
        <f t="shared" si="54"/>
        <v>90</v>
      </c>
      <c r="J222" s="130">
        <v>150</v>
      </c>
      <c r="K222" s="130">
        <f t="shared" si="56"/>
        <v>30</v>
      </c>
      <c r="L222" s="3">
        <f t="shared" si="47"/>
        <v>25000</v>
      </c>
      <c r="M222" s="3">
        <f t="shared" si="48"/>
        <v>20</v>
      </c>
      <c r="N222" s="4">
        <v>0</v>
      </c>
      <c r="O222" s="4"/>
      <c r="P222" s="3">
        <v>0</v>
      </c>
      <c r="Q222" s="3">
        <v>0</v>
      </c>
      <c r="R222" s="3">
        <v>0</v>
      </c>
      <c r="S222" s="3">
        <v>2</v>
      </c>
      <c r="T222" s="3">
        <f t="shared" si="57"/>
        <v>40</v>
      </c>
      <c r="U222" s="4">
        <v>607001</v>
      </c>
      <c r="V222" s="4" t="s">
        <v>30</v>
      </c>
      <c r="W222" s="3">
        <f t="shared" si="55"/>
        <v>5000</v>
      </c>
      <c r="X222" s="3">
        <f t="shared" si="55"/>
        <v>416001</v>
      </c>
      <c r="Y222" s="3" t="str">
        <f t="shared" si="55"/>
        <v>两轮马车</v>
      </c>
      <c r="Z222" s="3">
        <f t="shared" si="55"/>
        <v>30</v>
      </c>
      <c r="AA222" s="4">
        <f t="shared" si="55"/>
        <v>403002</v>
      </c>
      <c r="AB222" s="138" t="str">
        <f t="shared" si="55"/>
        <v>优质工具</v>
      </c>
      <c r="AC222" s="3">
        <f t="shared" si="55"/>
        <v>500</v>
      </c>
    </row>
    <row r="223" spans="1:29" x14ac:dyDescent="0.15">
      <c r="A223" s="3">
        <v>104002</v>
      </c>
      <c r="B223" s="3"/>
      <c r="C223" s="3">
        <v>104003</v>
      </c>
      <c r="D223" s="3">
        <v>3</v>
      </c>
      <c r="E223" s="43">
        <v>615001</v>
      </c>
      <c r="F223" s="43" t="s">
        <v>59</v>
      </c>
      <c r="G223" s="3">
        <v>3000</v>
      </c>
      <c r="H223" s="134">
        <f>VLOOKUP(E223,[1]stuff!$A:$C,3,FALSE)</f>
        <v>50</v>
      </c>
      <c r="I223" s="130">
        <f t="shared" si="54"/>
        <v>85</v>
      </c>
      <c r="J223" s="130">
        <v>200</v>
      </c>
      <c r="K223" s="130">
        <f t="shared" si="56"/>
        <v>40</v>
      </c>
      <c r="L223" s="3">
        <f t="shared" si="47"/>
        <v>42500</v>
      </c>
      <c r="M223" s="3">
        <f t="shared" si="48"/>
        <v>23.529411764705884</v>
      </c>
      <c r="N223" s="4">
        <v>0</v>
      </c>
      <c r="O223" s="4"/>
      <c r="P223" s="3">
        <v>0</v>
      </c>
      <c r="Q223" s="3">
        <v>0</v>
      </c>
      <c r="R223" s="3">
        <v>0</v>
      </c>
      <c r="S223" s="3">
        <v>3</v>
      </c>
      <c r="T223" s="3">
        <f t="shared" si="57"/>
        <v>60</v>
      </c>
      <c r="U223" s="4">
        <v>607001</v>
      </c>
      <c r="V223" s="4" t="s">
        <v>30</v>
      </c>
      <c r="W223" s="3">
        <f t="shared" si="55"/>
        <v>10000</v>
      </c>
      <c r="X223" s="3">
        <f t="shared" si="55"/>
        <v>416001</v>
      </c>
      <c r="Y223" s="3" t="str">
        <f t="shared" si="55"/>
        <v>两轮马车</v>
      </c>
      <c r="Z223" s="3">
        <f t="shared" si="55"/>
        <v>40</v>
      </c>
      <c r="AA223" s="4">
        <f t="shared" si="55"/>
        <v>403002</v>
      </c>
      <c r="AB223" s="138" t="str">
        <f t="shared" si="55"/>
        <v>优质工具</v>
      </c>
      <c r="AC223" s="3">
        <f t="shared" si="55"/>
        <v>1000</v>
      </c>
    </row>
    <row r="224" spans="1:29" x14ac:dyDescent="0.15">
      <c r="A224" s="3">
        <v>104003</v>
      </c>
      <c r="B224" s="3"/>
      <c r="C224" s="3">
        <v>104004</v>
      </c>
      <c r="D224" s="3">
        <v>4</v>
      </c>
      <c r="E224" s="44">
        <v>615001</v>
      </c>
      <c r="F224" s="44" t="s">
        <v>59</v>
      </c>
      <c r="G224" s="3">
        <v>4000</v>
      </c>
      <c r="H224" s="134">
        <f>VLOOKUP(E224,[1]stuff!$A:$C,3,FALSE)</f>
        <v>50</v>
      </c>
      <c r="I224" s="130">
        <f t="shared" si="54"/>
        <v>85</v>
      </c>
      <c r="J224" s="130">
        <v>250</v>
      </c>
      <c r="K224" s="130">
        <f t="shared" si="56"/>
        <v>50</v>
      </c>
      <c r="L224" s="3">
        <f t="shared" si="47"/>
        <v>55000</v>
      </c>
      <c r="M224" s="3">
        <f t="shared" si="48"/>
        <v>36.363636363636367</v>
      </c>
      <c r="N224" s="4">
        <v>0</v>
      </c>
      <c r="O224" s="4"/>
      <c r="P224" s="3">
        <v>0</v>
      </c>
      <c r="Q224" s="3">
        <v>0</v>
      </c>
      <c r="R224" s="3">
        <v>0</v>
      </c>
      <c r="S224" s="3">
        <v>4</v>
      </c>
      <c r="T224" s="3">
        <f t="shared" si="57"/>
        <v>80</v>
      </c>
      <c r="U224" s="4">
        <v>607001</v>
      </c>
      <c r="V224" s="4" t="s">
        <v>30</v>
      </c>
      <c r="W224" s="3">
        <f t="shared" si="55"/>
        <v>20000</v>
      </c>
      <c r="X224" s="3">
        <f t="shared" si="55"/>
        <v>416002</v>
      </c>
      <c r="Y224" s="3" t="str">
        <f t="shared" si="55"/>
        <v>四轮马车</v>
      </c>
      <c r="Z224" s="3">
        <f t="shared" si="55"/>
        <v>50</v>
      </c>
      <c r="AA224" s="4">
        <f t="shared" si="55"/>
        <v>403002</v>
      </c>
      <c r="AB224" s="138" t="str">
        <f t="shared" si="55"/>
        <v>优质工具</v>
      </c>
      <c r="AC224" s="3">
        <f t="shared" si="55"/>
        <v>1000</v>
      </c>
    </row>
    <row r="225" spans="1:29" x14ac:dyDescent="0.15">
      <c r="A225" s="3">
        <v>104004</v>
      </c>
      <c r="B225" s="3"/>
      <c r="C225" s="3">
        <v>0</v>
      </c>
      <c r="D225" s="3">
        <v>5</v>
      </c>
      <c r="E225" s="45">
        <v>615001</v>
      </c>
      <c r="F225" s="45" t="s">
        <v>59</v>
      </c>
      <c r="G225" s="3">
        <v>5000</v>
      </c>
      <c r="H225" s="134">
        <f>VLOOKUP(E225,[1]stuff!$A:$C,3,FALSE)</f>
        <v>50</v>
      </c>
      <c r="I225" s="130">
        <f t="shared" si="54"/>
        <v>80</v>
      </c>
      <c r="J225" s="130">
        <v>300</v>
      </c>
      <c r="K225" s="130">
        <f t="shared" si="56"/>
        <v>60</v>
      </c>
      <c r="L225" s="3">
        <f t="shared" si="47"/>
        <v>80000</v>
      </c>
      <c r="M225" s="3">
        <f t="shared" si="48"/>
        <v>62.5</v>
      </c>
      <c r="N225" s="4">
        <v>0</v>
      </c>
      <c r="O225" s="4"/>
      <c r="P225" s="3">
        <v>0</v>
      </c>
      <c r="Q225" s="3">
        <v>0</v>
      </c>
      <c r="R225" s="3">
        <v>0</v>
      </c>
      <c r="S225" s="3">
        <v>6</v>
      </c>
      <c r="T225" s="3">
        <f t="shared" si="57"/>
        <v>120</v>
      </c>
      <c r="U225" s="4">
        <v>607001</v>
      </c>
      <c r="V225" s="4" t="s">
        <v>30</v>
      </c>
      <c r="W225" s="3">
        <f t="shared" si="55"/>
        <v>50000</v>
      </c>
      <c r="X225" s="3">
        <f t="shared" si="55"/>
        <v>416002</v>
      </c>
      <c r="Y225" s="3" t="str">
        <f t="shared" si="55"/>
        <v>四轮马车</v>
      </c>
      <c r="Z225" s="3">
        <f t="shared" si="55"/>
        <v>50</v>
      </c>
      <c r="AA225" s="4">
        <f t="shared" si="55"/>
        <v>403002</v>
      </c>
      <c r="AB225" s="138" t="str">
        <f t="shared" si="55"/>
        <v>优质工具</v>
      </c>
      <c r="AC225" s="3">
        <f t="shared" si="55"/>
        <v>2000</v>
      </c>
    </row>
    <row r="226" spans="1:29" s="102" customFormat="1" x14ac:dyDescent="0.15">
      <c r="A226" s="135">
        <v>104300</v>
      </c>
      <c r="B226" s="136" t="s">
        <v>91</v>
      </c>
      <c r="C226" s="100">
        <v>104301</v>
      </c>
      <c r="D226" s="100">
        <v>1</v>
      </c>
      <c r="E226" s="118">
        <v>616001</v>
      </c>
      <c r="F226" s="118" t="s">
        <v>68</v>
      </c>
      <c r="G226" s="100">
        <v>1000</v>
      </c>
      <c r="H226" s="134">
        <f>VLOOKUP(E226,[1]stuff!$A:$C,3,FALSE)</f>
        <v>2</v>
      </c>
      <c r="I226" s="130">
        <f t="shared" si="54"/>
        <v>95</v>
      </c>
      <c r="J226" s="130">
        <v>300</v>
      </c>
      <c r="K226" s="130">
        <f t="shared" si="56"/>
        <v>60</v>
      </c>
      <c r="L226" s="3">
        <f t="shared" si="47"/>
        <v>30100</v>
      </c>
      <c r="M226" s="3">
        <f t="shared" si="48"/>
        <v>6.6445182724252492</v>
      </c>
      <c r="N226" s="101">
        <v>202894</v>
      </c>
      <c r="O226" s="101" t="s">
        <v>75</v>
      </c>
      <c r="P226" s="100">
        <v>30</v>
      </c>
      <c r="Q226" s="100">
        <v>5</v>
      </c>
      <c r="R226" s="100">
        <v>10</v>
      </c>
      <c r="S226" s="3">
        <v>1</v>
      </c>
      <c r="T226" s="3">
        <f t="shared" si="57"/>
        <v>20</v>
      </c>
      <c r="U226" s="101">
        <v>607001</v>
      </c>
      <c r="V226" s="101" t="s">
        <v>30</v>
      </c>
      <c r="W226" s="3">
        <f t="shared" si="55"/>
        <v>2000</v>
      </c>
      <c r="X226" s="3">
        <f t="shared" si="55"/>
        <v>416001</v>
      </c>
      <c r="Y226" s="3" t="str">
        <f t="shared" si="55"/>
        <v>两轮马车</v>
      </c>
      <c r="Z226" s="3">
        <f t="shared" si="55"/>
        <v>20</v>
      </c>
      <c r="AA226" s="4">
        <f t="shared" si="55"/>
        <v>403002</v>
      </c>
      <c r="AB226" s="138" t="str">
        <f t="shared" si="55"/>
        <v>优质工具</v>
      </c>
      <c r="AC226" s="3">
        <f t="shared" si="55"/>
        <v>200</v>
      </c>
    </row>
    <row r="227" spans="1:29" s="102" customFormat="1" x14ac:dyDescent="0.15">
      <c r="A227" s="100">
        <v>104301</v>
      </c>
      <c r="B227" s="100"/>
      <c r="C227" s="100">
        <v>104302</v>
      </c>
      <c r="D227" s="100">
        <v>2</v>
      </c>
      <c r="E227" s="119">
        <v>616001</v>
      </c>
      <c r="F227" s="119" t="s">
        <v>68</v>
      </c>
      <c r="G227" s="100">
        <v>2000</v>
      </c>
      <c r="H227" s="134">
        <f>VLOOKUP(E227,[1]stuff!$A:$C,3,FALSE)</f>
        <v>2</v>
      </c>
      <c r="I227" s="130">
        <f t="shared" si="54"/>
        <v>90</v>
      </c>
      <c r="J227" s="130">
        <v>600</v>
      </c>
      <c r="K227" s="130">
        <f t="shared" si="56"/>
        <v>120</v>
      </c>
      <c r="L227" s="3">
        <f t="shared" si="47"/>
        <v>60400</v>
      </c>
      <c r="M227" s="3">
        <f t="shared" si="48"/>
        <v>8.2781456953642376</v>
      </c>
      <c r="N227" s="101">
        <v>202894</v>
      </c>
      <c r="O227" s="101" t="s">
        <v>75</v>
      </c>
      <c r="P227" s="100">
        <v>40</v>
      </c>
      <c r="Q227" s="100">
        <v>6</v>
      </c>
      <c r="R227" s="100">
        <v>30</v>
      </c>
      <c r="S227" s="3">
        <v>2</v>
      </c>
      <c r="T227" s="3">
        <f t="shared" si="57"/>
        <v>40</v>
      </c>
      <c r="U227" s="101">
        <v>607001</v>
      </c>
      <c r="V227" s="101" t="s">
        <v>30</v>
      </c>
      <c r="W227" s="3">
        <f t="shared" si="55"/>
        <v>5000</v>
      </c>
      <c r="X227" s="3">
        <f t="shared" si="55"/>
        <v>416001</v>
      </c>
      <c r="Y227" s="3" t="str">
        <f t="shared" si="55"/>
        <v>两轮马车</v>
      </c>
      <c r="Z227" s="3">
        <f t="shared" si="55"/>
        <v>30</v>
      </c>
      <c r="AA227" s="4">
        <f t="shared" si="55"/>
        <v>403002</v>
      </c>
      <c r="AB227" s="138" t="str">
        <f t="shared" si="55"/>
        <v>优质工具</v>
      </c>
      <c r="AC227" s="3">
        <f t="shared" si="55"/>
        <v>500</v>
      </c>
    </row>
    <row r="228" spans="1:29" s="102" customFormat="1" x14ac:dyDescent="0.15">
      <c r="A228" s="100">
        <v>104302</v>
      </c>
      <c r="B228" s="100"/>
      <c r="C228" s="100">
        <v>104303</v>
      </c>
      <c r="D228" s="100">
        <v>3</v>
      </c>
      <c r="E228" s="120">
        <v>616001</v>
      </c>
      <c r="F228" s="120" t="s">
        <v>68</v>
      </c>
      <c r="G228" s="100">
        <v>3000</v>
      </c>
      <c r="H228" s="134">
        <f>VLOOKUP(E228,[1]stuff!$A:$C,3,FALSE)</f>
        <v>2</v>
      </c>
      <c r="I228" s="130">
        <f t="shared" si="54"/>
        <v>85</v>
      </c>
      <c r="J228" s="130">
        <v>900</v>
      </c>
      <c r="K228" s="130">
        <f t="shared" si="56"/>
        <v>180</v>
      </c>
      <c r="L228" s="3">
        <f t="shared" si="47"/>
        <v>90900</v>
      </c>
      <c r="M228" s="3">
        <f t="shared" si="48"/>
        <v>11.001100110011</v>
      </c>
      <c r="N228" s="101">
        <v>202894</v>
      </c>
      <c r="O228" s="101" t="s">
        <v>75</v>
      </c>
      <c r="P228" s="100">
        <v>50</v>
      </c>
      <c r="Q228" s="100">
        <v>7</v>
      </c>
      <c r="R228" s="100">
        <v>80</v>
      </c>
      <c r="S228" s="3">
        <v>3</v>
      </c>
      <c r="T228" s="3">
        <f t="shared" si="57"/>
        <v>60</v>
      </c>
      <c r="U228" s="101">
        <v>607001</v>
      </c>
      <c r="V228" s="101" t="s">
        <v>30</v>
      </c>
      <c r="W228" s="3">
        <f t="shared" si="55"/>
        <v>10000</v>
      </c>
      <c r="X228" s="3">
        <f t="shared" ref="X228:AC228" si="58">X223</f>
        <v>416001</v>
      </c>
      <c r="Y228" s="3" t="str">
        <f t="shared" si="58"/>
        <v>两轮马车</v>
      </c>
      <c r="Z228" s="3">
        <f t="shared" si="58"/>
        <v>40</v>
      </c>
      <c r="AA228" s="4">
        <f t="shared" si="58"/>
        <v>403002</v>
      </c>
      <c r="AB228" s="138" t="str">
        <f t="shared" si="58"/>
        <v>优质工具</v>
      </c>
      <c r="AC228" s="3">
        <f t="shared" si="58"/>
        <v>1000</v>
      </c>
    </row>
    <row r="229" spans="1:29" s="102" customFormat="1" x14ac:dyDescent="0.15">
      <c r="A229" s="100">
        <v>104303</v>
      </c>
      <c r="B229" s="100"/>
      <c r="C229" s="100">
        <v>104304</v>
      </c>
      <c r="D229" s="100">
        <v>4</v>
      </c>
      <c r="E229" s="121">
        <v>616001</v>
      </c>
      <c r="F229" s="121" t="s">
        <v>68</v>
      </c>
      <c r="G229" s="100">
        <v>4000</v>
      </c>
      <c r="H229" s="134">
        <f>VLOOKUP(E229,[1]stuff!$A:$C,3,FALSE)</f>
        <v>2</v>
      </c>
      <c r="I229" s="130">
        <f t="shared" si="54"/>
        <v>85</v>
      </c>
      <c r="J229" s="130">
        <v>1200</v>
      </c>
      <c r="K229" s="130">
        <f t="shared" si="56"/>
        <v>240</v>
      </c>
      <c r="L229" s="3">
        <f t="shared" si="47"/>
        <v>121200</v>
      </c>
      <c r="M229" s="3">
        <f t="shared" si="48"/>
        <v>16.501650165016503</v>
      </c>
      <c r="N229" s="101">
        <v>202894</v>
      </c>
      <c r="O229" s="101" t="s">
        <v>75</v>
      </c>
      <c r="P229" s="100">
        <v>60</v>
      </c>
      <c r="Q229" s="100">
        <v>8</v>
      </c>
      <c r="R229" s="100">
        <v>150</v>
      </c>
      <c r="S229" s="3">
        <v>4</v>
      </c>
      <c r="T229" s="3">
        <f t="shared" si="57"/>
        <v>80</v>
      </c>
      <c r="U229" s="101">
        <v>607001</v>
      </c>
      <c r="V229" s="101" t="s">
        <v>30</v>
      </c>
      <c r="W229" s="3">
        <f t="shared" si="55"/>
        <v>20000</v>
      </c>
      <c r="X229" s="3">
        <f t="shared" ref="X229:AC229" si="59">X224</f>
        <v>416002</v>
      </c>
      <c r="Y229" s="3" t="str">
        <f t="shared" si="59"/>
        <v>四轮马车</v>
      </c>
      <c r="Z229" s="3">
        <f t="shared" si="59"/>
        <v>50</v>
      </c>
      <c r="AA229" s="4">
        <f t="shared" si="59"/>
        <v>403002</v>
      </c>
      <c r="AB229" s="138" t="str">
        <f t="shared" si="59"/>
        <v>优质工具</v>
      </c>
      <c r="AC229" s="3">
        <f t="shared" si="59"/>
        <v>1000</v>
      </c>
    </row>
    <row r="230" spans="1:29" s="102" customFormat="1" x14ac:dyDescent="0.15">
      <c r="A230" s="100">
        <v>104304</v>
      </c>
      <c r="B230" s="100"/>
      <c r="C230" s="100">
        <v>0</v>
      </c>
      <c r="D230" s="100">
        <v>5</v>
      </c>
      <c r="E230" s="122">
        <v>616001</v>
      </c>
      <c r="F230" s="122" t="s">
        <v>68</v>
      </c>
      <c r="G230" s="100">
        <v>5000</v>
      </c>
      <c r="H230" s="134">
        <f>VLOOKUP(E230,[1]stuff!$A:$C,3,FALSE)</f>
        <v>2</v>
      </c>
      <c r="I230" s="130">
        <f t="shared" si="54"/>
        <v>80</v>
      </c>
      <c r="J230" s="130">
        <v>1500</v>
      </c>
      <c r="K230" s="130">
        <f t="shared" si="56"/>
        <v>300</v>
      </c>
      <c r="L230" s="3">
        <f t="shared" si="47"/>
        <v>152000</v>
      </c>
      <c r="M230" s="3">
        <f t="shared" si="48"/>
        <v>32.89473684210526</v>
      </c>
      <c r="N230" s="101">
        <v>202894</v>
      </c>
      <c r="O230" s="101" t="s">
        <v>75</v>
      </c>
      <c r="P230" s="100">
        <v>70</v>
      </c>
      <c r="Q230" s="100">
        <v>9</v>
      </c>
      <c r="R230" s="100">
        <v>300</v>
      </c>
      <c r="S230" s="3">
        <v>6</v>
      </c>
      <c r="T230" s="3">
        <f t="shared" si="57"/>
        <v>120</v>
      </c>
      <c r="U230" s="101">
        <v>607001</v>
      </c>
      <c r="V230" s="101" t="s">
        <v>30</v>
      </c>
      <c r="W230" s="3">
        <f t="shared" si="55"/>
        <v>50000</v>
      </c>
      <c r="X230" s="3">
        <f t="shared" ref="X230:AC230" si="60">X225</f>
        <v>416002</v>
      </c>
      <c r="Y230" s="3" t="str">
        <f t="shared" si="60"/>
        <v>四轮马车</v>
      </c>
      <c r="Z230" s="3">
        <f t="shared" si="60"/>
        <v>50</v>
      </c>
      <c r="AA230" s="4">
        <f t="shared" si="60"/>
        <v>403002</v>
      </c>
      <c r="AB230" s="138" t="str">
        <f t="shared" si="60"/>
        <v>优质工具</v>
      </c>
      <c r="AC230" s="3">
        <f t="shared" si="60"/>
        <v>2000</v>
      </c>
    </row>
    <row r="231" spans="1:29" x14ac:dyDescent="0.15">
      <c r="A231" s="3">
        <v>104400</v>
      </c>
      <c r="B231" s="3"/>
      <c r="C231" s="3">
        <v>104401</v>
      </c>
      <c r="D231" s="3">
        <v>1</v>
      </c>
      <c r="E231" s="75">
        <v>616003</v>
      </c>
      <c r="F231" s="75" t="s">
        <v>57</v>
      </c>
      <c r="G231" s="3">
        <v>500</v>
      </c>
      <c r="H231" s="134">
        <f>VLOOKUP(E231,[1]stuff!$A:$C,3,FALSE)</f>
        <v>2</v>
      </c>
      <c r="I231" s="130">
        <f t="shared" si="54"/>
        <v>95</v>
      </c>
      <c r="J231" s="130">
        <v>100</v>
      </c>
      <c r="K231" s="130">
        <f t="shared" si="56"/>
        <v>20</v>
      </c>
      <c r="L231" s="3">
        <f t="shared" si="47"/>
        <v>10050</v>
      </c>
      <c r="M231" s="3">
        <f t="shared" si="48"/>
        <v>19.900497512437809</v>
      </c>
      <c r="N231" s="4">
        <v>0</v>
      </c>
      <c r="O231" s="4"/>
      <c r="P231" s="3">
        <v>0</v>
      </c>
      <c r="Q231" s="3">
        <v>0</v>
      </c>
      <c r="R231" s="3">
        <v>0</v>
      </c>
      <c r="S231" s="3">
        <v>1</v>
      </c>
      <c r="T231" s="3">
        <f t="shared" si="57"/>
        <v>20</v>
      </c>
      <c r="U231" s="4">
        <v>607001</v>
      </c>
      <c r="V231" s="4" t="s">
        <v>30</v>
      </c>
      <c r="W231" s="3">
        <f t="shared" si="55"/>
        <v>2000</v>
      </c>
      <c r="X231" s="3">
        <f t="shared" ref="X231:AC231" si="61">X226</f>
        <v>416001</v>
      </c>
      <c r="Y231" s="3" t="str">
        <f t="shared" si="61"/>
        <v>两轮马车</v>
      </c>
      <c r="Z231" s="3">
        <f t="shared" si="61"/>
        <v>20</v>
      </c>
      <c r="AA231" s="4">
        <f t="shared" si="61"/>
        <v>403002</v>
      </c>
      <c r="AB231" s="138" t="str">
        <f t="shared" si="61"/>
        <v>优质工具</v>
      </c>
      <c r="AC231" s="3">
        <f t="shared" si="61"/>
        <v>200</v>
      </c>
    </row>
    <row r="232" spans="1:29" x14ac:dyDescent="0.15">
      <c r="A232" s="3">
        <v>104401</v>
      </c>
      <c r="B232" s="3"/>
      <c r="C232" s="3">
        <v>104402</v>
      </c>
      <c r="D232" s="3">
        <v>2</v>
      </c>
      <c r="E232" s="76">
        <v>616003</v>
      </c>
      <c r="F232" s="76" t="s">
        <v>57</v>
      </c>
      <c r="G232" s="3">
        <v>1000</v>
      </c>
      <c r="H232" s="134">
        <f>VLOOKUP(E232,[1]stuff!$A:$C,3,FALSE)</f>
        <v>2</v>
      </c>
      <c r="I232" s="130">
        <f t="shared" si="54"/>
        <v>90</v>
      </c>
      <c r="J232" s="130">
        <v>150</v>
      </c>
      <c r="K232" s="130">
        <f t="shared" si="56"/>
        <v>30</v>
      </c>
      <c r="L232" s="3">
        <f t="shared" si="47"/>
        <v>15200</v>
      </c>
      <c r="M232" s="3">
        <f t="shared" si="48"/>
        <v>32.89473684210526</v>
      </c>
      <c r="N232" s="4">
        <v>0</v>
      </c>
      <c r="O232" s="4"/>
      <c r="P232" s="3">
        <v>0</v>
      </c>
      <c r="Q232" s="3">
        <v>0</v>
      </c>
      <c r="R232" s="3">
        <v>0</v>
      </c>
      <c r="S232" s="3">
        <v>2</v>
      </c>
      <c r="T232" s="3">
        <f t="shared" si="57"/>
        <v>40</v>
      </c>
      <c r="U232" s="4">
        <v>607001</v>
      </c>
      <c r="V232" s="4" t="s">
        <v>30</v>
      </c>
      <c r="W232" s="3">
        <f t="shared" si="55"/>
        <v>5000</v>
      </c>
      <c r="X232" s="3">
        <f t="shared" ref="X232:AC232" si="62">X227</f>
        <v>416001</v>
      </c>
      <c r="Y232" s="3" t="str">
        <f t="shared" si="62"/>
        <v>两轮马车</v>
      </c>
      <c r="Z232" s="3">
        <f t="shared" si="62"/>
        <v>30</v>
      </c>
      <c r="AA232" s="4">
        <f t="shared" si="62"/>
        <v>403002</v>
      </c>
      <c r="AB232" s="138" t="str">
        <f t="shared" si="62"/>
        <v>优质工具</v>
      </c>
      <c r="AC232" s="3">
        <f t="shared" si="62"/>
        <v>500</v>
      </c>
    </row>
    <row r="233" spans="1:29" x14ac:dyDescent="0.15">
      <c r="A233" s="3">
        <v>104402</v>
      </c>
      <c r="B233" s="3"/>
      <c r="C233" s="3">
        <v>104403</v>
      </c>
      <c r="D233" s="3">
        <v>3</v>
      </c>
      <c r="E233" s="77">
        <v>616003</v>
      </c>
      <c r="F233" s="77" t="s">
        <v>57</v>
      </c>
      <c r="G233" s="3">
        <v>1500</v>
      </c>
      <c r="H233" s="134">
        <f>VLOOKUP(E233,[1]stuff!$A:$C,3,FALSE)</f>
        <v>2</v>
      </c>
      <c r="I233" s="130">
        <f t="shared" si="54"/>
        <v>85</v>
      </c>
      <c r="J233" s="130">
        <v>200</v>
      </c>
      <c r="K233" s="130">
        <f t="shared" si="56"/>
        <v>40</v>
      </c>
      <c r="L233" s="3">
        <f t="shared" si="47"/>
        <v>20450</v>
      </c>
      <c r="M233" s="3">
        <f t="shared" si="48"/>
        <v>48.899755501222494</v>
      </c>
      <c r="N233" s="4">
        <v>0</v>
      </c>
      <c r="O233" s="4"/>
      <c r="P233" s="3">
        <v>0</v>
      </c>
      <c r="Q233" s="3">
        <v>0</v>
      </c>
      <c r="R233" s="3">
        <v>0</v>
      </c>
      <c r="S233" s="3">
        <v>3</v>
      </c>
      <c r="T233" s="3">
        <f t="shared" si="57"/>
        <v>60</v>
      </c>
      <c r="U233" s="4">
        <v>607001</v>
      </c>
      <c r="V233" s="4" t="s">
        <v>30</v>
      </c>
      <c r="W233" s="3">
        <f t="shared" si="55"/>
        <v>10000</v>
      </c>
      <c r="X233" s="3">
        <f t="shared" ref="X233:AC233" si="63">X228</f>
        <v>416001</v>
      </c>
      <c r="Y233" s="3" t="str">
        <f t="shared" si="63"/>
        <v>两轮马车</v>
      </c>
      <c r="Z233" s="3">
        <f t="shared" si="63"/>
        <v>40</v>
      </c>
      <c r="AA233" s="4">
        <f t="shared" si="63"/>
        <v>403002</v>
      </c>
      <c r="AB233" s="138" t="str">
        <f t="shared" si="63"/>
        <v>优质工具</v>
      </c>
      <c r="AC233" s="3">
        <f t="shared" si="63"/>
        <v>1000</v>
      </c>
    </row>
    <row r="234" spans="1:29" x14ac:dyDescent="0.15">
      <c r="A234" s="3">
        <v>104403</v>
      </c>
      <c r="B234" s="3"/>
      <c r="C234" s="3">
        <v>104404</v>
      </c>
      <c r="D234" s="3">
        <v>4</v>
      </c>
      <c r="E234" s="78">
        <v>616003</v>
      </c>
      <c r="F234" s="78" t="s">
        <v>57</v>
      </c>
      <c r="G234" s="3">
        <v>2000</v>
      </c>
      <c r="H234" s="134">
        <f>VLOOKUP(E234,[1]stuff!$A:$C,3,FALSE)</f>
        <v>2</v>
      </c>
      <c r="I234" s="130">
        <f t="shared" si="54"/>
        <v>85</v>
      </c>
      <c r="J234" s="130">
        <v>250</v>
      </c>
      <c r="K234" s="130">
        <f t="shared" si="56"/>
        <v>50</v>
      </c>
      <c r="L234" s="3">
        <f t="shared" si="47"/>
        <v>25600</v>
      </c>
      <c r="M234" s="3">
        <f t="shared" si="48"/>
        <v>78.125</v>
      </c>
      <c r="N234" s="4">
        <v>0</v>
      </c>
      <c r="O234" s="4"/>
      <c r="P234" s="3">
        <v>0</v>
      </c>
      <c r="Q234" s="3">
        <v>0</v>
      </c>
      <c r="R234" s="3">
        <v>0</v>
      </c>
      <c r="S234" s="3">
        <v>4</v>
      </c>
      <c r="T234" s="3">
        <f t="shared" si="57"/>
        <v>80</v>
      </c>
      <c r="U234" s="4">
        <v>607001</v>
      </c>
      <c r="V234" s="4" t="s">
        <v>30</v>
      </c>
      <c r="W234" s="3">
        <f t="shared" si="55"/>
        <v>20000</v>
      </c>
      <c r="X234" s="3">
        <f t="shared" ref="X234:AC234" si="64">X229</f>
        <v>416002</v>
      </c>
      <c r="Y234" s="3" t="str">
        <f t="shared" si="64"/>
        <v>四轮马车</v>
      </c>
      <c r="Z234" s="3">
        <f t="shared" si="64"/>
        <v>50</v>
      </c>
      <c r="AA234" s="4">
        <f t="shared" si="64"/>
        <v>403002</v>
      </c>
      <c r="AB234" s="138" t="str">
        <f t="shared" si="64"/>
        <v>优质工具</v>
      </c>
      <c r="AC234" s="3">
        <f t="shared" si="64"/>
        <v>1000</v>
      </c>
    </row>
    <row r="235" spans="1:29" x14ac:dyDescent="0.15">
      <c r="A235" s="3">
        <v>104404</v>
      </c>
      <c r="B235" s="3"/>
      <c r="C235" s="3">
        <v>0</v>
      </c>
      <c r="D235" s="3">
        <v>5</v>
      </c>
      <c r="E235" s="79">
        <v>616003</v>
      </c>
      <c r="F235" s="79" t="s">
        <v>57</v>
      </c>
      <c r="G235" s="3">
        <v>2500</v>
      </c>
      <c r="H235" s="134">
        <f>VLOOKUP(E235,[1]stuff!$A:$C,3,FALSE)</f>
        <v>2</v>
      </c>
      <c r="I235" s="130">
        <f t="shared" si="54"/>
        <v>80</v>
      </c>
      <c r="J235" s="130">
        <v>300</v>
      </c>
      <c r="K235" s="130">
        <f t="shared" si="56"/>
        <v>60</v>
      </c>
      <c r="L235" s="3">
        <f t="shared" si="47"/>
        <v>31000</v>
      </c>
      <c r="M235" s="3">
        <f t="shared" si="48"/>
        <v>161.29032258064515</v>
      </c>
      <c r="N235" s="4">
        <v>0</v>
      </c>
      <c r="O235" s="4"/>
      <c r="P235" s="3">
        <v>0</v>
      </c>
      <c r="Q235" s="3">
        <v>0</v>
      </c>
      <c r="R235" s="3">
        <v>0</v>
      </c>
      <c r="S235" s="3">
        <v>6</v>
      </c>
      <c r="T235" s="3">
        <f t="shared" si="57"/>
        <v>120</v>
      </c>
      <c r="U235" s="4">
        <v>607001</v>
      </c>
      <c r="V235" s="4" t="s">
        <v>30</v>
      </c>
      <c r="W235" s="3">
        <f t="shared" si="55"/>
        <v>50000</v>
      </c>
      <c r="X235" s="3">
        <f t="shared" ref="X235:AC235" si="65">X230</f>
        <v>416002</v>
      </c>
      <c r="Y235" s="3" t="str">
        <f t="shared" si="65"/>
        <v>四轮马车</v>
      </c>
      <c r="Z235" s="3">
        <f t="shared" si="65"/>
        <v>50</v>
      </c>
      <c r="AA235" s="4">
        <f t="shared" si="65"/>
        <v>403002</v>
      </c>
      <c r="AB235" s="138" t="str">
        <f t="shared" si="65"/>
        <v>优质工具</v>
      </c>
      <c r="AC235" s="3">
        <f t="shared" si="65"/>
        <v>2000</v>
      </c>
    </row>
    <row r="236" spans="1:29" x14ac:dyDescent="0.15">
      <c r="A236" s="3">
        <v>104500</v>
      </c>
      <c r="B236" s="3"/>
      <c r="C236" s="3">
        <v>104501</v>
      </c>
      <c r="D236" s="3">
        <v>1</v>
      </c>
      <c r="E236" s="27">
        <v>422001</v>
      </c>
      <c r="F236" s="27" t="s">
        <v>52</v>
      </c>
      <c r="G236" s="3">
        <v>500</v>
      </c>
      <c r="H236" s="134">
        <f>VLOOKUP(E236,[1]stuff!$A:$C,3,FALSE)</f>
        <v>100</v>
      </c>
      <c r="I236" s="130">
        <f t="shared" si="54"/>
        <v>95</v>
      </c>
      <c r="J236" s="130">
        <v>100</v>
      </c>
      <c r="K236" s="130">
        <f t="shared" si="56"/>
        <v>20</v>
      </c>
      <c r="L236" s="3">
        <f t="shared" si="47"/>
        <v>12500</v>
      </c>
      <c r="M236" s="3">
        <f t="shared" si="48"/>
        <v>16</v>
      </c>
      <c r="N236" s="4">
        <v>0</v>
      </c>
      <c r="O236" s="4"/>
      <c r="P236" s="3">
        <v>0</v>
      </c>
      <c r="Q236" s="3">
        <v>0</v>
      </c>
      <c r="R236" s="3">
        <v>0</v>
      </c>
      <c r="S236" s="3">
        <v>1</v>
      </c>
      <c r="T236" s="3">
        <f t="shared" si="57"/>
        <v>20</v>
      </c>
      <c r="U236" s="4">
        <v>607001</v>
      </c>
      <c r="V236" s="4" t="s">
        <v>30</v>
      </c>
      <c r="W236" s="3">
        <f t="shared" si="55"/>
        <v>2000</v>
      </c>
      <c r="X236" s="3">
        <f t="shared" ref="X236:AC236" si="66">X231</f>
        <v>416001</v>
      </c>
      <c r="Y236" s="3" t="str">
        <f t="shared" si="66"/>
        <v>两轮马车</v>
      </c>
      <c r="Z236" s="3">
        <f t="shared" si="66"/>
        <v>20</v>
      </c>
      <c r="AA236" s="4">
        <f t="shared" si="66"/>
        <v>403002</v>
      </c>
      <c r="AB236" s="138" t="str">
        <f t="shared" si="66"/>
        <v>优质工具</v>
      </c>
      <c r="AC236" s="3">
        <f t="shared" si="66"/>
        <v>200</v>
      </c>
    </row>
    <row r="237" spans="1:29" x14ac:dyDescent="0.15">
      <c r="A237" s="3">
        <v>104501</v>
      </c>
      <c r="B237" s="3"/>
      <c r="C237" s="3">
        <v>104502</v>
      </c>
      <c r="D237" s="3">
        <v>2</v>
      </c>
      <c r="E237" s="28">
        <v>422001</v>
      </c>
      <c r="F237" s="28" t="s">
        <v>52</v>
      </c>
      <c r="G237" s="3">
        <v>1000</v>
      </c>
      <c r="H237" s="134">
        <f>VLOOKUP(E237,[1]stuff!$A:$C,3,FALSE)</f>
        <v>100</v>
      </c>
      <c r="I237" s="130">
        <f t="shared" si="54"/>
        <v>90</v>
      </c>
      <c r="J237" s="130">
        <v>150</v>
      </c>
      <c r="K237" s="130">
        <f t="shared" si="56"/>
        <v>30</v>
      </c>
      <c r="L237" s="3">
        <f t="shared" si="47"/>
        <v>25000</v>
      </c>
      <c r="M237" s="3">
        <f t="shared" si="48"/>
        <v>20</v>
      </c>
      <c r="N237" s="4">
        <v>0</v>
      </c>
      <c r="O237" s="4"/>
      <c r="P237" s="3">
        <v>0</v>
      </c>
      <c r="Q237" s="3">
        <v>0</v>
      </c>
      <c r="R237" s="3">
        <v>0</v>
      </c>
      <c r="S237" s="3">
        <v>2</v>
      </c>
      <c r="T237" s="3">
        <f t="shared" si="57"/>
        <v>40</v>
      </c>
      <c r="U237" s="4">
        <v>607001</v>
      </c>
      <c r="V237" s="4" t="s">
        <v>30</v>
      </c>
      <c r="W237" s="3">
        <f t="shared" si="55"/>
        <v>5000</v>
      </c>
      <c r="X237" s="3">
        <f t="shared" ref="X237:AC237" si="67">X232</f>
        <v>416001</v>
      </c>
      <c r="Y237" s="3" t="str">
        <f t="shared" si="67"/>
        <v>两轮马车</v>
      </c>
      <c r="Z237" s="3">
        <f t="shared" si="67"/>
        <v>30</v>
      </c>
      <c r="AA237" s="4">
        <f t="shared" si="67"/>
        <v>403002</v>
      </c>
      <c r="AB237" s="138" t="str">
        <f t="shared" si="67"/>
        <v>优质工具</v>
      </c>
      <c r="AC237" s="3">
        <f t="shared" si="67"/>
        <v>500</v>
      </c>
    </row>
    <row r="238" spans="1:29" x14ac:dyDescent="0.15">
      <c r="A238" s="3">
        <v>104502</v>
      </c>
      <c r="B238" s="3"/>
      <c r="C238" s="3">
        <v>104503</v>
      </c>
      <c r="D238" s="3">
        <v>3</v>
      </c>
      <c r="E238" s="29">
        <v>422001</v>
      </c>
      <c r="F238" s="29" t="s">
        <v>52</v>
      </c>
      <c r="G238" s="3">
        <v>1500</v>
      </c>
      <c r="H238" s="134">
        <f>VLOOKUP(E238,[1]stuff!$A:$C,3,FALSE)</f>
        <v>100</v>
      </c>
      <c r="I238" s="130">
        <f t="shared" si="54"/>
        <v>85</v>
      </c>
      <c r="J238" s="130">
        <v>200</v>
      </c>
      <c r="K238" s="130">
        <f t="shared" si="56"/>
        <v>40</v>
      </c>
      <c r="L238" s="3">
        <f t="shared" si="47"/>
        <v>42500</v>
      </c>
      <c r="M238" s="3">
        <f t="shared" si="48"/>
        <v>23.529411764705884</v>
      </c>
      <c r="N238" s="4">
        <v>0</v>
      </c>
      <c r="O238" s="4"/>
      <c r="P238" s="3">
        <v>0</v>
      </c>
      <c r="Q238" s="3">
        <v>0</v>
      </c>
      <c r="R238" s="3">
        <v>0</v>
      </c>
      <c r="S238" s="3">
        <v>3</v>
      </c>
      <c r="T238" s="3">
        <f t="shared" si="57"/>
        <v>60</v>
      </c>
      <c r="U238" s="4">
        <v>607001</v>
      </c>
      <c r="V238" s="4" t="s">
        <v>30</v>
      </c>
      <c r="W238" s="3">
        <f t="shared" si="55"/>
        <v>10000</v>
      </c>
      <c r="X238" s="3">
        <f t="shared" ref="X238:AC238" si="68">X233</f>
        <v>416001</v>
      </c>
      <c r="Y238" s="3" t="str">
        <f t="shared" si="68"/>
        <v>两轮马车</v>
      </c>
      <c r="Z238" s="3">
        <f t="shared" si="68"/>
        <v>40</v>
      </c>
      <c r="AA238" s="4">
        <f t="shared" si="68"/>
        <v>403002</v>
      </c>
      <c r="AB238" s="138" t="str">
        <f t="shared" si="68"/>
        <v>优质工具</v>
      </c>
      <c r="AC238" s="3">
        <f t="shared" si="68"/>
        <v>1000</v>
      </c>
    </row>
    <row r="239" spans="1:29" x14ac:dyDescent="0.15">
      <c r="A239" s="3">
        <v>104503</v>
      </c>
      <c r="B239" s="3"/>
      <c r="C239" s="3">
        <v>104504</v>
      </c>
      <c r="D239" s="3">
        <v>4</v>
      </c>
      <c r="E239" s="30">
        <v>422001</v>
      </c>
      <c r="F239" s="30" t="s">
        <v>52</v>
      </c>
      <c r="G239" s="3">
        <v>2000</v>
      </c>
      <c r="H239" s="134">
        <f>VLOOKUP(E239,[1]stuff!$A:$C,3,FALSE)</f>
        <v>100</v>
      </c>
      <c r="I239" s="130">
        <f t="shared" si="54"/>
        <v>85</v>
      </c>
      <c r="J239" s="130">
        <v>250</v>
      </c>
      <c r="K239" s="130">
        <f t="shared" si="56"/>
        <v>50</v>
      </c>
      <c r="L239" s="3">
        <f t="shared" si="47"/>
        <v>55000</v>
      </c>
      <c r="M239" s="3">
        <f t="shared" si="48"/>
        <v>36.363636363636367</v>
      </c>
      <c r="N239" s="4">
        <v>0</v>
      </c>
      <c r="O239" s="4"/>
      <c r="P239" s="3">
        <v>0</v>
      </c>
      <c r="Q239" s="3">
        <v>0</v>
      </c>
      <c r="R239" s="3">
        <v>0</v>
      </c>
      <c r="S239" s="3">
        <v>4</v>
      </c>
      <c r="T239" s="3">
        <f t="shared" si="57"/>
        <v>80</v>
      </c>
      <c r="U239" s="4">
        <v>607001</v>
      </c>
      <c r="V239" s="4" t="s">
        <v>30</v>
      </c>
      <c r="W239" s="3">
        <f t="shared" si="55"/>
        <v>20000</v>
      </c>
      <c r="X239" s="3">
        <f t="shared" ref="X239:AC239" si="69">X234</f>
        <v>416002</v>
      </c>
      <c r="Y239" s="3" t="str">
        <f t="shared" si="69"/>
        <v>四轮马车</v>
      </c>
      <c r="Z239" s="3">
        <f t="shared" si="69"/>
        <v>50</v>
      </c>
      <c r="AA239" s="4">
        <f t="shared" si="69"/>
        <v>403002</v>
      </c>
      <c r="AB239" s="138" t="str">
        <f t="shared" si="69"/>
        <v>优质工具</v>
      </c>
      <c r="AC239" s="3">
        <f t="shared" si="69"/>
        <v>1000</v>
      </c>
    </row>
    <row r="240" spans="1:29" x14ac:dyDescent="0.15">
      <c r="A240" s="3">
        <v>104504</v>
      </c>
      <c r="B240" s="3"/>
      <c r="C240" s="3">
        <v>0</v>
      </c>
      <c r="D240" s="3">
        <v>5</v>
      </c>
      <c r="E240" s="31">
        <v>422001</v>
      </c>
      <c r="F240" s="31" t="s">
        <v>52</v>
      </c>
      <c r="G240" s="3">
        <v>2500</v>
      </c>
      <c r="H240" s="134">
        <f>VLOOKUP(E240,[1]stuff!$A:$C,3,FALSE)</f>
        <v>100</v>
      </c>
      <c r="I240" s="130">
        <f t="shared" si="54"/>
        <v>80</v>
      </c>
      <c r="J240" s="130">
        <v>300</v>
      </c>
      <c r="K240" s="130">
        <f t="shared" si="56"/>
        <v>60</v>
      </c>
      <c r="L240" s="3">
        <f t="shared" si="47"/>
        <v>80000</v>
      </c>
      <c r="M240" s="3">
        <f t="shared" si="48"/>
        <v>62.5</v>
      </c>
      <c r="N240" s="4">
        <v>0</v>
      </c>
      <c r="O240" s="4"/>
      <c r="P240" s="3">
        <v>0</v>
      </c>
      <c r="Q240" s="3">
        <v>0</v>
      </c>
      <c r="R240" s="3">
        <v>0</v>
      </c>
      <c r="S240" s="3">
        <v>6</v>
      </c>
      <c r="T240" s="3">
        <f t="shared" si="57"/>
        <v>120</v>
      </c>
      <c r="U240" s="4">
        <v>607001</v>
      </c>
      <c r="V240" s="4" t="s">
        <v>30</v>
      </c>
      <c r="W240" s="3">
        <f t="shared" si="55"/>
        <v>50000</v>
      </c>
      <c r="X240" s="3">
        <f t="shared" ref="X240:AC240" si="70">X235</f>
        <v>416002</v>
      </c>
      <c r="Y240" s="3" t="str">
        <f t="shared" si="70"/>
        <v>四轮马车</v>
      </c>
      <c r="Z240" s="3">
        <f t="shared" si="70"/>
        <v>50</v>
      </c>
      <c r="AA240" s="4">
        <f t="shared" si="70"/>
        <v>403002</v>
      </c>
      <c r="AB240" s="138" t="str">
        <f t="shared" si="70"/>
        <v>优质工具</v>
      </c>
      <c r="AC240" s="3">
        <f t="shared" si="70"/>
        <v>2000</v>
      </c>
    </row>
    <row r="241" spans="1:29" s="102" customFormat="1" x14ac:dyDescent="0.15">
      <c r="A241" s="100">
        <v>104600</v>
      </c>
      <c r="B241" s="100"/>
      <c r="C241" s="100">
        <v>104601</v>
      </c>
      <c r="D241" s="100">
        <v>1</v>
      </c>
      <c r="E241" s="123">
        <v>604001</v>
      </c>
      <c r="F241" s="123" t="s">
        <v>53</v>
      </c>
      <c r="G241" s="100">
        <v>2000</v>
      </c>
      <c r="H241" s="134">
        <f>VLOOKUP(E241,[1]stuff!$A:$C,3,FALSE)</f>
        <v>2</v>
      </c>
      <c r="I241" s="130">
        <f t="shared" si="54"/>
        <v>95</v>
      </c>
      <c r="J241" s="130">
        <v>200</v>
      </c>
      <c r="K241" s="130">
        <f t="shared" si="56"/>
        <v>40</v>
      </c>
      <c r="L241" s="3">
        <f t="shared" si="47"/>
        <v>20200</v>
      </c>
      <c r="M241" s="3">
        <f t="shared" si="48"/>
        <v>9.9009900990099009</v>
      </c>
      <c r="N241" s="101">
        <v>202893</v>
      </c>
      <c r="O241" s="101" t="s">
        <v>76</v>
      </c>
      <c r="P241" s="100">
        <v>30</v>
      </c>
      <c r="Q241" s="100">
        <v>5</v>
      </c>
      <c r="R241" s="100">
        <v>15</v>
      </c>
      <c r="S241" s="3">
        <v>1</v>
      </c>
      <c r="T241" s="3">
        <f t="shared" si="57"/>
        <v>20</v>
      </c>
      <c r="U241" s="101">
        <v>607001</v>
      </c>
      <c r="V241" s="101" t="s">
        <v>30</v>
      </c>
      <c r="W241" s="3">
        <f t="shared" si="55"/>
        <v>2000</v>
      </c>
      <c r="X241" s="3">
        <f t="shared" ref="X241:AC241" si="71">X236</f>
        <v>416001</v>
      </c>
      <c r="Y241" s="3" t="str">
        <f t="shared" si="71"/>
        <v>两轮马车</v>
      </c>
      <c r="Z241" s="3">
        <f t="shared" si="71"/>
        <v>20</v>
      </c>
      <c r="AA241" s="4">
        <f t="shared" si="71"/>
        <v>403002</v>
      </c>
      <c r="AB241" s="138" t="str">
        <f t="shared" si="71"/>
        <v>优质工具</v>
      </c>
      <c r="AC241" s="3">
        <f t="shared" si="71"/>
        <v>200</v>
      </c>
    </row>
    <row r="242" spans="1:29" s="102" customFormat="1" x14ac:dyDescent="0.15">
      <c r="A242" s="100">
        <v>104601</v>
      </c>
      <c r="B242" s="100"/>
      <c r="C242" s="100">
        <v>104602</v>
      </c>
      <c r="D242" s="100">
        <v>2</v>
      </c>
      <c r="E242" s="124">
        <v>604001</v>
      </c>
      <c r="F242" s="124" t="s">
        <v>53</v>
      </c>
      <c r="G242" s="100">
        <v>4000</v>
      </c>
      <c r="H242" s="134">
        <f>VLOOKUP(E242,[1]stuff!$A:$C,3,FALSE)</f>
        <v>2</v>
      </c>
      <c r="I242" s="130">
        <f t="shared" si="54"/>
        <v>90</v>
      </c>
      <c r="J242" s="130">
        <v>400</v>
      </c>
      <c r="K242" s="130">
        <f t="shared" si="56"/>
        <v>80</v>
      </c>
      <c r="L242" s="3">
        <f t="shared" si="47"/>
        <v>40800</v>
      </c>
      <c r="M242" s="3">
        <f t="shared" si="48"/>
        <v>12.254901960784315</v>
      </c>
      <c r="N242" s="101">
        <v>202893</v>
      </c>
      <c r="O242" s="101" t="s">
        <v>76</v>
      </c>
      <c r="P242" s="100">
        <v>40</v>
      </c>
      <c r="Q242" s="100">
        <v>6</v>
      </c>
      <c r="R242" s="100">
        <v>40</v>
      </c>
      <c r="S242" s="3">
        <v>2</v>
      </c>
      <c r="T242" s="3">
        <f t="shared" si="57"/>
        <v>40</v>
      </c>
      <c r="U242" s="101">
        <v>607001</v>
      </c>
      <c r="V242" s="101" t="s">
        <v>30</v>
      </c>
      <c r="W242" s="3">
        <f t="shared" si="55"/>
        <v>5000</v>
      </c>
      <c r="X242" s="3">
        <f t="shared" ref="X242:AC242" si="72">X237</f>
        <v>416001</v>
      </c>
      <c r="Y242" s="3" t="str">
        <f t="shared" si="72"/>
        <v>两轮马车</v>
      </c>
      <c r="Z242" s="3">
        <f t="shared" si="72"/>
        <v>30</v>
      </c>
      <c r="AA242" s="4">
        <f t="shared" si="72"/>
        <v>403002</v>
      </c>
      <c r="AB242" s="138" t="str">
        <f t="shared" si="72"/>
        <v>优质工具</v>
      </c>
      <c r="AC242" s="3">
        <f t="shared" si="72"/>
        <v>500</v>
      </c>
    </row>
    <row r="243" spans="1:29" s="102" customFormat="1" x14ac:dyDescent="0.15">
      <c r="A243" s="100">
        <v>104602</v>
      </c>
      <c r="B243" s="100"/>
      <c r="C243" s="100">
        <v>104603</v>
      </c>
      <c r="D243" s="100">
        <v>3</v>
      </c>
      <c r="E243" s="125">
        <v>604001</v>
      </c>
      <c r="F243" s="125" t="s">
        <v>53</v>
      </c>
      <c r="G243" s="100">
        <v>6000</v>
      </c>
      <c r="H243" s="134">
        <f>VLOOKUP(E243,[1]stuff!$A:$C,3,FALSE)</f>
        <v>2</v>
      </c>
      <c r="I243" s="130">
        <f t="shared" si="54"/>
        <v>85</v>
      </c>
      <c r="J243" s="130">
        <v>600</v>
      </c>
      <c r="K243" s="130">
        <f t="shared" si="56"/>
        <v>120</v>
      </c>
      <c r="L243" s="3">
        <f t="shared" si="47"/>
        <v>61800</v>
      </c>
      <c r="M243" s="3">
        <f t="shared" si="48"/>
        <v>16.181229773462782</v>
      </c>
      <c r="N243" s="101">
        <v>202893</v>
      </c>
      <c r="O243" s="101" t="s">
        <v>76</v>
      </c>
      <c r="P243" s="100">
        <v>50</v>
      </c>
      <c r="Q243" s="100">
        <v>7</v>
      </c>
      <c r="R243" s="100">
        <v>90</v>
      </c>
      <c r="S243" s="3">
        <v>3</v>
      </c>
      <c r="T243" s="3">
        <f t="shared" si="57"/>
        <v>60</v>
      </c>
      <c r="U243" s="101">
        <v>607001</v>
      </c>
      <c r="V243" s="101" t="s">
        <v>30</v>
      </c>
      <c r="W243" s="3">
        <f t="shared" si="55"/>
        <v>10000</v>
      </c>
      <c r="X243" s="3">
        <f t="shared" ref="X243:AC243" si="73">X238</f>
        <v>416001</v>
      </c>
      <c r="Y243" s="3" t="str">
        <f t="shared" si="73"/>
        <v>两轮马车</v>
      </c>
      <c r="Z243" s="3">
        <f t="shared" si="73"/>
        <v>40</v>
      </c>
      <c r="AA243" s="4">
        <f t="shared" si="73"/>
        <v>403002</v>
      </c>
      <c r="AB243" s="138" t="str">
        <f t="shared" si="73"/>
        <v>优质工具</v>
      </c>
      <c r="AC243" s="3">
        <f t="shared" si="73"/>
        <v>1000</v>
      </c>
    </row>
    <row r="244" spans="1:29" s="102" customFormat="1" x14ac:dyDescent="0.15">
      <c r="A244" s="100">
        <v>104603</v>
      </c>
      <c r="B244" s="100"/>
      <c r="C244" s="100">
        <v>104604</v>
      </c>
      <c r="D244" s="100">
        <v>4</v>
      </c>
      <c r="E244" s="126">
        <v>604001</v>
      </c>
      <c r="F244" s="126" t="s">
        <v>53</v>
      </c>
      <c r="G244" s="100">
        <v>8000</v>
      </c>
      <c r="H244" s="134">
        <f>VLOOKUP(E244,[1]stuff!$A:$C,3,FALSE)</f>
        <v>2</v>
      </c>
      <c r="I244" s="130">
        <f t="shared" si="54"/>
        <v>85</v>
      </c>
      <c r="J244" s="130">
        <v>800</v>
      </c>
      <c r="K244" s="130">
        <f t="shared" si="56"/>
        <v>160</v>
      </c>
      <c r="L244" s="3">
        <f t="shared" si="47"/>
        <v>82400</v>
      </c>
      <c r="M244" s="3">
        <f t="shared" si="48"/>
        <v>24.271844660194176</v>
      </c>
      <c r="N244" s="101">
        <v>202893</v>
      </c>
      <c r="O244" s="101" t="s">
        <v>76</v>
      </c>
      <c r="P244" s="100">
        <v>60</v>
      </c>
      <c r="Q244" s="100">
        <v>8</v>
      </c>
      <c r="R244" s="100">
        <v>160</v>
      </c>
      <c r="S244" s="3">
        <v>4</v>
      </c>
      <c r="T244" s="3">
        <f t="shared" si="57"/>
        <v>80</v>
      </c>
      <c r="U244" s="101">
        <v>607001</v>
      </c>
      <c r="V244" s="101" t="s">
        <v>30</v>
      </c>
      <c r="W244" s="3">
        <f t="shared" si="55"/>
        <v>20000</v>
      </c>
      <c r="X244" s="3">
        <f t="shared" ref="X244:AC244" si="74">X239</f>
        <v>416002</v>
      </c>
      <c r="Y244" s="3" t="str">
        <f t="shared" si="74"/>
        <v>四轮马车</v>
      </c>
      <c r="Z244" s="3">
        <f t="shared" si="74"/>
        <v>50</v>
      </c>
      <c r="AA244" s="4">
        <f t="shared" si="74"/>
        <v>403002</v>
      </c>
      <c r="AB244" s="138" t="str">
        <f t="shared" si="74"/>
        <v>优质工具</v>
      </c>
      <c r="AC244" s="3">
        <f t="shared" si="74"/>
        <v>1000</v>
      </c>
    </row>
    <row r="245" spans="1:29" s="102" customFormat="1" x14ac:dyDescent="0.15">
      <c r="A245" s="100">
        <v>104604</v>
      </c>
      <c r="B245" s="100"/>
      <c r="C245" s="100">
        <v>0</v>
      </c>
      <c r="D245" s="100">
        <v>5</v>
      </c>
      <c r="E245" s="127">
        <v>604001</v>
      </c>
      <c r="F245" s="127" t="s">
        <v>53</v>
      </c>
      <c r="G245" s="100">
        <v>10000</v>
      </c>
      <c r="H245" s="134">
        <f>VLOOKUP(E245,[1]stuff!$A:$C,3,FALSE)</f>
        <v>2</v>
      </c>
      <c r="I245" s="130">
        <f t="shared" si="54"/>
        <v>80</v>
      </c>
      <c r="J245" s="130">
        <v>1000</v>
      </c>
      <c r="K245" s="130">
        <f t="shared" si="56"/>
        <v>200</v>
      </c>
      <c r="L245" s="3">
        <f t="shared" si="47"/>
        <v>104000</v>
      </c>
      <c r="M245" s="3">
        <f t="shared" si="48"/>
        <v>48.07692307692308</v>
      </c>
      <c r="N245" s="101">
        <v>202893</v>
      </c>
      <c r="O245" s="101" t="s">
        <v>76</v>
      </c>
      <c r="P245" s="100">
        <v>70</v>
      </c>
      <c r="Q245" s="100">
        <v>9</v>
      </c>
      <c r="R245" s="100">
        <v>320</v>
      </c>
      <c r="S245" s="3">
        <v>6</v>
      </c>
      <c r="T245" s="3">
        <f t="shared" si="57"/>
        <v>120</v>
      </c>
      <c r="U245" s="101">
        <v>607001</v>
      </c>
      <c r="V245" s="101" t="s">
        <v>30</v>
      </c>
      <c r="W245" s="3">
        <f t="shared" si="55"/>
        <v>50000</v>
      </c>
      <c r="X245" s="3">
        <f t="shared" ref="X245:AC245" si="75">X240</f>
        <v>416002</v>
      </c>
      <c r="Y245" s="3" t="str">
        <f t="shared" si="75"/>
        <v>四轮马车</v>
      </c>
      <c r="Z245" s="3">
        <f t="shared" si="75"/>
        <v>50</v>
      </c>
      <c r="AA245" s="4">
        <f t="shared" si="75"/>
        <v>403002</v>
      </c>
      <c r="AB245" s="138" t="str">
        <f t="shared" si="75"/>
        <v>优质工具</v>
      </c>
      <c r="AC245" s="3">
        <f t="shared" si="75"/>
        <v>2000</v>
      </c>
    </row>
    <row r="246" spans="1:29" x14ac:dyDescent="0.15">
      <c r="A246" s="3">
        <v>104700</v>
      </c>
      <c r="B246" s="3"/>
      <c r="C246" s="3">
        <v>104701</v>
      </c>
      <c r="D246" s="3">
        <v>1</v>
      </c>
      <c r="E246" s="80">
        <v>615002</v>
      </c>
      <c r="F246" s="80" t="s">
        <v>60</v>
      </c>
      <c r="G246" s="3">
        <v>1000</v>
      </c>
      <c r="H246" s="134">
        <f>VLOOKUP(E246,[1]stuff!$A:$C,3,FALSE)</f>
        <v>50</v>
      </c>
      <c r="I246" s="130">
        <f t="shared" si="54"/>
        <v>95</v>
      </c>
      <c r="J246" s="130">
        <v>100</v>
      </c>
      <c r="K246" s="130">
        <f t="shared" si="56"/>
        <v>20</v>
      </c>
      <c r="L246" s="3">
        <f t="shared" si="47"/>
        <v>12500</v>
      </c>
      <c r="M246" s="3">
        <f t="shared" si="48"/>
        <v>16</v>
      </c>
      <c r="N246" s="4">
        <v>0</v>
      </c>
      <c r="O246" s="4"/>
      <c r="P246" s="3">
        <v>0</v>
      </c>
      <c r="Q246" s="3">
        <v>0</v>
      </c>
      <c r="R246" s="3">
        <v>0</v>
      </c>
      <c r="S246" s="3">
        <v>1</v>
      </c>
      <c r="T246" s="3">
        <f t="shared" si="57"/>
        <v>20</v>
      </c>
      <c r="U246" s="4">
        <v>607001</v>
      </c>
      <c r="V246" s="4" t="s">
        <v>30</v>
      </c>
      <c r="W246" s="3">
        <f t="shared" si="55"/>
        <v>2000</v>
      </c>
      <c r="X246" s="3">
        <f t="shared" ref="X246:AC246" si="76">X241</f>
        <v>416001</v>
      </c>
      <c r="Y246" s="3" t="str">
        <f t="shared" si="76"/>
        <v>两轮马车</v>
      </c>
      <c r="Z246" s="3">
        <f t="shared" si="76"/>
        <v>20</v>
      </c>
      <c r="AA246" s="4">
        <f t="shared" si="76"/>
        <v>403002</v>
      </c>
      <c r="AB246" s="138" t="str">
        <f t="shared" si="76"/>
        <v>优质工具</v>
      </c>
      <c r="AC246" s="3">
        <f t="shared" si="76"/>
        <v>200</v>
      </c>
    </row>
    <row r="247" spans="1:29" x14ac:dyDescent="0.15">
      <c r="A247" s="3">
        <v>104701</v>
      </c>
      <c r="B247" s="3"/>
      <c r="C247" s="3">
        <v>104702</v>
      </c>
      <c r="D247" s="3">
        <v>2</v>
      </c>
      <c r="E247" s="81">
        <v>615002</v>
      </c>
      <c r="F247" s="81" t="s">
        <v>60</v>
      </c>
      <c r="G247" s="3">
        <v>2000</v>
      </c>
      <c r="H247" s="134">
        <f>VLOOKUP(E247,[1]stuff!$A:$C,3,FALSE)</f>
        <v>50</v>
      </c>
      <c r="I247" s="130">
        <f t="shared" si="54"/>
        <v>90</v>
      </c>
      <c r="J247" s="130">
        <v>150</v>
      </c>
      <c r="K247" s="130">
        <f t="shared" si="56"/>
        <v>30</v>
      </c>
      <c r="L247" s="3">
        <f t="shared" si="47"/>
        <v>25000</v>
      </c>
      <c r="M247" s="3">
        <f t="shared" si="48"/>
        <v>20</v>
      </c>
      <c r="N247" s="4">
        <v>0</v>
      </c>
      <c r="O247" s="4"/>
      <c r="P247" s="3">
        <v>0</v>
      </c>
      <c r="Q247" s="3">
        <v>0</v>
      </c>
      <c r="R247" s="3">
        <v>0</v>
      </c>
      <c r="S247" s="3">
        <v>2</v>
      </c>
      <c r="T247" s="3">
        <f t="shared" si="57"/>
        <v>40</v>
      </c>
      <c r="U247" s="4">
        <v>607001</v>
      </c>
      <c r="V247" s="4" t="s">
        <v>30</v>
      </c>
      <c r="W247" s="3">
        <f t="shared" si="55"/>
        <v>5000</v>
      </c>
      <c r="X247" s="3">
        <f t="shared" ref="X247:AC247" si="77">X242</f>
        <v>416001</v>
      </c>
      <c r="Y247" s="3" t="str">
        <f t="shared" si="77"/>
        <v>两轮马车</v>
      </c>
      <c r="Z247" s="3">
        <f t="shared" si="77"/>
        <v>30</v>
      </c>
      <c r="AA247" s="4">
        <f t="shared" si="77"/>
        <v>403002</v>
      </c>
      <c r="AB247" s="138" t="str">
        <f t="shared" si="77"/>
        <v>优质工具</v>
      </c>
      <c r="AC247" s="3">
        <f t="shared" si="77"/>
        <v>500</v>
      </c>
    </row>
    <row r="248" spans="1:29" x14ac:dyDescent="0.15">
      <c r="A248" s="3">
        <v>104702</v>
      </c>
      <c r="B248" s="3"/>
      <c r="C248" s="3">
        <v>104703</v>
      </c>
      <c r="D248" s="3">
        <v>3</v>
      </c>
      <c r="E248" s="82">
        <v>615002</v>
      </c>
      <c r="F248" s="82" t="s">
        <v>60</v>
      </c>
      <c r="G248" s="3">
        <v>3000</v>
      </c>
      <c r="H248" s="134">
        <f>VLOOKUP(E248,[1]stuff!$A:$C,3,FALSE)</f>
        <v>50</v>
      </c>
      <c r="I248" s="130">
        <f t="shared" si="54"/>
        <v>85</v>
      </c>
      <c r="J248" s="130">
        <v>200</v>
      </c>
      <c r="K248" s="130">
        <f t="shared" si="56"/>
        <v>40</v>
      </c>
      <c r="L248" s="3">
        <f t="shared" si="47"/>
        <v>42500</v>
      </c>
      <c r="M248" s="3">
        <f t="shared" si="48"/>
        <v>23.529411764705884</v>
      </c>
      <c r="N248" s="4">
        <v>0</v>
      </c>
      <c r="O248" s="4"/>
      <c r="P248" s="3">
        <v>0</v>
      </c>
      <c r="Q248" s="3">
        <v>0</v>
      </c>
      <c r="R248" s="3">
        <v>0</v>
      </c>
      <c r="S248" s="3">
        <v>3</v>
      </c>
      <c r="T248" s="3">
        <f t="shared" si="57"/>
        <v>60</v>
      </c>
      <c r="U248" s="4">
        <v>607001</v>
      </c>
      <c r="V248" s="4" t="s">
        <v>30</v>
      </c>
      <c r="W248" s="3">
        <f t="shared" si="55"/>
        <v>10000</v>
      </c>
      <c r="X248" s="3">
        <f t="shared" ref="X248:AC248" si="78">X243</f>
        <v>416001</v>
      </c>
      <c r="Y248" s="3" t="str">
        <f t="shared" si="78"/>
        <v>两轮马车</v>
      </c>
      <c r="Z248" s="3">
        <f t="shared" si="78"/>
        <v>40</v>
      </c>
      <c r="AA248" s="4">
        <f t="shared" si="78"/>
        <v>403002</v>
      </c>
      <c r="AB248" s="138" t="str">
        <f t="shared" si="78"/>
        <v>优质工具</v>
      </c>
      <c r="AC248" s="3">
        <f t="shared" si="78"/>
        <v>1000</v>
      </c>
    </row>
    <row r="249" spans="1:29" x14ac:dyDescent="0.15">
      <c r="A249" s="3">
        <v>104703</v>
      </c>
      <c r="B249" s="3"/>
      <c r="C249" s="3">
        <v>104704</v>
      </c>
      <c r="D249" s="3">
        <v>4</v>
      </c>
      <c r="E249" s="83">
        <v>615002</v>
      </c>
      <c r="F249" s="83" t="s">
        <v>60</v>
      </c>
      <c r="G249" s="3">
        <v>4000</v>
      </c>
      <c r="H249" s="134">
        <f>VLOOKUP(E249,[1]stuff!$A:$C,3,FALSE)</f>
        <v>50</v>
      </c>
      <c r="I249" s="130">
        <f t="shared" si="54"/>
        <v>85</v>
      </c>
      <c r="J249" s="130">
        <v>250</v>
      </c>
      <c r="K249" s="130">
        <f t="shared" si="56"/>
        <v>50</v>
      </c>
      <c r="L249" s="3">
        <f t="shared" si="47"/>
        <v>55000</v>
      </c>
      <c r="M249" s="3">
        <f t="shared" si="48"/>
        <v>36.363636363636367</v>
      </c>
      <c r="N249" s="4">
        <v>0</v>
      </c>
      <c r="O249" s="4"/>
      <c r="P249" s="3">
        <v>0</v>
      </c>
      <c r="Q249" s="3">
        <v>0</v>
      </c>
      <c r="R249" s="3">
        <v>0</v>
      </c>
      <c r="S249" s="3">
        <v>4</v>
      </c>
      <c r="T249" s="3">
        <f t="shared" si="57"/>
        <v>80</v>
      </c>
      <c r="U249" s="4">
        <v>607001</v>
      </c>
      <c r="V249" s="4" t="s">
        <v>30</v>
      </c>
      <c r="W249" s="3">
        <f t="shared" si="55"/>
        <v>20000</v>
      </c>
      <c r="X249" s="3">
        <f t="shared" ref="X249:AC249" si="79">X244</f>
        <v>416002</v>
      </c>
      <c r="Y249" s="3" t="str">
        <f t="shared" si="79"/>
        <v>四轮马车</v>
      </c>
      <c r="Z249" s="3">
        <f t="shared" si="79"/>
        <v>50</v>
      </c>
      <c r="AA249" s="4">
        <f t="shared" si="79"/>
        <v>403002</v>
      </c>
      <c r="AB249" s="138" t="str">
        <f t="shared" si="79"/>
        <v>优质工具</v>
      </c>
      <c r="AC249" s="3">
        <f t="shared" si="79"/>
        <v>1000</v>
      </c>
    </row>
    <row r="250" spans="1:29" x14ac:dyDescent="0.15">
      <c r="A250" s="3">
        <v>104704</v>
      </c>
      <c r="B250" s="3"/>
      <c r="C250" s="3">
        <v>0</v>
      </c>
      <c r="D250" s="3">
        <v>5</v>
      </c>
      <c r="E250" s="84">
        <v>615002</v>
      </c>
      <c r="F250" s="84" t="s">
        <v>60</v>
      </c>
      <c r="G250" s="3">
        <v>5000</v>
      </c>
      <c r="H250" s="134">
        <f>VLOOKUP(E250,[1]stuff!$A:$C,3,FALSE)</f>
        <v>50</v>
      </c>
      <c r="I250" s="130">
        <f t="shared" si="54"/>
        <v>80</v>
      </c>
      <c r="J250" s="130">
        <v>300</v>
      </c>
      <c r="K250" s="130">
        <f t="shared" si="56"/>
        <v>60</v>
      </c>
      <c r="L250" s="3">
        <f t="shared" ref="L250:L290" si="80">G250*H250*(100-I250)/100+J250*100</f>
        <v>80000</v>
      </c>
      <c r="M250" s="3">
        <f t="shared" ref="M250:M290" si="81">W250*100/L250</f>
        <v>62.5</v>
      </c>
      <c r="N250" s="4">
        <v>0</v>
      </c>
      <c r="O250" s="4"/>
      <c r="P250" s="3">
        <v>0</v>
      </c>
      <c r="Q250" s="3">
        <v>0</v>
      </c>
      <c r="R250" s="3">
        <v>0</v>
      </c>
      <c r="S250" s="3">
        <v>6</v>
      </c>
      <c r="T250" s="3">
        <f t="shared" si="57"/>
        <v>120</v>
      </c>
      <c r="U250" s="4">
        <v>607001</v>
      </c>
      <c r="V250" s="4" t="s">
        <v>30</v>
      </c>
      <c r="W250" s="3">
        <f t="shared" si="55"/>
        <v>50000</v>
      </c>
      <c r="X250" s="3">
        <f t="shared" ref="X250:AC250" si="82">X245</f>
        <v>416002</v>
      </c>
      <c r="Y250" s="3" t="str">
        <f t="shared" si="82"/>
        <v>四轮马车</v>
      </c>
      <c r="Z250" s="3">
        <f t="shared" si="82"/>
        <v>50</v>
      </c>
      <c r="AA250" s="4">
        <f t="shared" si="82"/>
        <v>403002</v>
      </c>
      <c r="AB250" s="138" t="str">
        <f t="shared" si="82"/>
        <v>优质工具</v>
      </c>
      <c r="AC250" s="3">
        <f t="shared" si="82"/>
        <v>2000</v>
      </c>
    </row>
    <row r="251" spans="1:29" x14ac:dyDescent="0.15">
      <c r="A251" s="135">
        <v>104900</v>
      </c>
      <c r="B251" s="136" t="s">
        <v>91</v>
      </c>
      <c r="C251" s="3">
        <v>104901</v>
      </c>
      <c r="D251" s="3">
        <v>1</v>
      </c>
      <c r="E251" s="85">
        <v>304001</v>
      </c>
      <c r="F251" s="85" t="s">
        <v>46</v>
      </c>
      <c r="G251" s="3">
        <v>2000</v>
      </c>
      <c r="H251" s="134">
        <f>VLOOKUP(E251,[1]stuff!$A:$C,3,FALSE)</f>
        <v>2</v>
      </c>
      <c r="I251" s="130">
        <f t="shared" si="54"/>
        <v>95</v>
      </c>
      <c r="J251" s="130">
        <v>200</v>
      </c>
      <c r="K251" s="130">
        <f t="shared" si="56"/>
        <v>40</v>
      </c>
      <c r="L251" s="3">
        <f t="shared" si="80"/>
        <v>20200</v>
      </c>
      <c r="M251" s="3">
        <f t="shared" si="81"/>
        <v>9.9009900990099009</v>
      </c>
      <c r="N251" s="4">
        <v>0</v>
      </c>
      <c r="O251" s="4"/>
      <c r="P251" s="3">
        <v>0</v>
      </c>
      <c r="Q251" s="3">
        <v>0</v>
      </c>
      <c r="R251" s="3">
        <v>0</v>
      </c>
      <c r="S251" s="3">
        <v>1</v>
      </c>
      <c r="T251" s="3">
        <f t="shared" si="57"/>
        <v>20</v>
      </c>
      <c r="U251" s="4">
        <v>607001</v>
      </c>
      <c r="V251" s="4" t="s">
        <v>30</v>
      </c>
      <c r="W251" s="3">
        <f t="shared" si="55"/>
        <v>2000</v>
      </c>
      <c r="X251" s="3">
        <f t="shared" ref="X251:AC251" si="83">X246</f>
        <v>416001</v>
      </c>
      <c r="Y251" s="3" t="str">
        <f t="shared" si="83"/>
        <v>两轮马车</v>
      </c>
      <c r="Z251" s="3">
        <f t="shared" si="83"/>
        <v>20</v>
      </c>
      <c r="AA251" s="4">
        <f t="shared" si="83"/>
        <v>403002</v>
      </c>
      <c r="AB251" s="138" t="str">
        <f t="shared" si="83"/>
        <v>优质工具</v>
      </c>
      <c r="AC251" s="3">
        <f t="shared" si="83"/>
        <v>200</v>
      </c>
    </row>
    <row r="252" spans="1:29" x14ac:dyDescent="0.15">
      <c r="A252" s="3">
        <v>104901</v>
      </c>
      <c r="B252" s="3"/>
      <c r="C252" s="3">
        <v>104902</v>
      </c>
      <c r="D252" s="3">
        <v>2</v>
      </c>
      <c r="E252" s="86">
        <v>304001</v>
      </c>
      <c r="F252" s="86" t="s">
        <v>46</v>
      </c>
      <c r="G252" s="3">
        <v>4000</v>
      </c>
      <c r="H252" s="134">
        <f>VLOOKUP(E252,[1]stuff!$A:$C,3,FALSE)</f>
        <v>2</v>
      </c>
      <c r="I252" s="130">
        <f t="shared" si="54"/>
        <v>90</v>
      </c>
      <c r="J252" s="130">
        <v>300</v>
      </c>
      <c r="K252" s="130">
        <f t="shared" si="56"/>
        <v>60</v>
      </c>
      <c r="L252" s="3">
        <f t="shared" si="80"/>
        <v>30800</v>
      </c>
      <c r="M252" s="3">
        <f t="shared" si="81"/>
        <v>16.233766233766232</v>
      </c>
      <c r="N252" s="4">
        <v>0</v>
      </c>
      <c r="O252" s="4"/>
      <c r="P252" s="3">
        <v>0</v>
      </c>
      <c r="Q252" s="3">
        <v>0</v>
      </c>
      <c r="R252" s="3">
        <v>0</v>
      </c>
      <c r="S252" s="3">
        <v>2</v>
      </c>
      <c r="T252" s="3">
        <f t="shared" si="57"/>
        <v>40</v>
      </c>
      <c r="U252" s="4">
        <v>607001</v>
      </c>
      <c r="V252" s="4" t="s">
        <v>30</v>
      </c>
      <c r="W252" s="3">
        <f t="shared" si="55"/>
        <v>5000</v>
      </c>
      <c r="X252" s="3">
        <f t="shared" ref="X252:AC252" si="84">X247</f>
        <v>416001</v>
      </c>
      <c r="Y252" s="3" t="str">
        <f t="shared" si="84"/>
        <v>两轮马车</v>
      </c>
      <c r="Z252" s="3">
        <f t="shared" si="84"/>
        <v>30</v>
      </c>
      <c r="AA252" s="4">
        <f t="shared" si="84"/>
        <v>403002</v>
      </c>
      <c r="AB252" s="138" t="str">
        <f t="shared" si="84"/>
        <v>优质工具</v>
      </c>
      <c r="AC252" s="3">
        <f t="shared" si="84"/>
        <v>500</v>
      </c>
    </row>
    <row r="253" spans="1:29" x14ac:dyDescent="0.15">
      <c r="A253" s="3">
        <v>104902</v>
      </c>
      <c r="B253" s="3"/>
      <c r="C253" s="3">
        <v>104903</v>
      </c>
      <c r="D253" s="3">
        <v>3</v>
      </c>
      <c r="E253" s="87">
        <v>304001</v>
      </c>
      <c r="F253" s="87" t="s">
        <v>46</v>
      </c>
      <c r="G253" s="3">
        <v>6000</v>
      </c>
      <c r="H253" s="134">
        <f>VLOOKUP(E253,[1]stuff!$A:$C,3,FALSE)</f>
        <v>2</v>
      </c>
      <c r="I253" s="130">
        <f t="shared" si="54"/>
        <v>85</v>
      </c>
      <c r="J253" s="130">
        <v>400</v>
      </c>
      <c r="K253" s="130">
        <f t="shared" si="56"/>
        <v>80</v>
      </c>
      <c r="L253" s="3">
        <f t="shared" si="80"/>
        <v>41800</v>
      </c>
      <c r="M253" s="3">
        <f t="shared" si="81"/>
        <v>23.923444976076556</v>
      </c>
      <c r="N253" s="4">
        <v>0</v>
      </c>
      <c r="O253" s="4"/>
      <c r="P253" s="3">
        <v>0</v>
      </c>
      <c r="Q253" s="3">
        <v>0</v>
      </c>
      <c r="R253" s="3">
        <v>0</v>
      </c>
      <c r="S253" s="3">
        <v>3</v>
      </c>
      <c r="T253" s="3">
        <f t="shared" si="57"/>
        <v>60</v>
      </c>
      <c r="U253" s="4">
        <v>607001</v>
      </c>
      <c r="V253" s="4" t="s">
        <v>30</v>
      </c>
      <c r="W253" s="3">
        <f t="shared" si="55"/>
        <v>10000</v>
      </c>
      <c r="X253" s="3">
        <f t="shared" ref="X253:AC253" si="85">X248</f>
        <v>416001</v>
      </c>
      <c r="Y253" s="3" t="str">
        <f t="shared" si="85"/>
        <v>两轮马车</v>
      </c>
      <c r="Z253" s="3">
        <f t="shared" si="85"/>
        <v>40</v>
      </c>
      <c r="AA253" s="4">
        <f t="shared" si="85"/>
        <v>403002</v>
      </c>
      <c r="AB253" s="138" t="str">
        <f t="shared" si="85"/>
        <v>优质工具</v>
      </c>
      <c r="AC253" s="3">
        <f t="shared" si="85"/>
        <v>1000</v>
      </c>
    </row>
    <row r="254" spans="1:29" x14ac:dyDescent="0.15">
      <c r="A254" s="3">
        <v>104903</v>
      </c>
      <c r="B254" s="3"/>
      <c r="C254" s="3">
        <v>104904</v>
      </c>
      <c r="D254" s="3">
        <v>4</v>
      </c>
      <c r="E254" s="88">
        <v>304001</v>
      </c>
      <c r="F254" s="88" t="s">
        <v>46</v>
      </c>
      <c r="G254" s="3">
        <v>8000</v>
      </c>
      <c r="H254" s="134">
        <f>VLOOKUP(E254,[1]stuff!$A:$C,3,FALSE)</f>
        <v>2</v>
      </c>
      <c r="I254" s="130">
        <f t="shared" si="54"/>
        <v>85</v>
      </c>
      <c r="J254" s="130">
        <v>500</v>
      </c>
      <c r="K254" s="130">
        <f t="shared" si="56"/>
        <v>100</v>
      </c>
      <c r="L254" s="3">
        <f t="shared" si="80"/>
        <v>52400</v>
      </c>
      <c r="M254" s="3">
        <f t="shared" si="81"/>
        <v>38.167938931297712</v>
      </c>
      <c r="N254" s="4">
        <v>0</v>
      </c>
      <c r="O254" s="4"/>
      <c r="P254" s="3">
        <v>0</v>
      </c>
      <c r="Q254" s="3">
        <v>0</v>
      </c>
      <c r="R254" s="3">
        <v>0</v>
      </c>
      <c r="S254" s="3">
        <v>4</v>
      </c>
      <c r="T254" s="3">
        <f t="shared" si="57"/>
        <v>80</v>
      </c>
      <c r="U254" s="4">
        <v>607001</v>
      </c>
      <c r="V254" s="4" t="s">
        <v>30</v>
      </c>
      <c r="W254" s="3">
        <f t="shared" si="55"/>
        <v>20000</v>
      </c>
      <c r="X254" s="3">
        <f t="shared" ref="X254:AC254" si="86">X249</f>
        <v>416002</v>
      </c>
      <c r="Y254" s="3" t="str">
        <f t="shared" si="86"/>
        <v>四轮马车</v>
      </c>
      <c r="Z254" s="3">
        <f t="shared" si="86"/>
        <v>50</v>
      </c>
      <c r="AA254" s="4">
        <f t="shared" si="86"/>
        <v>403002</v>
      </c>
      <c r="AB254" s="138" t="str">
        <f t="shared" si="86"/>
        <v>优质工具</v>
      </c>
      <c r="AC254" s="3">
        <f t="shared" si="86"/>
        <v>1000</v>
      </c>
    </row>
    <row r="255" spans="1:29" x14ac:dyDescent="0.15">
      <c r="A255" s="3">
        <v>104904</v>
      </c>
      <c r="B255" s="3"/>
      <c r="C255" s="3">
        <v>0</v>
      </c>
      <c r="D255" s="3">
        <v>5</v>
      </c>
      <c r="E255" s="89">
        <v>304001</v>
      </c>
      <c r="F255" s="89" t="s">
        <v>46</v>
      </c>
      <c r="G255" s="3">
        <v>10000</v>
      </c>
      <c r="H255" s="134">
        <f>VLOOKUP(E255,[1]stuff!$A:$C,3,FALSE)</f>
        <v>2</v>
      </c>
      <c r="I255" s="130">
        <f t="shared" ref="I255:I290" si="87">I250</f>
        <v>80</v>
      </c>
      <c r="J255" s="130">
        <v>600</v>
      </c>
      <c r="K255" s="130">
        <f t="shared" si="56"/>
        <v>120</v>
      </c>
      <c r="L255" s="3">
        <f t="shared" si="80"/>
        <v>64000</v>
      </c>
      <c r="M255" s="3">
        <f t="shared" si="81"/>
        <v>78.125</v>
      </c>
      <c r="N255" s="4">
        <v>0</v>
      </c>
      <c r="O255" s="4"/>
      <c r="P255" s="3">
        <v>0</v>
      </c>
      <c r="Q255" s="3">
        <v>0</v>
      </c>
      <c r="R255" s="3">
        <v>0</v>
      </c>
      <c r="S255" s="3">
        <v>6</v>
      </c>
      <c r="T255" s="3">
        <f t="shared" si="57"/>
        <v>120</v>
      </c>
      <c r="U255" s="4">
        <v>607001</v>
      </c>
      <c r="V255" s="4" t="s">
        <v>30</v>
      </c>
      <c r="W255" s="3">
        <f t="shared" ref="W255:AC290" si="88">W250</f>
        <v>50000</v>
      </c>
      <c r="X255" s="3">
        <f t="shared" si="88"/>
        <v>416002</v>
      </c>
      <c r="Y255" s="3" t="str">
        <f t="shared" si="88"/>
        <v>四轮马车</v>
      </c>
      <c r="Z255" s="3">
        <f t="shared" si="88"/>
        <v>50</v>
      </c>
      <c r="AA255" s="4">
        <f t="shared" si="88"/>
        <v>403002</v>
      </c>
      <c r="AB255" s="138" t="str">
        <f t="shared" si="88"/>
        <v>优质工具</v>
      </c>
      <c r="AC255" s="3">
        <f t="shared" si="88"/>
        <v>2000</v>
      </c>
    </row>
    <row r="256" spans="1:29" x14ac:dyDescent="0.15">
      <c r="A256" s="3">
        <v>105000</v>
      </c>
      <c r="B256" s="3"/>
      <c r="C256" s="3">
        <v>105001</v>
      </c>
      <c r="D256" s="3">
        <v>1</v>
      </c>
      <c r="E256" s="32">
        <v>616002</v>
      </c>
      <c r="F256" s="32" t="s">
        <v>56</v>
      </c>
      <c r="G256" s="3">
        <v>500</v>
      </c>
      <c r="H256" s="134">
        <f>VLOOKUP(E256,[1]stuff!$A:$C,3,FALSE)</f>
        <v>2</v>
      </c>
      <c r="I256" s="130">
        <f t="shared" si="87"/>
        <v>95</v>
      </c>
      <c r="J256" s="130">
        <v>100</v>
      </c>
      <c r="K256" s="130">
        <f t="shared" si="56"/>
        <v>20</v>
      </c>
      <c r="L256" s="3">
        <f t="shared" si="80"/>
        <v>10050</v>
      </c>
      <c r="M256" s="3">
        <f t="shared" si="81"/>
        <v>19.900497512437809</v>
      </c>
      <c r="N256" s="4">
        <v>0</v>
      </c>
      <c r="O256" s="4"/>
      <c r="P256" s="3">
        <v>0</v>
      </c>
      <c r="Q256" s="3">
        <v>0</v>
      </c>
      <c r="R256" s="3">
        <v>0</v>
      </c>
      <c r="S256" s="3">
        <v>1</v>
      </c>
      <c r="T256" s="3">
        <f t="shared" si="57"/>
        <v>20</v>
      </c>
      <c r="U256" s="4">
        <v>607001</v>
      </c>
      <c r="V256" s="4" t="s">
        <v>30</v>
      </c>
      <c r="W256" s="3">
        <f t="shared" si="88"/>
        <v>2000</v>
      </c>
      <c r="X256" s="3">
        <f t="shared" si="88"/>
        <v>416001</v>
      </c>
      <c r="Y256" s="3" t="str">
        <f t="shared" si="88"/>
        <v>两轮马车</v>
      </c>
      <c r="Z256" s="3">
        <f t="shared" si="88"/>
        <v>20</v>
      </c>
      <c r="AA256" s="4">
        <f t="shared" si="88"/>
        <v>403002</v>
      </c>
      <c r="AB256" s="138" t="str">
        <f t="shared" si="88"/>
        <v>优质工具</v>
      </c>
      <c r="AC256" s="3">
        <f t="shared" si="88"/>
        <v>200</v>
      </c>
    </row>
    <row r="257" spans="1:29" x14ac:dyDescent="0.15">
      <c r="A257" s="3">
        <v>105001</v>
      </c>
      <c r="B257" s="3"/>
      <c r="C257" s="3">
        <v>105002</v>
      </c>
      <c r="D257" s="3">
        <v>2</v>
      </c>
      <c r="E257" s="33">
        <v>616002</v>
      </c>
      <c r="F257" s="33" t="s">
        <v>56</v>
      </c>
      <c r="G257" s="3">
        <v>1000</v>
      </c>
      <c r="H257" s="134">
        <f>VLOOKUP(E257,[1]stuff!$A:$C,3,FALSE)</f>
        <v>2</v>
      </c>
      <c r="I257" s="130">
        <f t="shared" si="87"/>
        <v>90</v>
      </c>
      <c r="J257" s="130">
        <v>150</v>
      </c>
      <c r="K257" s="130">
        <f t="shared" si="56"/>
        <v>30</v>
      </c>
      <c r="L257" s="3">
        <f t="shared" si="80"/>
        <v>15200</v>
      </c>
      <c r="M257" s="3">
        <f t="shared" si="81"/>
        <v>32.89473684210526</v>
      </c>
      <c r="N257" s="4">
        <v>0</v>
      </c>
      <c r="O257" s="4"/>
      <c r="P257" s="3">
        <v>0</v>
      </c>
      <c r="Q257" s="3">
        <v>0</v>
      </c>
      <c r="R257" s="3">
        <v>0</v>
      </c>
      <c r="S257" s="3">
        <v>2</v>
      </c>
      <c r="T257" s="3">
        <f t="shared" si="57"/>
        <v>40</v>
      </c>
      <c r="U257" s="4">
        <v>607001</v>
      </c>
      <c r="V257" s="4" t="s">
        <v>30</v>
      </c>
      <c r="W257" s="3">
        <f t="shared" si="88"/>
        <v>5000</v>
      </c>
      <c r="X257" s="3">
        <f t="shared" si="88"/>
        <v>416001</v>
      </c>
      <c r="Y257" s="3" t="str">
        <f t="shared" si="88"/>
        <v>两轮马车</v>
      </c>
      <c r="Z257" s="3">
        <f t="shared" si="88"/>
        <v>30</v>
      </c>
      <c r="AA257" s="4">
        <f t="shared" si="88"/>
        <v>403002</v>
      </c>
      <c r="AB257" s="138" t="str">
        <f t="shared" si="88"/>
        <v>优质工具</v>
      </c>
      <c r="AC257" s="3">
        <f t="shared" si="88"/>
        <v>500</v>
      </c>
    </row>
    <row r="258" spans="1:29" x14ac:dyDescent="0.15">
      <c r="A258" s="3">
        <v>105002</v>
      </c>
      <c r="B258" s="3"/>
      <c r="C258" s="3">
        <v>105003</v>
      </c>
      <c r="D258" s="3">
        <v>3</v>
      </c>
      <c r="E258" s="34">
        <v>616002</v>
      </c>
      <c r="F258" s="34" t="s">
        <v>56</v>
      </c>
      <c r="G258" s="3">
        <v>1500</v>
      </c>
      <c r="H258" s="134">
        <f>VLOOKUP(E258,[1]stuff!$A:$C,3,FALSE)</f>
        <v>2</v>
      </c>
      <c r="I258" s="130">
        <f t="shared" si="87"/>
        <v>85</v>
      </c>
      <c r="J258" s="130">
        <v>200</v>
      </c>
      <c r="K258" s="130">
        <f t="shared" si="56"/>
        <v>40</v>
      </c>
      <c r="L258" s="3">
        <f t="shared" si="80"/>
        <v>20450</v>
      </c>
      <c r="M258" s="3">
        <f t="shared" si="81"/>
        <v>48.899755501222494</v>
      </c>
      <c r="N258" s="4">
        <v>0</v>
      </c>
      <c r="O258" s="4"/>
      <c r="P258" s="3">
        <v>0</v>
      </c>
      <c r="Q258" s="3">
        <v>0</v>
      </c>
      <c r="R258" s="3">
        <v>0</v>
      </c>
      <c r="S258" s="3">
        <v>3</v>
      </c>
      <c r="T258" s="3">
        <f t="shared" si="57"/>
        <v>60</v>
      </c>
      <c r="U258" s="4">
        <v>607001</v>
      </c>
      <c r="V258" s="4" t="s">
        <v>30</v>
      </c>
      <c r="W258" s="3">
        <f t="shared" si="88"/>
        <v>10000</v>
      </c>
      <c r="X258" s="3">
        <f t="shared" si="88"/>
        <v>416001</v>
      </c>
      <c r="Y258" s="3" t="str">
        <f t="shared" si="88"/>
        <v>两轮马车</v>
      </c>
      <c r="Z258" s="3">
        <f t="shared" si="88"/>
        <v>40</v>
      </c>
      <c r="AA258" s="4">
        <f t="shared" si="88"/>
        <v>403002</v>
      </c>
      <c r="AB258" s="138" t="str">
        <f t="shared" si="88"/>
        <v>优质工具</v>
      </c>
      <c r="AC258" s="3">
        <f t="shared" si="88"/>
        <v>1000</v>
      </c>
    </row>
    <row r="259" spans="1:29" x14ac:dyDescent="0.15">
      <c r="A259" s="3">
        <v>105003</v>
      </c>
      <c r="B259" s="3"/>
      <c r="C259" s="3">
        <v>105004</v>
      </c>
      <c r="D259" s="3">
        <v>4</v>
      </c>
      <c r="E259" s="35">
        <v>616002</v>
      </c>
      <c r="F259" s="35" t="s">
        <v>56</v>
      </c>
      <c r="G259" s="3">
        <v>2000</v>
      </c>
      <c r="H259" s="134">
        <f>VLOOKUP(E259,[1]stuff!$A:$C,3,FALSE)</f>
        <v>2</v>
      </c>
      <c r="I259" s="130">
        <f t="shared" si="87"/>
        <v>85</v>
      </c>
      <c r="J259" s="130">
        <v>250</v>
      </c>
      <c r="K259" s="130">
        <f t="shared" si="56"/>
        <v>50</v>
      </c>
      <c r="L259" s="3">
        <f t="shared" si="80"/>
        <v>25600</v>
      </c>
      <c r="M259" s="3">
        <f t="shared" si="81"/>
        <v>78.125</v>
      </c>
      <c r="N259" s="4">
        <v>0</v>
      </c>
      <c r="O259" s="4"/>
      <c r="P259" s="3">
        <v>0</v>
      </c>
      <c r="Q259" s="3">
        <v>0</v>
      </c>
      <c r="R259" s="3">
        <v>0</v>
      </c>
      <c r="S259" s="3">
        <v>4</v>
      </c>
      <c r="T259" s="3">
        <f t="shared" si="57"/>
        <v>80</v>
      </c>
      <c r="U259" s="4">
        <v>607001</v>
      </c>
      <c r="V259" s="4" t="s">
        <v>30</v>
      </c>
      <c r="W259" s="3">
        <f t="shared" si="88"/>
        <v>20000</v>
      </c>
      <c r="X259" s="3">
        <f t="shared" si="88"/>
        <v>416002</v>
      </c>
      <c r="Y259" s="3" t="str">
        <f t="shared" si="88"/>
        <v>四轮马车</v>
      </c>
      <c r="Z259" s="3">
        <f t="shared" si="88"/>
        <v>50</v>
      </c>
      <c r="AA259" s="4">
        <f t="shared" si="88"/>
        <v>403002</v>
      </c>
      <c r="AB259" s="138" t="str">
        <f t="shared" si="88"/>
        <v>优质工具</v>
      </c>
      <c r="AC259" s="3">
        <f t="shared" si="88"/>
        <v>1000</v>
      </c>
    </row>
    <row r="260" spans="1:29" x14ac:dyDescent="0.15">
      <c r="A260" s="3">
        <v>105004</v>
      </c>
      <c r="B260" s="3"/>
      <c r="C260" s="3">
        <v>0</v>
      </c>
      <c r="D260" s="3">
        <v>5</v>
      </c>
      <c r="E260" s="35">
        <v>616002</v>
      </c>
      <c r="F260" s="35" t="s">
        <v>56</v>
      </c>
      <c r="G260" s="3">
        <v>2500</v>
      </c>
      <c r="H260" s="134">
        <f>VLOOKUP(E260,[1]stuff!$A:$C,3,FALSE)</f>
        <v>2</v>
      </c>
      <c r="I260" s="130">
        <f t="shared" si="87"/>
        <v>80</v>
      </c>
      <c r="J260" s="130">
        <v>300</v>
      </c>
      <c r="K260" s="130">
        <f t="shared" si="56"/>
        <v>60</v>
      </c>
      <c r="L260" s="3">
        <f t="shared" si="80"/>
        <v>31000</v>
      </c>
      <c r="M260" s="3">
        <f t="shared" si="81"/>
        <v>161.29032258064515</v>
      </c>
      <c r="N260" s="4">
        <v>0</v>
      </c>
      <c r="O260" s="4"/>
      <c r="P260" s="3">
        <v>0</v>
      </c>
      <c r="Q260" s="3">
        <v>0</v>
      </c>
      <c r="R260" s="3">
        <v>0</v>
      </c>
      <c r="S260" s="3">
        <v>6</v>
      </c>
      <c r="T260" s="3">
        <f t="shared" si="57"/>
        <v>120</v>
      </c>
      <c r="U260" s="4">
        <v>607001</v>
      </c>
      <c r="V260" s="4" t="s">
        <v>30</v>
      </c>
      <c r="W260" s="3">
        <f t="shared" si="88"/>
        <v>50000</v>
      </c>
      <c r="X260" s="3">
        <f t="shared" si="88"/>
        <v>416002</v>
      </c>
      <c r="Y260" s="3" t="str">
        <f t="shared" si="88"/>
        <v>四轮马车</v>
      </c>
      <c r="Z260" s="3">
        <f t="shared" si="88"/>
        <v>50</v>
      </c>
      <c r="AA260" s="4">
        <f t="shared" si="88"/>
        <v>403002</v>
      </c>
      <c r="AB260" s="138" t="str">
        <f t="shared" si="88"/>
        <v>优质工具</v>
      </c>
      <c r="AC260" s="3">
        <f t="shared" si="88"/>
        <v>2000</v>
      </c>
    </row>
    <row r="261" spans="1:29" x14ac:dyDescent="0.15">
      <c r="A261" s="3">
        <v>105600</v>
      </c>
      <c r="B261" s="3"/>
      <c r="C261" s="3">
        <v>105601</v>
      </c>
      <c r="D261" s="3">
        <v>1</v>
      </c>
      <c r="E261" s="46">
        <v>301006</v>
      </c>
      <c r="F261" s="46" t="s">
        <v>35</v>
      </c>
      <c r="G261" s="3">
        <v>2000</v>
      </c>
      <c r="H261" s="134">
        <f>VLOOKUP(E261,[1]stuff!$A:$C,3,FALSE)</f>
        <v>1</v>
      </c>
      <c r="I261" s="130">
        <f t="shared" si="87"/>
        <v>95</v>
      </c>
      <c r="J261" s="130">
        <v>100</v>
      </c>
      <c r="K261" s="130">
        <f t="shared" si="56"/>
        <v>20</v>
      </c>
      <c r="L261" s="3">
        <f t="shared" si="80"/>
        <v>10100</v>
      </c>
      <c r="M261" s="3">
        <f t="shared" si="81"/>
        <v>19.801980198019802</v>
      </c>
      <c r="N261" s="4">
        <v>0</v>
      </c>
      <c r="O261" s="4"/>
      <c r="P261" s="3">
        <v>0</v>
      </c>
      <c r="Q261" s="3">
        <v>0</v>
      </c>
      <c r="R261" s="3">
        <v>0</v>
      </c>
      <c r="S261" s="3">
        <v>1</v>
      </c>
      <c r="T261" s="3">
        <f t="shared" si="57"/>
        <v>20</v>
      </c>
      <c r="U261" s="4">
        <v>607001</v>
      </c>
      <c r="V261" s="4" t="s">
        <v>30</v>
      </c>
      <c r="W261" s="3">
        <f t="shared" si="88"/>
        <v>2000</v>
      </c>
      <c r="X261" s="3">
        <f t="shared" si="88"/>
        <v>416001</v>
      </c>
      <c r="Y261" s="3" t="str">
        <f t="shared" si="88"/>
        <v>两轮马车</v>
      </c>
      <c r="Z261" s="3">
        <f t="shared" si="88"/>
        <v>20</v>
      </c>
      <c r="AA261" s="4">
        <f t="shared" si="88"/>
        <v>403002</v>
      </c>
      <c r="AB261" s="138" t="str">
        <f t="shared" si="88"/>
        <v>优质工具</v>
      </c>
      <c r="AC261" s="3">
        <f t="shared" si="88"/>
        <v>200</v>
      </c>
    </row>
    <row r="262" spans="1:29" x14ac:dyDescent="0.15">
      <c r="A262" s="3">
        <v>105601</v>
      </c>
      <c r="B262" s="3"/>
      <c r="C262" s="3">
        <v>105602</v>
      </c>
      <c r="D262" s="3">
        <v>2</v>
      </c>
      <c r="E262" s="47">
        <v>301006</v>
      </c>
      <c r="F262" s="47" t="s">
        <v>35</v>
      </c>
      <c r="G262" s="3">
        <v>4000</v>
      </c>
      <c r="H262" s="134">
        <f>VLOOKUP(E262,[1]stuff!$A:$C,3,FALSE)</f>
        <v>1</v>
      </c>
      <c r="I262" s="130">
        <f t="shared" si="87"/>
        <v>90</v>
      </c>
      <c r="J262" s="130">
        <v>150</v>
      </c>
      <c r="K262" s="130">
        <f t="shared" si="56"/>
        <v>30</v>
      </c>
      <c r="L262" s="3">
        <f t="shared" si="80"/>
        <v>15400</v>
      </c>
      <c r="M262" s="3">
        <f t="shared" si="81"/>
        <v>32.467532467532465</v>
      </c>
      <c r="N262" s="4">
        <v>0</v>
      </c>
      <c r="O262" s="4"/>
      <c r="P262" s="3">
        <v>0</v>
      </c>
      <c r="Q262" s="3">
        <v>0</v>
      </c>
      <c r="R262" s="3">
        <v>0</v>
      </c>
      <c r="S262" s="3">
        <v>2</v>
      </c>
      <c r="T262" s="3">
        <f t="shared" si="57"/>
        <v>40</v>
      </c>
      <c r="U262" s="4">
        <v>607001</v>
      </c>
      <c r="V262" s="4" t="s">
        <v>30</v>
      </c>
      <c r="W262" s="3">
        <f t="shared" si="88"/>
        <v>5000</v>
      </c>
      <c r="X262" s="3">
        <f t="shared" si="88"/>
        <v>416001</v>
      </c>
      <c r="Y262" s="3" t="str">
        <f t="shared" si="88"/>
        <v>两轮马车</v>
      </c>
      <c r="Z262" s="3">
        <f t="shared" si="88"/>
        <v>30</v>
      </c>
      <c r="AA262" s="4">
        <f t="shared" si="88"/>
        <v>403002</v>
      </c>
      <c r="AB262" s="138" t="str">
        <f t="shared" si="88"/>
        <v>优质工具</v>
      </c>
      <c r="AC262" s="3">
        <f t="shared" si="88"/>
        <v>500</v>
      </c>
    </row>
    <row r="263" spans="1:29" x14ac:dyDescent="0.15">
      <c r="A263" s="3">
        <v>105602</v>
      </c>
      <c r="B263" s="3"/>
      <c r="C263" s="3">
        <v>105603</v>
      </c>
      <c r="D263" s="3">
        <v>3</v>
      </c>
      <c r="E263" s="48">
        <v>301006</v>
      </c>
      <c r="F263" s="48" t="s">
        <v>35</v>
      </c>
      <c r="G263" s="3">
        <v>6000</v>
      </c>
      <c r="H263" s="134">
        <f>VLOOKUP(E263,[1]stuff!$A:$C,3,FALSE)</f>
        <v>1</v>
      </c>
      <c r="I263" s="130">
        <f t="shared" si="87"/>
        <v>85</v>
      </c>
      <c r="J263" s="130">
        <v>200</v>
      </c>
      <c r="K263" s="130">
        <f t="shared" si="56"/>
        <v>40</v>
      </c>
      <c r="L263" s="3">
        <f t="shared" si="80"/>
        <v>20900</v>
      </c>
      <c r="M263" s="3">
        <f t="shared" si="81"/>
        <v>47.846889952153113</v>
      </c>
      <c r="N263" s="4">
        <v>0</v>
      </c>
      <c r="O263" s="4"/>
      <c r="P263" s="3">
        <v>0</v>
      </c>
      <c r="Q263" s="3">
        <v>0</v>
      </c>
      <c r="R263" s="3">
        <v>0</v>
      </c>
      <c r="S263" s="3">
        <v>3</v>
      </c>
      <c r="T263" s="3">
        <f t="shared" si="57"/>
        <v>60</v>
      </c>
      <c r="U263" s="4">
        <v>607001</v>
      </c>
      <c r="V263" s="4" t="s">
        <v>30</v>
      </c>
      <c r="W263" s="3">
        <f t="shared" si="88"/>
        <v>10000</v>
      </c>
      <c r="X263" s="3">
        <f t="shared" si="88"/>
        <v>416001</v>
      </c>
      <c r="Y263" s="3" t="str">
        <f t="shared" si="88"/>
        <v>两轮马车</v>
      </c>
      <c r="Z263" s="3">
        <f t="shared" si="88"/>
        <v>40</v>
      </c>
      <c r="AA263" s="4">
        <f t="shared" si="88"/>
        <v>403002</v>
      </c>
      <c r="AB263" s="138" t="str">
        <f t="shared" si="88"/>
        <v>优质工具</v>
      </c>
      <c r="AC263" s="3">
        <f t="shared" si="88"/>
        <v>1000</v>
      </c>
    </row>
    <row r="264" spans="1:29" x14ac:dyDescent="0.15">
      <c r="A264" s="3">
        <v>105603</v>
      </c>
      <c r="B264" s="3"/>
      <c r="C264" s="3">
        <v>105604</v>
      </c>
      <c r="D264" s="3">
        <v>4</v>
      </c>
      <c r="E264" s="49">
        <v>301006</v>
      </c>
      <c r="F264" s="49" t="s">
        <v>35</v>
      </c>
      <c r="G264" s="3">
        <v>8000</v>
      </c>
      <c r="H264" s="134">
        <f>VLOOKUP(E264,[1]stuff!$A:$C,3,FALSE)</f>
        <v>1</v>
      </c>
      <c r="I264" s="130">
        <f t="shared" si="87"/>
        <v>85</v>
      </c>
      <c r="J264" s="130">
        <v>250</v>
      </c>
      <c r="K264" s="130">
        <f t="shared" si="56"/>
        <v>50</v>
      </c>
      <c r="L264" s="3">
        <f t="shared" si="80"/>
        <v>26200</v>
      </c>
      <c r="M264" s="3">
        <f t="shared" si="81"/>
        <v>76.335877862595424</v>
      </c>
      <c r="N264" s="4">
        <v>0</v>
      </c>
      <c r="O264" s="4"/>
      <c r="P264" s="3">
        <v>0</v>
      </c>
      <c r="Q264" s="3">
        <v>0</v>
      </c>
      <c r="R264" s="3">
        <v>0</v>
      </c>
      <c r="S264" s="3">
        <v>4</v>
      </c>
      <c r="T264" s="3">
        <f t="shared" si="57"/>
        <v>80</v>
      </c>
      <c r="U264" s="4">
        <v>607001</v>
      </c>
      <c r="V264" s="4" t="s">
        <v>30</v>
      </c>
      <c r="W264" s="3">
        <f t="shared" si="88"/>
        <v>20000</v>
      </c>
      <c r="X264" s="3">
        <f t="shared" si="88"/>
        <v>416002</v>
      </c>
      <c r="Y264" s="3" t="str">
        <f t="shared" si="88"/>
        <v>四轮马车</v>
      </c>
      <c r="Z264" s="3">
        <f t="shared" si="88"/>
        <v>50</v>
      </c>
      <c r="AA264" s="4">
        <f t="shared" si="88"/>
        <v>403002</v>
      </c>
      <c r="AB264" s="138" t="str">
        <f t="shared" si="88"/>
        <v>优质工具</v>
      </c>
      <c r="AC264" s="3">
        <f t="shared" si="88"/>
        <v>1000</v>
      </c>
    </row>
    <row r="265" spans="1:29" x14ac:dyDescent="0.15">
      <c r="A265" s="3">
        <v>105604</v>
      </c>
      <c r="B265" s="3"/>
      <c r="C265" s="3">
        <v>0</v>
      </c>
      <c r="D265" s="3">
        <v>5</v>
      </c>
      <c r="E265" s="49">
        <v>301006</v>
      </c>
      <c r="F265" s="49" t="s">
        <v>35</v>
      </c>
      <c r="G265" s="3">
        <v>10000</v>
      </c>
      <c r="H265" s="134">
        <f>VLOOKUP(E265,[1]stuff!$A:$C,3,FALSE)</f>
        <v>1</v>
      </c>
      <c r="I265" s="130">
        <f t="shared" si="87"/>
        <v>80</v>
      </c>
      <c r="J265" s="130">
        <v>300</v>
      </c>
      <c r="K265" s="130">
        <f t="shared" si="56"/>
        <v>60</v>
      </c>
      <c r="L265" s="3">
        <f t="shared" si="80"/>
        <v>32000</v>
      </c>
      <c r="M265" s="3">
        <f t="shared" si="81"/>
        <v>156.25</v>
      </c>
      <c r="N265" s="4">
        <v>0</v>
      </c>
      <c r="O265" s="4"/>
      <c r="P265" s="3">
        <v>0</v>
      </c>
      <c r="Q265" s="3">
        <v>0</v>
      </c>
      <c r="R265" s="3">
        <v>0</v>
      </c>
      <c r="S265" s="3">
        <v>6</v>
      </c>
      <c r="T265" s="3">
        <f t="shared" si="57"/>
        <v>120</v>
      </c>
      <c r="U265" s="4">
        <v>607001</v>
      </c>
      <c r="V265" s="4" t="s">
        <v>30</v>
      </c>
      <c r="W265" s="3">
        <f t="shared" si="88"/>
        <v>50000</v>
      </c>
      <c r="X265" s="3">
        <f t="shared" si="88"/>
        <v>416002</v>
      </c>
      <c r="Y265" s="3" t="str">
        <f t="shared" si="88"/>
        <v>四轮马车</v>
      </c>
      <c r="Z265" s="3">
        <f t="shared" si="88"/>
        <v>50</v>
      </c>
      <c r="AA265" s="4">
        <f t="shared" si="88"/>
        <v>403002</v>
      </c>
      <c r="AB265" s="138" t="str">
        <f t="shared" si="88"/>
        <v>优质工具</v>
      </c>
      <c r="AC265" s="3">
        <f t="shared" si="88"/>
        <v>2000</v>
      </c>
    </row>
    <row r="266" spans="1:29" x14ac:dyDescent="0.15">
      <c r="A266" s="135">
        <v>105700</v>
      </c>
      <c r="B266" s="136" t="s">
        <v>91</v>
      </c>
      <c r="C266" s="3">
        <v>105701</v>
      </c>
      <c r="D266" s="3">
        <v>1</v>
      </c>
      <c r="E266" s="70">
        <v>616001</v>
      </c>
      <c r="F266" s="70" t="s">
        <v>68</v>
      </c>
      <c r="G266" s="3">
        <v>1000</v>
      </c>
      <c r="H266" s="134">
        <f>VLOOKUP(E266,[1]stuff!$A:$C,3,FALSE)</f>
        <v>2</v>
      </c>
      <c r="I266" s="130">
        <f t="shared" si="87"/>
        <v>95</v>
      </c>
      <c r="J266" s="130">
        <v>200</v>
      </c>
      <c r="K266" s="130">
        <f t="shared" si="56"/>
        <v>40</v>
      </c>
      <c r="L266" s="3">
        <f t="shared" si="80"/>
        <v>20100</v>
      </c>
      <c r="M266" s="3">
        <f t="shared" si="81"/>
        <v>9.9502487562189046</v>
      </c>
      <c r="N266" s="4">
        <v>0</v>
      </c>
      <c r="O266" s="4"/>
      <c r="P266" s="3">
        <v>0</v>
      </c>
      <c r="Q266" s="3">
        <v>0</v>
      </c>
      <c r="R266" s="3">
        <v>0</v>
      </c>
      <c r="S266" s="3">
        <v>1</v>
      </c>
      <c r="T266" s="3">
        <f t="shared" si="57"/>
        <v>20</v>
      </c>
      <c r="U266" s="4">
        <v>607001</v>
      </c>
      <c r="V266" s="4" t="s">
        <v>30</v>
      </c>
      <c r="W266" s="3">
        <f t="shared" si="88"/>
        <v>2000</v>
      </c>
      <c r="X266" s="3">
        <f t="shared" si="88"/>
        <v>416001</v>
      </c>
      <c r="Y266" s="3" t="str">
        <f t="shared" si="88"/>
        <v>两轮马车</v>
      </c>
      <c r="Z266" s="3">
        <f t="shared" si="88"/>
        <v>20</v>
      </c>
      <c r="AA266" s="4">
        <f t="shared" si="88"/>
        <v>403002</v>
      </c>
      <c r="AB266" s="138" t="str">
        <f t="shared" si="88"/>
        <v>优质工具</v>
      </c>
      <c r="AC266" s="3">
        <f t="shared" si="88"/>
        <v>200</v>
      </c>
    </row>
    <row r="267" spans="1:29" x14ac:dyDescent="0.15">
      <c r="A267" s="3">
        <v>105701</v>
      </c>
      <c r="B267" s="3"/>
      <c r="C267" s="3">
        <v>105702</v>
      </c>
      <c r="D267" s="3">
        <v>2</v>
      </c>
      <c r="E267" s="71">
        <v>616001</v>
      </c>
      <c r="F267" s="71" t="s">
        <v>68</v>
      </c>
      <c r="G267" s="3">
        <v>2000</v>
      </c>
      <c r="H267" s="134">
        <f>VLOOKUP(E267,[1]stuff!$A:$C,3,FALSE)</f>
        <v>2</v>
      </c>
      <c r="I267" s="130">
        <f t="shared" si="87"/>
        <v>90</v>
      </c>
      <c r="J267" s="130">
        <v>300</v>
      </c>
      <c r="K267" s="130">
        <f t="shared" si="56"/>
        <v>60</v>
      </c>
      <c r="L267" s="3">
        <f t="shared" si="80"/>
        <v>30400</v>
      </c>
      <c r="M267" s="3">
        <f t="shared" si="81"/>
        <v>16.44736842105263</v>
      </c>
      <c r="N267" s="4">
        <v>0</v>
      </c>
      <c r="O267" s="4"/>
      <c r="P267" s="3">
        <v>0</v>
      </c>
      <c r="Q267" s="3">
        <v>0</v>
      </c>
      <c r="R267" s="3">
        <v>0</v>
      </c>
      <c r="S267" s="3">
        <v>2</v>
      </c>
      <c r="T267" s="3">
        <f t="shared" si="57"/>
        <v>40</v>
      </c>
      <c r="U267" s="4">
        <v>607001</v>
      </c>
      <c r="V267" s="4" t="s">
        <v>30</v>
      </c>
      <c r="W267" s="3">
        <f t="shared" si="88"/>
        <v>5000</v>
      </c>
      <c r="X267" s="3">
        <f t="shared" si="88"/>
        <v>416001</v>
      </c>
      <c r="Y267" s="3" t="str">
        <f t="shared" si="88"/>
        <v>两轮马车</v>
      </c>
      <c r="Z267" s="3">
        <f t="shared" si="88"/>
        <v>30</v>
      </c>
      <c r="AA267" s="4">
        <f t="shared" si="88"/>
        <v>403002</v>
      </c>
      <c r="AB267" s="138" t="str">
        <f t="shared" si="88"/>
        <v>优质工具</v>
      </c>
      <c r="AC267" s="3">
        <f t="shared" si="88"/>
        <v>500</v>
      </c>
    </row>
    <row r="268" spans="1:29" x14ac:dyDescent="0.15">
      <c r="A268" s="3">
        <v>105702</v>
      </c>
      <c r="B268" s="3"/>
      <c r="C268" s="3">
        <v>105703</v>
      </c>
      <c r="D268" s="3">
        <v>3</v>
      </c>
      <c r="E268" s="72">
        <v>616001</v>
      </c>
      <c r="F268" s="72" t="s">
        <v>68</v>
      </c>
      <c r="G268" s="3">
        <v>3000</v>
      </c>
      <c r="H268" s="134">
        <f>VLOOKUP(E268,[1]stuff!$A:$C,3,FALSE)</f>
        <v>2</v>
      </c>
      <c r="I268" s="130">
        <f t="shared" si="87"/>
        <v>85</v>
      </c>
      <c r="J268" s="130">
        <v>400</v>
      </c>
      <c r="K268" s="130">
        <f t="shared" si="56"/>
        <v>80</v>
      </c>
      <c r="L268" s="3">
        <f t="shared" si="80"/>
        <v>40900</v>
      </c>
      <c r="M268" s="3">
        <f t="shared" si="81"/>
        <v>24.449877750611247</v>
      </c>
      <c r="N268" s="4">
        <v>0</v>
      </c>
      <c r="O268" s="4"/>
      <c r="P268" s="3">
        <v>0</v>
      </c>
      <c r="Q268" s="3">
        <v>0</v>
      </c>
      <c r="R268" s="3">
        <v>0</v>
      </c>
      <c r="S268" s="3">
        <v>3</v>
      </c>
      <c r="T268" s="3">
        <f t="shared" si="57"/>
        <v>60</v>
      </c>
      <c r="U268" s="4">
        <v>607001</v>
      </c>
      <c r="V268" s="4" t="s">
        <v>30</v>
      </c>
      <c r="W268" s="3">
        <f t="shared" si="88"/>
        <v>10000</v>
      </c>
      <c r="X268" s="3">
        <f t="shared" si="88"/>
        <v>416001</v>
      </c>
      <c r="Y268" s="3" t="str">
        <f t="shared" si="88"/>
        <v>两轮马车</v>
      </c>
      <c r="Z268" s="3">
        <f t="shared" si="88"/>
        <v>40</v>
      </c>
      <c r="AA268" s="4">
        <f t="shared" si="88"/>
        <v>403002</v>
      </c>
      <c r="AB268" s="138" t="str">
        <f t="shared" si="88"/>
        <v>优质工具</v>
      </c>
      <c r="AC268" s="3">
        <f t="shared" si="88"/>
        <v>1000</v>
      </c>
    </row>
    <row r="269" spans="1:29" x14ac:dyDescent="0.15">
      <c r="A269" s="3">
        <v>105703</v>
      </c>
      <c r="B269" s="3"/>
      <c r="C269" s="3">
        <v>105704</v>
      </c>
      <c r="D269" s="3">
        <v>4</v>
      </c>
      <c r="E269" s="73">
        <v>616001</v>
      </c>
      <c r="F269" s="73" t="s">
        <v>68</v>
      </c>
      <c r="G269" s="3">
        <v>4000</v>
      </c>
      <c r="H269" s="134">
        <f>VLOOKUP(E269,[1]stuff!$A:$C,3,FALSE)</f>
        <v>2</v>
      </c>
      <c r="I269" s="130">
        <f t="shared" si="87"/>
        <v>85</v>
      </c>
      <c r="J269" s="130">
        <v>500</v>
      </c>
      <c r="K269" s="130">
        <f t="shared" si="56"/>
        <v>100</v>
      </c>
      <c r="L269" s="3">
        <f t="shared" si="80"/>
        <v>51200</v>
      </c>
      <c r="M269" s="3">
        <f t="shared" si="81"/>
        <v>39.0625</v>
      </c>
      <c r="N269" s="4">
        <v>0</v>
      </c>
      <c r="O269" s="4"/>
      <c r="P269" s="3">
        <v>0</v>
      </c>
      <c r="Q269" s="3">
        <v>0</v>
      </c>
      <c r="R269" s="3">
        <v>0</v>
      </c>
      <c r="S269" s="3">
        <v>4</v>
      </c>
      <c r="T269" s="3">
        <f t="shared" si="57"/>
        <v>80</v>
      </c>
      <c r="U269" s="4">
        <v>607001</v>
      </c>
      <c r="V269" s="4" t="s">
        <v>30</v>
      </c>
      <c r="W269" s="3">
        <f t="shared" si="88"/>
        <v>20000</v>
      </c>
      <c r="X269" s="3">
        <f t="shared" si="88"/>
        <v>416002</v>
      </c>
      <c r="Y269" s="3" t="str">
        <f t="shared" si="88"/>
        <v>四轮马车</v>
      </c>
      <c r="Z269" s="3">
        <f t="shared" si="88"/>
        <v>50</v>
      </c>
      <c r="AA269" s="4">
        <f t="shared" si="88"/>
        <v>403002</v>
      </c>
      <c r="AB269" s="138" t="str">
        <f t="shared" si="88"/>
        <v>优质工具</v>
      </c>
      <c r="AC269" s="3">
        <f t="shared" si="88"/>
        <v>1000</v>
      </c>
    </row>
    <row r="270" spans="1:29" x14ac:dyDescent="0.15">
      <c r="A270" s="3">
        <v>105704</v>
      </c>
      <c r="B270" s="3"/>
      <c r="C270" s="3">
        <v>0</v>
      </c>
      <c r="D270" s="3">
        <v>5</v>
      </c>
      <c r="E270" s="74">
        <v>616001</v>
      </c>
      <c r="F270" s="74" t="s">
        <v>68</v>
      </c>
      <c r="G270" s="3">
        <v>5000</v>
      </c>
      <c r="H270" s="134">
        <f>VLOOKUP(E270,[1]stuff!$A:$C,3,FALSE)</f>
        <v>2</v>
      </c>
      <c r="I270" s="130">
        <f t="shared" si="87"/>
        <v>80</v>
      </c>
      <c r="J270" s="130">
        <v>600</v>
      </c>
      <c r="K270" s="130">
        <f t="shared" si="56"/>
        <v>120</v>
      </c>
      <c r="L270" s="3">
        <f t="shared" si="80"/>
        <v>62000</v>
      </c>
      <c r="M270" s="3">
        <f t="shared" si="81"/>
        <v>80.645161290322577</v>
      </c>
      <c r="N270" s="4">
        <v>0</v>
      </c>
      <c r="O270" s="4"/>
      <c r="P270" s="3">
        <v>0</v>
      </c>
      <c r="Q270" s="3">
        <v>0</v>
      </c>
      <c r="R270" s="3">
        <v>0</v>
      </c>
      <c r="S270" s="3">
        <v>6</v>
      </c>
      <c r="T270" s="3">
        <f t="shared" si="57"/>
        <v>120</v>
      </c>
      <c r="U270" s="4">
        <v>607001</v>
      </c>
      <c r="V270" s="4" t="s">
        <v>30</v>
      </c>
      <c r="W270" s="3">
        <f t="shared" si="88"/>
        <v>50000</v>
      </c>
      <c r="X270" s="3">
        <f t="shared" si="88"/>
        <v>416002</v>
      </c>
      <c r="Y270" s="3" t="str">
        <f t="shared" si="88"/>
        <v>四轮马车</v>
      </c>
      <c r="Z270" s="3">
        <f t="shared" si="88"/>
        <v>50</v>
      </c>
      <c r="AA270" s="4">
        <f t="shared" si="88"/>
        <v>403002</v>
      </c>
      <c r="AB270" s="138" t="str">
        <f t="shared" si="88"/>
        <v>优质工具</v>
      </c>
      <c r="AC270" s="3">
        <f t="shared" si="88"/>
        <v>2000</v>
      </c>
    </row>
    <row r="271" spans="1:29" x14ac:dyDescent="0.15">
      <c r="A271" s="3">
        <v>105800</v>
      </c>
      <c r="B271" s="3"/>
      <c r="C271" s="3">
        <v>105801</v>
      </c>
      <c r="D271" s="3">
        <v>1</v>
      </c>
      <c r="E271" s="75">
        <v>616003</v>
      </c>
      <c r="F271" s="75" t="s">
        <v>57</v>
      </c>
      <c r="G271" s="3">
        <v>500</v>
      </c>
      <c r="H271" s="134">
        <f>VLOOKUP(E271,[1]stuff!$A:$C,3,FALSE)</f>
        <v>2</v>
      </c>
      <c r="I271" s="130">
        <f t="shared" si="87"/>
        <v>95</v>
      </c>
      <c r="J271" s="130">
        <v>100</v>
      </c>
      <c r="K271" s="130">
        <f t="shared" si="56"/>
        <v>20</v>
      </c>
      <c r="L271" s="3">
        <f t="shared" si="80"/>
        <v>10050</v>
      </c>
      <c r="M271" s="3">
        <f t="shared" si="81"/>
        <v>19.900497512437809</v>
      </c>
      <c r="N271" s="4">
        <v>0</v>
      </c>
      <c r="O271" s="4"/>
      <c r="P271" s="3">
        <v>0</v>
      </c>
      <c r="Q271" s="3">
        <v>0</v>
      </c>
      <c r="R271" s="3">
        <v>0</v>
      </c>
      <c r="S271" s="3">
        <v>1</v>
      </c>
      <c r="T271" s="3">
        <f t="shared" si="57"/>
        <v>20</v>
      </c>
      <c r="U271" s="4">
        <v>607001</v>
      </c>
      <c r="V271" s="4" t="s">
        <v>30</v>
      </c>
      <c r="W271" s="3">
        <f t="shared" si="88"/>
        <v>2000</v>
      </c>
      <c r="X271" s="3">
        <f t="shared" si="88"/>
        <v>416001</v>
      </c>
      <c r="Y271" s="3" t="str">
        <f t="shared" si="88"/>
        <v>两轮马车</v>
      </c>
      <c r="Z271" s="3">
        <f t="shared" si="88"/>
        <v>20</v>
      </c>
      <c r="AA271" s="4">
        <f t="shared" si="88"/>
        <v>403002</v>
      </c>
      <c r="AB271" s="138" t="str">
        <f t="shared" si="88"/>
        <v>优质工具</v>
      </c>
      <c r="AC271" s="3">
        <f t="shared" si="88"/>
        <v>200</v>
      </c>
    </row>
    <row r="272" spans="1:29" x14ac:dyDescent="0.15">
      <c r="A272" s="3">
        <v>105801</v>
      </c>
      <c r="B272" s="3"/>
      <c r="C272" s="3">
        <v>105802</v>
      </c>
      <c r="D272" s="3">
        <v>2</v>
      </c>
      <c r="E272" s="76">
        <v>616003</v>
      </c>
      <c r="F272" s="76" t="s">
        <v>57</v>
      </c>
      <c r="G272" s="3">
        <v>1000</v>
      </c>
      <c r="H272" s="134">
        <f>VLOOKUP(E272,[1]stuff!$A:$C,3,FALSE)</f>
        <v>2</v>
      </c>
      <c r="I272" s="130">
        <f t="shared" si="87"/>
        <v>90</v>
      </c>
      <c r="J272" s="130">
        <v>150</v>
      </c>
      <c r="K272" s="130">
        <f t="shared" si="56"/>
        <v>30</v>
      </c>
      <c r="L272" s="3">
        <f t="shared" si="80"/>
        <v>15200</v>
      </c>
      <c r="M272" s="3">
        <f t="shared" si="81"/>
        <v>32.89473684210526</v>
      </c>
      <c r="N272" s="4">
        <v>0</v>
      </c>
      <c r="O272" s="4"/>
      <c r="P272" s="3">
        <v>0</v>
      </c>
      <c r="Q272" s="3">
        <v>0</v>
      </c>
      <c r="R272" s="3">
        <v>0</v>
      </c>
      <c r="S272" s="3">
        <v>2</v>
      </c>
      <c r="T272" s="3">
        <f t="shared" si="57"/>
        <v>40</v>
      </c>
      <c r="U272" s="4">
        <v>607001</v>
      </c>
      <c r="V272" s="4" t="s">
        <v>30</v>
      </c>
      <c r="W272" s="3">
        <f t="shared" si="88"/>
        <v>5000</v>
      </c>
      <c r="X272" s="3">
        <f t="shared" si="88"/>
        <v>416001</v>
      </c>
      <c r="Y272" s="3" t="str">
        <f t="shared" si="88"/>
        <v>两轮马车</v>
      </c>
      <c r="Z272" s="3">
        <f t="shared" si="88"/>
        <v>30</v>
      </c>
      <c r="AA272" s="4">
        <f t="shared" si="88"/>
        <v>403002</v>
      </c>
      <c r="AB272" s="138" t="str">
        <f t="shared" si="88"/>
        <v>优质工具</v>
      </c>
      <c r="AC272" s="3">
        <f t="shared" si="88"/>
        <v>500</v>
      </c>
    </row>
    <row r="273" spans="1:29" x14ac:dyDescent="0.15">
      <c r="A273" s="3">
        <v>105802</v>
      </c>
      <c r="B273" s="3"/>
      <c r="C273" s="3">
        <v>105803</v>
      </c>
      <c r="D273" s="3">
        <v>3</v>
      </c>
      <c r="E273" s="77">
        <v>616003</v>
      </c>
      <c r="F273" s="77" t="s">
        <v>57</v>
      </c>
      <c r="G273" s="3">
        <v>1500</v>
      </c>
      <c r="H273" s="134">
        <f>VLOOKUP(E273,[1]stuff!$A:$C,3,FALSE)</f>
        <v>2</v>
      </c>
      <c r="I273" s="130">
        <f t="shared" si="87"/>
        <v>85</v>
      </c>
      <c r="J273" s="130">
        <v>200</v>
      </c>
      <c r="K273" s="130">
        <f t="shared" si="56"/>
        <v>40</v>
      </c>
      <c r="L273" s="3">
        <f t="shared" si="80"/>
        <v>20450</v>
      </c>
      <c r="M273" s="3">
        <f t="shared" si="81"/>
        <v>48.899755501222494</v>
      </c>
      <c r="N273" s="4">
        <v>0</v>
      </c>
      <c r="O273" s="4"/>
      <c r="P273" s="3">
        <v>0</v>
      </c>
      <c r="Q273" s="3">
        <v>0</v>
      </c>
      <c r="R273" s="3">
        <v>0</v>
      </c>
      <c r="S273" s="3">
        <v>3</v>
      </c>
      <c r="T273" s="3">
        <f t="shared" si="57"/>
        <v>60</v>
      </c>
      <c r="U273" s="4">
        <v>607001</v>
      </c>
      <c r="V273" s="4" t="s">
        <v>30</v>
      </c>
      <c r="W273" s="3">
        <f t="shared" si="88"/>
        <v>10000</v>
      </c>
      <c r="X273" s="3">
        <f t="shared" si="88"/>
        <v>416001</v>
      </c>
      <c r="Y273" s="3" t="str">
        <f t="shared" si="88"/>
        <v>两轮马车</v>
      </c>
      <c r="Z273" s="3">
        <f t="shared" si="88"/>
        <v>40</v>
      </c>
      <c r="AA273" s="4">
        <f t="shared" si="88"/>
        <v>403002</v>
      </c>
      <c r="AB273" s="138" t="str">
        <f t="shared" si="88"/>
        <v>优质工具</v>
      </c>
      <c r="AC273" s="3">
        <f t="shared" si="88"/>
        <v>1000</v>
      </c>
    </row>
    <row r="274" spans="1:29" x14ac:dyDescent="0.15">
      <c r="A274" s="3">
        <v>105803</v>
      </c>
      <c r="B274" s="3"/>
      <c r="C274" s="3">
        <v>105804</v>
      </c>
      <c r="D274" s="3">
        <v>4</v>
      </c>
      <c r="E274" s="78">
        <v>616003</v>
      </c>
      <c r="F274" s="78" t="s">
        <v>57</v>
      </c>
      <c r="G274" s="3">
        <v>2000</v>
      </c>
      <c r="H274" s="134">
        <f>VLOOKUP(E274,[1]stuff!$A:$C,3,FALSE)</f>
        <v>2</v>
      </c>
      <c r="I274" s="130">
        <f t="shared" si="87"/>
        <v>85</v>
      </c>
      <c r="J274" s="130">
        <v>250</v>
      </c>
      <c r="K274" s="130">
        <f t="shared" si="56"/>
        <v>50</v>
      </c>
      <c r="L274" s="3">
        <f t="shared" si="80"/>
        <v>25600</v>
      </c>
      <c r="M274" s="3">
        <f t="shared" si="81"/>
        <v>78.125</v>
      </c>
      <c r="N274" s="4">
        <v>0</v>
      </c>
      <c r="O274" s="4"/>
      <c r="P274" s="3">
        <v>0</v>
      </c>
      <c r="Q274" s="3">
        <v>0</v>
      </c>
      <c r="R274" s="3">
        <v>0</v>
      </c>
      <c r="S274" s="3">
        <v>4</v>
      </c>
      <c r="T274" s="3">
        <f t="shared" si="57"/>
        <v>80</v>
      </c>
      <c r="U274" s="4">
        <v>607001</v>
      </c>
      <c r="V274" s="4" t="s">
        <v>30</v>
      </c>
      <c r="W274" s="3">
        <f t="shared" si="88"/>
        <v>20000</v>
      </c>
      <c r="X274" s="3">
        <f t="shared" si="88"/>
        <v>416002</v>
      </c>
      <c r="Y274" s="3" t="str">
        <f t="shared" si="88"/>
        <v>四轮马车</v>
      </c>
      <c r="Z274" s="3">
        <f t="shared" si="88"/>
        <v>50</v>
      </c>
      <c r="AA274" s="4">
        <f t="shared" si="88"/>
        <v>403002</v>
      </c>
      <c r="AB274" s="138" t="str">
        <f t="shared" si="88"/>
        <v>优质工具</v>
      </c>
      <c r="AC274" s="3">
        <f t="shared" si="88"/>
        <v>1000</v>
      </c>
    </row>
    <row r="275" spans="1:29" x14ac:dyDescent="0.15">
      <c r="A275" s="3">
        <v>105804</v>
      </c>
      <c r="B275" s="3"/>
      <c r="C275" s="3">
        <v>0</v>
      </c>
      <c r="D275" s="3">
        <v>5</v>
      </c>
      <c r="E275" s="79">
        <v>616003</v>
      </c>
      <c r="F275" s="79" t="s">
        <v>57</v>
      </c>
      <c r="G275" s="3">
        <v>2500</v>
      </c>
      <c r="H275" s="134">
        <f>VLOOKUP(E275,[1]stuff!$A:$C,3,FALSE)</f>
        <v>2</v>
      </c>
      <c r="I275" s="130">
        <f t="shared" si="87"/>
        <v>80</v>
      </c>
      <c r="J275" s="130">
        <v>300</v>
      </c>
      <c r="K275" s="130">
        <f t="shared" ref="K275:K290" si="89">J275*0.2</f>
        <v>60</v>
      </c>
      <c r="L275" s="3">
        <f t="shared" si="80"/>
        <v>31000</v>
      </c>
      <c r="M275" s="3">
        <f t="shared" si="81"/>
        <v>161.29032258064515</v>
      </c>
      <c r="N275" s="4">
        <v>0</v>
      </c>
      <c r="O275" s="4"/>
      <c r="P275" s="3">
        <v>0</v>
      </c>
      <c r="Q275" s="3">
        <v>0</v>
      </c>
      <c r="R275" s="3">
        <v>0</v>
      </c>
      <c r="S275" s="3">
        <v>6</v>
      </c>
      <c r="T275" s="3">
        <f t="shared" ref="T275:T290" si="90">S275*20</f>
        <v>120</v>
      </c>
      <c r="U275" s="4">
        <v>607001</v>
      </c>
      <c r="V275" s="4" t="s">
        <v>30</v>
      </c>
      <c r="W275" s="3">
        <f t="shared" si="88"/>
        <v>50000</v>
      </c>
      <c r="X275" s="3">
        <f t="shared" si="88"/>
        <v>416002</v>
      </c>
      <c r="Y275" s="3" t="str">
        <f t="shared" si="88"/>
        <v>四轮马车</v>
      </c>
      <c r="Z275" s="3">
        <f t="shared" si="88"/>
        <v>50</v>
      </c>
      <c r="AA275" s="4">
        <f t="shared" si="88"/>
        <v>403002</v>
      </c>
      <c r="AB275" s="138" t="str">
        <f t="shared" si="88"/>
        <v>优质工具</v>
      </c>
      <c r="AC275" s="3">
        <f t="shared" si="88"/>
        <v>2000</v>
      </c>
    </row>
    <row r="276" spans="1:29" s="102" customFormat="1" x14ac:dyDescent="0.15">
      <c r="A276" s="100">
        <v>105900</v>
      </c>
      <c r="B276" s="100"/>
      <c r="C276" s="100">
        <v>105901</v>
      </c>
      <c r="D276" s="100">
        <v>1</v>
      </c>
      <c r="E276" s="75">
        <v>616003</v>
      </c>
      <c r="F276" s="75" t="s">
        <v>57</v>
      </c>
      <c r="G276" s="3">
        <v>500</v>
      </c>
      <c r="H276" s="134">
        <f>VLOOKUP(E276,[1]stuff!$A:$C,3,FALSE)</f>
        <v>2</v>
      </c>
      <c r="I276" s="130">
        <f t="shared" si="87"/>
        <v>95</v>
      </c>
      <c r="J276" s="130">
        <v>200</v>
      </c>
      <c r="K276" s="130">
        <f t="shared" si="89"/>
        <v>40</v>
      </c>
      <c r="L276" s="3">
        <f t="shared" si="80"/>
        <v>20050</v>
      </c>
      <c r="M276" s="3">
        <f t="shared" si="81"/>
        <v>9.9750623441396513</v>
      </c>
      <c r="N276" s="101">
        <v>202892</v>
      </c>
      <c r="O276" s="101" t="s">
        <v>77</v>
      </c>
      <c r="P276" s="100">
        <v>30</v>
      </c>
      <c r="Q276" s="100">
        <v>5</v>
      </c>
      <c r="R276" s="100">
        <v>15</v>
      </c>
      <c r="S276" s="3">
        <v>1</v>
      </c>
      <c r="T276" s="3">
        <f t="shared" si="90"/>
        <v>20</v>
      </c>
      <c r="U276" s="101">
        <v>607001</v>
      </c>
      <c r="V276" s="101" t="s">
        <v>30</v>
      </c>
      <c r="W276" s="3">
        <f t="shared" si="88"/>
        <v>2000</v>
      </c>
      <c r="X276" s="3">
        <f t="shared" si="88"/>
        <v>416001</v>
      </c>
      <c r="Y276" s="3" t="str">
        <f t="shared" si="88"/>
        <v>两轮马车</v>
      </c>
      <c r="Z276" s="3">
        <f t="shared" si="88"/>
        <v>20</v>
      </c>
      <c r="AA276" s="4">
        <f t="shared" si="88"/>
        <v>403002</v>
      </c>
      <c r="AB276" s="138" t="str">
        <f t="shared" si="88"/>
        <v>优质工具</v>
      </c>
      <c r="AC276" s="3">
        <f t="shared" si="88"/>
        <v>200</v>
      </c>
    </row>
    <row r="277" spans="1:29" s="102" customFormat="1" x14ac:dyDescent="0.15">
      <c r="A277" s="100">
        <v>105901</v>
      </c>
      <c r="B277" s="100"/>
      <c r="C277" s="100">
        <v>105902</v>
      </c>
      <c r="D277" s="100">
        <v>2</v>
      </c>
      <c r="E277" s="76">
        <v>616003</v>
      </c>
      <c r="F277" s="76" t="s">
        <v>57</v>
      </c>
      <c r="G277" s="3">
        <v>1000</v>
      </c>
      <c r="H277" s="134">
        <f>VLOOKUP(E277,[1]stuff!$A:$C,3,FALSE)</f>
        <v>2</v>
      </c>
      <c r="I277" s="130">
        <f t="shared" si="87"/>
        <v>90</v>
      </c>
      <c r="J277" s="130">
        <v>400</v>
      </c>
      <c r="K277" s="130">
        <f t="shared" si="89"/>
        <v>80</v>
      </c>
      <c r="L277" s="3">
        <f t="shared" si="80"/>
        <v>40200</v>
      </c>
      <c r="M277" s="3">
        <f t="shared" si="81"/>
        <v>12.437810945273633</v>
      </c>
      <c r="N277" s="101">
        <v>202892</v>
      </c>
      <c r="O277" s="101" t="s">
        <v>77</v>
      </c>
      <c r="P277" s="100">
        <v>40</v>
      </c>
      <c r="Q277" s="100">
        <v>6</v>
      </c>
      <c r="R277" s="100">
        <v>40</v>
      </c>
      <c r="S277" s="3">
        <v>2</v>
      </c>
      <c r="T277" s="3">
        <f t="shared" si="90"/>
        <v>40</v>
      </c>
      <c r="U277" s="101">
        <v>607001</v>
      </c>
      <c r="V277" s="101" t="s">
        <v>30</v>
      </c>
      <c r="W277" s="3">
        <f t="shared" si="88"/>
        <v>5000</v>
      </c>
      <c r="X277" s="3">
        <f t="shared" si="88"/>
        <v>416001</v>
      </c>
      <c r="Y277" s="3" t="str">
        <f t="shared" si="88"/>
        <v>两轮马车</v>
      </c>
      <c r="Z277" s="3">
        <f t="shared" si="88"/>
        <v>30</v>
      </c>
      <c r="AA277" s="4">
        <f t="shared" si="88"/>
        <v>403002</v>
      </c>
      <c r="AB277" s="138" t="str">
        <f t="shared" si="88"/>
        <v>优质工具</v>
      </c>
      <c r="AC277" s="3">
        <f t="shared" si="88"/>
        <v>500</v>
      </c>
    </row>
    <row r="278" spans="1:29" s="102" customFormat="1" x14ac:dyDescent="0.15">
      <c r="A278" s="100">
        <v>105902</v>
      </c>
      <c r="B278" s="100"/>
      <c r="C278" s="100">
        <v>105903</v>
      </c>
      <c r="D278" s="100">
        <v>3</v>
      </c>
      <c r="E278" s="75">
        <v>616003</v>
      </c>
      <c r="F278" s="75" t="s">
        <v>57</v>
      </c>
      <c r="G278" s="3">
        <v>1500</v>
      </c>
      <c r="H278" s="134">
        <f>VLOOKUP(E278,[1]stuff!$A:$C,3,FALSE)</f>
        <v>2</v>
      </c>
      <c r="I278" s="130">
        <f t="shared" si="87"/>
        <v>85</v>
      </c>
      <c r="J278" s="130">
        <v>600</v>
      </c>
      <c r="K278" s="130">
        <f t="shared" si="89"/>
        <v>120</v>
      </c>
      <c r="L278" s="3">
        <f t="shared" si="80"/>
        <v>60450</v>
      </c>
      <c r="M278" s="3">
        <f t="shared" si="81"/>
        <v>16.542597187758478</v>
      </c>
      <c r="N278" s="101">
        <v>202892</v>
      </c>
      <c r="O278" s="101" t="s">
        <v>77</v>
      </c>
      <c r="P278" s="100">
        <v>50</v>
      </c>
      <c r="Q278" s="100">
        <v>7</v>
      </c>
      <c r="R278" s="100">
        <v>90</v>
      </c>
      <c r="S278" s="3">
        <v>3</v>
      </c>
      <c r="T278" s="3">
        <f t="shared" si="90"/>
        <v>60</v>
      </c>
      <c r="U278" s="101">
        <v>607001</v>
      </c>
      <c r="V278" s="101" t="s">
        <v>30</v>
      </c>
      <c r="W278" s="3">
        <f t="shared" si="88"/>
        <v>10000</v>
      </c>
      <c r="X278" s="3">
        <f t="shared" si="88"/>
        <v>416001</v>
      </c>
      <c r="Y278" s="3" t="str">
        <f t="shared" si="88"/>
        <v>两轮马车</v>
      </c>
      <c r="Z278" s="3">
        <f t="shared" si="88"/>
        <v>40</v>
      </c>
      <c r="AA278" s="4">
        <f t="shared" si="88"/>
        <v>403002</v>
      </c>
      <c r="AB278" s="138" t="str">
        <f t="shared" si="88"/>
        <v>优质工具</v>
      </c>
      <c r="AC278" s="3">
        <f t="shared" si="88"/>
        <v>1000</v>
      </c>
    </row>
    <row r="279" spans="1:29" s="102" customFormat="1" x14ac:dyDescent="0.15">
      <c r="A279" s="100">
        <v>105903</v>
      </c>
      <c r="B279" s="100"/>
      <c r="C279" s="100">
        <v>105904</v>
      </c>
      <c r="D279" s="100">
        <v>4</v>
      </c>
      <c r="E279" s="76">
        <v>616003</v>
      </c>
      <c r="F279" s="76" t="s">
        <v>57</v>
      </c>
      <c r="G279" s="3">
        <v>2000</v>
      </c>
      <c r="H279" s="134">
        <f>VLOOKUP(E279,[1]stuff!$A:$C,3,FALSE)</f>
        <v>2</v>
      </c>
      <c r="I279" s="130">
        <f t="shared" si="87"/>
        <v>85</v>
      </c>
      <c r="J279" s="130">
        <v>800</v>
      </c>
      <c r="K279" s="130">
        <f t="shared" si="89"/>
        <v>160</v>
      </c>
      <c r="L279" s="3">
        <f t="shared" si="80"/>
        <v>80600</v>
      </c>
      <c r="M279" s="3">
        <f t="shared" si="81"/>
        <v>24.813895781637719</v>
      </c>
      <c r="N279" s="101">
        <v>202892</v>
      </c>
      <c r="O279" s="101" t="s">
        <v>77</v>
      </c>
      <c r="P279" s="100">
        <v>60</v>
      </c>
      <c r="Q279" s="100">
        <v>8</v>
      </c>
      <c r="R279" s="100">
        <v>160</v>
      </c>
      <c r="S279" s="3">
        <v>4</v>
      </c>
      <c r="T279" s="3">
        <f t="shared" si="90"/>
        <v>80</v>
      </c>
      <c r="U279" s="101">
        <v>607001</v>
      </c>
      <c r="V279" s="101" t="s">
        <v>30</v>
      </c>
      <c r="W279" s="3">
        <f t="shared" si="88"/>
        <v>20000</v>
      </c>
      <c r="X279" s="3">
        <f t="shared" si="88"/>
        <v>416002</v>
      </c>
      <c r="Y279" s="3" t="str">
        <f t="shared" si="88"/>
        <v>四轮马车</v>
      </c>
      <c r="Z279" s="3">
        <f t="shared" si="88"/>
        <v>50</v>
      </c>
      <c r="AA279" s="4">
        <f t="shared" si="88"/>
        <v>403002</v>
      </c>
      <c r="AB279" s="138" t="str">
        <f t="shared" si="88"/>
        <v>优质工具</v>
      </c>
      <c r="AC279" s="3">
        <f t="shared" si="88"/>
        <v>1000</v>
      </c>
    </row>
    <row r="280" spans="1:29" s="102" customFormat="1" x14ac:dyDescent="0.15">
      <c r="A280" s="100">
        <v>105904</v>
      </c>
      <c r="B280" s="100"/>
      <c r="C280" s="100">
        <v>0</v>
      </c>
      <c r="D280" s="100">
        <v>5</v>
      </c>
      <c r="E280" s="75">
        <v>616003</v>
      </c>
      <c r="F280" s="75" t="s">
        <v>57</v>
      </c>
      <c r="G280" s="3">
        <v>2500</v>
      </c>
      <c r="H280" s="134">
        <f>VLOOKUP(E280,[1]stuff!$A:$C,3,FALSE)</f>
        <v>2</v>
      </c>
      <c r="I280" s="130">
        <f t="shared" si="87"/>
        <v>80</v>
      </c>
      <c r="J280" s="130">
        <v>1000</v>
      </c>
      <c r="K280" s="130">
        <f t="shared" si="89"/>
        <v>200</v>
      </c>
      <c r="L280" s="3">
        <f t="shared" si="80"/>
        <v>101000</v>
      </c>
      <c r="M280" s="3">
        <f t="shared" si="81"/>
        <v>49.504950495049506</v>
      </c>
      <c r="N280" s="101">
        <v>202892</v>
      </c>
      <c r="O280" s="101" t="s">
        <v>77</v>
      </c>
      <c r="P280" s="100">
        <v>70</v>
      </c>
      <c r="Q280" s="100">
        <v>9</v>
      </c>
      <c r="R280" s="100">
        <v>320</v>
      </c>
      <c r="S280" s="3">
        <v>6</v>
      </c>
      <c r="T280" s="3">
        <f t="shared" si="90"/>
        <v>120</v>
      </c>
      <c r="U280" s="101">
        <v>607001</v>
      </c>
      <c r="V280" s="101" t="s">
        <v>30</v>
      </c>
      <c r="W280" s="3">
        <f t="shared" si="88"/>
        <v>50000</v>
      </c>
      <c r="X280" s="3">
        <f t="shared" si="88"/>
        <v>416002</v>
      </c>
      <c r="Y280" s="3" t="str">
        <f t="shared" si="88"/>
        <v>四轮马车</v>
      </c>
      <c r="Z280" s="3">
        <f t="shared" si="88"/>
        <v>50</v>
      </c>
      <c r="AA280" s="4">
        <f t="shared" si="88"/>
        <v>403002</v>
      </c>
      <c r="AB280" s="138" t="str">
        <f t="shared" si="88"/>
        <v>优质工具</v>
      </c>
      <c r="AC280" s="3">
        <f t="shared" si="88"/>
        <v>2000</v>
      </c>
    </row>
    <row r="281" spans="1:29" x14ac:dyDescent="0.15">
      <c r="A281" s="135">
        <v>106300</v>
      </c>
      <c r="B281" s="136" t="s">
        <v>91</v>
      </c>
      <c r="C281" s="3">
        <v>106301</v>
      </c>
      <c r="D281" s="3">
        <v>1</v>
      </c>
      <c r="E281" s="90">
        <v>615003</v>
      </c>
      <c r="F281" s="90" t="s">
        <v>61</v>
      </c>
      <c r="G281" s="3">
        <v>1000</v>
      </c>
      <c r="H281" s="134">
        <f>VLOOKUP(E281,[1]stuff!$A:$C,3,FALSE)</f>
        <v>50</v>
      </c>
      <c r="I281" s="130">
        <f t="shared" si="87"/>
        <v>95</v>
      </c>
      <c r="J281" s="130">
        <v>200</v>
      </c>
      <c r="K281" s="130">
        <f t="shared" si="89"/>
        <v>40</v>
      </c>
      <c r="L281" s="3">
        <f t="shared" si="80"/>
        <v>22500</v>
      </c>
      <c r="M281" s="3">
        <f t="shared" si="81"/>
        <v>8.8888888888888893</v>
      </c>
      <c r="N281" s="4">
        <v>0</v>
      </c>
      <c r="O281" s="4"/>
      <c r="P281" s="3">
        <v>0</v>
      </c>
      <c r="Q281" s="3">
        <v>0</v>
      </c>
      <c r="R281" s="3">
        <v>0</v>
      </c>
      <c r="S281" s="3">
        <v>1</v>
      </c>
      <c r="T281" s="3">
        <f t="shared" si="90"/>
        <v>20</v>
      </c>
      <c r="U281" s="4">
        <v>607001</v>
      </c>
      <c r="V281" s="4" t="s">
        <v>30</v>
      </c>
      <c r="W281" s="3">
        <f t="shared" si="88"/>
        <v>2000</v>
      </c>
      <c r="X281" s="3">
        <f t="shared" si="88"/>
        <v>416001</v>
      </c>
      <c r="Y281" s="3" t="str">
        <f t="shared" si="88"/>
        <v>两轮马车</v>
      </c>
      <c r="Z281" s="3">
        <f t="shared" si="88"/>
        <v>20</v>
      </c>
      <c r="AA281" s="4">
        <f t="shared" si="88"/>
        <v>403002</v>
      </c>
      <c r="AB281" s="138" t="str">
        <f t="shared" si="88"/>
        <v>优质工具</v>
      </c>
      <c r="AC281" s="3">
        <f t="shared" si="88"/>
        <v>200</v>
      </c>
    </row>
    <row r="282" spans="1:29" x14ac:dyDescent="0.15">
      <c r="A282" s="3">
        <v>106301</v>
      </c>
      <c r="B282" s="3"/>
      <c r="C282" s="3">
        <v>106302</v>
      </c>
      <c r="D282" s="3">
        <v>2</v>
      </c>
      <c r="E282" s="91">
        <v>615003</v>
      </c>
      <c r="F282" s="91" t="s">
        <v>61</v>
      </c>
      <c r="G282" s="3">
        <v>2000</v>
      </c>
      <c r="H282" s="134">
        <f>VLOOKUP(E282,[1]stuff!$A:$C,3,FALSE)</f>
        <v>50</v>
      </c>
      <c r="I282" s="130">
        <f t="shared" si="87"/>
        <v>90</v>
      </c>
      <c r="J282" s="130">
        <v>300</v>
      </c>
      <c r="K282" s="130">
        <f t="shared" si="89"/>
        <v>60</v>
      </c>
      <c r="L282" s="3">
        <f t="shared" si="80"/>
        <v>40000</v>
      </c>
      <c r="M282" s="3">
        <f t="shared" si="81"/>
        <v>12.5</v>
      </c>
      <c r="N282" s="4">
        <v>0</v>
      </c>
      <c r="O282" s="4"/>
      <c r="P282" s="3">
        <v>0</v>
      </c>
      <c r="Q282" s="3">
        <v>0</v>
      </c>
      <c r="R282" s="3">
        <v>0</v>
      </c>
      <c r="S282" s="3">
        <v>2</v>
      </c>
      <c r="T282" s="3">
        <f t="shared" si="90"/>
        <v>40</v>
      </c>
      <c r="U282" s="4">
        <v>607001</v>
      </c>
      <c r="V282" s="4" t="s">
        <v>30</v>
      </c>
      <c r="W282" s="3">
        <f t="shared" si="88"/>
        <v>5000</v>
      </c>
      <c r="X282" s="3">
        <f t="shared" si="88"/>
        <v>416001</v>
      </c>
      <c r="Y282" s="3" t="str">
        <f t="shared" si="88"/>
        <v>两轮马车</v>
      </c>
      <c r="Z282" s="3">
        <f t="shared" si="88"/>
        <v>30</v>
      </c>
      <c r="AA282" s="4">
        <f t="shared" si="88"/>
        <v>403002</v>
      </c>
      <c r="AB282" s="138" t="str">
        <f t="shared" si="88"/>
        <v>优质工具</v>
      </c>
      <c r="AC282" s="3">
        <f t="shared" si="88"/>
        <v>500</v>
      </c>
    </row>
    <row r="283" spans="1:29" x14ac:dyDescent="0.15">
      <c r="A283" s="3">
        <v>106302</v>
      </c>
      <c r="B283" s="3"/>
      <c r="C283" s="3">
        <v>106303</v>
      </c>
      <c r="D283" s="3">
        <v>3</v>
      </c>
      <c r="E283" s="92">
        <v>615003</v>
      </c>
      <c r="F283" s="92" t="s">
        <v>61</v>
      </c>
      <c r="G283" s="3">
        <v>3000</v>
      </c>
      <c r="H283" s="134">
        <f>VLOOKUP(E283,[1]stuff!$A:$C,3,FALSE)</f>
        <v>50</v>
      </c>
      <c r="I283" s="130">
        <f t="shared" si="87"/>
        <v>85</v>
      </c>
      <c r="J283" s="130">
        <v>400</v>
      </c>
      <c r="K283" s="130">
        <f t="shared" si="89"/>
        <v>80</v>
      </c>
      <c r="L283" s="3">
        <f t="shared" si="80"/>
        <v>62500</v>
      </c>
      <c r="M283" s="3">
        <f t="shared" si="81"/>
        <v>16</v>
      </c>
      <c r="N283" s="4">
        <v>0</v>
      </c>
      <c r="O283" s="4"/>
      <c r="P283" s="3">
        <v>0</v>
      </c>
      <c r="Q283" s="3">
        <v>0</v>
      </c>
      <c r="R283" s="3">
        <v>0</v>
      </c>
      <c r="S283" s="3">
        <v>3</v>
      </c>
      <c r="T283" s="3">
        <f t="shared" si="90"/>
        <v>60</v>
      </c>
      <c r="U283" s="4">
        <v>607001</v>
      </c>
      <c r="V283" s="4" t="s">
        <v>30</v>
      </c>
      <c r="W283" s="3">
        <f t="shared" si="88"/>
        <v>10000</v>
      </c>
      <c r="X283" s="3">
        <f t="shared" si="88"/>
        <v>416001</v>
      </c>
      <c r="Y283" s="3" t="str">
        <f t="shared" si="88"/>
        <v>两轮马车</v>
      </c>
      <c r="Z283" s="3">
        <f t="shared" si="88"/>
        <v>40</v>
      </c>
      <c r="AA283" s="4">
        <f t="shared" si="88"/>
        <v>403002</v>
      </c>
      <c r="AB283" s="138" t="str">
        <f t="shared" si="88"/>
        <v>优质工具</v>
      </c>
      <c r="AC283" s="3">
        <f t="shared" si="88"/>
        <v>1000</v>
      </c>
    </row>
    <row r="284" spans="1:29" x14ac:dyDescent="0.15">
      <c r="A284" s="3">
        <v>106303</v>
      </c>
      <c r="B284" s="3"/>
      <c r="C284" s="3">
        <v>106304</v>
      </c>
      <c r="D284" s="3">
        <v>4</v>
      </c>
      <c r="E284" s="93">
        <v>615003</v>
      </c>
      <c r="F284" s="93" t="s">
        <v>61</v>
      </c>
      <c r="G284" s="3">
        <v>4000</v>
      </c>
      <c r="H284" s="134">
        <f>VLOOKUP(E284,[1]stuff!$A:$C,3,FALSE)</f>
        <v>50</v>
      </c>
      <c r="I284" s="130">
        <f t="shared" si="87"/>
        <v>85</v>
      </c>
      <c r="J284" s="130">
        <v>500</v>
      </c>
      <c r="K284" s="130">
        <f t="shared" si="89"/>
        <v>100</v>
      </c>
      <c r="L284" s="3">
        <f t="shared" si="80"/>
        <v>80000</v>
      </c>
      <c r="M284" s="3">
        <f t="shared" si="81"/>
        <v>25</v>
      </c>
      <c r="N284" s="4">
        <v>0</v>
      </c>
      <c r="O284" s="4"/>
      <c r="P284" s="3">
        <v>0</v>
      </c>
      <c r="Q284" s="3">
        <v>0</v>
      </c>
      <c r="R284" s="3">
        <v>0</v>
      </c>
      <c r="S284" s="3">
        <v>4</v>
      </c>
      <c r="T284" s="3">
        <f t="shared" si="90"/>
        <v>80</v>
      </c>
      <c r="U284" s="4">
        <v>607001</v>
      </c>
      <c r="V284" s="4" t="s">
        <v>30</v>
      </c>
      <c r="W284" s="3">
        <f t="shared" si="88"/>
        <v>20000</v>
      </c>
      <c r="X284" s="3">
        <f t="shared" si="88"/>
        <v>416002</v>
      </c>
      <c r="Y284" s="3" t="str">
        <f t="shared" si="88"/>
        <v>四轮马车</v>
      </c>
      <c r="Z284" s="3">
        <f t="shared" si="88"/>
        <v>50</v>
      </c>
      <c r="AA284" s="4">
        <f t="shared" si="88"/>
        <v>403002</v>
      </c>
      <c r="AB284" s="138" t="str">
        <f t="shared" si="88"/>
        <v>优质工具</v>
      </c>
      <c r="AC284" s="3">
        <f t="shared" si="88"/>
        <v>1000</v>
      </c>
    </row>
    <row r="285" spans="1:29" x14ac:dyDescent="0.15">
      <c r="A285" s="3">
        <v>106304</v>
      </c>
      <c r="B285" s="3"/>
      <c r="C285" s="3">
        <v>0</v>
      </c>
      <c r="D285" s="3">
        <v>5</v>
      </c>
      <c r="E285" s="94">
        <v>615003</v>
      </c>
      <c r="F285" s="94" t="s">
        <v>61</v>
      </c>
      <c r="G285" s="3">
        <v>5000</v>
      </c>
      <c r="H285" s="134">
        <f>VLOOKUP(E285,[1]stuff!$A:$C,3,FALSE)</f>
        <v>50</v>
      </c>
      <c r="I285" s="130">
        <f t="shared" si="87"/>
        <v>80</v>
      </c>
      <c r="J285" s="130">
        <v>600</v>
      </c>
      <c r="K285" s="130">
        <f t="shared" si="89"/>
        <v>120</v>
      </c>
      <c r="L285" s="3">
        <f t="shared" si="80"/>
        <v>110000</v>
      </c>
      <c r="M285" s="3">
        <f t="shared" si="81"/>
        <v>45.454545454545453</v>
      </c>
      <c r="N285" s="4">
        <v>0</v>
      </c>
      <c r="O285" s="4"/>
      <c r="P285" s="3">
        <v>0</v>
      </c>
      <c r="Q285" s="3">
        <v>0</v>
      </c>
      <c r="R285" s="3">
        <v>0</v>
      </c>
      <c r="S285" s="3">
        <v>6</v>
      </c>
      <c r="T285" s="3">
        <f t="shared" si="90"/>
        <v>120</v>
      </c>
      <c r="U285" s="4">
        <v>607001</v>
      </c>
      <c r="V285" s="4" t="s">
        <v>30</v>
      </c>
      <c r="W285" s="3">
        <f t="shared" si="88"/>
        <v>50000</v>
      </c>
      <c r="X285" s="3">
        <f t="shared" si="88"/>
        <v>416002</v>
      </c>
      <c r="Y285" s="3" t="str">
        <f t="shared" si="88"/>
        <v>四轮马车</v>
      </c>
      <c r="Z285" s="3">
        <f t="shared" si="88"/>
        <v>50</v>
      </c>
      <c r="AA285" s="4">
        <f t="shared" si="88"/>
        <v>403002</v>
      </c>
      <c r="AB285" s="138" t="str">
        <f t="shared" si="88"/>
        <v>优质工具</v>
      </c>
      <c r="AC285" s="3">
        <f t="shared" si="88"/>
        <v>2000</v>
      </c>
    </row>
    <row r="286" spans="1:29" x14ac:dyDescent="0.15">
      <c r="A286" s="135">
        <v>107200</v>
      </c>
      <c r="B286" s="136" t="s">
        <v>91</v>
      </c>
      <c r="C286" s="3">
        <v>107201</v>
      </c>
      <c r="D286" s="3">
        <v>1</v>
      </c>
      <c r="E286" s="95">
        <v>304001</v>
      </c>
      <c r="F286" s="95" t="s">
        <v>46</v>
      </c>
      <c r="G286" s="3">
        <v>2000</v>
      </c>
      <c r="H286" s="134">
        <f>VLOOKUP(E286,[1]stuff!$A:$C,3,FALSE)</f>
        <v>2</v>
      </c>
      <c r="I286" s="130">
        <f t="shared" si="87"/>
        <v>95</v>
      </c>
      <c r="J286" s="130">
        <v>200</v>
      </c>
      <c r="K286" s="130">
        <f t="shared" si="89"/>
        <v>40</v>
      </c>
      <c r="L286" s="3">
        <f t="shared" si="80"/>
        <v>20200</v>
      </c>
      <c r="M286" s="3">
        <f t="shared" si="81"/>
        <v>9.9009900990099009</v>
      </c>
      <c r="N286" s="4">
        <v>0</v>
      </c>
      <c r="O286" s="4"/>
      <c r="P286" s="3">
        <v>0</v>
      </c>
      <c r="Q286" s="3">
        <v>0</v>
      </c>
      <c r="R286" s="3">
        <v>0</v>
      </c>
      <c r="S286" s="3">
        <v>1</v>
      </c>
      <c r="T286" s="3">
        <f t="shared" si="90"/>
        <v>20</v>
      </c>
      <c r="U286" s="4">
        <v>607001</v>
      </c>
      <c r="V286" s="4" t="s">
        <v>30</v>
      </c>
      <c r="W286" s="3">
        <f t="shared" si="88"/>
        <v>2000</v>
      </c>
      <c r="X286" s="3">
        <f t="shared" si="88"/>
        <v>416001</v>
      </c>
      <c r="Y286" s="3" t="str">
        <f t="shared" si="88"/>
        <v>两轮马车</v>
      </c>
      <c r="Z286" s="3">
        <f t="shared" si="88"/>
        <v>20</v>
      </c>
      <c r="AA286" s="4">
        <f t="shared" si="88"/>
        <v>403002</v>
      </c>
      <c r="AB286" s="138" t="str">
        <f t="shared" si="88"/>
        <v>优质工具</v>
      </c>
      <c r="AC286" s="3">
        <f t="shared" si="88"/>
        <v>200</v>
      </c>
    </row>
    <row r="287" spans="1:29" x14ac:dyDescent="0.15">
      <c r="A287" s="3">
        <v>107201</v>
      </c>
      <c r="B287" s="3"/>
      <c r="C287" s="3">
        <v>107202</v>
      </c>
      <c r="D287" s="3">
        <v>2</v>
      </c>
      <c r="E287" s="96">
        <v>304001</v>
      </c>
      <c r="F287" s="96" t="s">
        <v>46</v>
      </c>
      <c r="G287" s="3">
        <v>4000</v>
      </c>
      <c r="H287" s="134">
        <f>VLOOKUP(E287,[1]stuff!$A:$C,3,FALSE)</f>
        <v>2</v>
      </c>
      <c r="I287" s="130">
        <f t="shared" si="87"/>
        <v>90</v>
      </c>
      <c r="J287" s="130">
        <v>300</v>
      </c>
      <c r="K287" s="130">
        <f t="shared" si="89"/>
        <v>60</v>
      </c>
      <c r="L287" s="3">
        <f t="shared" si="80"/>
        <v>30800</v>
      </c>
      <c r="M287" s="3">
        <f t="shared" si="81"/>
        <v>16.233766233766232</v>
      </c>
      <c r="N287" s="4">
        <v>0</v>
      </c>
      <c r="O287" s="4"/>
      <c r="P287" s="3">
        <v>0</v>
      </c>
      <c r="Q287" s="3">
        <v>0</v>
      </c>
      <c r="R287" s="3">
        <v>0</v>
      </c>
      <c r="S287" s="3">
        <v>2</v>
      </c>
      <c r="T287" s="3">
        <f t="shared" si="90"/>
        <v>40</v>
      </c>
      <c r="U287" s="4">
        <v>607001</v>
      </c>
      <c r="V287" s="4" t="s">
        <v>30</v>
      </c>
      <c r="W287" s="3">
        <f t="shared" si="88"/>
        <v>5000</v>
      </c>
      <c r="X287" s="3">
        <f t="shared" si="88"/>
        <v>416001</v>
      </c>
      <c r="Y287" s="3" t="str">
        <f t="shared" si="88"/>
        <v>两轮马车</v>
      </c>
      <c r="Z287" s="3">
        <f t="shared" si="88"/>
        <v>30</v>
      </c>
      <c r="AA287" s="4">
        <f t="shared" si="88"/>
        <v>403002</v>
      </c>
      <c r="AB287" s="138" t="str">
        <f t="shared" si="88"/>
        <v>优质工具</v>
      </c>
      <c r="AC287" s="3">
        <f t="shared" si="88"/>
        <v>500</v>
      </c>
    </row>
    <row r="288" spans="1:29" x14ac:dyDescent="0.15">
      <c r="A288" s="3">
        <v>107202</v>
      </c>
      <c r="B288" s="3"/>
      <c r="C288" s="3">
        <v>107203</v>
      </c>
      <c r="D288" s="3">
        <v>3</v>
      </c>
      <c r="E288" s="97">
        <v>304001</v>
      </c>
      <c r="F288" s="97" t="s">
        <v>46</v>
      </c>
      <c r="G288" s="3">
        <v>6000</v>
      </c>
      <c r="H288" s="134">
        <f>VLOOKUP(E288,[1]stuff!$A:$C,3,FALSE)</f>
        <v>2</v>
      </c>
      <c r="I288" s="130">
        <f t="shared" si="87"/>
        <v>85</v>
      </c>
      <c r="J288" s="130">
        <v>400</v>
      </c>
      <c r="K288" s="130">
        <f t="shared" si="89"/>
        <v>80</v>
      </c>
      <c r="L288" s="3">
        <f t="shared" si="80"/>
        <v>41800</v>
      </c>
      <c r="M288" s="3">
        <f t="shared" si="81"/>
        <v>23.923444976076556</v>
      </c>
      <c r="N288" s="4">
        <v>0</v>
      </c>
      <c r="O288" s="4"/>
      <c r="P288" s="3">
        <v>0</v>
      </c>
      <c r="Q288" s="3">
        <v>0</v>
      </c>
      <c r="R288" s="3">
        <v>0</v>
      </c>
      <c r="S288" s="3">
        <v>3</v>
      </c>
      <c r="T288" s="3">
        <f t="shared" si="90"/>
        <v>60</v>
      </c>
      <c r="U288" s="4">
        <v>607001</v>
      </c>
      <c r="V288" s="4" t="s">
        <v>30</v>
      </c>
      <c r="W288" s="3">
        <f t="shared" si="88"/>
        <v>10000</v>
      </c>
      <c r="X288" s="3">
        <f t="shared" si="88"/>
        <v>416001</v>
      </c>
      <c r="Y288" s="3" t="str">
        <f t="shared" si="88"/>
        <v>两轮马车</v>
      </c>
      <c r="Z288" s="3">
        <f t="shared" si="88"/>
        <v>40</v>
      </c>
      <c r="AA288" s="4">
        <f t="shared" si="88"/>
        <v>403002</v>
      </c>
      <c r="AB288" s="138" t="str">
        <f t="shared" si="88"/>
        <v>优质工具</v>
      </c>
      <c r="AC288" s="3">
        <f t="shared" si="88"/>
        <v>1000</v>
      </c>
    </row>
    <row r="289" spans="1:29" x14ac:dyDescent="0.15">
      <c r="A289" s="3">
        <v>107203</v>
      </c>
      <c r="B289" s="3"/>
      <c r="C289" s="3">
        <v>107204</v>
      </c>
      <c r="D289" s="3">
        <v>4</v>
      </c>
      <c r="E289" s="98">
        <v>304001</v>
      </c>
      <c r="F289" s="98" t="s">
        <v>46</v>
      </c>
      <c r="G289" s="3">
        <v>8000</v>
      </c>
      <c r="H289" s="134">
        <f>VLOOKUP(E289,[1]stuff!$A:$C,3,FALSE)</f>
        <v>2</v>
      </c>
      <c r="I289" s="130">
        <f t="shared" si="87"/>
        <v>85</v>
      </c>
      <c r="J289" s="130">
        <v>500</v>
      </c>
      <c r="K289" s="130">
        <f t="shared" si="89"/>
        <v>100</v>
      </c>
      <c r="L289" s="3">
        <f t="shared" si="80"/>
        <v>52400</v>
      </c>
      <c r="M289" s="3">
        <f t="shared" si="81"/>
        <v>38.167938931297712</v>
      </c>
      <c r="N289" s="4">
        <v>0</v>
      </c>
      <c r="O289" s="4"/>
      <c r="P289" s="3">
        <v>0</v>
      </c>
      <c r="Q289" s="3">
        <v>0</v>
      </c>
      <c r="R289" s="3">
        <v>0</v>
      </c>
      <c r="S289" s="3">
        <v>4</v>
      </c>
      <c r="T289" s="3">
        <f t="shared" si="90"/>
        <v>80</v>
      </c>
      <c r="U289" s="4">
        <v>607001</v>
      </c>
      <c r="V289" s="4" t="s">
        <v>30</v>
      </c>
      <c r="W289" s="3">
        <f t="shared" si="88"/>
        <v>20000</v>
      </c>
      <c r="X289" s="3">
        <f t="shared" si="88"/>
        <v>416002</v>
      </c>
      <c r="Y289" s="3" t="str">
        <f t="shared" si="88"/>
        <v>四轮马车</v>
      </c>
      <c r="Z289" s="3">
        <f t="shared" si="88"/>
        <v>50</v>
      </c>
      <c r="AA289" s="4">
        <f t="shared" si="88"/>
        <v>403002</v>
      </c>
      <c r="AB289" s="138" t="str">
        <f t="shared" si="88"/>
        <v>优质工具</v>
      </c>
      <c r="AC289" s="3">
        <f t="shared" si="88"/>
        <v>1000</v>
      </c>
    </row>
    <row r="290" spans="1:29" x14ac:dyDescent="0.15">
      <c r="A290" s="3">
        <v>107204</v>
      </c>
      <c r="B290" s="3"/>
      <c r="C290" s="3">
        <v>0</v>
      </c>
      <c r="D290" s="3">
        <v>5</v>
      </c>
      <c r="E290" s="99">
        <v>304001</v>
      </c>
      <c r="F290" s="99" t="s">
        <v>46</v>
      </c>
      <c r="G290" s="3">
        <v>10000</v>
      </c>
      <c r="H290" s="134">
        <f>VLOOKUP(E290,[1]stuff!$A:$C,3,FALSE)</f>
        <v>2</v>
      </c>
      <c r="I290" s="130">
        <f t="shared" si="87"/>
        <v>80</v>
      </c>
      <c r="J290" s="130">
        <v>600</v>
      </c>
      <c r="K290" s="130">
        <f t="shared" si="89"/>
        <v>120</v>
      </c>
      <c r="L290" s="3">
        <f t="shared" si="80"/>
        <v>64000</v>
      </c>
      <c r="M290" s="3">
        <f t="shared" si="81"/>
        <v>78.125</v>
      </c>
      <c r="N290" s="4">
        <v>0</v>
      </c>
      <c r="O290" s="4"/>
      <c r="P290" s="3">
        <v>0</v>
      </c>
      <c r="Q290" s="3">
        <v>0</v>
      </c>
      <c r="R290" s="3">
        <v>0</v>
      </c>
      <c r="S290" s="3">
        <v>6</v>
      </c>
      <c r="T290" s="3">
        <f t="shared" si="90"/>
        <v>120</v>
      </c>
      <c r="U290" s="4">
        <v>607001</v>
      </c>
      <c r="V290" s="4" t="s">
        <v>30</v>
      </c>
      <c r="W290" s="3">
        <f t="shared" si="88"/>
        <v>50000</v>
      </c>
      <c r="X290" s="3">
        <f t="shared" si="88"/>
        <v>416002</v>
      </c>
      <c r="Y290" s="3" t="str">
        <f t="shared" si="88"/>
        <v>四轮马车</v>
      </c>
      <c r="Z290" s="3">
        <f t="shared" si="88"/>
        <v>50</v>
      </c>
      <c r="AA290" s="4">
        <f t="shared" si="88"/>
        <v>403002</v>
      </c>
      <c r="AB290" s="138" t="str">
        <f t="shared" si="88"/>
        <v>优质工具</v>
      </c>
      <c r="AC290" s="3">
        <f t="shared" si="88"/>
        <v>2000</v>
      </c>
    </row>
  </sheetData>
  <autoFilter ref="F1:F290" xr:uid="{00000000-0009-0000-0000-000000000000}"/>
  <phoneticPr fontId="2" type="noConversion"/>
  <pageMargins left="0.7" right="0.7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area_development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2006-09-13T11:21:00Z</dcterms:created>
  <dcterms:modified xsi:type="dcterms:W3CDTF">2025-09-14T04:46:32Z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