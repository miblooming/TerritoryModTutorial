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837C1CBF-2A52-4B65-93A6-80E56AD18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veller_group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3" i="1"/>
  <c r="P18" i="1"/>
  <c r="P11" i="1"/>
  <c r="P12" i="1"/>
  <c r="P13" i="1"/>
  <c r="P14" i="1"/>
  <c r="P15" i="1"/>
  <c r="P16" i="1"/>
  <c r="P17" i="1"/>
  <c r="P3" i="1"/>
  <c r="O4" i="1"/>
  <c r="P4" i="1" s="1"/>
  <c r="O5" i="1"/>
  <c r="P5" i="1" s="1"/>
  <c r="O6" i="1"/>
  <c r="P6" i="1" s="1"/>
  <c r="O7" i="1"/>
  <c r="P7" i="1" s="1"/>
  <c r="O8" i="1"/>
  <c r="P8" i="1" s="1"/>
  <c r="P9" i="1"/>
  <c r="P10" i="1"/>
  <c r="O13" i="1"/>
  <c r="O15" i="1"/>
  <c r="O16" i="1"/>
  <c r="O3" i="1"/>
  <c r="AW9" i="1"/>
  <c r="AW10" i="1"/>
  <c r="AW11" i="1"/>
  <c r="AW12" i="1"/>
  <c r="AW13" i="1"/>
  <c r="AW14" i="1"/>
  <c r="AW15" i="1"/>
  <c r="AW16" i="1"/>
  <c r="AW17" i="1"/>
  <c r="AW18" i="1"/>
  <c r="AW8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3" i="1"/>
  <c r="BC8" i="1" l="1"/>
  <c r="BD8" i="1" s="1"/>
  <c r="BC3" i="1"/>
  <c r="BD3" i="1" s="1"/>
  <c r="BB4" i="1"/>
  <c r="BB5" i="1"/>
  <c r="BB6" i="1"/>
  <c r="BB7" i="1"/>
  <c r="BB8" i="1"/>
  <c r="BB9" i="1"/>
  <c r="BB11" i="1"/>
  <c r="BB12" i="1"/>
  <c r="BB13" i="1"/>
  <c r="BB14" i="1"/>
  <c r="BB15" i="1"/>
  <c r="BB16" i="1"/>
  <c r="BB17" i="1"/>
  <c r="BB18" i="1"/>
  <c r="BB3" i="1"/>
  <c r="AU16" i="1" l="1"/>
  <c r="AU17" i="1" s="1"/>
  <c r="AU18" i="1" s="1"/>
  <c r="AK16" i="1"/>
  <c r="AP9" i="1"/>
  <c r="AK9" i="1"/>
  <c r="BC9" i="1" s="1"/>
  <c r="BD9" i="1" s="1"/>
  <c r="AP4" i="1"/>
  <c r="AK4" i="1"/>
  <c r="AK5" i="1" l="1"/>
  <c r="BC4" i="1"/>
  <c r="BD4" i="1" s="1"/>
  <c r="AK17" i="1"/>
  <c r="AP10" i="1"/>
  <c r="AP12" i="1" s="1"/>
  <c r="AP13" i="1" s="1"/>
  <c r="AP14" i="1" s="1"/>
  <c r="AP11" i="1"/>
  <c r="AK10" i="1"/>
  <c r="AK11" i="1"/>
  <c r="BC11" i="1" s="1"/>
  <c r="BD11" i="1" s="1"/>
  <c r="AP5" i="1"/>
  <c r="AP6" i="1" s="1"/>
  <c r="AP7" i="1" s="1"/>
  <c r="AP15" i="1"/>
  <c r="AP16" i="1" l="1"/>
  <c r="BC15" i="1"/>
  <c r="BD15" i="1" s="1"/>
  <c r="AK12" i="1"/>
  <c r="BC10" i="1"/>
  <c r="BD10" i="1" s="1"/>
  <c r="AK18" i="1"/>
  <c r="AK6" i="1"/>
  <c r="BC5" i="1"/>
  <c r="BD5" i="1" s="1"/>
  <c r="AK7" i="1" l="1"/>
  <c r="BC7" i="1" s="1"/>
  <c r="BD7" i="1" s="1"/>
  <c r="BC6" i="1"/>
  <c r="BD6" i="1" s="1"/>
  <c r="AK13" i="1"/>
  <c r="BC12" i="1"/>
  <c r="BD12" i="1" s="1"/>
  <c r="AP17" i="1"/>
  <c r="BC16" i="1"/>
  <c r="BD16" i="1" s="1"/>
  <c r="AK14" i="1" l="1"/>
  <c r="BC14" i="1" s="1"/>
  <c r="BD14" i="1" s="1"/>
  <c r="BC13" i="1"/>
  <c r="BD13" i="1" s="1"/>
  <c r="AP18" i="1"/>
  <c r="BC18" i="1" s="1"/>
  <c r="BD18" i="1" s="1"/>
  <c r="BC17" i="1"/>
  <c r="BD17" i="1" s="1"/>
</calcChain>
</file>

<file path=xl/sharedStrings.xml><?xml version="1.0" encoding="utf-8"?>
<sst xmlns="http://schemas.openxmlformats.org/spreadsheetml/2006/main" count="416" uniqueCount="199">
  <si>
    <t>id#int</t>
    <phoneticPr fontId="1" type="noConversion"/>
  </si>
  <si>
    <t>旅行队类型ID</t>
    <phoneticPr fontId="1" type="noConversion"/>
  </si>
  <si>
    <t>旅行队名称</t>
    <phoneticPr fontId="1" type="noConversion"/>
  </si>
  <si>
    <t>NPC类型</t>
    <phoneticPr fontId="1" type="noConversion"/>
  </si>
  <si>
    <t>旅客数量范围下限</t>
    <phoneticPr fontId="1" type="noConversion"/>
  </si>
  <si>
    <t>旅客数量范围上限</t>
    <phoneticPr fontId="1" type="noConversion"/>
  </si>
  <si>
    <t>traveller_count_min#int</t>
    <phoneticPr fontId="1" type="noConversion"/>
  </si>
  <si>
    <t>traveller_count_max#int</t>
    <phoneticPr fontId="1" type="noConversion"/>
  </si>
  <si>
    <t>等级</t>
    <phoneticPr fontId="1" type="noConversion"/>
  </si>
  <si>
    <t>level#int</t>
    <phoneticPr fontId="1" type="noConversion"/>
  </si>
  <si>
    <t>1</t>
    <phoneticPr fontId="1" type="noConversion"/>
  </si>
  <si>
    <t>2</t>
  </si>
  <si>
    <t>3</t>
  </si>
  <si>
    <t>4</t>
  </si>
  <si>
    <t>5</t>
  </si>
  <si>
    <t>-10</t>
    <phoneticPr fontId="1" type="noConversion"/>
  </si>
  <si>
    <t>appear_month#int</t>
    <phoneticPr fontId="1" type="noConversion"/>
  </si>
  <si>
    <t>停留时长</t>
    <phoneticPr fontId="1" type="noConversion"/>
  </si>
  <si>
    <t>stay_days#int</t>
    <phoneticPr fontId="1" type="noConversion"/>
  </si>
  <si>
    <t>-14</t>
    <phoneticPr fontId="1" type="noConversion"/>
  </si>
  <si>
    <t>4</t>
    <phoneticPr fontId="1" type="noConversion"/>
  </si>
  <si>
    <t>6</t>
  </si>
  <si>
    <t>7</t>
  </si>
  <si>
    <t>8</t>
  </si>
  <si>
    <t>出现月份(1月为0）</t>
    <phoneticPr fontId="1" type="noConversion"/>
  </si>
  <si>
    <t>5</t>
    <phoneticPr fontId="1" type="noConversion"/>
  </si>
  <si>
    <t>10</t>
  </si>
  <si>
    <t>10</t>
    <phoneticPr fontId="1" type="noConversion"/>
  </si>
  <si>
    <t>15</t>
  </si>
  <si>
    <t>20</t>
  </si>
  <si>
    <t>6</t>
    <phoneticPr fontId="1" type="noConversion"/>
  </si>
  <si>
    <t>9</t>
  </si>
  <si>
    <t>9</t>
    <phoneticPr fontId="1" type="noConversion"/>
  </si>
  <si>
    <t>12</t>
  </si>
  <si>
    <t>12</t>
    <phoneticPr fontId="1" type="noConversion"/>
  </si>
  <si>
    <t>18</t>
  </si>
  <si>
    <t>!traveller_group_name#str</t>
    <phoneticPr fontId="1" type="noConversion"/>
  </si>
  <si>
    <t>1级流浪者</t>
    <phoneticPr fontId="1" type="noConversion"/>
  </si>
  <si>
    <t>2级流浪者</t>
  </si>
  <si>
    <t>3级流浪者</t>
  </si>
  <si>
    <t>4级流浪者</t>
  </si>
  <si>
    <t>5级流浪者</t>
  </si>
  <si>
    <t>-13</t>
    <phoneticPr fontId="1" type="noConversion"/>
  </si>
  <si>
    <t>-12</t>
    <phoneticPr fontId="1" type="noConversion"/>
  </si>
  <si>
    <t>-11</t>
    <phoneticPr fontId="1" type="noConversion"/>
  </si>
  <si>
    <t>2级旅客</t>
  </si>
  <si>
    <t>3级旅客</t>
  </si>
  <si>
    <t>4级旅客</t>
  </si>
  <si>
    <t>4级寻宝者</t>
  </si>
  <si>
    <t>5级寻宝者</t>
  </si>
  <si>
    <t>4级赏金猎人</t>
  </si>
  <si>
    <t>5级赏金猎人</t>
  </si>
  <si>
    <t>2</t>
    <phoneticPr fontId="1" type="noConversion"/>
  </si>
  <si>
    <t>25</t>
  </si>
  <si>
    <t>11</t>
  </si>
  <si>
    <t>出现概率</t>
    <phoneticPr fontId="1" type="noConversion"/>
  </si>
  <si>
    <t>probability#float</t>
    <phoneticPr fontId="1" type="noConversion"/>
  </si>
  <si>
    <t>npc_type#int</t>
    <phoneticPr fontId="1" type="noConversion"/>
  </si>
  <si>
    <t>采购物品1</t>
    <phoneticPr fontId="1" type="noConversion"/>
  </si>
  <si>
    <t>数量1</t>
    <phoneticPr fontId="1" type="noConversion"/>
  </si>
  <si>
    <t>名称</t>
    <phoneticPr fontId="1" type="noConversion"/>
  </si>
  <si>
    <t>数量2</t>
    <phoneticPr fontId="1" type="noConversion"/>
  </si>
  <si>
    <t>采购物品2</t>
    <phoneticPr fontId="1" type="noConversion"/>
  </si>
  <si>
    <t>采购物品3</t>
    <phoneticPr fontId="1" type="noConversion"/>
  </si>
  <si>
    <t>数量3</t>
    <phoneticPr fontId="1" type="noConversion"/>
  </si>
  <si>
    <t>s1#int</t>
    <phoneticPr fontId="1" type="noConversion"/>
  </si>
  <si>
    <t>n1#int</t>
    <phoneticPr fontId="1" type="noConversion"/>
  </si>
  <si>
    <t>!tmp</t>
    <phoneticPr fontId="1" type="noConversion"/>
  </si>
  <si>
    <t>s2#int</t>
    <phoneticPr fontId="1" type="noConversion"/>
  </si>
  <si>
    <t>s3#int</t>
    <phoneticPr fontId="1" type="noConversion"/>
  </si>
  <si>
    <t>n3#int</t>
    <phoneticPr fontId="1" type="noConversion"/>
  </si>
  <si>
    <t>皮夹克</t>
  </si>
  <si>
    <t>羊毛衫</t>
  </si>
  <si>
    <t>保暖衣</t>
  </si>
  <si>
    <t>简单食物</t>
  </si>
  <si>
    <t>精致食物</t>
  </si>
  <si>
    <t>稀有武器</t>
  </si>
  <si>
    <t>特殊武器</t>
  </si>
  <si>
    <t>生命药水</t>
  </si>
  <si>
    <t>巧克力</t>
  </si>
  <si>
    <t>r1#int</t>
    <phoneticPr fontId="1" type="noConversion"/>
  </si>
  <si>
    <t>价格系数1</t>
    <phoneticPr fontId="1" type="noConversion"/>
  </si>
  <si>
    <t>n2#int</t>
    <phoneticPr fontId="1" type="noConversion"/>
  </si>
  <si>
    <t>r2#int</t>
    <phoneticPr fontId="1" type="noConversion"/>
  </si>
  <si>
    <t>r3#int</t>
    <phoneticPr fontId="1" type="noConversion"/>
  </si>
  <si>
    <t>价格系数3</t>
    <phoneticPr fontId="1" type="noConversion"/>
  </si>
  <si>
    <t>价格系数2</t>
    <phoneticPr fontId="1" type="noConversion"/>
  </si>
  <si>
    <t>优质工具</t>
    <phoneticPr fontId="1" type="noConversion"/>
  </si>
  <si>
    <t>silver_count#int</t>
    <phoneticPr fontId="1" type="noConversion"/>
  </si>
  <si>
    <t>极品武器</t>
    <phoneticPr fontId="1" type="noConversion"/>
  </si>
  <si>
    <t>3</t>
    <phoneticPr fontId="1" type="noConversion"/>
  </si>
  <si>
    <t>同屏旅行队数量</t>
    <phoneticPr fontId="1" type="noConversion"/>
  </si>
  <si>
    <t>traveller_group_count_max#int</t>
    <phoneticPr fontId="1" type="noConversion"/>
  </si>
  <si>
    <t>1</t>
    <phoneticPr fontId="1" type="noConversion"/>
  </si>
  <si>
    <t>2</t>
    <phoneticPr fontId="1" type="noConversion"/>
  </si>
  <si>
    <t>4</t>
    <phoneticPr fontId="1" type="noConversion"/>
  </si>
  <si>
    <t>8</t>
    <phoneticPr fontId="1" type="noConversion"/>
  </si>
  <si>
    <t>初始衣服</t>
    <phoneticPr fontId="1" type="noConversion"/>
  </si>
  <si>
    <t>init_clothes#int</t>
    <phoneticPr fontId="1" type="noConversion"/>
  </si>
  <si>
    <t>住宿费</t>
    <phoneticPr fontId="1" type="noConversion"/>
  </si>
  <si>
    <t>silver_count_of_accommodation_fee#int</t>
    <phoneticPr fontId="1" type="noConversion"/>
  </si>
  <si>
    <t>5级刺客</t>
    <phoneticPr fontId="1" type="noConversion"/>
  </si>
  <si>
    <t>3级赏金猎人</t>
    <phoneticPr fontId="1" type="noConversion"/>
  </si>
  <si>
    <t>4级刺客</t>
    <phoneticPr fontId="1" type="noConversion"/>
  </si>
  <si>
    <t>5</t>
    <phoneticPr fontId="1" type="noConversion"/>
  </si>
  <si>
    <t>10</t>
    <phoneticPr fontId="1" type="noConversion"/>
  </si>
  <si>
    <t>15</t>
    <phoneticPr fontId="1" type="noConversion"/>
  </si>
  <si>
    <t>!probability#float</t>
    <phoneticPr fontId="1" type="noConversion"/>
  </si>
  <si>
    <t>1个特性的概率</t>
    <phoneticPr fontId="1" type="noConversion"/>
  </si>
  <si>
    <t>2个特性的概率</t>
    <phoneticPr fontId="1" type="noConversion"/>
  </si>
  <si>
    <t>0.025</t>
    <phoneticPr fontId="1" type="noConversion"/>
  </si>
  <si>
    <t>rate_nature1#float</t>
    <phoneticPr fontId="1" type="noConversion"/>
  </si>
  <si>
    <t>rate_nature2#float</t>
    <phoneticPr fontId="1" type="noConversion"/>
  </si>
  <si>
    <t>50</t>
    <phoneticPr fontId="1" type="noConversion"/>
  </si>
  <si>
    <t>第二种族概率</t>
    <phoneticPr fontId="1" type="noConversion"/>
  </si>
  <si>
    <t>第二种族</t>
    <phoneticPr fontId="1" type="noConversion"/>
  </si>
  <si>
    <t>second_race_rate#float</t>
    <phoneticPr fontId="1" type="noConversion"/>
  </si>
  <si>
    <t>second_race_id#int</t>
    <phoneticPr fontId="1" type="noConversion"/>
  </si>
  <si>
    <t>!tmp</t>
    <phoneticPr fontId="1" type="noConversion"/>
  </si>
  <si>
    <t>猫人</t>
  </si>
  <si>
    <t>狼人</t>
    <phoneticPr fontId="4" type="noConversion"/>
  </si>
  <si>
    <t>羊人</t>
  </si>
  <si>
    <t>精灵族</t>
  </si>
  <si>
    <t>蜥蜴人</t>
    <phoneticPr fontId="4" type="noConversion"/>
  </si>
  <si>
    <t>0.0125</t>
    <phoneticPr fontId="1" type="noConversion"/>
  </si>
  <si>
    <r>
      <t>bounty</t>
    </r>
    <r>
      <rPr>
        <sz val="11"/>
        <color theme="1"/>
        <rFont val="宋体"/>
        <family val="3"/>
        <charset val="134"/>
        <scheme val="minor"/>
      </rPr>
      <t>_r</t>
    </r>
    <r>
      <rPr>
        <sz val="11"/>
        <color theme="1"/>
        <rFont val="宋体"/>
        <family val="3"/>
        <charset val="134"/>
        <scheme val="minor"/>
      </rPr>
      <t>ecruitment</t>
    </r>
    <r>
      <rPr>
        <sz val="11"/>
        <color theme="1"/>
        <rFont val="宋体"/>
        <family val="3"/>
        <charset val="134"/>
        <scheme val="minor"/>
      </rPr>
      <t>#int</t>
    </r>
    <phoneticPr fontId="1" type="noConversion"/>
  </si>
  <si>
    <t>0</t>
    <phoneticPr fontId="1" type="noConversion"/>
  </si>
  <si>
    <t>1</t>
    <phoneticPr fontId="1" type="noConversion"/>
  </si>
  <si>
    <t>赏金招募为战士</t>
    <phoneticPr fontId="1" type="noConversion"/>
  </si>
  <si>
    <t>士兵类型</t>
    <phoneticPr fontId="1" type="noConversion"/>
  </si>
  <si>
    <t>soldier_type_id#int</t>
    <phoneticPr fontId="1" type="noConversion"/>
  </si>
  <si>
    <t>士兵等级</t>
    <phoneticPr fontId="1" type="noConversion"/>
  </si>
  <si>
    <t>soldier_price#int</t>
    <phoneticPr fontId="1" type="noConversion"/>
  </si>
  <si>
    <t>招募费用</t>
    <phoneticPr fontId="1" type="noConversion"/>
  </si>
  <si>
    <t>7</t>
    <phoneticPr fontId="1" type="noConversion"/>
  </si>
  <si>
    <t>soldier_level#int</t>
    <phoneticPr fontId="1" type="noConversion"/>
  </si>
  <si>
    <t>soldier_type_id_of_race2#int</t>
    <phoneticPr fontId="1" type="noConversion"/>
  </si>
  <si>
    <t>0</t>
    <phoneticPr fontId="1" type="noConversion"/>
  </si>
  <si>
    <t>5级旅客</t>
    <phoneticPr fontId="1" type="noConversion"/>
  </si>
  <si>
    <t>4</t>
    <phoneticPr fontId="1" type="noConversion"/>
  </si>
  <si>
    <t>对应扑克桌</t>
    <phoneticPr fontId="1" type="noConversion"/>
  </si>
  <si>
    <r>
      <t>po</t>
    </r>
    <r>
      <rPr>
        <sz val="11"/>
        <color theme="1"/>
        <rFont val="宋体"/>
        <family val="3"/>
        <charset val="134"/>
        <scheme val="minor"/>
      </rPr>
      <t>ker_table#int</t>
    </r>
    <phoneticPr fontId="1" type="noConversion"/>
  </si>
  <si>
    <t>扑克桌娱乐最大次数</t>
    <phoneticPr fontId="1" type="noConversion"/>
  </si>
  <si>
    <t>轮盘娱乐最大次数</t>
    <phoneticPr fontId="1" type="noConversion"/>
  </si>
  <si>
    <t>play_poker_times_count#int</t>
    <phoneticPr fontId="1" type="noConversion"/>
  </si>
  <si>
    <t>play_roulette_wheel_times_count#int</t>
    <phoneticPr fontId="1" type="noConversion"/>
  </si>
  <si>
    <t>携带的白银数量</t>
    <phoneticPr fontId="1" type="noConversion"/>
  </si>
  <si>
    <t>携带的银币数量</t>
    <phoneticPr fontId="1" type="noConversion"/>
  </si>
  <si>
    <r>
      <t>silver</t>
    </r>
    <r>
      <rPr>
        <sz val="11"/>
        <color theme="1"/>
        <rFont val="宋体"/>
        <family val="3"/>
        <charset val="134"/>
        <scheme val="minor"/>
      </rPr>
      <t>_coin</t>
    </r>
    <r>
      <rPr>
        <sz val="11"/>
        <color theme="1"/>
        <rFont val="宋体"/>
        <family val="3"/>
        <charset val="134"/>
        <scheme val="minor"/>
      </rPr>
      <t>_count#int</t>
    </r>
    <phoneticPr fontId="1" type="noConversion"/>
  </si>
  <si>
    <t>可接受的浴场门票价格等级</t>
    <phoneticPr fontId="1" type="noConversion"/>
  </si>
  <si>
    <t>public_bath_price_level#int</t>
    <phoneticPr fontId="1" type="noConversion"/>
  </si>
  <si>
    <t>采购物品4</t>
    <phoneticPr fontId="1" type="noConversion"/>
  </si>
  <si>
    <t>数量4</t>
    <phoneticPr fontId="1" type="noConversion"/>
  </si>
  <si>
    <t>价格系数4</t>
    <phoneticPr fontId="1" type="noConversion"/>
  </si>
  <si>
    <t>s4#int</t>
    <phoneticPr fontId="1" type="noConversion"/>
  </si>
  <si>
    <t>n4#int</t>
    <phoneticPr fontId="1" type="noConversion"/>
  </si>
  <si>
    <t>r4#int</t>
    <phoneticPr fontId="1" type="noConversion"/>
  </si>
  <si>
    <t>巨型炸弹</t>
  </si>
  <si>
    <t>烈酒</t>
  </si>
  <si>
    <t>蜂蜜酒</t>
    <phoneticPr fontId="1" type="noConversion"/>
  </si>
  <si>
    <t>价格1</t>
    <phoneticPr fontId="1" type="noConversion"/>
  </si>
  <si>
    <t>价格2</t>
    <phoneticPr fontId="1" type="noConversion"/>
  </si>
  <si>
    <t>价格3</t>
    <phoneticPr fontId="1" type="noConversion"/>
  </si>
  <si>
    <t>价格4</t>
    <phoneticPr fontId="1" type="noConversion"/>
  </si>
  <si>
    <t>采购总价</t>
    <phoneticPr fontId="1" type="noConversion"/>
  </si>
  <si>
    <t>!tmp</t>
    <phoneticPr fontId="1" type="noConversion"/>
  </si>
  <si>
    <t>采购白银价</t>
    <phoneticPr fontId="1" type="noConversion"/>
  </si>
  <si>
    <t>0.05</t>
    <phoneticPr fontId="1" type="noConversion"/>
  </si>
  <si>
    <t>0.2</t>
    <phoneticPr fontId="1" type="noConversion"/>
  </si>
  <si>
    <t>recruit_price1#int</t>
    <phoneticPr fontId="1" type="noConversion"/>
  </si>
  <si>
    <t>recruit_price3#int</t>
  </si>
  <si>
    <t>10</t>
    <phoneticPr fontId="1" type="noConversion"/>
  </si>
  <si>
    <t>20</t>
    <phoneticPr fontId="1" type="noConversion"/>
  </si>
  <si>
    <t>25</t>
    <phoneticPr fontId="1" type="noConversion"/>
  </si>
  <si>
    <t>30</t>
    <phoneticPr fontId="1" type="noConversion"/>
  </si>
  <si>
    <t>40</t>
    <phoneticPr fontId="1" type="noConversion"/>
  </si>
  <si>
    <t>60</t>
    <phoneticPr fontId="1" type="noConversion"/>
  </si>
  <si>
    <t>30</t>
    <phoneticPr fontId="1" type="noConversion"/>
  </si>
  <si>
    <t>40</t>
    <phoneticPr fontId="1" type="noConversion"/>
  </si>
  <si>
    <t>50</t>
    <phoneticPr fontId="1" type="noConversion"/>
  </si>
  <si>
    <t>recruit_price2#int</t>
    <phoneticPr fontId="1" type="noConversion"/>
  </si>
  <si>
    <t>240</t>
    <phoneticPr fontId="1" type="noConversion"/>
  </si>
  <si>
    <t>0.03</t>
    <phoneticPr fontId="1" type="noConversion"/>
  </si>
  <si>
    <t>0.015</t>
    <phoneticPr fontId="1" type="noConversion"/>
  </si>
  <si>
    <t>0.04</t>
    <phoneticPr fontId="1" type="noConversion"/>
  </si>
  <si>
    <t>0.02</t>
    <phoneticPr fontId="1" type="noConversion"/>
  </si>
  <si>
    <t>0.06</t>
    <phoneticPr fontId="1" type="noConversion"/>
  </si>
  <si>
    <t>0.065</t>
    <phoneticPr fontId="1" type="noConversion"/>
  </si>
  <si>
    <t>0.035</t>
    <phoneticPr fontId="1" type="noConversion"/>
  </si>
  <si>
    <t>0.07</t>
    <phoneticPr fontId="1" type="noConversion"/>
  </si>
  <si>
    <t>recruit_price4#int</t>
    <phoneticPr fontId="1" type="noConversion"/>
  </si>
  <si>
    <t>recruit_price5#int</t>
    <phoneticPr fontId="1" type="noConversion"/>
  </si>
  <si>
    <t>招募价格2</t>
  </si>
  <si>
    <t>招募价格3</t>
  </si>
  <si>
    <t>招募价格4</t>
  </si>
  <si>
    <t>招募价格5</t>
  </si>
  <si>
    <t>招募价格1
有特征+1级
异族+1级</t>
    <phoneticPr fontId="1" type="noConversion"/>
  </si>
  <si>
    <t>150</t>
    <phoneticPr fontId="1" type="noConversion"/>
  </si>
  <si>
    <t>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</si>
</sst>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7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2" fillId="0" borderId="1" xfId="0" applyNumberFormat="1" applyFont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2" borderId="1" xfId="0" applyFill="1" applyBorder="1"/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vertical="center"/>
    </xf>
    <xf numFmtId="0" fontId="3" fillId="0" borderId="1" xfId="1" applyBorder="1"/>
    <xf numFmtId="0" fontId="2" fillId="0" borderId="1" xfId="0" applyNumberFormat="1" applyFont="1" applyBorder="1"/>
    <xf numFmtId="0" fontId="0" fillId="0" borderId="0" xfId="0" applyNumberFormat="1"/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Territory\&#25968;&#20540;&#34920;\1&#29289;&#21697;&#34920;.xlsx" TargetMode="External"/><Relationship Id="rId1" Type="http://schemas.openxmlformats.org/officeDocument/2006/relationships/externalLinkPath" Target="1&#29289;&#21697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ff"/>
      <sheetName val="stuff2"/>
    </sheetNames>
    <sheetDataSet>
      <sheetData sheetId="0">
        <row r="1">
          <cell r="A1" t="str">
            <v>物品ID</v>
          </cell>
          <cell r="B1" t="str">
            <v xml:space="preserve"> </v>
          </cell>
          <cell r="C1" t="str">
            <v>价格</v>
          </cell>
        </row>
        <row r="2">
          <cell r="A2" t="str">
            <v>stuff_id#int</v>
          </cell>
          <cell r="B2" t="str">
            <v>!stuff_name#str</v>
          </cell>
          <cell r="C2" t="str">
            <v>price#int</v>
          </cell>
        </row>
        <row r="3">
          <cell r="A3">
            <v>100001</v>
          </cell>
          <cell r="B3" t="str">
            <v>初始马车</v>
          </cell>
          <cell r="C3">
            <v>0</v>
          </cell>
        </row>
        <row r="4">
          <cell r="A4">
            <v>100002</v>
          </cell>
          <cell r="B4" t="str">
            <v>帝国村庄</v>
          </cell>
          <cell r="C4">
            <v>0</v>
          </cell>
        </row>
        <row r="5">
          <cell r="A5">
            <v>101001</v>
          </cell>
          <cell r="B5" t="str">
            <v>小床</v>
          </cell>
          <cell r="C5">
            <v>0</v>
          </cell>
        </row>
        <row r="6">
          <cell r="A6">
            <v>101002</v>
          </cell>
          <cell r="B6" t="str">
            <v>大床</v>
          </cell>
          <cell r="C6">
            <v>0</v>
          </cell>
        </row>
        <row r="7">
          <cell r="A7">
            <v>101003</v>
          </cell>
          <cell r="B7" t="str">
            <v>精致大床</v>
          </cell>
          <cell r="C7">
            <v>0</v>
          </cell>
        </row>
        <row r="8">
          <cell r="A8">
            <v>101004</v>
          </cell>
          <cell r="B8" t="str">
            <v>洞穴</v>
          </cell>
          <cell r="C8">
            <v>0</v>
          </cell>
        </row>
        <row r="9">
          <cell r="A9">
            <v>101005</v>
          </cell>
          <cell r="B9" t="str">
            <v>双层床</v>
          </cell>
          <cell r="C9">
            <v>0</v>
          </cell>
        </row>
        <row r="10">
          <cell r="A10">
            <v>101006</v>
          </cell>
          <cell r="B10" t="str">
            <v>精致小床</v>
          </cell>
          <cell r="C10">
            <v>0</v>
          </cell>
        </row>
        <row r="11">
          <cell r="A11">
            <v>102001</v>
          </cell>
          <cell r="B11" t="str">
            <v>土路</v>
          </cell>
          <cell r="C11">
            <v>0</v>
          </cell>
        </row>
        <row r="12">
          <cell r="A12">
            <v>102002</v>
          </cell>
          <cell r="B12" t="str">
            <v>石板路</v>
          </cell>
          <cell r="C12">
            <v>0</v>
          </cell>
        </row>
        <row r="13">
          <cell r="A13">
            <v>102003</v>
          </cell>
          <cell r="B13" t="str">
            <v>木桥</v>
          </cell>
          <cell r="C13">
            <v>0</v>
          </cell>
        </row>
        <row r="14">
          <cell r="A14">
            <v>102004</v>
          </cell>
          <cell r="B14" t="str">
            <v>山路</v>
          </cell>
          <cell r="C14">
            <v>0</v>
          </cell>
        </row>
        <row r="15">
          <cell r="A15">
            <v>102005</v>
          </cell>
          <cell r="B15" t="str">
            <v>木墙</v>
          </cell>
          <cell r="C15">
            <v>0</v>
          </cell>
        </row>
        <row r="16">
          <cell r="A16">
            <v>102006</v>
          </cell>
          <cell r="B16" t="str">
            <v>石墙</v>
          </cell>
          <cell r="C16">
            <v>0</v>
          </cell>
        </row>
        <row r="17">
          <cell r="A17">
            <v>102007</v>
          </cell>
          <cell r="B17" t="str">
            <v>门</v>
          </cell>
          <cell r="C17">
            <v>0</v>
          </cell>
        </row>
        <row r="18">
          <cell r="A18">
            <v>102008</v>
          </cell>
          <cell r="B18" t="str">
            <v>城墙</v>
          </cell>
          <cell r="C18">
            <v>0</v>
          </cell>
        </row>
        <row r="19">
          <cell r="A19">
            <v>102009</v>
          </cell>
          <cell r="B19" t="str">
            <v>城门</v>
          </cell>
          <cell r="C19">
            <v>0</v>
          </cell>
        </row>
        <row r="20">
          <cell r="A20">
            <v>102010</v>
          </cell>
          <cell r="B20" t="str">
            <v>传送门</v>
          </cell>
          <cell r="C20">
            <v>0</v>
          </cell>
        </row>
        <row r="21">
          <cell r="A21">
            <v>102011</v>
          </cell>
          <cell r="B21" t="str">
            <v>铁墙</v>
          </cell>
          <cell r="C21">
            <v>0</v>
          </cell>
        </row>
        <row r="22">
          <cell r="A22">
            <v>102012</v>
          </cell>
          <cell r="B22" t="str">
            <v>铁门</v>
          </cell>
          <cell r="C22">
            <v>0</v>
          </cell>
        </row>
        <row r="23">
          <cell r="A23">
            <v>103001</v>
          </cell>
          <cell r="B23" t="str">
            <v>大箱子</v>
          </cell>
          <cell r="C23">
            <v>0</v>
          </cell>
        </row>
        <row r="24">
          <cell r="A24">
            <v>103002</v>
          </cell>
          <cell r="B24" t="str">
            <v>料堆</v>
          </cell>
          <cell r="C24">
            <v>0</v>
          </cell>
        </row>
        <row r="25">
          <cell r="A25">
            <v>103003</v>
          </cell>
          <cell r="B25" t="str">
            <v>货架</v>
          </cell>
          <cell r="C25">
            <v>0</v>
          </cell>
        </row>
        <row r="26">
          <cell r="A26">
            <v>103004</v>
          </cell>
          <cell r="B26" t="str">
            <v>交易台</v>
          </cell>
          <cell r="C26">
            <v>0</v>
          </cell>
        </row>
        <row r="27">
          <cell r="A27">
            <v>103005</v>
          </cell>
          <cell r="B27" t="str">
            <v>边贸口岸</v>
          </cell>
          <cell r="C27">
            <v>0</v>
          </cell>
        </row>
        <row r="28">
          <cell r="A28">
            <v>103006</v>
          </cell>
          <cell r="B28" t="str">
            <v>路标</v>
          </cell>
          <cell r="C28">
            <v>0</v>
          </cell>
        </row>
        <row r="29">
          <cell r="A29">
            <v>103007</v>
          </cell>
          <cell r="B29" t="str">
            <v>冰窖</v>
          </cell>
          <cell r="C29">
            <v>0</v>
          </cell>
        </row>
        <row r="30">
          <cell r="A30">
            <v>103008</v>
          </cell>
          <cell r="B30" t="str">
            <v>周转箱</v>
          </cell>
          <cell r="C30">
            <v>0</v>
          </cell>
        </row>
        <row r="31">
          <cell r="A31">
            <v>103009</v>
          </cell>
          <cell r="B31" t="str">
            <v>冰窖</v>
          </cell>
          <cell r="C31">
            <v>0</v>
          </cell>
        </row>
        <row r="32">
          <cell r="A32">
            <v>103012</v>
          </cell>
          <cell r="B32" t="str">
            <v>马车站</v>
          </cell>
          <cell r="C32">
            <v>0</v>
          </cell>
        </row>
        <row r="33">
          <cell r="A33">
            <v>103013</v>
          </cell>
          <cell r="B33" t="str">
            <v>喂食器</v>
          </cell>
          <cell r="C33">
            <v>0</v>
          </cell>
        </row>
        <row r="34">
          <cell r="A34">
            <v>104001</v>
          </cell>
          <cell r="B34" t="str">
            <v>水井</v>
          </cell>
          <cell r="C34">
            <v>0</v>
          </cell>
        </row>
        <row r="35">
          <cell r="A35">
            <v>104002</v>
          </cell>
          <cell r="B35" t="str">
            <v>讲台</v>
          </cell>
          <cell r="C35">
            <v>0</v>
          </cell>
        </row>
        <row r="36">
          <cell r="A36">
            <v>104004</v>
          </cell>
          <cell r="B36" t="str">
            <v>布道台</v>
          </cell>
          <cell r="C36">
            <v>0</v>
          </cell>
        </row>
        <row r="37">
          <cell r="A37">
            <v>104005</v>
          </cell>
          <cell r="B37" t="str">
            <v>墓地</v>
          </cell>
          <cell r="C37">
            <v>0</v>
          </cell>
        </row>
        <row r="38">
          <cell r="A38">
            <v>104007</v>
          </cell>
          <cell r="B38" t="str">
            <v>诊断台</v>
          </cell>
          <cell r="C38">
            <v>0</v>
          </cell>
        </row>
        <row r="39">
          <cell r="A39">
            <v>104008</v>
          </cell>
          <cell r="B39" t="str">
            <v>医疗床</v>
          </cell>
          <cell r="C39">
            <v>0</v>
          </cell>
        </row>
        <row r="40">
          <cell r="A40">
            <v>104011</v>
          </cell>
          <cell r="B40" t="str">
            <v>篝火堆</v>
          </cell>
          <cell r="C40">
            <v>0</v>
          </cell>
        </row>
        <row r="41">
          <cell r="A41">
            <v>104012</v>
          </cell>
          <cell r="B41" t="str">
            <v>火把</v>
          </cell>
          <cell r="C41">
            <v>0</v>
          </cell>
        </row>
        <row r="42">
          <cell r="A42">
            <v>104013</v>
          </cell>
          <cell r="B42" t="str">
            <v>火盆</v>
          </cell>
          <cell r="C42">
            <v>0</v>
          </cell>
        </row>
        <row r="43">
          <cell r="A43">
            <v>104014</v>
          </cell>
          <cell r="B43" t="str">
            <v>壁炉</v>
          </cell>
          <cell r="C43">
            <v>0</v>
          </cell>
        </row>
        <row r="44">
          <cell r="A44">
            <v>104015</v>
          </cell>
          <cell r="B44" t="str">
            <v>椅子</v>
          </cell>
          <cell r="C44">
            <v>0</v>
          </cell>
        </row>
        <row r="45">
          <cell r="A45">
            <v>104016</v>
          </cell>
          <cell r="B45" t="str">
            <v>餐桌</v>
          </cell>
          <cell r="C45">
            <v>0</v>
          </cell>
        </row>
        <row r="46">
          <cell r="A46">
            <v>104017</v>
          </cell>
          <cell r="B46" t="str">
            <v>研究台</v>
          </cell>
          <cell r="C46">
            <v>0</v>
          </cell>
        </row>
        <row r="47">
          <cell r="A47">
            <v>104018</v>
          </cell>
          <cell r="B47" t="str">
            <v>小花盆</v>
          </cell>
          <cell r="C47">
            <v>0</v>
          </cell>
        </row>
        <row r="48">
          <cell r="A48">
            <v>104019</v>
          </cell>
          <cell r="B48" t="str">
            <v>接待台</v>
          </cell>
          <cell r="C48">
            <v>0</v>
          </cell>
        </row>
        <row r="49">
          <cell r="A49">
            <v>104020</v>
          </cell>
          <cell r="B49" t="str">
            <v>宴会桌</v>
          </cell>
          <cell r="C49">
            <v>0</v>
          </cell>
        </row>
        <row r="50">
          <cell r="A50">
            <v>104021</v>
          </cell>
          <cell r="B50" t="str">
            <v>厕所</v>
          </cell>
          <cell r="C50">
            <v>0</v>
          </cell>
        </row>
        <row r="51">
          <cell r="A51">
            <v>104022</v>
          </cell>
          <cell r="B51" t="str">
            <v>英雄纪念碑</v>
          </cell>
          <cell r="C51">
            <v>0</v>
          </cell>
        </row>
        <row r="52">
          <cell r="A52">
            <v>104023</v>
          </cell>
          <cell r="B52" t="str">
            <v>扑克桌</v>
          </cell>
          <cell r="C52">
            <v>0</v>
          </cell>
        </row>
        <row r="53">
          <cell r="A53">
            <v>104024</v>
          </cell>
          <cell r="B53" t="str">
            <v>高级扑克桌</v>
          </cell>
          <cell r="C53">
            <v>0</v>
          </cell>
        </row>
        <row r="54">
          <cell r="A54">
            <v>104025</v>
          </cell>
          <cell r="B54" t="str">
            <v>豪华扑克桌</v>
          </cell>
          <cell r="C54">
            <v>0</v>
          </cell>
        </row>
        <row r="55">
          <cell r="A55">
            <v>104026</v>
          </cell>
          <cell r="B55" t="str">
            <v>幸运轮盘</v>
          </cell>
          <cell r="C55">
            <v>0</v>
          </cell>
        </row>
        <row r="56">
          <cell r="A56">
            <v>104027</v>
          </cell>
          <cell r="B56" t="str">
            <v>公共浴场</v>
          </cell>
          <cell r="C56">
            <v>0</v>
          </cell>
        </row>
        <row r="57">
          <cell r="A57">
            <v>104028</v>
          </cell>
          <cell r="B57" t="str">
            <v>花盆</v>
          </cell>
          <cell r="C57">
            <v>0</v>
          </cell>
        </row>
        <row r="58">
          <cell r="A58">
            <v>104029</v>
          </cell>
          <cell r="B58" t="str">
            <v>灌木花盆</v>
          </cell>
          <cell r="C58">
            <v>0</v>
          </cell>
        </row>
        <row r="59">
          <cell r="A59">
            <v>104030</v>
          </cell>
          <cell r="B59" t="str">
            <v>种树花盆</v>
          </cell>
          <cell r="C59">
            <v>0</v>
          </cell>
        </row>
        <row r="60">
          <cell r="A60">
            <v>105001</v>
          </cell>
          <cell r="B60" t="str">
            <v>农田</v>
          </cell>
          <cell r="C60">
            <v>0</v>
          </cell>
        </row>
        <row r="61">
          <cell r="A61">
            <v>105002</v>
          </cell>
          <cell r="B61" t="str">
            <v>果园</v>
          </cell>
          <cell r="C61">
            <v>0</v>
          </cell>
        </row>
        <row r="62">
          <cell r="A62">
            <v>105003</v>
          </cell>
          <cell r="B62" t="str">
            <v>牧场</v>
          </cell>
          <cell r="C62">
            <v>0</v>
          </cell>
        </row>
        <row r="63">
          <cell r="A63">
            <v>105004</v>
          </cell>
          <cell r="B63" t="str">
            <v>渔人码头</v>
          </cell>
          <cell r="C63">
            <v>0</v>
          </cell>
        </row>
        <row r="64">
          <cell r="A64">
            <v>105005</v>
          </cell>
          <cell r="B64" t="str">
            <v>猎人营地</v>
          </cell>
          <cell r="C64">
            <v>0</v>
          </cell>
        </row>
        <row r="65">
          <cell r="A65">
            <v>105006</v>
          </cell>
          <cell r="B65" t="str">
            <v>采集营地</v>
          </cell>
          <cell r="C65">
            <v>0</v>
          </cell>
        </row>
        <row r="66">
          <cell r="A66">
            <v>105007</v>
          </cell>
          <cell r="B66" t="str">
            <v>劈材桩</v>
          </cell>
          <cell r="C66">
            <v>0</v>
          </cell>
        </row>
        <row r="67">
          <cell r="A67">
            <v>105008</v>
          </cell>
          <cell r="B67" t="str">
            <v>护林营地</v>
          </cell>
          <cell r="C67">
            <v>0</v>
          </cell>
        </row>
        <row r="68">
          <cell r="A68">
            <v>105009</v>
          </cell>
          <cell r="B68" t="str">
            <v>采药营地</v>
          </cell>
          <cell r="C68">
            <v>0</v>
          </cell>
        </row>
        <row r="69">
          <cell r="A69">
            <v>105010</v>
          </cell>
          <cell r="B69" t="str">
            <v>制造台</v>
          </cell>
          <cell r="C69">
            <v>0</v>
          </cell>
        </row>
        <row r="70">
          <cell r="A70">
            <v>105011</v>
          </cell>
          <cell r="B70" t="str">
            <v>缝纫台</v>
          </cell>
          <cell r="C70">
            <v>0</v>
          </cell>
        </row>
        <row r="71">
          <cell r="A71">
            <v>105012</v>
          </cell>
          <cell r="B71" t="str">
            <v>酿酒桶</v>
          </cell>
          <cell r="C71">
            <v>0</v>
          </cell>
        </row>
        <row r="72">
          <cell r="A72">
            <v>105013</v>
          </cell>
          <cell r="B72" t="str">
            <v>矿井</v>
          </cell>
          <cell r="C72">
            <v>0</v>
          </cell>
        </row>
        <row r="73">
          <cell r="A73">
            <v>105014</v>
          </cell>
          <cell r="B73" t="str">
            <v>采石场</v>
          </cell>
          <cell r="C73">
            <v>0</v>
          </cell>
        </row>
        <row r="74">
          <cell r="A74">
            <v>105015</v>
          </cell>
          <cell r="B74" t="str">
            <v>堆肥桶</v>
          </cell>
          <cell r="C74">
            <v>0</v>
          </cell>
        </row>
        <row r="75">
          <cell r="A75">
            <v>105016</v>
          </cell>
          <cell r="B75" t="str">
            <v>烹饪台</v>
          </cell>
          <cell r="C75">
            <v>0</v>
          </cell>
        </row>
        <row r="76">
          <cell r="A76">
            <v>105017</v>
          </cell>
          <cell r="B76" t="str">
            <v>捕兽夹</v>
          </cell>
          <cell r="C76">
            <v>0</v>
          </cell>
        </row>
        <row r="77">
          <cell r="A77">
            <v>105018</v>
          </cell>
          <cell r="B77" t="str">
            <v>蟹笼</v>
          </cell>
          <cell r="C77">
            <v>0</v>
          </cell>
        </row>
        <row r="78">
          <cell r="A78">
            <v>105019</v>
          </cell>
          <cell r="B78" t="str">
            <v>取水点</v>
          </cell>
          <cell r="C78">
            <v>0</v>
          </cell>
        </row>
        <row r="79">
          <cell r="A79">
            <v>105020</v>
          </cell>
          <cell r="B79" t="str">
            <v>采石点</v>
          </cell>
          <cell r="C79">
            <v>0</v>
          </cell>
        </row>
        <row r="80">
          <cell r="A80">
            <v>105021</v>
          </cell>
          <cell r="B80" t="str">
            <v>挖掘点</v>
          </cell>
          <cell r="C80">
            <v>0</v>
          </cell>
        </row>
        <row r="81">
          <cell r="A81">
            <v>105022</v>
          </cell>
          <cell r="B81" t="str">
            <v>造陆点</v>
          </cell>
          <cell r="C81">
            <v>0</v>
          </cell>
        </row>
        <row r="82">
          <cell r="A82">
            <v>105023</v>
          </cell>
          <cell r="B82" t="str">
            <v>蜂房</v>
          </cell>
          <cell r="C82">
            <v>0</v>
          </cell>
        </row>
        <row r="83">
          <cell r="A83">
            <v>105024</v>
          </cell>
          <cell r="B83" t="str">
            <v>雕像座</v>
          </cell>
          <cell r="C83">
            <v>0</v>
          </cell>
        </row>
        <row r="84">
          <cell r="A84">
            <v>105025</v>
          </cell>
          <cell r="B84" t="str">
            <v>炼药锅</v>
          </cell>
          <cell r="C84">
            <v>0</v>
          </cell>
        </row>
        <row r="85">
          <cell r="A85">
            <v>105026</v>
          </cell>
          <cell r="B85" t="str">
            <v>码头</v>
          </cell>
          <cell r="C85">
            <v>0</v>
          </cell>
        </row>
        <row r="86">
          <cell r="A86">
            <v>105027</v>
          </cell>
          <cell r="B86" t="str">
            <v>出海口</v>
          </cell>
          <cell r="C86">
            <v>0</v>
          </cell>
        </row>
        <row r="87">
          <cell r="A87">
            <v>105028</v>
          </cell>
          <cell r="B87" t="str">
            <v>熔炉</v>
          </cell>
          <cell r="C87">
            <v>0</v>
          </cell>
        </row>
        <row r="88">
          <cell r="A88">
            <v>105029</v>
          </cell>
          <cell r="B88" t="str">
            <v>磨坊</v>
          </cell>
          <cell r="C88">
            <v>0</v>
          </cell>
        </row>
        <row r="89">
          <cell r="A89">
            <v>105030</v>
          </cell>
          <cell r="B89" t="str">
            <v>蘑菇箱</v>
          </cell>
          <cell r="C89">
            <v>0</v>
          </cell>
        </row>
        <row r="90">
          <cell r="A90">
            <v>105031</v>
          </cell>
          <cell r="B90" t="str">
            <v>资源搜集点</v>
          </cell>
          <cell r="C90">
            <v>0</v>
          </cell>
        </row>
        <row r="91">
          <cell r="A91">
            <v>105032</v>
          </cell>
          <cell r="B91" t="str">
            <v>磨坊</v>
          </cell>
          <cell r="C91">
            <v>0</v>
          </cell>
        </row>
        <row r="92">
          <cell r="A92">
            <v>106001</v>
          </cell>
          <cell r="B92" t="str">
            <v>军营</v>
          </cell>
          <cell r="C92">
            <v>0</v>
          </cell>
        </row>
        <row r="93">
          <cell r="A93">
            <v>106002</v>
          </cell>
          <cell r="B93" t="str">
            <v>牢房</v>
          </cell>
          <cell r="C93">
            <v>0</v>
          </cell>
        </row>
        <row r="94">
          <cell r="A94">
            <v>106003</v>
          </cell>
          <cell r="B94" t="str">
            <v>大炮</v>
          </cell>
          <cell r="C94">
            <v>0</v>
          </cell>
        </row>
        <row r="95">
          <cell r="A95">
            <v>106004</v>
          </cell>
          <cell r="B95" t="str">
            <v>野营</v>
          </cell>
          <cell r="C95">
            <v>0</v>
          </cell>
        </row>
        <row r="96">
          <cell r="A96">
            <v>106005</v>
          </cell>
          <cell r="B96" t="str">
            <v>王座</v>
          </cell>
          <cell r="C96">
            <v>0</v>
          </cell>
        </row>
        <row r="97">
          <cell r="A97">
            <v>106006</v>
          </cell>
          <cell r="B97" t="str">
            <v>地雷</v>
          </cell>
          <cell r="C97">
            <v>0</v>
          </cell>
        </row>
        <row r="98">
          <cell r="A98">
            <v>106007</v>
          </cell>
          <cell r="B98" t="str">
            <v>水晶球</v>
          </cell>
          <cell r="C98">
            <v>0</v>
          </cell>
        </row>
        <row r="99">
          <cell r="A99">
            <v>106008</v>
          </cell>
          <cell r="B99" t="str">
            <v>训练场</v>
          </cell>
          <cell r="C99">
            <v>0</v>
          </cell>
        </row>
        <row r="100">
          <cell r="A100">
            <v>107001</v>
          </cell>
          <cell r="B100" t="str">
            <v>废弃矿井</v>
          </cell>
          <cell r="C100">
            <v>0</v>
          </cell>
        </row>
        <row r="101">
          <cell r="A101">
            <v>107003</v>
          </cell>
          <cell r="B101" t="str">
            <v>墓碑</v>
          </cell>
          <cell r="C101">
            <v>0</v>
          </cell>
        </row>
        <row r="102">
          <cell r="A102">
            <v>107004</v>
          </cell>
          <cell r="B102" t="str">
            <v>强盗营地</v>
          </cell>
          <cell r="C102">
            <v>0</v>
          </cell>
        </row>
        <row r="103">
          <cell r="A103">
            <v>107005</v>
          </cell>
          <cell r="B103" t="str">
            <v>军营</v>
          </cell>
          <cell r="C103">
            <v>0</v>
          </cell>
        </row>
        <row r="104">
          <cell r="A104">
            <v>108001</v>
          </cell>
          <cell r="B104" t="str">
            <v>古墓</v>
          </cell>
          <cell r="C104">
            <v>0</v>
          </cell>
        </row>
        <row r="105">
          <cell r="A105">
            <v>108002</v>
          </cell>
          <cell r="B105" t="str">
            <v>巨型蜂巢</v>
          </cell>
          <cell r="C105">
            <v>0</v>
          </cell>
        </row>
        <row r="106">
          <cell r="A106">
            <v>108003</v>
          </cell>
          <cell r="B106" t="str">
            <v>金字塔</v>
          </cell>
          <cell r="C106">
            <v>0</v>
          </cell>
        </row>
        <row r="107">
          <cell r="A107">
            <v>108004</v>
          </cell>
          <cell r="B107" t="str">
            <v>巨型蘑菇</v>
          </cell>
          <cell r="C107">
            <v>0</v>
          </cell>
        </row>
        <row r="108">
          <cell r="A108">
            <v>108005</v>
          </cell>
          <cell r="B108" t="str">
            <v>巨树</v>
          </cell>
          <cell r="C108">
            <v>0</v>
          </cell>
        </row>
        <row r="109">
          <cell r="A109">
            <v>108006</v>
          </cell>
          <cell r="B109" t="str">
            <v>巨型蛋</v>
          </cell>
          <cell r="C109">
            <v>0</v>
          </cell>
        </row>
        <row r="110">
          <cell r="A110">
            <v>108007</v>
          </cell>
          <cell r="B110" t="str">
            <v>沉船遗迹</v>
          </cell>
          <cell r="C110">
            <v>0</v>
          </cell>
        </row>
        <row r="111">
          <cell r="A111">
            <v>108008</v>
          </cell>
          <cell r="B111" t="str">
            <v>蚁穴</v>
          </cell>
          <cell r="C111">
            <v>0</v>
          </cell>
        </row>
        <row r="112">
          <cell r="A112">
            <v>108009</v>
          </cell>
          <cell r="B112" t="str">
            <v>图腾之柱</v>
          </cell>
          <cell r="C112">
            <v>0</v>
          </cell>
        </row>
        <row r="113">
          <cell r="A113">
            <v>108010</v>
          </cell>
          <cell r="B113" t="str">
            <v>布道台</v>
          </cell>
          <cell r="C113">
            <v>0</v>
          </cell>
        </row>
        <row r="114">
          <cell r="A114">
            <v>108011</v>
          </cell>
          <cell r="B114" t="str">
            <v>红蚁穴</v>
          </cell>
          <cell r="C114">
            <v>0</v>
          </cell>
        </row>
        <row r="115">
          <cell r="A115">
            <v>108012</v>
          </cell>
          <cell r="B115" t="str">
            <v>国王的永恒圣殿</v>
          </cell>
          <cell r="C115">
            <v>0</v>
          </cell>
        </row>
        <row r="116">
          <cell r="A116">
            <v>109005</v>
          </cell>
          <cell r="B116" t="str">
            <v>国库</v>
          </cell>
          <cell r="C116">
            <v>0</v>
          </cell>
        </row>
        <row r="117">
          <cell r="A117">
            <v>110001</v>
          </cell>
          <cell r="B117" t="str">
            <v>小城堡</v>
          </cell>
          <cell r="C117">
            <v>0</v>
          </cell>
        </row>
        <row r="118">
          <cell r="A118">
            <v>110002</v>
          </cell>
          <cell r="B118" t="str">
            <v>大城堡</v>
          </cell>
          <cell r="C118">
            <v>0</v>
          </cell>
        </row>
        <row r="119">
          <cell r="A119">
            <v>110003</v>
          </cell>
          <cell r="B119" t="str">
            <v>小村庄</v>
          </cell>
          <cell r="C119">
            <v>0</v>
          </cell>
        </row>
        <row r="120">
          <cell r="A120">
            <v>110004</v>
          </cell>
          <cell r="B120" t="str">
            <v>大村庄</v>
          </cell>
          <cell r="C120">
            <v>0</v>
          </cell>
        </row>
        <row r="121">
          <cell r="A121">
            <v>110005</v>
          </cell>
          <cell r="B121" t="str">
            <v>渔村</v>
          </cell>
          <cell r="C121">
            <v>0</v>
          </cell>
        </row>
        <row r="122">
          <cell r="A122">
            <v>110006</v>
          </cell>
          <cell r="B122" t="str">
            <v>小部落</v>
          </cell>
          <cell r="C122">
            <v>0</v>
          </cell>
        </row>
        <row r="123">
          <cell r="A123">
            <v>110007</v>
          </cell>
          <cell r="B123" t="str">
            <v>大部落</v>
          </cell>
          <cell r="C123">
            <v>0</v>
          </cell>
        </row>
        <row r="124">
          <cell r="A124">
            <v>110008</v>
          </cell>
          <cell r="B124" t="str">
            <v>龙之试炼柱</v>
          </cell>
          <cell r="C124">
            <v>0</v>
          </cell>
        </row>
        <row r="125">
          <cell r="A125">
            <v>110009</v>
          </cell>
          <cell r="B125" t="str">
            <v>要塞</v>
          </cell>
          <cell r="C125">
            <v>0</v>
          </cell>
        </row>
        <row r="126">
          <cell r="A126">
            <v>110010</v>
          </cell>
          <cell r="B126" t="str">
            <v>战场据点</v>
          </cell>
          <cell r="C126">
            <v>0</v>
          </cell>
        </row>
        <row r="127">
          <cell r="A127">
            <v>110011</v>
          </cell>
          <cell r="B127" t="str">
            <v>远征营地</v>
          </cell>
          <cell r="C127">
            <v>0</v>
          </cell>
        </row>
        <row r="128">
          <cell r="A128">
            <v>110012</v>
          </cell>
          <cell r="B128" t="str">
            <v>被敌人占领的战场据点</v>
          </cell>
          <cell r="C128">
            <v>0</v>
          </cell>
        </row>
        <row r="129">
          <cell r="A129">
            <v>111001</v>
          </cell>
          <cell r="B129" t="str">
            <v>方尖碑</v>
          </cell>
          <cell r="C129">
            <v>0</v>
          </cell>
        </row>
        <row r="130">
          <cell r="A130">
            <v>111002</v>
          </cell>
          <cell r="B130" t="str">
            <v>泰坦祭坛</v>
          </cell>
          <cell r="C130">
            <v>0</v>
          </cell>
        </row>
        <row r="131">
          <cell r="A131">
            <v>111003</v>
          </cell>
          <cell r="B131" t="str">
            <v>光明祭坛</v>
          </cell>
          <cell r="C131">
            <v>0</v>
          </cell>
        </row>
        <row r="132">
          <cell r="A132">
            <v>111004</v>
          </cell>
          <cell r="B132" t="str">
            <v>黑暗祭坛</v>
          </cell>
          <cell r="C132">
            <v>0</v>
          </cell>
        </row>
        <row r="133">
          <cell r="A133">
            <v>111005</v>
          </cell>
          <cell r="B133" t="str">
            <v>永恒圣殿</v>
          </cell>
          <cell r="C133">
            <v>0</v>
          </cell>
        </row>
        <row r="134">
          <cell r="A134">
            <v>112001</v>
          </cell>
          <cell r="B134" t="str">
            <v>旗帜</v>
          </cell>
          <cell r="C134">
            <v>0</v>
          </cell>
        </row>
        <row r="135">
          <cell r="A135">
            <v>113001</v>
          </cell>
          <cell r="B135" t="str">
            <v>地板</v>
          </cell>
          <cell r="C135">
            <v>0</v>
          </cell>
        </row>
        <row r="136">
          <cell r="A136">
            <v>113002</v>
          </cell>
          <cell r="B136" t="str">
            <v>石质地板</v>
          </cell>
          <cell r="C136">
            <v>0</v>
          </cell>
        </row>
        <row r="137">
          <cell r="A137">
            <v>113003</v>
          </cell>
          <cell r="B137" t="str">
            <v>铁质地板</v>
          </cell>
          <cell r="C137">
            <v>0</v>
          </cell>
        </row>
        <row r="138">
          <cell r="A138">
            <v>113004</v>
          </cell>
          <cell r="B138" t="str">
            <v>银质地板</v>
          </cell>
          <cell r="C138">
            <v>0</v>
          </cell>
        </row>
        <row r="139">
          <cell r="A139">
            <v>113005</v>
          </cell>
          <cell r="B139" t="str">
            <v>金质地板</v>
          </cell>
          <cell r="C139">
            <v>0</v>
          </cell>
        </row>
        <row r="140">
          <cell r="A140">
            <v>301001</v>
          </cell>
          <cell r="B140" t="str">
            <v>菜豆</v>
          </cell>
          <cell r="C140">
            <v>1</v>
          </cell>
        </row>
        <row r="141">
          <cell r="A141">
            <v>301002</v>
          </cell>
          <cell r="B141" t="str">
            <v>卷心菜</v>
          </cell>
          <cell r="C141">
            <v>1</v>
          </cell>
        </row>
        <row r="142">
          <cell r="A142">
            <v>301003</v>
          </cell>
          <cell r="B142" t="str">
            <v>辣椒</v>
          </cell>
          <cell r="C142">
            <v>1</v>
          </cell>
        </row>
        <row r="143">
          <cell r="A143">
            <v>301004</v>
          </cell>
          <cell r="B143" t="str">
            <v>南瓜</v>
          </cell>
          <cell r="C143">
            <v>1</v>
          </cell>
        </row>
        <row r="144">
          <cell r="A144">
            <v>301005</v>
          </cell>
          <cell r="B144" t="str">
            <v>笋瓜</v>
          </cell>
          <cell r="C144">
            <v>1</v>
          </cell>
        </row>
        <row r="145">
          <cell r="A145">
            <v>301006</v>
          </cell>
          <cell r="B145" t="str">
            <v>蘑菇</v>
          </cell>
          <cell r="C145">
            <v>1</v>
          </cell>
        </row>
        <row r="146">
          <cell r="A146">
            <v>301007</v>
          </cell>
          <cell r="B146" t="str">
            <v>洋葱</v>
          </cell>
          <cell r="C146">
            <v>1</v>
          </cell>
        </row>
        <row r="147">
          <cell r="A147">
            <v>302001</v>
          </cell>
          <cell r="B147" t="str">
            <v>玉米</v>
          </cell>
          <cell r="C147">
            <v>1</v>
          </cell>
        </row>
        <row r="148">
          <cell r="A148">
            <v>302002</v>
          </cell>
          <cell r="B148" t="str">
            <v>土豆</v>
          </cell>
          <cell r="C148">
            <v>1</v>
          </cell>
        </row>
        <row r="149">
          <cell r="A149">
            <v>302003</v>
          </cell>
          <cell r="B149" t="str">
            <v>小麦</v>
          </cell>
          <cell r="C149">
            <v>1</v>
          </cell>
        </row>
        <row r="150">
          <cell r="A150">
            <v>302004</v>
          </cell>
          <cell r="B150" t="str">
            <v>木薯</v>
          </cell>
          <cell r="C150">
            <v>1</v>
          </cell>
        </row>
        <row r="151">
          <cell r="A151">
            <v>303001</v>
          </cell>
          <cell r="B151" t="str">
            <v>苹果</v>
          </cell>
          <cell r="C151">
            <v>1</v>
          </cell>
        </row>
        <row r="152">
          <cell r="A152">
            <v>303002</v>
          </cell>
          <cell r="B152" t="str">
            <v>樱桃</v>
          </cell>
          <cell r="C152">
            <v>1</v>
          </cell>
        </row>
        <row r="153">
          <cell r="A153">
            <v>303004</v>
          </cell>
          <cell r="B153" t="str">
            <v>梨</v>
          </cell>
          <cell r="C153">
            <v>1</v>
          </cell>
        </row>
        <row r="154">
          <cell r="A154">
            <v>303006</v>
          </cell>
          <cell r="B154" t="str">
            <v>梅子</v>
          </cell>
          <cell r="C154">
            <v>1</v>
          </cell>
        </row>
        <row r="155">
          <cell r="A155">
            <v>303007</v>
          </cell>
          <cell r="B155" t="str">
            <v>核桃</v>
          </cell>
          <cell r="C155">
            <v>1</v>
          </cell>
        </row>
        <row r="156">
          <cell r="A156">
            <v>303009</v>
          </cell>
          <cell r="B156" t="str">
            <v>浆果</v>
          </cell>
          <cell r="C156">
            <v>1</v>
          </cell>
        </row>
        <row r="157">
          <cell r="A157">
            <v>304001</v>
          </cell>
          <cell r="B157" t="str">
            <v>鱼</v>
          </cell>
          <cell r="C157">
            <v>2</v>
          </cell>
        </row>
        <row r="158">
          <cell r="A158">
            <v>304002</v>
          </cell>
          <cell r="B158" t="str">
            <v>肉</v>
          </cell>
          <cell r="C158">
            <v>2</v>
          </cell>
        </row>
        <row r="159">
          <cell r="A159">
            <v>304005</v>
          </cell>
          <cell r="B159" t="str">
            <v>鸡蛋</v>
          </cell>
          <cell r="C159">
            <v>2</v>
          </cell>
        </row>
        <row r="160">
          <cell r="A160">
            <v>304007</v>
          </cell>
          <cell r="B160" t="str">
            <v>螃蟹</v>
          </cell>
          <cell r="C160">
            <v>2</v>
          </cell>
        </row>
        <row r="161">
          <cell r="A161">
            <v>304008</v>
          </cell>
          <cell r="B161" t="str">
            <v>龙虾</v>
          </cell>
          <cell r="C161">
            <v>2</v>
          </cell>
        </row>
        <row r="162">
          <cell r="A162">
            <v>304009</v>
          </cell>
          <cell r="B162" t="str">
            <v>熏鱼</v>
          </cell>
          <cell r="C162">
            <v>2</v>
          </cell>
        </row>
        <row r="163">
          <cell r="A163">
            <v>304010</v>
          </cell>
          <cell r="B163" t="str">
            <v>熏肉</v>
          </cell>
          <cell r="C163">
            <v>2</v>
          </cell>
        </row>
        <row r="164">
          <cell r="A164">
            <v>305001</v>
          </cell>
          <cell r="B164" t="str">
            <v>简单食物</v>
          </cell>
          <cell r="C164">
            <v>2</v>
          </cell>
        </row>
        <row r="165">
          <cell r="A165">
            <v>305002</v>
          </cell>
          <cell r="B165" t="str">
            <v>精致食物</v>
          </cell>
          <cell r="C165">
            <v>4</v>
          </cell>
        </row>
        <row r="166">
          <cell r="A166">
            <v>305003</v>
          </cell>
          <cell r="B166" t="str">
            <v>黑暗料理</v>
          </cell>
          <cell r="C166">
            <v>2</v>
          </cell>
        </row>
        <row r="167">
          <cell r="A167">
            <v>305004</v>
          </cell>
          <cell r="B167" t="str">
            <v>粗糙食物</v>
          </cell>
          <cell r="C167">
            <v>1</v>
          </cell>
        </row>
        <row r="168">
          <cell r="A168">
            <v>305005</v>
          </cell>
          <cell r="B168" t="str">
            <v>饼干</v>
          </cell>
          <cell r="C168">
            <v>5</v>
          </cell>
        </row>
        <row r="169">
          <cell r="A169">
            <v>305006</v>
          </cell>
          <cell r="B169" t="str">
            <v>蛋糕</v>
          </cell>
          <cell r="C169">
            <v>10</v>
          </cell>
        </row>
        <row r="170">
          <cell r="A170">
            <v>306001</v>
          </cell>
          <cell r="B170" t="str">
            <v>蜂蜜</v>
          </cell>
          <cell r="C170">
            <v>3</v>
          </cell>
        </row>
        <row r="171">
          <cell r="A171">
            <v>401001</v>
          </cell>
          <cell r="B171" t="str">
            <v>烈酒</v>
          </cell>
          <cell r="C171">
            <v>5</v>
          </cell>
        </row>
        <row r="172">
          <cell r="A172">
            <v>401002</v>
          </cell>
          <cell r="B172" t="str">
            <v>果酒</v>
          </cell>
          <cell r="C172">
            <v>5</v>
          </cell>
        </row>
        <row r="173">
          <cell r="A173">
            <v>401003</v>
          </cell>
          <cell r="B173" t="str">
            <v>蜂蜜酒</v>
          </cell>
          <cell r="C173">
            <v>6</v>
          </cell>
        </row>
        <row r="174">
          <cell r="A174">
            <v>402001</v>
          </cell>
          <cell r="B174" t="str">
            <v>柴火</v>
          </cell>
          <cell r="C174">
            <v>1</v>
          </cell>
        </row>
        <row r="175">
          <cell r="A175">
            <v>403001</v>
          </cell>
          <cell r="B175" t="str">
            <v>普通工具</v>
          </cell>
          <cell r="C175">
            <v>12</v>
          </cell>
        </row>
        <row r="176">
          <cell r="A176">
            <v>403002</v>
          </cell>
          <cell r="B176" t="str">
            <v>优质工具</v>
          </cell>
          <cell r="C176">
            <v>25</v>
          </cell>
        </row>
        <row r="177">
          <cell r="A177">
            <v>403003</v>
          </cell>
          <cell r="B177" t="str">
            <v>简单工具</v>
          </cell>
          <cell r="C177">
            <v>6</v>
          </cell>
        </row>
        <row r="178">
          <cell r="A178">
            <v>404001</v>
          </cell>
          <cell r="B178" t="str">
            <v>皮夹克</v>
          </cell>
          <cell r="C178">
            <v>5</v>
          </cell>
        </row>
        <row r="179">
          <cell r="A179">
            <v>404002</v>
          </cell>
          <cell r="B179" t="str">
            <v>羊毛衫</v>
          </cell>
          <cell r="C179">
            <v>5</v>
          </cell>
        </row>
        <row r="180">
          <cell r="A180">
            <v>404003</v>
          </cell>
          <cell r="B180" t="str">
            <v>保暖衣</v>
          </cell>
          <cell r="C180">
            <v>10</v>
          </cell>
        </row>
        <row r="181">
          <cell r="A181">
            <v>409003</v>
          </cell>
          <cell r="B181" t="str">
            <v>战车</v>
          </cell>
          <cell r="C181">
            <v>180</v>
          </cell>
        </row>
        <row r="182">
          <cell r="A182">
            <v>410001</v>
          </cell>
          <cell r="B182" t="str">
            <v>钢铁之心</v>
          </cell>
          <cell r="C182">
            <v>99999999</v>
          </cell>
        </row>
        <row r="183">
          <cell r="A183">
            <v>410002</v>
          </cell>
          <cell r="B183" t="str">
            <v>熔岩之心</v>
          </cell>
          <cell r="C183">
            <v>99999999</v>
          </cell>
        </row>
        <row r="184">
          <cell r="A184">
            <v>410003</v>
          </cell>
          <cell r="B184" t="str">
            <v>寒冰之心</v>
          </cell>
          <cell r="C184">
            <v>99999999</v>
          </cell>
        </row>
        <row r="185">
          <cell r="A185">
            <v>410004</v>
          </cell>
          <cell r="B185" t="str">
            <v>森林之心</v>
          </cell>
          <cell r="C185">
            <v>99999999</v>
          </cell>
        </row>
        <row r="186">
          <cell r="A186">
            <v>412001</v>
          </cell>
          <cell r="B186" t="str">
            <v>咖啡</v>
          </cell>
          <cell r="C186">
            <v>10</v>
          </cell>
        </row>
        <row r="187">
          <cell r="A187">
            <v>412002</v>
          </cell>
          <cell r="B187" t="str">
            <v>巧克力</v>
          </cell>
          <cell r="C187">
            <v>10</v>
          </cell>
        </row>
        <row r="188">
          <cell r="A188">
            <v>412003</v>
          </cell>
          <cell r="B188" t="str">
            <v>糖</v>
          </cell>
          <cell r="C188">
            <v>10</v>
          </cell>
        </row>
        <row r="189">
          <cell r="A189">
            <v>413001</v>
          </cell>
          <cell r="B189" t="str">
            <v>简单武器</v>
          </cell>
          <cell r="C189">
            <v>10</v>
          </cell>
        </row>
        <row r="190">
          <cell r="A190">
            <v>413002</v>
          </cell>
          <cell r="B190" t="str">
            <v>普通武器</v>
          </cell>
          <cell r="C190">
            <v>50</v>
          </cell>
        </row>
        <row r="191">
          <cell r="A191">
            <v>413003</v>
          </cell>
          <cell r="B191" t="str">
            <v>优良武器</v>
          </cell>
          <cell r="C191">
            <v>150</v>
          </cell>
        </row>
        <row r="192">
          <cell r="A192">
            <v>413004</v>
          </cell>
          <cell r="B192" t="str">
            <v>高级武器</v>
          </cell>
          <cell r="C192">
            <v>400</v>
          </cell>
        </row>
        <row r="193">
          <cell r="A193">
            <v>413005</v>
          </cell>
          <cell r="B193" t="str">
            <v>稀有武器</v>
          </cell>
          <cell r="C193">
            <v>2000</v>
          </cell>
        </row>
        <row r="194">
          <cell r="A194">
            <v>413006</v>
          </cell>
          <cell r="B194" t="str">
            <v>特殊武器</v>
          </cell>
          <cell r="C194">
            <v>4500</v>
          </cell>
        </row>
        <row r="195">
          <cell r="A195">
            <v>413007</v>
          </cell>
          <cell r="B195" t="str">
            <v>极品武器</v>
          </cell>
          <cell r="C195">
            <v>15000</v>
          </cell>
        </row>
        <row r="196">
          <cell r="A196">
            <v>413008</v>
          </cell>
          <cell r="B196" t="str">
            <v>传说武器</v>
          </cell>
          <cell r="C196">
            <v>40000</v>
          </cell>
        </row>
        <row r="197">
          <cell r="A197">
            <v>413009</v>
          </cell>
          <cell r="B197" t="str">
            <v>史诗武器</v>
          </cell>
          <cell r="C197">
            <v>88888</v>
          </cell>
        </row>
        <row r="198">
          <cell r="A198">
            <v>414001</v>
          </cell>
          <cell r="B198" t="str">
            <v>简单盾牌</v>
          </cell>
          <cell r="C198">
            <v>10</v>
          </cell>
        </row>
        <row r="199">
          <cell r="A199">
            <v>414002</v>
          </cell>
          <cell r="B199" t="str">
            <v>普通盾牌</v>
          </cell>
          <cell r="C199">
            <v>50</v>
          </cell>
        </row>
        <row r="200">
          <cell r="A200">
            <v>414003</v>
          </cell>
          <cell r="B200" t="str">
            <v>优良盾牌</v>
          </cell>
          <cell r="C200">
            <v>150</v>
          </cell>
        </row>
        <row r="201">
          <cell r="A201">
            <v>414004</v>
          </cell>
          <cell r="B201" t="str">
            <v>高级盾牌</v>
          </cell>
          <cell r="C201">
            <v>400</v>
          </cell>
        </row>
        <row r="202">
          <cell r="A202">
            <v>414005</v>
          </cell>
          <cell r="B202" t="str">
            <v>稀有盾牌</v>
          </cell>
          <cell r="C202">
            <v>2000</v>
          </cell>
        </row>
        <row r="203">
          <cell r="A203">
            <v>414006</v>
          </cell>
          <cell r="B203" t="str">
            <v>特殊盾牌</v>
          </cell>
          <cell r="C203">
            <v>4500</v>
          </cell>
        </row>
        <row r="204">
          <cell r="A204">
            <v>414007</v>
          </cell>
          <cell r="B204" t="str">
            <v>极品盾牌</v>
          </cell>
          <cell r="C204">
            <v>15000</v>
          </cell>
        </row>
        <row r="205">
          <cell r="A205">
            <v>414008</v>
          </cell>
          <cell r="B205" t="str">
            <v>传说盾牌</v>
          </cell>
          <cell r="C205">
            <v>40000</v>
          </cell>
        </row>
        <row r="206">
          <cell r="A206">
            <v>414009</v>
          </cell>
          <cell r="B206" t="str">
            <v>史诗盾牌</v>
          </cell>
          <cell r="C206">
            <v>88888</v>
          </cell>
        </row>
        <row r="207">
          <cell r="A207">
            <v>415001</v>
          </cell>
          <cell r="B207" t="str">
            <v>简单盔甲</v>
          </cell>
          <cell r="C207">
            <v>10</v>
          </cell>
        </row>
        <row r="208">
          <cell r="A208">
            <v>415002</v>
          </cell>
          <cell r="B208" t="str">
            <v>普通盔甲</v>
          </cell>
          <cell r="C208">
            <v>50</v>
          </cell>
        </row>
        <row r="209">
          <cell r="A209">
            <v>415003</v>
          </cell>
          <cell r="B209" t="str">
            <v>优良盔甲</v>
          </cell>
          <cell r="C209">
            <v>150</v>
          </cell>
        </row>
        <row r="210">
          <cell r="A210">
            <v>415004</v>
          </cell>
          <cell r="B210" t="str">
            <v>高级盔甲</v>
          </cell>
          <cell r="C210">
            <v>400</v>
          </cell>
        </row>
        <row r="211">
          <cell r="A211">
            <v>415005</v>
          </cell>
          <cell r="B211" t="str">
            <v>稀有盔甲</v>
          </cell>
          <cell r="C211">
            <v>2000</v>
          </cell>
        </row>
        <row r="212">
          <cell r="A212">
            <v>415006</v>
          </cell>
          <cell r="B212" t="str">
            <v>特殊盔甲</v>
          </cell>
          <cell r="C212">
            <v>4500</v>
          </cell>
        </row>
        <row r="213">
          <cell r="A213">
            <v>415007</v>
          </cell>
          <cell r="B213" t="str">
            <v>极品盔甲</v>
          </cell>
          <cell r="C213">
            <v>15000</v>
          </cell>
        </row>
        <row r="214">
          <cell r="A214">
            <v>415008</v>
          </cell>
          <cell r="B214" t="str">
            <v>传说盔甲</v>
          </cell>
          <cell r="C214">
            <v>40000</v>
          </cell>
        </row>
        <row r="215">
          <cell r="A215">
            <v>415009</v>
          </cell>
          <cell r="B215" t="str">
            <v>史诗盔甲</v>
          </cell>
          <cell r="C215">
            <v>88888</v>
          </cell>
        </row>
        <row r="216">
          <cell r="A216">
            <v>416001</v>
          </cell>
          <cell r="B216" t="str">
            <v>两轮马车</v>
          </cell>
          <cell r="C216">
            <v>1000</v>
          </cell>
        </row>
        <row r="217">
          <cell r="A217">
            <v>416002</v>
          </cell>
          <cell r="B217" t="str">
            <v>四轮马车</v>
          </cell>
          <cell r="C217">
            <v>2000</v>
          </cell>
        </row>
        <row r="218">
          <cell r="A218">
            <v>417001</v>
          </cell>
          <cell r="B218" t="str">
            <v>损坏的简单武器</v>
          </cell>
          <cell r="C218">
            <v>5</v>
          </cell>
        </row>
        <row r="219">
          <cell r="A219">
            <v>417002</v>
          </cell>
          <cell r="B219" t="str">
            <v>损坏的普通武器</v>
          </cell>
          <cell r="C219">
            <v>10</v>
          </cell>
        </row>
        <row r="220">
          <cell r="A220">
            <v>417003</v>
          </cell>
          <cell r="B220" t="str">
            <v>损坏的优良武器</v>
          </cell>
          <cell r="C220">
            <v>15</v>
          </cell>
        </row>
        <row r="221">
          <cell r="A221">
            <v>417004</v>
          </cell>
          <cell r="B221" t="str">
            <v>损坏的高级武器</v>
          </cell>
          <cell r="C221">
            <v>20</v>
          </cell>
        </row>
        <row r="222">
          <cell r="A222">
            <v>417005</v>
          </cell>
          <cell r="B222" t="str">
            <v>损坏的稀有武器</v>
          </cell>
          <cell r="C222">
            <v>600</v>
          </cell>
        </row>
        <row r="223">
          <cell r="A223">
            <v>417006</v>
          </cell>
          <cell r="B223" t="str">
            <v>损坏的特殊武器</v>
          </cell>
          <cell r="C223">
            <v>1800</v>
          </cell>
        </row>
        <row r="224">
          <cell r="A224">
            <v>417007</v>
          </cell>
          <cell r="B224" t="str">
            <v>损坏的极品武器</v>
          </cell>
          <cell r="C224">
            <v>6000</v>
          </cell>
        </row>
        <row r="225">
          <cell r="A225">
            <v>417008</v>
          </cell>
          <cell r="B225" t="str">
            <v>损坏的传说武器</v>
          </cell>
          <cell r="C225">
            <v>15000</v>
          </cell>
        </row>
        <row r="226">
          <cell r="A226">
            <v>417009</v>
          </cell>
          <cell r="B226" t="str">
            <v>损坏的史诗武器</v>
          </cell>
          <cell r="C226">
            <v>30000</v>
          </cell>
        </row>
        <row r="227">
          <cell r="A227">
            <v>417010</v>
          </cell>
          <cell r="B227" t="str">
            <v>损坏的简单盾牌</v>
          </cell>
          <cell r="C227">
            <v>5</v>
          </cell>
        </row>
        <row r="228">
          <cell r="A228">
            <v>417011</v>
          </cell>
          <cell r="B228" t="str">
            <v>损坏的普通盾牌</v>
          </cell>
          <cell r="C228">
            <v>10</v>
          </cell>
        </row>
        <row r="229">
          <cell r="A229">
            <v>417012</v>
          </cell>
          <cell r="B229" t="str">
            <v>损坏的优良盾牌</v>
          </cell>
          <cell r="C229">
            <v>15</v>
          </cell>
        </row>
        <row r="230">
          <cell r="A230">
            <v>417013</v>
          </cell>
          <cell r="B230" t="str">
            <v>损坏的高级盾牌</v>
          </cell>
          <cell r="C230">
            <v>20</v>
          </cell>
        </row>
        <row r="231">
          <cell r="A231">
            <v>417014</v>
          </cell>
          <cell r="B231" t="str">
            <v>损坏的稀有盾牌</v>
          </cell>
          <cell r="C231">
            <v>600</v>
          </cell>
        </row>
        <row r="232">
          <cell r="A232">
            <v>417015</v>
          </cell>
          <cell r="B232" t="str">
            <v>损坏的特殊盾牌</v>
          </cell>
          <cell r="C232">
            <v>1800</v>
          </cell>
        </row>
        <row r="233">
          <cell r="A233">
            <v>417016</v>
          </cell>
          <cell r="B233" t="str">
            <v>损坏的极品盾牌</v>
          </cell>
          <cell r="C233">
            <v>6000</v>
          </cell>
        </row>
        <row r="234">
          <cell r="A234">
            <v>417017</v>
          </cell>
          <cell r="B234" t="str">
            <v>损坏的传说盾牌</v>
          </cell>
          <cell r="C234">
            <v>15000</v>
          </cell>
        </row>
        <row r="235">
          <cell r="A235">
            <v>417018</v>
          </cell>
          <cell r="B235" t="str">
            <v>损坏的史诗盾牌</v>
          </cell>
          <cell r="C235">
            <v>30000</v>
          </cell>
        </row>
        <row r="236">
          <cell r="A236">
            <v>417019</v>
          </cell>
          <cell r="B236" t="str">
            <v>损坏的简单盔甲</v>
          </cell>
          <cell r="C236">
            <v>5</v>
          </cell>
        </row>
        <row r="237">
          <cell r="A237">
            <v>417020</v>
          </cell>
          <cell r="B237" t="str">
            <v>损坏的普通盔甲</v>
          </cell>
          <cell r="C237">
            <v>10</v>
          </cell>
        </row>
        <row r="238">
          <cell r="A238">
            <v>417021</v>
          </cell>
          <cell r="B238" t="str">
            <v>损坏的优良盔甲</v>
          </cell>
          <cell r="C238">
            <v>15</v>
          </cell>
        </row>
        <row r="239">
          <cell r="A239">
            <v>417022</v>
          </cell>
          <cell r="B239" t="str">
            <v>损坏的高级盔甲</v>
          </cell>
          <cell r="C239">
            <v>20</v>
          </cell>
        </row>
        <row r="240">
          <cell r="A240">
            <v>417023</v>
          </cell>
          <cell r="B240" t="str">
            <v>损坏的稀有盔甲</v>
          </cell>
          <cell r="C240">
            <v>600</v>
          </cell>
        </row>
        <row r="241">
          <cell r="A241">
            <v>417024</v>
          </cell>
          <cell r="B241" t="str">
            <v>损坏的特殊盔甲</v>
          </cell>
          <cell r="C241">
            <v>1800</v>
          </cell>
        </row>
        <row r="242">
          <cell r="A242">
            <v>417025</v>
          </cell>
          <cell r="B242" t="str">
            <v>损坏的极品盔甲</v>
          </cell>
          <cell r="C242">
            <v>6000</v>
          </cell>
        </row>
        <row r="243">
          <cell r="A243">
            <v>417026</v>
          </cell>
          <cell r="B243" t="str">
            <v>损坏的传说盔甲</v>
          </cell>
          <cell r="C243">
            <v>15000</v>
          </cell>
        </row>
        <row r="244">
          <cell r="A244">
            <v>417027</v>
          </cell>
          <cell r="B244" t="str">
            <v>损坏的史诗盔甲</v>
          </cell>
          <cell r="C244">
            <v>30000</v>
          </cell>
        </row>
        <row r="245">
          <cell r="A245">
            <v>418001</v>
          </cell>
          <cell r="B245" t="str">
            <v>蘑菇精华</v>
          </cell>
          <cell r="C245">
            <v>500</v>
          </cell>
        </row>
        <row r="246">
          <cell r="A246">
            <v>418002</v>
          </cell>
          <cell r="B246" t="str">
            <v>养颜丹</v>
          </cell>
          <cell r="C246">
            <v>1000</v>
          </cell>
        </row>
        <row r="247">
          <cell r="A247">
            <v>419001</v>
          </cell>
          <cell r="B247" t="str">
            <v>雨伞</v>
          </cell>
          <cell r="C247">
            <v>5</v>
          </cell>
        </row>
        <row r="248">
          <cell r="A248">
            <v>420001</v>
          </cell>
          <cell r="B248" t="str">
            <v>皮包</v>
          </cell>
          <cell r="C248">
            <v>5</v>
          </cell>
        </row>
        <row r="249">
          <cell r="A249">
            <v>421001</v>
          </cell>
          <cell r="B249" t="str">
            <v>药茶</v>
          </cell>
          <cell r="C249">
            <v>10</v>
          </cell>
        </row>
        <row r="250">
          <cell r="A250">
            <v>422001</v>
          </cell>
          <cell r="B250" t="str">
            <v>火药</v>
          </cell>
          <cell r="C250">
            <v>100</v>
          </cell>
        </row>
        <row r="251">
          <cell r="A251">
            <v>423001</v>
          </cell>
          <cell r="B251" t="str">
            <v>榴弹</v>
          </cell>
          <cell r="C251">
            <v>500</v>
          </cell>
        </row>
        <row r="252">
          <cell r="A252">
            <v>423002</v>
          </cell>
          <cell r="B252" t="str">
            <v>铁弹</v>
          </cell>
          <cell r="C252">
            <v>500</v>
          </cell>
        </row>
        <row r="253">
          <cell r="A253">
            <v>423003</v>
          </cell>
          <cell r="B253" t="str">
            <v>巨型炸弹</v>
          </cell>
          <cell r="C253">
            <v>5000</v>
          </cell>
        </row>
        <row r="254">
          <cell r="A254">
            <v>424001</v>
          </cell>
          <cell r="B254" t="str">
            <v>人伦书</v>
          </cell>
          <cell r="C254">
            <v>1000</v>
          </cell>
        </row>
        <row r="255">
          <cell r="A255">
            <v>424002</v>
          </cell>
          <cell r="B255" t="str">
            <v>轮回书</v>
          </cell>
          <cell r="C255">
            <v>1000</v>
          </cell>
        </row>
        <row r="256">
          <cell r="A256">
            <v>424003</v>
          </cell>
          <cell r="B256" t="str">
            <v>天职书</v>
          </cell>
          <cell r="C256">
            <v>1000</v>
          </cell>
        </row>
        <row r="257">
          <cell r="A257">
            <v>424004</v>
          </cell>
          <cell r="B257" t="str">
            <v>兵法书</v>
          </cell>
          <cell r="C257">
            <v>1000</v>
          </cell>
        </row>
        <row r="258">
          <cell r="A258">
            <v>424005</v>
          </cell>
          <cell r="B258" t="str">
            <v>管理书</v>
          </cell>
          <cell r="C258">
            <v>1000</v>
          </cell>
        </row>
        <row r="259">
          <cell r="A259">
            <v>424006</v>
          </cell>
          <cell r="B259" t="str">
            <v>忠义书</v>
          </cell>
          <cell r="C259">
            <v>1000</v>
          </cell>
        </row>
        <row r="260">
          <cell r="A260">
            <v>424007</v>
          </cell>
          <cell r="B260" t="str">
            <v>启蒙书</v>
          </cell>
          <cell r="C260">
            <v>150</v>
          </cell>
        </row>
        <row r="261">
          <cell r="A261">
            <v>424008</v>
          </cell>
          <cell r="B261" t="str">
            <v>心灵书</v>
          </cell>
          <cell r="C261">
            <v>50</v>
          </cell>
        </row>
        <row r="262">
          <cell r="A262">
            <v>425001</v>
          </cell>
          <cell r="B262" t="str">
            <v>炸弹果</v>
          </cell>
          <cell r="C262">
            <v>0</v>
          </cell>
        </row>
        <row r="263">
          <cell r="A263">
            <v>425002</v>
          </cell>
          <cell r="B263" t="str">
            <v>精英炸弹果</v>
          </cell>
          <cell r="C263">
            <v>0</v>
          </cell>
        </row>
        <row r="264">
          <cell r="A264">
            <v>426001</v>
          </cell>
          <cell r="B264" t="str">
            <v>魔法戒指</v>
          </cell>
          <cell r="C264">
            <v>2000</v>
          </cell>
        </row>
        <row r="265">
          <cell r="A265">
            <v>427001</v>
          </cell>
          <cell r="B265" t="str">
            <v>魔法项链</v>
          </cell>
          <cell r="C265">
            <v>2500</v>
          </cell>
        </row>
        <row r="266">
          <cell r="A266">
            <v>428001</v>
          </cell>
          <cell r="B266" t="str">
            <v>子弹</v>
          </cell>
          <cell r="C266">
            <v>70</v>
          </cell>
        </row>
        <row r="267">
          <cell r="A267">
            <v>429001</v>
          </cell>
          <cell r="B267" t="str">
            <v>动物生长素</v>
          </cell>
          <cell r="C267">
            <v>10</v>
          </cell>
        </row>
        <row r="268">
          <cell r="A268">
            <v>429002</v>
          </cell>
          <cell r="B268" t="str">
            <v xml:space="preserve">动物促产素 </v>
          </cell>
          <cell r="C268">
            <v>10</v>
          </cell>
        </row>
        <row r="269">
          <cell r="A269">
            <v>429003</v>
          </cell>
          <cell r="B269" t="str">
            <v>动物催肥素</v>
          </cell>
          <cell r="C269">
            <v>10</v>
          </cell>
        </row>
        <row r="270">
          <cell r="A270">
            <v>430001</v>
          </cell>
          <cell r="B270" t="str">
            <v>国王之冠</v>
          </cell>
          <cell r="C270">
            <v>999999</v>
          </cell>
        </row>
        <row r="271">
          <cell r="A271">
            <v>430002</v>
          </cell>
          <cell r="B271" t="str">
            <v>驭龙瓶</v>
          </cell>
          <cell r="C271">
            <v>999999</v>
          </cell>
        </row>
        <row r="272">
          <cell r="A272">
            <v>501001</v>
          </cell>
          <cell r="B272" t="str">
            <v>鸡</v>
          </cell>
          <cell r="C272">
            <v>500</v>
          </cell>
        </row>
        <row r="273">
          <cell r="A273">
            <v>501002</v>
          </cell>
          <cell r="B273" t="str">
            <v>羊</v>
          </cell>
          <cell r="C273">
            <v>1000</v>
          </cell>
        </row>
        <row r="274">
          <cell r="A274">
            <v>501003</v>
          </cell>
          <cell r="B274" t="str">
            <v>牛</v>
          </cell>
          <cell r="C274">
            <v>800</v>
          </cell>
        </row>
        <row r="275">
          <cell r="A275">
            <v>501004</v>
          </cell>
          <cell r="B275" t="str">
            <v>马</v>
          </cell>
          <cell r="C275">
            <v>1000</v>
          </cell>
        </row>
        <row r="276">
          <cell r="A276">
            <v>501005</v>
          </cell>
          <cell r="B276" t="str">
            <v>猪</v>
          </cell>
          <cell r="C276">
            <v>800</v>
          </cell>
        </row>
        <row r="277">
          <cell r="A277">
            <v>501006</v>
          </cell>
          <cell r="B277" t="str">
            <v>驯狼</v>
          </cell>
          <cell r="C277">
            <v>800</v>
          </cell>
        </row>
        <row r="278">
          <cell r="A278">
            <v>502001</v>
          </cell>
          <cell r="B278" t="str">
            <v>鹿</v>
          </cell>
          <cell r="C278">
            <v>1000</v>
          </cell>
        </row>
        <row r="279">
          <cell r="A279">
            <v>502002</v>
          </cell>
          <cell r="B279" t="str">
            <v>野马</v>
          </cell>
          <cell r="C279">
            <v>1000</v>
          </cell>
        </row>
        <row r="280">
          <cell r="A280">
            <v>502003</v>
          </cell>
          <cell r="B280" t="str">
            <v>野猪</v>
          </cell>
          <cell r="C280">
            <v>1000</v>
          </cell>
        </row>
        <row r="281">
          <cell r="A281">
            <v>502004</v>
          </cell>
          <cell r="B281" t="str">
            <v>野狼</v>
          </cell>
          <cell r="C281">
            <v>1000</v>
          </cell>
        </row>
        <row r="282">
          <cell r="A282">
            <v>502005</v>
          </cell>
          <cell r="B282" t="str">
            <v>白鹿</v>
          </cell>
          <cell r="C282">
            <v>1000</v>
          </cell>
        </row>
        <row r="283">
          <cell r="A283">
            <v>502006</v>
          </cell>
          <cell r="B283" t="str">
            <v>梅花鹿</v>
          </cell>
          <cell r="C283">
            <v>1000</v>
          </cell>
        </row>
        <row r="284">
          <cell r="A284">
            <v>503001</v>
          </cell>
          <cell r="B284" t="str">
            <v>猫</v>
          </cell>
          <cell r="C284">
            <v>1000</v>
          </cell>
        </row>
        <row r="285">
          <cell r="A285">
            <v>504001</v>
          </cell>
          <cell r="B285" t="str">
            <v>战马</v>
          </cell>
          <cell r="C285">
            <v>1000</v>
          </cell>
        </row>
        <row r="286">
          <cell r="A286">
            <v>504002</v>
          </cell>
          <cell r="B286" t="str">
            <v>战猪</v>
          </cell>
          <cell r="C286">
            <v>1000</v>
          </cell>
        </row>
        <row r="287">
          <cell r="A287">
            <v>504003</v>
          </cell>
          <cell r="B287" t="str">
            <v>战狼</v>
          </cell>
          <cell r="C287">
            <v>1000</v>
          </cell>
        </row>
        <row r="288">
          <cell r="A288">
            <v>504004</v>
          </cell>
          <cell r="B288" t="str">
            <v>马坐骑</v>
          </cell>
          <cell r="C288">
            <v>1000</v>
          </cell>
        </row>
        <row r="289">
          <cell r="A289">
            <v>504005</v>
          </cell>
          <cell r="B289" t="str">
            <v>猪坐骑</v>
          </cell>
          <cell r="C289">
            <v>1000</v>
          </cell>
        </row>
        <row r="290">
          <cell r="A290">
            <v>504006</v>
          </cell>
          <cell r="B290" t="str">
            <v>狼坐骑</v>
          </cell>
          <cell r="C290">
            <v>1000</v>
          </cell>
        </row>
        <row r="291">
          <cell r="A291">
            <v>504007</v>
          </cell>
          <cell r="B291" t="str">
            <v>骑士马坐骑</v>
          </cell>
          <cell r="C291">
            <v>1000</v>
          </cell>
        </row>
        <row r="292">
          <cell r="A292">
            <v>504008</v>
          </cell>
          <cell r="B292" t="str">
            <v>领主马坐骑</v>
          </cell>
          <cell r="C292">
            <v>1000</v>
          </cell>
        </row>
        <row r="293">
          <cell r="A293">
            <v>504009</v>
          </cell>
          <cell r="B293" t="str">
            <v>皇家骑士坐骑</v>
          </cell>
          <cell r="C293">
            <v>1000</v>
          </cell>
        </row>
        <row r="294">
          <cell r="A294">
            <v>601001</v>
          </cell>
          <cell r="B294" t="str">
            <v>煤</v>
          </cell>
          <cell r="C294">
            <v>5</v>
          </cell>
        </row>
        <row r="295">
          <cell r="A295">
            <v>602001</v>
          </cell>
          <cell r="B295" t="str">
            <v>草药</v>
          </cell>
          <cell r="C295">
            <v>5</v>
          </cell>
        </row>
        <row r="296">
          <cell r="A296">
            <v>602002</v>
          </cell>
          <cell r="B296" t="str">
            <v>生命药水</v>
          </cell>
          <cell r="C296">
            <v>15</v>
          </cell>
        </row>
        <row r="297">
          <cell r="A297">
            <v>602003</v>
          </cell>
          <cell r="B297" t="str">
            <v>生命果实</v>
          </cell>
          <cell r="C297">
            <v>50</v>
          </cell>
        </row>
        <row r="298">
          <cell r="A298">
            <v>602004</v>
          </cell>
          <cell r="B298" t="str">
            <v>忘忧果</v>
          </cell>
          <cell r="C298">
            <v>50</v>
          </cell>
        </row>
        <row r="299">
          <cell r="A299">
            <v>603001</v>
          </cell>
          <cell r="B299" t="str">
            <v>铁锭</v>
          </cell>
          <cell r="C299">
            <v>5</v>
          </cell>
        </row>
        <row r="300">
          <cell r="A300">
            <v>603002</v>
          </cell>
          <cell r="B300" t="str">
            <v>秘银锭</v>
          </cell>
          <cell r="C300">
            <v>100</v>
          </cell>
        </row>
        <row r="301">
          <cell r="A301">
            <v>603003</v>
          </cell>
          <cell r="B301" t="str">
            <v>精金锭</v>
          </cell>
          <cell r="C301">
            <v>100</v>
          </cell>
        </row>
        <row r="302">
          <cell r="A302">
            <v>603004</v>
          </cell>
          <cell r="B302" t="str">
            <v>山铜锭</v>
          </cell>
          <cell r="C302">
            <v>100</v>
          </cell>
        </row>
        <row r="303">
          <cell r="A303">
            <v>604001</v>
          </cell>
          <cell r="B303" t="str">
            <v>原木</v>
          </cell>
          <cell r="C303">
            <v>2</v>
          </cell>
        </row>
        <row r="304">
          <cell r="A304">
            <v>605001</v>
          </cell>
          <cell r="B304" t="str">
            <v>石料</v>
          </cell>
          <cell r="C304">
            <v>4</v>
          </cell>
        </row>
        <row r="305">
          <cell r="A305">
            <v>606001</v>
          </cell>
          <cell r="B305" t="str">
            <v>皮革</v>
          </cell>
          <cell r="C305">
            <v>3</v>
          </cell>
        </row>
        <row r="306">
          <cell r="A306">
            <v>606002</v>
          </cell>
          <cell r="B306" t="str">
            <v>羊毛</v>
          </cell>
          <cell r="C306">
            <v>3</v>
          </cell>
        </row>
        <row r="307">
          <cell r="A307">
            <v>607001</v>
          </cell>
          <cell r="B307" t="str">
            <v>白银</v>
          </cell>
          <cell r="C307">
            <v>100</v>
          </cell>
        </row>
        <row r="308">
          <cell r="A308">
            <v>608001</v>
          </cell>
          <cell r="B308" t="str">
            <v>黄金</v>
          </cell>
          <cell r="C308">
            <v>1000</v>
          </cell>
        </row>
        <row r="309">
          <cell r="A309">
            <v>609001</v>
          </cell>
          <cell r="B309" t="str">
            <v>肥料</v>
          </cell>
          <cell r="C309">
            <v>1</v>
          </cell>
        </row>
        <row r="310">
          <cell r="A310">
            <v>610001</v>
          </cell>
          <cell r="B310" t="str">
            <v>粪便</v>
          </cell>
          <cell r="C310">
            <v>0</v>
          </cell>
        </row>
        <row r="311">
          <cell r="A311">
            <v>610002</v>
          </cell>
          <cell r="B311" t="str">
            <v>腐败食物</v>
          </cell>
          <cell r="C311">
            <v>0</v>
          </cell>
        </row>
        <row r="312">
          <cell r="A312">
            <v>610003</v>
          </cell>
          <cell r="B312" t="str">
            <v>灰烬</v>
          </cell>
          <cell r="C312">
            <v>0</v>
          </cell>
        </row>
        <row r="313">
          <cell r="A313">
            <v>611001</v>
          </cell>
          <cell r="B313" t="str">
            <v>咖啡豆</v>
          </cell>
          <cell r="C313">
            <v>5</v>
          </cell>
        </row>
        <row r="314">
          <cell r="A314">
            <v>611002</v>
          </cell>
          <cell r="B314" t="str">
            <v>可可豆</v>
          </cell>
          <cell r="C314">
            <v>5</v>
          </cell>
        </row>
        <row r="315">
          <cell r="A315">
            <v>611003</v>
          </cell>
          <cell r="B315" t="str">
            <v>甘蔗</v>
          </cell>
          <cell r="C315">
            <v>1</v>
          </cell>
        </row>
        <row r="316">
          <cell r="A316">
            <v>611004</v>
          </cell>
          <cell r="B316" t="str">
            <v>牛奶</v>
          </cell>
          <cell r="C316">
            <v>2</v>
          </cell>
        </row>
        <row r="317">
          <cell r="A317">
            <v>611005</v>
          </cell>
          <cell r="B317" t="str">
            <v>面粉</v>
          </cell>
          <cell r="C317">
            <v>2</v>
          </cell>
        </row>
        <row r="318">
          <cell r="A318">
            <v>612001</v>
          </cell>
          <cell r="B318" t="str">
            <v>红宝石</v>
          </cell>
          <cell r="C318">
            <v>500</v>
          </cell>
        </row>
        <row r="319">
          <cell r="A319">
            <v>612002</v>
          </cell>
          <cell r="B319" t="str">
            <v>蓝宝石</v>
          </cell>
          <cell r="C319">
            <v>500</v>
          </cell>
        </row>
        <row r="320">
          <cell r="A320">
            <v>612003</v>
          </cell>
          <cell r="B320" t="str">
            <v>绿宝石</v>
          </cell>
          <cell r="C320">
            <v>500</v>
          </cell>
        </row>
        <row r="321">
          <cell r="A321">
            <v>613001</v>
          </cell>
          <cell r="B321" t="str">
            <v>金蛋</v>
          </cell>
          <cell r="C321">
            <v>1000</v>
          </cell>
        </row>
        <row r="322">
          <cell r="A322">
            <v>614001</v>
          </cell>
          <cell r="B322" t="str">
            <v>龙涎香</v>
          </cell>
          <cell r="C322">
            <v>800</v>
          </cell>
        </row>
        <row r="323">
          <cell r="A323">
            <v>615001</v>
          </cell>
          <cell r="B323" t="str">
            <v>红宝石碎片</v>
          </cell>
          <cell r="C323">
            <v>50</v>
          </cell>
        </row>
        <row r="324">
          <cell r="A324">
            <v>615002</v>
          </cell>
          <cell r="B324" t="str">
            <v>蓝宝石碎片</v>
          </cell>
          <cell r="C324">
            <v>50</v>
          </cell>
        </row>
        <row r="325">
          <cell r="A325">
            <v>615003</v>
          </cell>
          <cell r="B325" t="str">
            <v>绿宝石碎片</v>
          </cell>
          <cell r="C325">
            <v>50</v>
          </cell>
        </row>
        <row r="326">
          <cell r="A326">
            <v>616001</v>
          </cell>
          <cell r="B326" t="str">
            <v>铁矿</v>
          </cell>
          <cell r="C326">
            <v>2</v>
          </cell>
        </row>
        <row r="327">
          <cell r="A327">
            <v>616002</v>
          </cell>
          <cell r="B327" t="str">
            <v>秘银矿</v>
          </cell>
          <cell r="C327">
            <v>2</v>
          </cell>
        </row>
        <row r="328">
          <cell r="A328">
            <v>616003</v>
          </cell>
          <cell r="B328" t="str">
            <v>精金矿</v>
          </cell>
          <cell r="C328">
            <v>2</v>
          </cell>
        </row>
        <row r="329">
          <cell r="A329">
            <v>616004</v>
          </cell>
          <cell r="B329" t="str">
            <v>山铜矿</v>
          </cell>
          <cell r="C329">
            <v>2</v>
          </cell>
        </row>
        <row r="330">
          <cell r="A330">
            <v>616005</v>
          </cell>
          <cell r="B330" t="str">
            <v>金矿</v>
          </cell>
          <cell r="C330">
            <v>2</v>
          </cell>
        </row>
        <row r="331">
          <cell r="A331">
            <v>616006</v>
          </cell>
          <cell r="B331" t="str">
            <v>银矿</v>
          </cell>
          <cell r="C331">
            <v>2</v>
          </cell>
        </row>
        <row r="332">
          <cell r="A332">
            <v>617001</v>
          </cell>
          <cell r="B332" t="str">
            <v>牧草</v>
          </cell>
          <cell r="C332">
            <v>1</v>
          </cell>
        </row>
        <row r="333">
          <cell r="A333">
            <v>618001</v>
          </cell>
          <cell r="B333" t="str">
            <v>银币</v>
          </cell>
          <cell r="C333">
            <v>1</v>
          </cell>
        </row>
        <row r="334">
          <cell r="A334">
            <v>619001</v>
          </cell>
          <cell r="B334" t="str">
            <v>智慧宝石</v>
          </cell>
          <cell r="C334">
            <v>1000000</v>
          </cell>
        </row>
        <row r="335">
          <cell r="A335">
            <v>620001</v>
          </cell>
          <cell r="B335" t="str">
            <v>史莱姆凝液</v>
          </cell>
          <cell r="C335">
            <v>50</v>
          </cell>
        </row>
        <row r="336">
          <cell r="A336">
            <v>620002</v>
          </cell>
          <cell r="B336" t="str">
            <v>蚁胶</v>
          </cell>
          <cell r="C336">
            <v>25</v>
          </cell>
        </row>
        <row r="337">
          <cell r="A337">
            <v>701001</v>
          </cell>
          <cell r="B337" t="str">
            <v>菜豆种子</v>
          </cell>
          <cell r="C337">
            <v>2000</v>
          </cell>
        </row>
        <row r="338">
          <cell r="A338">
            <v>701002</v>
          </cell>
          <cell r="B338" t="str">
            <v>卷心菜种子</v>
          </cell>
          <cell r="C338">
            <v>10000</v>
          </cell>
        </row>
        <row r="339">
          <cell r="A339">
            <v>701003</v>
          </cell>
          <cell r="B339" t="str">
            <v>辣椒种子</v>
          </cell>
          <cell r="C339">
            <v>6000</v>
          </cell>
        </row>
        <row r="340">
          <cell r="A340">
            <v>701004</v>
          </cell>
          <cell r="B340" t="str">
            <v>南瓜种子</v>
          </cell>
          <cell r="C340">
            <v>20000</v>
          </cell>
        </row>
        <row r="341">
          <cell r="A341">
            <v>701005</v>
          </cell>
          <cell r="B341" t="str">
            <v>笋瓜种子</v>
          </cell>
          <cell r="C341">
            <v>4000</v>
          </cell>
        </row>
        <row r="342">
          <cell r="A342">
            <v>702001</v>
          </cell>
          <cell r="B342" t="str">
            <v>玉米种子</v>
          </cell>
          <cell r="C342">
            <v>10000</v>
          </cell>
        </row>
        <row r="343">
          <cell r="A343">
            <v>702002</v>
          </cell>
          <cell r="B343" t="str">
            <v>土豆种子</v>
          </cell>
          <cell r="C343">
            <v>4000</v>
          </cell>
        </row>
        <row r="344">
          <cell r="A344">
            <v>702003</v>
          </cell>
          <cell r="B344" t="str">
            <v>小麦种子</v>
          </cell>
          <cell r="C344">
            <v>2000</v>
          </cell>
        </row>
        <row r="345">
          <cell r="A345">
            <v>702004</v>
          </cell>
          <cell r="B345" t="str">
            <v>牧草种子</v>
          </cell>
          <cell r="C345">
            <v>2000</v>
          </cell>
        </row>
        <row r="346">
          <cell r="A346">
            <v>703001</v>
          </cell>
          <cell r="B346" t="str">
            <v>苹果树种子</v>
          </cell>
          <cell r="C346">
            <v>2500</v>
          </cell>
        </row>
        <row r="347">
          <cell r="A347">
            <v>703002</v>
          </cell>
          <cell r="B347" t="str">
            <v>樱桃树种子</v>
          </cell>
          <cell r="C347">
            <v>2500</v>
          </cell>
        </row>
        <row r="348">
          <cell r="A348">
            <v>703004</v>
          </cell>
          <cell r="B348" t="str">
            <v>梨树种子</v>
          </cell>
          <cell r="C348">
            <v>2500</v>
          </cell>
        </row>
        <row r="349">
          <cell r="A349">
            <v>703006</v>
          </cell>
          <cell r="B349" t="str">
            <v>梅子树种子</v>
          </cell>
          <cell r="C349">
            <v>2500</v>
          </cell>
        </row>
        <row r="350">
          <cell r="A350">
            <v>703007</v>
          </cell>
          <cell r="B350" t="str">
            <v>核桃树种子</v>
          </cell>
          <cell r="C350">
            <v>2500</v>
          </cell>
        </row>
        <row r="351">
          <cell r="A351">
            <v>704001</v>
          </cell>
          <cell r="B351" t="str">
            <v>蓝十字花</v>
          </cell>
          <cell r="C351">
            <v>2500</v>
          </cell>
        </row>
        <row r="352">
          <cell r="A352">
            <v>704002</v>
          </cell>
          <cell r="B352" t="str">
            <v>红十字花</v>
          </cell>
          <cell r="C352">
            <v>2500</v>
          </cell>
        </row>
        <row r="353">
          <cell r="A353">
            <v>704003</v>
          </cell>
          <cell r="B353" t="str">
            <v>牡丹花</v>
          </cell>
          <cell r="C353">
            <v>2500</v>
          </cell>
        </row>
        <row r="354">
          <cell r="A354">
            <v>704004</v>
          </cell>
          <cell r="B354" t="str">
            <v>黄钻花</v>
          </cell>
          <cell r="C354">
            <v>2500</v>
          </cell>
        </row>
        <row r="355">
          <cell r="A355">
            <v>704005</v>
          </cell>
          <cell r="B355" t="str">
            <v>蓝钻花</v>
          </cell>
          <cell r="C355">
            <v>2500</v>
          </cell>
        </row>
        <row r="356">
          <cell r="A356">
            <v>704006</v>
          </cell>
          <cell r="B356" t="str">
            <v>风铃花</v>
          </cell>
          <cell r="C356">
            <v>2500</v>
          </cell>
        </row>
        <row r="357">
          <cell r="A357">
            <v>704007</v>
          </cell>
          <cell r="B357" t="str">
            <v>百合花</v>
          </cell>
          <cell r="C357">
            <v>2500</v>
          </cell>
        </row>
        <row r="358">
          <cell r="A358">
            <v>704008</v>
          </cell>
          <cell r="B358" t="str">
            <v>杜鹃花</v>
          </cell>
          <cell r="C358">
            <v>2500</v>
          </cell>
        </row>
        <row r="359">
          <cell r="A359">
            <v>704009</v>
          </cell>
          <cell r="B359" t="str">
            <v>四季玫瑰</v>
          </cell>
          <cell r="C359">
            <v>5000</v>
          </cell>
        </row>
        <row r="360">
          <cell r="A360">
            <v>704010</v>
          </cell>
          <cell r="B360" t="str">
            <v>生命之花</v>
          </cell>
          <cell r="C360">
            <v>5000</v>
          </cell>
        </row>
        <row r="361">
          <cell r="A361">
            <v>704011</v>
          </cell>
          <cell r="B361" t="str">
            <v>忘忧草</v>
          </cell>
          <cell r="C361">
            <v>5000</v>
          </cell>
        </row>
        <row r="362">
          <cell r="A362">
            <v>704012</v>
          </cell>
          <cell r="B362" t="str">
            <v>夏日浆果</v>
          </cell>
          <cell r="C362">
            <v>2500</v>
          </cell>
        </row>
        <row r="363">
          <cell r="A363">
            <v>704013</v>
          </cell>
          <cell r="B363" t="str">
            <v>秋日浆果</v>
          </cell>
          <cell r="C363">
            <v>2500</v>
          </cell>
        </row>
        <row r="364">
          <cell r="A364">
            <v>704014</v>
          </cell>
          <cell r="B364" t="str">
            <v>冬日浆果</v>
          </cell>
          <cell r="C364">
            <v>2500</v>
          </cell>
        </row>
        <row r="365">
          <cell r="A365">
            <v>704015</v>
          </cell>
          <cell r="B365" t="str">
            <v>樟树</v>
          </cell>
          <cell r="C365">
            <v>2500</v>
          </cell>
        </row>
        <row r="366">
          <cell r="A366">
            <v>704016</v>
          </cell>
          <cell r="B366" t="str">
            <v>榕树</v>
          </cell>
          <cell r="C366">
            <v>2500</v>
          </cell>
        </row>
        <row r="367">
          <cell r="A367">
            <v>704017</v>
          </cell>
          <cell r="B367" t="str">
            <v>梧桐</v>
          </cell>
          <cell r="C367">
            <v>2500</v>
          </cell>
        </row>
        <row r="368">
          <cell r="A368">
            <v>704018</v>
          </cell>
          <cell r="B368" t="str">
            <v>松树</v>
          </cell>
          <cell r="C368">
            <v>2500</v>
          </cell>
        </row>
        <row r="369">
          <cell r="A369">
            <v>704019</v>
          </cell>
          <cell r="B369" t="str">
            <v>枫树</v>
          </cell>
          <cell r="C369">
            <v>2500</v>
          </cell>
        </row>
        <row r="370">
          <cell r="A370">
            <v>704020</v>
          </cell>
          <cell r="B370" t="str">
            <v>桦树</v>
          </cell>
          <cell r="C370">
            <v>2500</v>
          </cell>
        </row>
        <row r="371">
          <cell r="A371">
            <v>705001</v>
          </cell>
          <cell r="B371" t="str">
            <v>农夫雕像</v>
          </cell>
          <cell r="C371">
            <v>10000</v>
          </cell>
        </row>
        <row r="372">
          <cell r="A372">
            <v>705002</v>
          </cell>
          <cell r="B372" t="str">
            <v>精灵雕像</v>
          </cell>
          <cell r="C372">
            <v>10000</v>
          </cell>
        </row>
        <row r="373">
          <cell r="A373">
            <v>705003</v>
          </cell>
          <cell r="B373" t="str">
            <v>士兵雕像</v>
          </cell>
          <cell r="C373">
            <v>10000</v>
          </cell>
        </row>
        <row r="374">
          <cell r="A374">
            <v>705004</v>
          </cell>
          <cell r="B374" t="str">
            <v>渔夫雕像</v>
          </cell>
          <cell r="C374">
            <v>10000</v>
          </cell>
        </row>
        <row r="375">
          <cell r="A375">
            <v>705005</v>
          </cell>
          <cell r="B375" t="str">
            <v>牧民雕像</v>
          </cell>
          <cell r="C375">
            <v>10000</v>
          </cell>
        </row>
        <row r="376">
          <cell r="A376">
            <v>705006</v>
          </cell>
          <cell r="B376" t="str">
            <v>BUG雕像</v>
          </cell>
          <cell r="C376">
            <v>10000</v>
          </cell>
        </row>
        <row r="377">
          <cell r="A377">
            <v>706001</v>
          </cell>
          <cell r="B377" t="str">
            <v>货船</v>
          </cell>
          <cell r="C377">
            <v>10000</v>
          </cell>
        </row>
        <row r="378">
          <cell r="A378">
            <v>706002</v>
          </cell>
          <cell r="B378" t="str">
            <v>战舰</v>
          </cell>
          <cell r="C378">
            <v>10000</v>
          </cell>
        </row>
        <row r="379">
          <cell r="A379">
            <v>706003</v>
          </cell>
          <cell r="B379" t="str">
            <v>巨型战舰</v>
          </cell>
          <cell r="C379">
            <v>10000</v>
          </cell>
        </row>
        <row r="380">
          <cell r="A380">
            <v>707001</v>
          </cell>
          <cell r="B380" t="str">
            <v>甘蔗种子</v>
          </cell>
          <cell r="C380">
            <v>10000</v>
          </cell>
        </row>
        <row r="381">
          <cell r="A381">
            <v>801001</v>
          </cell>
          <cell r="B381" t="str">
            <v>死亡的鸡</v>
          </cell>
          <cell r="C381">
            <v>0</v>
          </cell>
        </row>
        <row r="382">
          <cell r="A382">
            <v>801002</v>
          </cell>
          <cell r="B382" t="str">
            <v>死亡的羊</v>
          </cell>
          <cell r="C382">
            <v>0</v>
          </cell>
        </row>
        <row r="383">
          <cell r="A383">
            <v>801003</v>
          </cell>
          <cell r="B383" t="str">
            <v>死亡的牛</v>
          </cell>
          <cell r="C383">
            <v>0</v>
          </cell>
        </row>
        <row r="384">
          <cell r="A384">
            <v>801004</v>
          </cell>
          <cell r="B384" t="str">
            <v>死亡的马</v>
          </cell>
          <cell r="C384">
            <v>0</v>
          </cell>
        </row>
        <row r="385">
          <cell r="A385">
            <v>801005</v>
          </cell>
          <cell r="B385" t="str">
            <v>死亡的猪</v>
          </cell>
          <cell r="C385">
            <v>0</v>
          </cell>
        </row>
        <row r="386">
          <cell r="A386">
            <v>801006</v>
          </cell>
          <cell r="B386" t="str">
            <v>死亡的狼</v>
          </cell>
          <cell r="C386">
            <v>0</v>
          </cell>
        </row>
        <row r="387">
          <cell r="A387">
            <v>801007</v>
          </cell>
          <cell r="B387" t="str">
            <v>死亡的鹿</v>
          </cell>
          <cell r="C387">
            <v>0</v>
          </cell>
        </row>
        <row r="388">
          <cell r="A388">
            <v>801008</v>
          </cell>
          <cell r="B388" t="str">
            <v>死亡的白鹿</v>
          </cell>
          <cell r="C388">
            <v>0</v>
          </cell>
        </row>
        <row r="389">
          <cell r="A389">
            <v>801009</v>
          </cell>
          <cell r="B389" t="str">
            <v>死亡的梅花鹿</v>
          </cell>
          <cell r="C389">
            <v>0</v>
          </cell>
        </row>
        <row r="390">
          <cell r="A390">
            <v>802001</v>
          </cell>
          <cell r="B390" t="str">
            <v>种子商人贸易船</v>
          </cell>
          <cell r="C390">
            <v>0</v>
          </cell>
        </row>
        <row r="391">
          <cell r="A391">
            <v>802002</v>
          </cell>
          <cell r="B391" t="str">
            <v>食品商人贸易船</v>
          </cell>
          <cell r="C391">
            <v>0</v>
          </cell>
        </row>
        <row r="392">
          <cell r="A392">
            <v>802003</v>
          </cell>
          <cell r="B392" t="str">
            <v>杂货商人贸易船</v>
          </cell>
          <cell r="C392">
            <v>0</v>
          </cell>
        </row>
        <row r="393">
          <cell r="A393">
            <v>802004</v>
          </cell>
          <cell r="B393" t="str">
            <v>牲畜商人贸易船</v>
          </cell>
          <cell r="C393">
            <v>0</v>
          </cell>
        </row>
        <row r="394">
          <cell r="A394">
            <v>802005</v>
          </cell>
          <cell r="B394" t="str">
            <v>代购商人贸易船</v>
          </cell>
          <cell r="C394">
            <v>0</v>
          </cell>
        </row>
        <row r="395">
          <cell r="A395">
            <v>803001</v>
          </cell>
          <cell r="B395" t="str">
            <v>水</v>
          </cell>
          <cell r="C395">
            <v>0</v>
          </cell>
        </row>
        <row r="396">
          <cell r="A396">
            <v>804001</v>
          </cell>
          <cell r="B396" t="str">
            <v>尸体</v>
          </cell>
          <cell r="C396">
            <v>0</v>
          </cell>
        </row>
        <row r="397">
          <cell r="A397">
            <v>805001</v>
          </cell>
          <cell r="B397" t="str">
            <v>大鱼</v>
          </cell>
          <cell r="C397">
            <v>0</v>
          </cell>
        </row>
        <row r="398">
          <cell r="A398">
            <v>806001</v>
          </cell>
          <cell r="B398" t="str">
            <v>种子商人</v>
          </cell>
          <cell r="C398">
            <v>0</v>
          </cell>
        </row>
        <row r="399">
          <cell r="A399">
            <v>806002</v>
          </cell>
          <cell r="B399" t="str">
            <v>食品商人</v>
          </cell>
          <cell r="C399">
            <v>0</v>
          </cell>
        </row>
        <row r="400">
          <cell r="A400">
            <v>806003</v>
          </cell>
          <cell r="B400" t="str">
            <v>杂货商人</v>
          </cell>
          <cell r="C400">
            <v>0</v>
          </cell>
        </row>
        <row r="401">
          <cell r="A401">
            <v>806004</v>
          </cell>
          <cell r="B401" t="str">
            <v>牲畜商人</v>
          </cell>
          <cell r="C401">
            <v>0</v>
          </cell>
        </row>
        <row r="402">
          <cell r="A402">
            <v>806005</v>
          </cell>
          <cell r="B402" t="str">
            <v>两轮马车</v>
          </cell>
          <cell r="C402">
            <v>0</v>
          </cell>
        </row>
        <row r="403">
          <cell r="A403">
            <v>806006</v>
          </cell>
          <cell r="B403" t="str">
            <v>四轮马车</v>
          </cell>
          <cell r="C403">
            <v>0</v>
          </cell>
        </row>
        <row r="404">
          <cell r="A404">
            <v>807001</v>
          </cell>
          <cell r="B404" t="str">
            <v>马战车</v>
          </cell>
          <cell r="C404">
            <v>5000</v>
          </cell>
        </row>
        <row r="405">
          <cell r="A405">
            <v>807002</v>
          </cell>
          <cell r="B405" t="str">
            <v>狼战车</v>
          </cell>
          <cell r="C405">
            <v>5000</v>
          </cell>
        </row>
        <row r="406">
          <cell r="A406">
            <v>807003</v>
          </cell>
          <cell r="B406" t="str">
            <v>猪战车</v>
          </cell>
          <cell r="C406">
            <v>5000</v>
          </cell>
        </row>
        <row r="407">
          <cell r="A407">
            <v>808001</v>
          </cell>
          <cell r="B407" t="str">
            <v>???</v>
          </cell>
          <cell r="C407">
            <v>0</v>
          </cell>
        </row>
        <row r="408">
          <cell r="A408">
            <v>809001</v>
          </cell>
          <cell r="B408" t="str">
            <v>鼻涕</v>
          </cell>
          <cell r="C408">
            <v>0</v>
          </cell>
        </row>
        <row r="409">
          <cell r="A409">
            <v>810001</v>
          </cell>
          <cell r="B409" t="str">
            <v>宝藏标记</v>
          </cell>
          <cell r="C409">
            <v>0</v>
          </cell>
        </row>
        <row r="410">
          <cell r="A410">
            <v>810002</v>
          </cell>
          <cell r="B410" t="str">
            <v>宝箱</v>
          </cell>
          <cell r="C410">
            <v>0</v>
          </cell>
        </row>
        <row r="411">
          <cell r="A411">
            <v>811001</v>
          </cell>
          <cell r="B411" t="str">
            <v>生命之力</v>
          </cell>
          <cell r="C411">
            <v>0</v>
          </cell>
        </row>
        <row r="412">
          <cell r="A412">
            <v>812000</v>
          </cell>
          <cell r="B412" t="str">
            <v>矮人</v>
          </cell>
          <cell r="C412">
            <v>0</v>
          </cell>
        </row>
        <row r="413">
          <cell r="A413">
            <v>812001</v>
          </cell>
          <cell r="B413" t="str">
            <v>蚁人</v>
          </cell>
          <cell r="C413">
            <v>0</v>
          </cell>
        </row>
        <row r="414">
          <cell r="A414">
            <v>812002</v>
          </cell>
          <cell r="B414" t="str">
            <v>鼠人</v>
          </cell>
          <cell r="C414">
            <v>0</v>
          </cell>
        </row>
        <row r="415">
          <cell r="A415">
            <v>812003</v>
          </cell>
          <cell r="B415" t="str">
            <v>猫人</v>
          </cell>
          <cell r="C415">
            <v>0</v>
          </cell>
        </row>
        <row r="416">
          <cell r="A416">
            <v>812004</v>
          </cell>
          <cell r="B416" t="str">
            <v>羊人</v>
          </cell>
          <cell r="C416">
            <v>0</v>
          </cell>
        </row>
        <row r="417">
          <cell r="A417">
            <v>812005</v>
          </cell>
          <cell r="B417" t="str">
            <v>狼人</v>
          </cell>
          <cell r="C417">
            <v>0</v>
          </cell>
        </row>
        <row r="418">
          <cell r="A418">
            <v>812006</v>
          </cell>
          <cell r="B418" t="str">
            <v>猪人</v>
          </cell>
          <cell r="C418">
            <v>0</v>
          </cell>
        </row>
        <row r="419">
          <cell r="A419">
            <v>812007</v>
          </cell>
          <cell r="B419" t="str">
            <v>精灵族</v>
          </cell>
          <cell r="C419">
            <v>0</v>
          </cell>
        </row>
        <row r="420">
          <cell r="A420">
            <v>812008</v>
          </cell>
          <cell r="B420" t="str">
            <v>三眼人</v>
          </cell>
          <cell r="C420">
            <v>0</v>
          </cell>
        </row>
        <row r="421">
          <cell r="A421">
            <v>812009</v>
          </cell>
          <cell r="B421" t="str">
            <v>蜥蜴人</v>
          </cell>
          <cell r="C421">
            <v>0</v>
          </cell>
        </row>
        <row r="422">
          <cell r="A422">
            <v>813001</v>
          </cell>
          <cell r="B422" t="str">
            <v>蜜糖派对</v>
          </cell>
          <cell r="C422">
            <v>0</v>
          </cell>
        </row>
        <row r="423">
          <cell r="A423">
            <v>813002</v>
          </cell>
          <cell r="B423" t="str">
            <v>药茶品鉴会</v>
          </cell>
          <cell r="C423">
            <v>0</v>
          </cell>
        </row>
        <row r="424">
          <cell r="A424">
            <v>813003</v>
          </cell>
          <cell r="B424" t="str">
            <v>水果蔬菜沙龙</v>
          </cell>
          <cell r="C424">
            <v>0</v>
          </cell>
        </row>
        <row r="425">
          <cell r="A425">
            <v>813004</v>
          </cell>
          <cell r="B425" t="str">
            <v>酒神狂欢节</v>
          </cell>
          <cell r="C425">
            <v>0</v>
          </cell>
        </row>
        <row r="426">
          <cell r="A426">
            <v>813005</v>
          </cell>
          <cell r="B426" t="str">
            <v>黑暗料理派对</v>
          </cell>
          <cell r="C426">
            <v>0</v>
          </cell>
        </row>
        <row r="427">
          <cell r="A427">
            <v>813006</v>
          </cell>
          <cell r="B427" t="str">
            <v>鱼肉生鲜派对</v>
          </cell>
          <cell r="C427">
            <v>0</v>
          </cell>
        </row>
        <row r="428">
          <cell r="A428">
            <v>813007</v>
          </cell>
          <cell r="B428" t="str">
            <v>宝石品鉴会</v>
          </cell>
          <cell r="C428">
            <v>0</v>
          </cell>
        </row>
        <row r="429">
          <cell r="A429">
            <v>813008</v>
          </cell>
          <cell r="B429" t="str">
            <v>文化研讨会</v>
          </cell>
          <cell r="C429">
            <v>0</v>
          </cell>
        </row>
        <row r="430">
          <cell r="A430">
            <v>813009</v>
          </cell>
          <cell r="B430" t="str">
            <v>贵族派对</v>
          </cell>
          <cell r="C430">
            <v>0</v>
          </cell>
        </row>
        <row r="431">
          <cell r="A431">
            <v>814001</v>
          </cell>
          <cell r="B431" t="str">
            <v>青青草原</v>
          </cell>
          <cell r="C431">
            <v>0</v>
          </cell>
        </row>
        <row r="432">
          <cell r="A432">
            <v>814002</v>
          </cell>
          <cell r="B432" t="str">
            <v>北部森林</v>
          </cell>
          <cell r="C432">
            <v>0</v>
          </cell>
        </row>
        <row r="433">
          <cell r="A433">
            <v>814003</v>
          </cell>
          <cell r="B433" t="str">
            <v>无人荒野</v>
          </cell>
          <cell r="C433">
            <v>0</v>
          </cell>
        </row>
        <row r="434">
          <cell r="A434">
            <v>814004</v>
          </cell>
          <cell r="B434" t="str">
            <v>黄昏森林</v>
          </cell>
          <cell r="C434">
            <v>0</v>
          </cell>
        </row>
        <row r="435">
          <cell r="A435">
            <v>814005</v>
          </cell>
          <cell r="B435" t="str">
            <v>野蛮荒野</v>
          </cell>
          <cell r="C435">
            <v>0</v>
          </cell>
        </row>
        <row r="436">
          <cell r="A436">
            <v>814006</v>
          </cell>
          <cell r="B436" t="str">
            <v>迷雾山峰</v>
          </cell>
          <cell r="C436">
            <v>0</v>
          </cell>
        </row>
        <row r="437">
          <cell r="A437">
            <v>814007</v>
          </cell>
          <cell r="B437" t="str">
            <v>滨海平原</v>
          </cell>
          <cell r="C437">
            <v>0</v>
          </cell>
        </row>
        <row r="438">
          <cell r="A438">
            <v>814008</v>
          </cell>
          <cell r="B438" t="str">
            <v>恶魔海角</v>
          </cell>
          <cell r="C438">
            <v>0</v>
          </cell>
        </row>
        <row r="439">
          <cell r="A439">
            <v>814009</v>
          </cell>
          <cell r="B439" t="str">
            <v>龙之平原</v>
          </cell>
          <cell r="C439">
            <v>0</v>
          </cell>
        </row>
        <row r="440">
          <cell r="A440">
            <v>814010</v>
          </cell>
          <cell r="B440" t="str">
            <v>龙之峡谷</v>
          </cell>
          <cell r="C440">
            <v>0</v>
          </cell>
        </row>
        <row r="441">
          <cell r="A441">
            <v>815001</v>
          </cell>
          <cell r="B441" t="str">
            <v>龙魂石</v>
          </cell>
          <cell r="C441">
            <v>20000</v>
          </cell>
        </row>
        <row r="442">
          <cell r="A442">
            <v>815002</v>
          </cell>
          <cell r="B442" t="str">
            <v>龙鳞</v>
          </cell>
          <cell r="C442">
            <v>20000</v>
          </cell>
        </row>
        <row r="443">
          <cell r="A443">
            <v>815003</v>
          </cell>
          <cell r="B443" t="str">
            <v>龙晶</v>
          </cell>
          <cell r="C443">
            <v>20000</v>
          </cell>
        </row>
        <row r="444">
          <cell r="A444">
            <v>815004</v>
          </cell>
          <cell r="B444" t="str">
            <v>龙髓</v>
          </cell>
          <cell r="C444">
            <v>20000</v>
          </cell>
        </row>
        <row r="445">
          <cell r="A445">
            <v>815005</v>
          </cell>
          <cell r="B445" t="str">
            <v>龙蕊</v>
          </cell>
          <cell r="C445">
            <v>20000</v>
          </cell>
        </row>
        <row r="446">
          <cell r="A446">
            <v>901001</v>
          </cell>
          <cell r="B446" t="str">
            <v>一神教</v>
          </cell>
          <cell r="C446">
            <v>0</v>
          </cell>
        </row>
        <row r="447">
          <cell r="A447">
            <v>901002</v>
          </cell>
          <cell r="B447" t="str">
            <v>仁义道</v>
          </cell>
          <cell r="C447">
            <v>0</v>
          </cell>
        </row>
        <row r="448">
          <cell r="A448">
            <v>901004</v>
          </cell>
          <cell r="B448" t="str">
            <v>萨满教</v>
          </cell>
          <cell r="C448">
            <v>0</v>
          </cell>
        </row>
        <row r="449">
          <cell r="A449">
            <v>902002</v>
          </cell>
          <cell r="B449" t="str">
            <v>登山技术</v>
          </cell>
          <cell r="C449">
            <v>2000</v>
          </cell>
        </row>
        <row r="450">
          <cell r="A450">
            <v>902003</v>
          </cell>
          <cell r="B450" t="str">
            <v>石匠技术</v>
          </cell>
          <cell r="C450">
            <v>500</v>
          </cell>
        </row>
        <row r="451">
          <cell r="A451">
            <v>902004</v>
          </cell>
          <cell r="B451" t="str">
            <v>周转箱</v>
          </cell>
          <cell r="C451">
            <v>1000</v>
          </cell>
        </row>
        <row r="452">
          <cell r="A452">
            <v>902005</v>
          </cell>
          <cell r="B452" t="str">
            <v>贸易</v>
          </cell>
          <cell r="C452">
            <v>1000</v>
          </cell>
        </row>
        <row r="453">
          <cell r="A453">
            <v>902007</v>
          </cell>
          <cell r="B453" t="str">
            <v>酿酒</v>
          </cell>
          <cell r="C453">
            <v>500</v>
          </cell>
        </row>
        <row r="454">
          <cell r="A454">
            <v>902008</v>
          </cell>
          <cell r="B454" t="str">
            <v>教育</v>
          </cell>
          <cell r="C454">
            <v>1000</v>
          </cell>
        </row>
        <row r="455">
          <cell r="A455">
            <v>902009</v>
          </cell>
          <cell r="B455" t="str">
            <v>文化信仰</v>
          </cell>
          <cell r="C455">
            <v>2000</v>
          </cell>
        </row>
        <row r="456">
          <cell r="A456">
            <v>902010</v>
          </cell>
          <cell r="B456" t="str">
            <v>医疗</v>
          </cell>
          <cell r="C456">
            <v>1500</v>
          </cell>
        </row>
        <row r="457">
          <cell r="A457">
            <v>902011</v>
          </cell>
          <cell r="B457" t="str">
            <v>制药</v>
          </cell>
          <cell r="C457">
            <v>1500</v>
          </cell>
        </row>
        <row r="458">
          <cell r="A458">
            <v>902012</v>
          </cell>
          <cell r="B458" t="str">
            <v>轮伐护林</v>
          </cell>
          <cell r="C458">
            <v>500</v>
          </cell>
        </row>
        <row r="459">
          <cell r="A459">
            <v>902013</v>
          </cell>
          <cell r="B459" t="str">
            <v>手工制造</v>
          </cell>
          <cell r="C459">
            <v>500</v>
          </cell>
        </row>
        <row r="460">
          <cell r="A460">
            <v>902014</v>
          </cell>
          <cell r="B460" t="str">
            <v>地下采矿</v>
          </cell>
          <cell r="C460">
            <v>2000</v>
          </cell>
        </row>
        <row r="461">
          <cell r="A461">
            <v>902015</v>
          </cell>
          <cell r="B461" t="str">
            <v>地下采石</v>
          </cell>
          <cell r="C461">
            <v>2000</v>
          </cell>
        </row>
        <row r="462">
          <cell r="A462">
            <v>902016</v>
          </cell>
          <cell r="B462" t="str">
            <v>福利事业</v>
          </cell>
          <cell r="C462">
            <v>2000</v>
          </cell>
        </row>
        <row r="463">
          <cell r="A463">
            <v>902017</v>
          </cell>
          <cell r="B463" t="str">
            <v>水井</v>
          </cell>
          <cell r="C463">
            <v>2000</v>
          </cell>
        </row>
        <row r="464">
          <cell r="A464">
            <v>902018</v>
          </cell>
          <cell r="B464" t="str">
            <v>施肥增产</v>
          </cell>
          <cell r="C464">
            <v>2000</v>
          </cell>
        </row>
        <row r="465">
          <cell r="A465">
            <v>902019</v>
          </cell>
          <cell r="B465" t="str">
            <v>成片播种</v>
          </cell>
          <cell r="C465">
            <v>2000</v>
          </cell>
        </row>
        <row r="466">
          <cell r="A466">
            <v>902020</v>
          </cell>
          <cell r="B466" t="str">
            <v>成片浇水</v>
          </cell>
          <cell r="C466">
            <v>2000</v>
          </cell>
        </row>
        <row r="467">
          <cell r="A467">
            <v>902021</v>
          </cell>
          <cell r="B467" t="str">
            <v>成片收割</v>
          </cell>
          <cell r="C467">
            <v>2000</v>
          </cell>
        </row>
        <row r="468">
          <cell r="A468">
            <v>902022</v>
          </cell>
          <cell r="B468" t="str">
            <v>采集</v>
          </cell>
          <cell r="C468">
            <v>2000</v>
          </cell>
        </row>
        <row r="469">
          <cell r="A469">
            <v>902023</v>
          </cell>
          <cell r="B469" t="str">
            <v>捕兽夹</v>
          </cell>
          <cell r="C469">
            <v>2000</v>
          </cell>
        </row>
        <row r="470">
          <cell r="A470">
            <v>902024</v>
          </cell>
          <cell r="B470" t="str">
            <v>蟹笼</v>
          </cell>
          <cell r="C470">
            <v>2000</v>
          </cell>
        </row>
        <row r="471">
          <cell r="A471">
            <v>902025</v>
          </cell>
          <cell r="B471" t="str">
            <v>军事</v>
          </cell>
          <cell r="C471">
            <v>2000</v>
          </cell>
        </row>
        <row r="472">
          <cell r="A472">
            <v>902032</v>
          </cell>
          <cell r="B472" t="str">
            <v>一神教思想</v>
          </cell>
          <cell r="C472">
            <v>2000</v>
          </cell>
        </row>
        <row r="473">
          <cell r="A473">
            <v>902033</v>
          </cell>
          <cell r="B473" t="str">
            <v>仁义道思想</v>
          </cell>
          <cell r="C473">
            <v>2000</v>
          </cell>
        </row>
        <row r="474">
          <cell r="A474">
            <v>902034</v>
          </cell>
          <cell r="B474" t="str">
            <v>狩猎</v>
          </cell>
          <cell r="C474">
            <v>2000</v>
          </cell>
        </row>
        <row r="475">
          <cell r="A475">
            <v>902035</v>
          </cell>
          <cell r="B475" t="str">
            <v>捕鱼</v>
          </cell>
          <cell r="C475">
            <v>2000</v>
          </cell>
        </row>
        <row r="476">
          <cell r="A476">
            <v>902036</v>
          </cell>
          <cell r="B476" t="str">
            <v>种植</v>
          </cell>
          <cell r="C476">
            <v>2000</v>
          </cell>
        </row>
        <row r="477">
          <cell r="A477">
            <v>902037</v>
          </cell>
          <cell r="B477" t="str">
            <v>养殖</v>
          </cell>
          <cell r="C477">
            <v>2000</v>
          </cell>
        </row>
        <row r="478">
          <cell r="A478">
            <v>902038</v>
          </cell>
          <cell r="B478" t="str">
            <v>养蜂</v>
          </cell>
          <cell r="C478">
            <v>2000</v>
          </cell>
        </row>
        <row r="479">
          <cell r="A479">
            <v>902039</v>
          </cell>
          <cell r="B479" t="str">
            <v>盆栽</v>
          </cell>
          <cell r="C479">
            <v>2000</v>
          </cell>
        </row>
        <row r="480">
          <cell r="A480">
            <v>902049</v>
          </cell>
          <cell r="B480" t="str">
            <v>普通武器</v>
          </cell>
          <cell r="C480">
            <v>2000</v>
          </cell>
        </row>
        <row r="481">
          <cell r="A481">
            <v>902026</v>
          </cell>
          <cell r="B481" t="str">
            <v>优良武器</v>
          </cell>
          <cell r="C481">
            <v>2000</v>
          </cell>
        </row>
        <row r="482">
          <cell r="A482">
            <v>902029</v>
          </cell>
          <cell r="B482" t="str">
            <v>高级武器</v>
          </cell>
          <cell r="C482">
            <v>2000</v>
          </cell>
        </row>
        <row r="483">
          <cell r="A483">
            <v>902040</v>
          </cell>
          <cell r="B483" t="str">
            <v>稀有武器</v>
          </cell>
          <cell r="C483">
            <v>2000</v>
          </cell>
        </row>
        <row r="484">
          <cell r="A484">
            <v>902043</v>
          </cell>
          <cell r="B484" t="str">
            <v>特殊武器</v>
          </cell>
          <cell r="C484">
            <v>2000</v>
          </cell>
        </row>
        <row r="485">
          <cell r="A485">
            <v>902046</v>
          </cell>
          <cell r="B485" t="str">
            <v>极品武器</v>
          </cell>
          <cell r="C485">
            <v>2000</v>
          </cell>
        </row>
        <row r="486">
          <cell r="A486">
            <v>902068</v>
          </cell>
          <cell r="B486" t="str">
            <v>传说武器</v>
          </cell>
          <cell r="C486">
            <v>2000</v>
          </cell>
        </row>
        <row r="487">
          <cell r="A487">
            <v>902071</v>
          </cell>
          <cell r="B487" t="str">
            <v>史诗武器</v>
          </cell>
          <cell r="C487">
            <v>2000</v>
          </cell>
        </row>
        <row r="488">
          <cell r="A488">
            <v>902050</v>
          </cell>
          <cell r="B488" t="str">
            <v>普通盔甲</v>
          </cell>
          <cell r="C488">
            <v>2000</v>
          </cell>
        </row>
        <row r="489">
          <cell r="A489">
            <v>902027</v>
          </cell>
          <cell r="B489" t="str">
            <v>优良盔甲</v>
          </cell>
          <cell r="C489">
            <v>2000</v>
          </cell>
        </row>
        <row r="490">
          <cell r="A490">
            <v>902030</v>
          </cell>
          <cell r="B490" t="str">
            <v>高级盔甲</v>
          </cell>
          <cell r="C490">
            <v>2000</v>
          </cell>
        </row>
        <row r="491">
          <cell r="A491">
            <v>902041</v>
          </cell>
          <cell r="B491" t="str">
            <v>稀有盔甲</v>
          </cell>
          <cell r="C491">
            <v>2000</v>
          </cell>
        </row>
        <row r="492">
          <cell r="A492">
            <v>902044</v>
          </cell>
          <cell r="B492" t="str">
            <v>特殊盔甲</v>
          </cell>
          <cell r="C492">
            <v>2000</v>
          </cell>
        </row>
        <row r="493">
          <cell r="A493">
            <v>902047</v>
          </cell>
          <cell r="B493" t="str">
            <v>极品盔甲</v>
          </cell>
          <cell r="C493">
            <v>2000</v>
          </cell>
        </row>
        <row r="494">
          <cell r="A494">
            <v>902069</v>
          </cell>
          <cell r="B494" t="str">
            <v>传说盔甲</v>
          </cell>
          <cell r="C494">
            <v>2000</v>
          </cell>
        </row>
        <row r="495">
          <cell r="A495">
            <v>902072</v>
          </cell>
          <cell r="B495" t="str">
            <v>史诗盔甲</v>
          </cell>
          <cell r="C495">
            <v>2000</v>
          </cell>
        </row>
        <row r="496">
          <cell r="A496">
            <v>902051</v>
          </cell>
          <cell r="B496" t="str">
            <v>普通盾牌</v>
          </cell>
          <cell r="C496">
            <v>2000</v>
          </cell>
        </row>
        <row r="497">
          <cell r="A497">
            <v>902028</v>
          </cell>
          <cell r="B497" t="str">
            <v>优良盾牌</v>
          </cell>
          <cell r="C497">
            <v>2000</v>
          </cell>
        </row>
        <row r="498">
          <cell r="A498">
            <v>902031</v>
          </cell>
          <cell r="B498" t="str">
            <v>高级盾牌</v>
          </cell>
          <cell r="C498">
            <v>2000</v>
          </cell>
        </row>
        <row r="499">
          <cell r="A499">
            <v>902042</v>
          </cell>
          <cell r="B499" t="str">
            <v>稀有盾牌</v>
          </cell>
          <cell r="C499">
            <v>2000</v>
          </cell>
        </row>
        <row r="500">
          <cell r="A500">
            <v>902045</v>
          </cell>
          <cell r="B500" t="str">
            <v>特殊盾牌</v>
          </cell>
          <cell r="C500">
            <v>2000</v>
          </cell>
        </row>
        <row r="501">
          <cell r="A501">
            <v>902048</v>
          </cell>
          <cell r="B501" t="str">
            <v>极品盾牌</v>
          </cell>
          <cell r="C501">
            <v>2000</v>
          </cell>
        </row>
        <row r="502">
          <cell r="A502">
            <v>902070</v>
          </cell>
          <cell r="B502" t="str">
            <v>传说盾牌</v>
          </cell>
          <cell r="C502">
            <v>2000</v>
          </cell>
        </row>
        <row r="503">
          <cell r="A503">
            <v>902073</v>
          </cell>
          <cell r="B503" t="str">
            <v>史诗盾牌</v>
          </cell>
          <cell r="C503">
            <v>2000</v>
          </cell>
        </row>
        <row r="504">
          <cell r="A504">
            <v>902052</v>
          </cell>
          <cell r="B504" t="str">
            <v>锻造</v>
          </cell>
          <cell r="C504">
            <v>2000</v>
          </cell>
        </row>
        <row r="505">
          <cell r="A505">
            <v>902053</v>
          </cell>
          <cell r="B505" t="str">
            <v>弓矢</v>
          </cell>
          <cell r="C505">
            <v>2000</v>
          </cell>
        </row>
        <row r="506">
          <cell r="A506">
            <v>902054</v>
          </cell>
          <cell r="B506" t="str">
            <v>弩机</v>
          </cell>
          <cell r="C506">
            <v>2000</v>
          </cell>
        </row>
        <row r="507">
          <cell r="A507">
            <v>902055</v>
          </cell>
          <cell r="B507" t="str">
            <v>盾牌</v>
          </cell>
          <cell r="C507">
            <v>2000</v>
          </cell>
        </row>
        <row r="508">
          <cell r="A508">
            <v>902056</v>
          </cell>
          <cell r="B508" t="str">
            <v>巨盾</v>
          </cell>
          <cell r="C508">
            <v>2000</v>
          </cell>
        </row>
        <row r="509">
          <cell r="A509">
            <v>902057</v>
          </cell>
          <cell r="B509" t="str">
            <v>骑射</v>
          </cell>
          <cell r="C509">
            <v>2000</v>
          </cell>
        </row>
        <row r="510">
          <cell r="A510">
            <v>902059</v>
          </cell>
          <cell r="B510" t="str">
            <v>人伦书</v>
          </cell>
          <cell r="C510">
            <v>2000</v>
          </cell>
        </row>
        <row r="511">
          <cell r="A511">
            <v>902060</v>
          </cell>
          <cell r="B511" t="str">
            <v>轮回书</v>
          </cell>
          <cell r="C511">
            <v>2000</v>
          </cell>
        </row>
        <row r="512">
          <cell r="A512">
            <v>902061</v>
          </cell>
          <cell r="B512" t="str">
            <v>货架</v>
          </cell>
          <cell r="C512">
            <v>1000</v>
          </cell>
        </row>
        <row r="513">
          <cell r="A513">
            <v>902063</v>
          </cell>
          <cell r="B513" t="str">
            <v>填水造陆</v>
          </cell>
          <cell r="C513">
            <v>1000</v>
          </cell>
        </row>
        <row r="514">
          <cell r="A514">
            <v>902064</v>
          </cell>
          <cell r="B514" t="str">
            <v>开挖河道</v>
          </cell>
          <cell r="C514">
            <v>1000</v>
          </cell>
        </row>
        <row r="515">
          <cell r="A515">
            <v>902065</v>
          </cell>
          <cell r="B515" t="str">
            <v>边境贸易</v>
          </cell>
          <cell r="C515">
            <v>1000</v>
          </cell>
        </row>
        <row r="516">
          <cell r="A516">
            <v>902066</v>
          </cell>
          <cell r="B516" t="str">
            <v>马车运输</v>
          </cell>
          <cell r="C516">
            <v>1000</v>
          </cell>
        </row>
        <row r="517">
          <cell r="A517">
            <v>902074</v>
          </cell>
          <cell r="B517" t="str">
            <v>牢房</v>
          </cell>
          <cell r="C517">
            <v>2000</v>
          </cell>
        </row>
        <row r="518">
          <cell r="A518">
            <v>902075</v>
          </cell>
          <cell r="B518" t="str">
            <v>壁炉</v>
          </cell>
          <cell r="C518">
            <v>500</v>
          </cell>
        </row>
        <row r="519">
          <cell r="A519">
            <v>902077</v>
          </cell>
          <cell r="B519" t="str">
            <v>个人意识</v>
          </cell>
          <cell r="C519">
            <v>500</v>
          </cell>
        </row>
        <row r="520">
          <cell r="A520">
            <v>902078</v>
          </cell>
          <cell r="B520" t="str">
            <v>灵感</v>
          </cell>
          <cell r="C520">
            <v>500</v>
          </cell>
        </row>
        <row r="521">
          <cell r="A521">
            <v>902080</v>
          </cell>
          <cell r="B521" t="str">
            <v>勇气</v>
          </cell>
          <cell r="C521">
            <v>500</v>
          </cell>
        </row>
        <row r="522">
          <cell r="A522">
            <v>902081</v>
          </cell>
          <cell r="B522" t="str">
            <v>自由恋爱</v>
          </cell>
          <cell r="C522">
            <v>500</v>
          </cell>
        </row>
        <row r="523">
          <cell r="A523">
            <v>902082</v>
          </cell>
          <cell r="B523" t="str">
            <v>惩罚制度</v>
          </cell>
          <cell r="C523">
            <v>500</v>
          </cell>
        </row>
        <row r="524">
          <cell r="A524">
            <v>902083</v>
          </cell>
          <cell r="B524" t="str">
            <v>奖励制度</v>
          </cell>
          <cell r="C524">
            <v>500</v>
          </cell>
        </row>
        <row r="525">
          <cell r="A525">
            <v>902084</v>
          </cell>
          <cell r="B525" t="str">
            <v>怪物驯化</v>
          </cell>
          <cell r="C525">
            <v>500</v>
          </cell>
        </row>
        <row r="526">
          <cell r="A526">
            <v>902085</v>
          </cell>
          <cell r="B526" t="str">
            <v>农夫雕像</v>
          </cell>
          <cell r="C526">
            <v>500</v>
          </cell>
        </row>
        <row r="527">
          <cell r="A527">
            <v>902086</v>
          </cell>
          <cell r="B527" t="str">
            <v>精灵雕像</v>
          </cell>
          <cell r="C527">
            <v>500</v>
          </cell>
        </row>
        <row r="528">
          <cell r="A528">
            <v>902087</v>
          </cell>
          <cell r="B528" t="str">
            <v>士兵雕像</v>
          </cell>
          <cell r="C528">
            <v>500</v>
          </cell>
        </row>
        <row r="529">
          <cell r="A529">
            <v>902088</v>
          </cell>
          <cell r="B529" t="str">
            <v>渔夫雕像</v>
          </cell>
          <cell r="C529">
            <v>500</v>
          </cell>
        </row>
        <row r="530">
          <cell r="A530">
            <v>902089</v>
          </cell>
          <cell r="B530" t="str">
            <v>牧民雕像</v>
          </cell>
          <cell r="C530">
            <v>500</v>
          </cell>
        </row>
        <row r="531">
          <cell r="A531">
            <v>902090</v>
          </cell>
          <cell r="B531" t="str">
            <v>城墙</v>
          </cell>
          <cell r="C531">
            <v>500</v>
          </cell>
        </row>
        <row r="532">
          <cell r="A532">
            <v>902091</v>
          </cell>
          <cell r="B532" t="str">
            <v>开山采石</v>
          </cell>
          <cell r="C532">
            <v>500</v>
          </cell>
        </row>
        <row r="533">
          <cell r="A533">
            <v>902092</v>
          </cell>
          <cell r="B533" t="str">
            <v>大炮</v>
          </cell>
          <cell r="C533">
            <v>500</v>
          </cell>
        </row>
        <row r="534">
          <cell r="A534">
            <v>902093</v>
          </cell>
          <cell r="B534" t="str">
            <v>战舰</v>
          </cell>
          <cell r="C534">
            <v>500</v>
          </cell>
        </row>
        <row r="535">
          <cell r="A535">
            <v>902094</v>
          </cell>
          <cell r="B535" t="str">
            <v>航海术</v>
          </cell>
          <cell r="C535">
            <v>500</v>
          </cell>
        </row>
        <row r="536">
          <cell r="A536">
            <v>902095</v>
          </cell>
          <cell r="B536" t="str">
            <v>巨型战舰</v>
          </cell>
          <cell r="C536">
            <v>500</v>
          </cell>
        </row>
        <row r="537">
          <cell r="A537">
            <v>902096</v>
          </cell>
          <cell r="B537" t="str">
            <v>方尖碑</v>
          </cell>
          <cell r="C537">
            <v>500</v>
          </cell>
        </row>
        <row r="538">
          <cell r="A538">
            <v>902097</v>
          </cell>
          <cell r="B538" t="str">
            <v>铁弹</v>
          </cell>
          <cell r="C538">
            <v>500</v>
          </cell>
        </row>
        <row r="539">
          <cell r="A539">
            <v>902098</v>
          </cell>
          <cell r="B539" t="str">
            <v>弹道</v>
          </cell>
          <cell r="C539">
            <v>500</v>
          </cell>
        </row>
        <row r="540">
          <cell r="A540">
            <v>902099</v>
          </cell>
          <cell r="B540" t="str">
            <v>旅店</v>
          </cell>
          <cell r="C540">
            <v>500</v>
          </cell>
        </row>
        <row r="541">
          <cell r="A541">
            <v>902100</v>
          </cell>
          <cell r="B541" t="str">
            <v>巨型炸弹</v>
          </cell>
          <cell r="C541">
            <v>500</v>
          </cell>
        </row>
        <row r="542">
          <cell r="A542">
            <v>902101</v>
          </cell>
          <cell r="B542" t="str">
            <v>泰坦祭坛</v>
          </cell>
          <cell r="C542">
            <v>500</v>
          </cell>
        </row>
        <row r="543">
          <cell r="A543">
            <v>902102</v>
          </cell>
          <cell r="B543" t="str">
            <v>深井开采</v>
          </cell>
          <cell r="C543">
            <v>500</v>
          </cell>
        </row>
        <row r="544">
          <cell r="A544">
            <v>902103</v>
          </cell>
          <cell r="B544" t="str">
            <v>法杖</v>
          </cell>
          <cell r="C544">
            <v>500</v>
          </cell>
        </row>
        <row r="545">
          <cell r="A545">
            <v>902104</v>
          </cell>
          <cell r="B545" t="str">
            <v>地下穴居</v>
          </cell>
          <cell r="C545">
            <v>500</v>
          </cell>
        </row>
        <row r="546">
          <cell r="A546">
            <v>902105</v>
          </cell>
          <cell r="B546" t="str">
            <v>传送门</v>
          </cell>
          <cell r="C546">
            <v>500</v>
          </cell>
        </row>
        <row r="547">
          <cell r="A547">
            <v>902106</v>
          </cell>
          <cell r="B547" t="str">
            <v>节日庆典</v>
          </cell>
          <cell r="C547">
            <v>500</v>
          </cell>
        </row>
        <row r="548">
          <cell r="A548">
            <v>902108</v>
          </cell>
          <cell r="B548" t="str">
            <v>钩爪</v>
          </cell>
          <cell r="C548">
            <v>500</v>
          </cell>
        </row>
        <row r="549">
          <cell r="A549">
            <v>902109</v>
          </cell>
          <cell r="B549" t="str">
            <v>成片施肥</v>
          </cell>
          <cell r="C549">
            <v>500</v>
          </cell>
        </row>
        <row r="550">
          <cell r="A550">
            <v>902110</v>
          </cell>
          <cell r="B550" t="str">
            <v>尚武精神</v>
          </cell>
          <cell r="C550">
            <v>500</v>
          </cell>
        </row>
        <row r="551">
          <cell r="A551">
            <v>902111</v>
          </cell>
          <cell r="B551" t="str">
            <v>人口政策</v>
          </cell>
          <cell r="C551">
            <v>500</v>
          </cell>
        </row>
        <row r="552">
          <cell r="A552">
            <v>902112</v>
          </cell>
          <cell r="B552" t="str">
            <v>启蒙书</v>
          </cell>
          <cell r="C552">
            <v>500</v>
          </cell>
        </row>
        <row r="553">
          <cell r="A553">
            <v>902113</v>
          </cell>
          <cell r="B553" t="str">
            <v>磨坊</v>
          </cell>
          <cell r="C553">
            <v>500</v>
          </cell>
        </row>
        <row r="554">
          <cell r="A554">
            <v>902114</v>
          </cell>
          <cell r="B554" t="str">
            <v>心灵书</v>
          </cell>
          <cell r="C554">
            <v>500</v>
          </cell>
        </row>
        <row r="555">
          <cell r="A555">
            <v>902115</v>
          </cell>
          <cell r="B555" t="str">
            <v>野营</v>
          </cell>
          <cell r="C555">
            <v>500</v>
          </cell>
        </row>
        <row r="556">
          <cell r="A556">
            <v>902116</v>
          </cell>
          <cell r="B556" t="str">
            <v>蘑菇培育</v>
          </cell>
          <cell r="C556">
            <v>500</v>
          </cell>
        </row>
        <row r="557">
          <cell r="A557">
            <v>902117</v>
          </cell>
          <cell r="B557" t="str">
            <v>倾听</v>
          </cell>
          <cell r="C557">
            <v>500</v>
          </cell>
        </row>
        <row r="558">
          <cell r="A558">
            <v>902118</v>
          </cell>
          <cell r="B558" t="str">
            <v>光明祭坛</v>
          </cell>
          <cell r="C558">
            <v>500</v>
          </cell>
        </row>
        <row r="559">
          <cell r="A559">
            <v>902119</v>
          </cell>
          <cell r="B559" t="str">
            <v>黑暗祭坛</v>
          </cell>
          <cell r="C559">
            <v>500</v>
          </cell>
        </row>
        <row r="560">
          <cell r="A560">
            <v>902120</v>
          </cell>
          <cell r="B560" t="str">
            <v>天职书</v>
          </cell>
          <cell r="C560">
            <v>2000</v>
          </cell>
        </row>
        <row r="561">
          <cell r="A561">
            <v>902122</v>
          </cell>
          <cell r="B561" t="str">
            <v>冰窖</v>
          </cell>
          <cell r="C561">
            <v>2000</v>
          </cell>
        </row>
        <row r="562">
          <cell r="A562">
            <v>902123</v>
          </cell>
          <cell r="B562" t="str">
            <v>地雷</v>
          </cell>
          <cell r="C562">
            <v>2000</v>
          </cell>
        </row>
        <row r="563">
          <cell r="A563">
            <v>902124</v>
          </cell>
          <cell r="B563" t="str">
            <v>强制劳动</v>
          </cell>
          <cell r="C563">
            <v>2000</v>
          </cell>
        </row>
        <row r="564">
          <cell r="A564">
            <v>902125</v>
          </cell>
          <cell r="B564" t="str">
            <v>官员选拔</v>
          </cell>
          <cell r="C564">
            <v>2000</v>
          </cell>
        </row>
        <row r="565">
          <cell r="A565">
            <v>902126</v>
          </cell>
          <cell r="B565" t="str">
            <v>政治联姻</v>
          </cell>
          <cell r="C565">
            <v>2000</v>
          </cell>
        </row>
        <row r="566">
          <cell r="A566">
            <v>902127</v>
          </cell>
          <cell r="B566" t="str">
            <v>火枪</v>
          </cell>
          <cell r="C566">
            <v>2000</v>
          </cell>
        </row>
        <row r="567">
          <cell r="A567">
            <v>902128</v>
          </cell>
          <cell r="B567" t="str">
            <v>驯狼</v>
          </cell>
          <cell r="C567">
            <v>2000</v>
          </cell>
        </row>
        <row r="568">
          <cell r="A568">
            <v>902129</v>
          </cell>
          <cell r="B568" t="str">
            <v>水晶球</v>
          </cell>
          <cell r="C568">
            <v>2000</v>
          </cell>
        </row>
        <row r="569">
          <cell r="A569">
            <v>902130</v>
          </cell>
          <cell r="B569" t="str">
            <v>冶炼</v>
          </cell>
          <cell r="C569">
            <v>2000</v>
          </cell>
        </row>
        <row r="570">
          <cell r="A570">
            <v>902131</v>
          </cell>
          <cell r="B570" t="str">
            <v>高级冶炼</v>
          </cell>
          <cell r="C570">
            <v>2000</v>
          </cell>
        </row>
        <row r="571">
          <cell r="A571">
            <v>902132</v>
          </cell>
          <cell r="B571" t="str">
            <v>奇观</v>
          </cell>
          <cell r="C571">
            <v>2000</v>
          </cell>
        </row>
        <row r="572">
          <cell r="A572">
            <v>902133</v>
          </cell>
          <cell r="B572" t="str">
            <v>王座</v>
          </cell>
          <cell r="C572">
            <v>2000</v>
          </cell>
        </row>
        <row r="573">
          <cell r="A573">
            <v>902134</v>
          </cell>
          <cell r="B573" t="str">
            <v>社会抚养</v>
          </cell>
          <cell r="C573">
            <v>2000</v>
          </cell>
        </row>
        <row r="574">
          <cell r="A574">
            <v>902135</v>
          </cell>
          <cell r="B574" t="str">
            <v>地板</v>
          </cell>
          <cell r="C574">
            <v>2000</v>
          </cell>
        </row>
        <row r="575">
          <cell r="A575">
            <v>902136</v>
          </cell>
          <cell r="B575" t="str">
            <v>石质地板</v>
          </cell>
          <cell r="C575">
            <v>2000</v>
          </cell>
        </row>
        <row r="576">
          <cell r="A576">
            <v>902137</v>
          </cell>
          <cell r="B576" t="str">
            <v>铁质地板</v>
          </cell>
          <cell r="C576">
            <v>2000</v>
          </cell>
        </row>
        <row r="577">
          <cell r="A577">
            <v>902138</v>
          </cell>
          <cell r="B577" t="str">
            <v>银质地板</v>
          </cell>
          <cell r="C577">
            <v>2000</v>
          </cell>
        </row>
        <row r="578">
          <cell r="A578">
            <v>902139</v>
          </cell>
          <cell r="B578" t="str">
            <v>金质地板</v>
          </cell>
          <cell r="C578">
            <v>2000</v>
          </cell>
        </row>
        <row r="579">
          <cell r="A579">
            <v>902140</v>
          </cell>
          <cell r="B579" t="str">
            <v>博彩</v>
          </cell>
          <cell r="C579">
            <v>2000</v>
          </cell>
        </row>
        <row r="580">
          <cell r="A580">
            <v>902141</v>
          </cell>
          <cell r="B580" t="str">
            <v>公共浴场</v>
          </cell>
          <cell r="C580">
            <v>2000</v>
          </cell>
        </row>
        <row r="581">
          <cell r="A581">
            <v>902142</v>
          </cell>
          <cell r="B581" t="str">
            <v>军事训练</v>
          </cell>
          <cell r="C581">
            <v>2000</v>
          </cell>
        </row>
        <row r="582">
          <cell r="A582">
            <v>902143</v>
          </cell>
          <cell r="B582" t="str">
            <v>铁墙</v>
          </cell>
          <cell r="C582">
            <v>2000</v>
          </cell>
        </row>
        <row r="583">
          <cell r="A583">
            <v>902144</v>
          </cell>
          <cell r="B583" t="str">
            <v>国库</v>
          </cell>
          <cell r="C583">
            <v>2000</v>
          </cell>
        </row>
        <row r="584">
          <cell r="A584">
            <v>902145</v>
          </cell>
          <cell r="B584" t="str">
            <v>BUG雕像</v>
          </cell>
          <cell r="C584">
            <v>10000</v>
          </cell>
        </row>
        <row r="585">
          <cell r="A585">
            <v>902146</v>
          </cell>
          <cell r="B585" t="str">
            <v>继承人选拔</v>
          </cell>
          <cell r="C585">
            <v>2000</v>
          </cell>
        </row>
        <row r="586">
          <cell r="A586">
            <v>902147</v>
          </cell>
          <cell r="B586" t="str">
            <v>兽药</v>
          </cell>
          <cell r="C586">
            <v>2000</v>
          </cell>
        </row>
        <row r="587">
          <cell r="A587">
            <v>902148</v>
          </cell>
          <cell r="B587" t="str">
            <v>永恒圣殿</v>
          </cell>
          <cell r="C587">
            <v>2000</v>
          </cell>
        </row>
        <row r="588">
          <cell r="A588">
            <v>902149</v>
          </cell>
          <cell r="B588" t="str">
            <v>兵法书</v>
          </cell>
          <cell r="C588">
            <v>2000</v>
          </cell>
        </row>
        <row r="589">
          <cell r="A589">
            <v>902150</v>
          </cell>
          <cell r="B589" t="str">
            <v>管理书</v>
          </cell>
          <cell r="C589">
            <v>2000</v>
          </cell>
        </row>
        <row r="590">
          <cell r="A590">
            <v>902151</v>
          </cell>
          <cell r="B590" t="str">
            <v>忠义书</v>
          </cell>
          <cell r="C590">
            <v>2000</v>
          </cell>
        </row>
        <row r="591">
          <cell r="A591">
            <v>902152</v>
          </cell>
          <cell r="B591" t="str">
            <v>高效收纳</v>
          </cell>
          <cell r="C591">
            <v>2000</v>
          </cell>
        </row>
        <row r="592">
          <cell r="A592">
            <v>902153</v>
          </cell>
          <cell r="B592" t="str">
            <v>熏肉</v>
          </cell>
          <cell r="C592">
            <v>2000</v>
          </cell>
        </row>
        <row r="593">
          <cell r="A593">
            <v>902154</v>
          </cell>
          <cell r="B593" t="str">
            <v>糕点</v>
          </cell>
          <cell r="C593">
            <v>2000</v>
          </cell>
        </row>
        <row r="594">
          <cell r="A594">
            <v>902155</v>
          </cell>
          <cell r="B594" t="str">
            <v>零食</v>
          </cell>
          <cell r="C594">
            <v>2000</v>
          </cell>
        </row>
        <row r="595">
          <cell r="A595">
            <v>902156</v>
          </cell>
          <cell r="B595" t="str">
            <v>药茶</v>
          </cell>
          <cell r="C595">
            <v>2000</v>
          </cell>
        </row>
        <row r="596">
          <cell r="A596">
            <v>902157</v>
          </cell>
          <cell r="B596" t="str">
            <v>糖</v>
          </cell>
          <cell r="C596">
            <v>2000</v>
          </cell>
        </row>
        <row r="597">
          <cell r="A597">
            <v>902158</v>
          </cell>
          <cell r="B597" t="str">
            <v>蘑菇精华</v>
          </cell>
          <cell r="C597">
            <v>2000</v>
          </cell>
        </row>
        <row r="598">
          <cell r="A598">
            <v>902159</v>
          </cell>
          <cell r="B598" t="str">
            <v>养颜丹</v>
          </cell>
          <cell r="C598">
            <v>2000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8"/>
  <sheetViews>
    <sheetView tabSelected="1" workbookViewId="0">
      <selection activeCell="N26" sqref="N26"/>
    </sheetView>
  </sheetViews>
  <sheetFormatPr defaultRowHeight="13.5" x14ac:dyDescent="0.15"/>
  <cols>
    <col min="1" max="1" width="7.375" customWidth="1"/>
    <col min="2" max="6" width="12.125" style="2" customWidth="1"/>
    <col min="7" max="7" width="8.125" style="2" customWidth="1"/>
    <col min="8" max="11" width="8.5" style="2" customWidth="1"/>
    <col min="12" max="12" width="10" style="2" customWidth="1"/>
    <col min="13" max="13" width="10.25" style="2" customWidth="1"/>
    <col min="14" max="14" width="11.5" style="2" customWidth="1"/>
    <col min="15" max="15" width="9.375" style="16" customWidth="1"/>
    <col min="16" max="16" width="9.625" style="16" customWidth="1"/>
    <col min="17" max="17" width="9.5" style="16" customWidth="1"/>
    <col min="18" max="18" width="8.75" style="16" customWidth="1"/>
    <col min="19" max="23" width="10.25" style="2" customWidth="1"/>
    <col min="24" max="24" width="9.25" style="2" customWidth="1"/>
    <col min="25" max="26" width="8.75" style="2" customWidth="1"/>
    <col min="27" max="27" width="9.25" customWidth="1"/>
    <col min="33" max="35" width="8.375" customWidth="1"/>
    <col min="39" max="39" width="8.375" customWidth="1"/>
    <col min="44" max="44" width="8.375" customWidth="1"/>
    <col min="49" max="49" width="8.375" customWidth="1"/>
  </cols>
  <sheetData>
    <row r="1" spans="1:56" ht="45.75" customHeight="1" x14ac:dyDescent="0.15">
      <c r="A1" s="4" t="s">
        <v>1</v>
      </c>
      <c r="B1" s="5" t="s">
        <v>2</v>
      </c>
      <c r="C1" s="12" t="s">
        <v>140</v>
      </c>
      <c r="D1" s="12" t="s">
        <v>142</v>
      </c>
      <c r="E1" s="12" t="s">
        <v>143</v>
      </c>
      <c r="F1" s="12" t="s">
        <v>149</v>
      </c>
      <c r="G1" s="12" t="s">
        <v>128</v>
      </c>
      <c r="H1" s="12" t="s">
        <v>129</v>
      </c>
      <c r="I1" s="12" t="s">
        <v>129</v>
      </c>
      <c r="J1" s="12" t="s">
        <v>131</v>
      </c>
      <c r="K1" s="12" t="s">
        <v>133</v>
      </c>
      <c r="L1" s="5" t="s">
        <v>8</v>
      </c>
      <c r="M1" s="5" t="s">
        <v>3</v>
      </c>
      <c r="N1" s="12" t="s">
        <v>196</v>
      </c>
      <c r="O1" s="12" t="s">
        <v>192</v>
      </c>
      <c r="P1" s="12" t="s">
        <v>193</v>
      </c>
      <c r="Q1" s="12" t="s">
        <v>194</v>
      </c>
      <c r="R1" s="12" t="s">
        <v>195</v>
      </c>
      <c r="S1" s="12" t="s">
        <v>108</v>
      </c>
      <c r="T1" s="12" t="s">
        <v>109</v>
      </c>
      <c r="U1" s="12" t="s">
        <v>114</v>
      </c>
      <c r="V1" s="12" t="s">
        <v>115</v>
      </c>
      <c r="W1" s="12" t="s">
        <v>115</v>
      </c>
      <c r="X1" s="5" t="s">
        <v>4</v>
      </c>
      <c r="Y1" s="5" t="s">
        <v>5</v>
      </c>
      <c r="Z1" s="5" t="s">
        <v>91</v>
      </c>
      <c r="AA1" s="5" t="s">
        <v>24</v>
      </c>
      <c r="AB1" s="5" t="s">
        <v>17</v>
      </c>
      <c r="AC1" s="5" t="s">
        <v>55</v>
      </c>
      <c r="AD1" s="5" t="s">
        <v>55</v>
      </c>
      <c r="AE1" s="5" t="s">
        <v>97</v>
      </c>
      <c r="AF1" s="5" t="s">
        <v>99</v>
      </c>
      <c r="AG1" s="5" t="s">
        <v>58</v>
      </c>
      <c r="AH1" s="12" t="s">
        <v>160</v>
      </c>
      <c r="AI1" s="5" t="s">
        <v>60</v>
      </c>
      <c r="AJ1" s="5" t="s">
        <v>59</v>
      </c>
      <c r="AK1" s="5" t="s">
        <v>81</v>
      </c>
      <c r="AL1" s="5" t="s">
        <v>62</v>
      </c>
      <c r="AM1" s="12" t="s">
        <v>161</v>
      </c>
      <c r="AN1" s="5" t="s">
        <v>60</v>
      </c>
      <c r="AO1" s="5" t="s">
        <v>61</v>
      </c>
      <c r="AP1" s="5" t="s">
        <v>86</v>
      </c>
      <c r="AQ1" s="5" t="s">
        <v>63</v>
      </c>
      <c r="AR1" s="12" t="s">
        <v>162</v>
      </c>
      <c r="AS1" s="5" t="s">
        <v>60</v>
      </c>
      <c r="AT1" s="5" t="s">
        <v>64</v>
      </c>
      <c r="AU1" s="5" t="s">
        <v>85</v>
      </c>
      <c r="AV1" s="12" t="s">
        <v>151</v>
      </c>
      <c r="AW1" s="12" t="s">
        <v>163</v>
      </c>
      <c r="AX1" s="5" t="s">
        <v>60</v>
      </c>
      <c r="AY1" s="12" t="s">
        <v>152</v>
      </c>
      <c r="AZ1" s="12" t="s">
        <v>153</v>
      </c>
      <c r="BA1" s="12" t="s">
        <v>146</v>
      </c>
      <c r="BB1" s="12" t="s">
        <v>147</v>
      </c>
      <c r="BC1" s="12" t="s">
        <v>164</v>
      </c>
      <c r="BD1" s="12" t="s">
        <v>166</v>
      </c>
    </row>
    <row r="2" spans="1:56" x14ac:dyDescent="0.15">
      <c r="A2" s="7" t="s">
        <v>0</v>
      </c>
      <c r="B2" s="1" t="s">
        <v>36</v>
      </c>
      <c r="C2" s="3" t="s">
        <v>141</v>
      </c>
      <c r="D2" s="3" t="s">
        <v>144</v>
      </c>
      <c r="E2" s="3" t="s">
        <v>145</v>
      </c>
      <c r="F2" s="3" t="s">
        <v>150</v>
      </c>
      <c r="G2" s="3" t="s">
        <v>125</v>
      </c>
      <c r="H2" s="3" t="s">
        <v>130</v>
      </c>
      <c r="I2" s="3" t="s">
        <v>136</v>
      </c>
      <c r="J2" s="3" t="s">
        <v>135</v>
      </c>
      <c r="K2" s="3" t="s">
        <v>132</v>
      </c>
      <c r="L2" s="1" t="s">
        <v>9</v>
      </c>
      <c r="M2" s="3" t="s">
        <v>57</v>
      </c>
      <c r="N2" s="3" t="s">
        <v>169</v>
      </c>
      <c r="O2" s="15" t="s">
        <v>180</v>
      </c>
      <c r="P2" s="15" t="s">
        <v>170</v>
      </c>
      <c r="Q2" s="15" t="s">
        <v>190</v>
      </c>
      <c r="R2" s="15" t="s">
        <v>191</v>
      </c>
      <c r="S2" s="3" t="s">
        <v>111</v>
      </c>
      <c r="T2" s="3" t="s">
        <v>112</v>
      </c>
      <c r="U2" s="3" t="s">
        <v>116</v>
      </c>
      <c r="V2" s="3" t="s">
        <v>117</v>
      </c>
      <c r="W2" s="3" t="s">
        <v>118</v>
      </c>
      <c r="X2" s="1" t="s">
        <v>6</v>
      </c>
      <c r="Y2" s="1" t="s">
        <v>7</v>
      </c>
      <c r="Z2" s="1" t="s">
        <v>92</v>
      </c>
      <c r="AA2" s="1" t="s">
        <v>16</v>
      </c>
      <c r="AB2" s="7" t="s">
        <v>18</v>
      </c>
      <c r="AC2" s="1" t="s">
        <v>56</v>
      </c>
      <c r="AD2" s="1" t="s">
        <v>107</v>
      </c>
      <c r="AE2" s="1" t="s">
        <v>98</v>
      </c>
      <c r="AF2" s="1" t="s">
        <v>100</v>
      </c>
      <c r="AG2" s="7" t="s">
        <v>65</v>
      </c>
      <c r="AH2" s="7" t="s">
        <v>67</v>
      </c>
      <c r="AI2" s="7" t="s">
        <v>67</v>
      </c>
      <c r="AJ2" s="7" t="s">
        <v>66</v>
      </c>
      <c r="AK2" s="7" t="s">
        <v>80</v>
      </c>
      <c r="AL2" s="7" t="s">
        <v>68</v>
      </c>
      <c r="AM2" s="7" t="s">
        <v>67</v>
      </c>
      <c r="AN2" s="7" t="s">
        <v>67</v>
      </c>
      <c r="AO2" s="7" t="s">
        <v>82</v>
      </c>
      <c r="AP2" s="7" t="s">
        <v>83</v>
      </c>
      <c r="AQ2" s="7" t="s">
        <v>69</v>
      </c>
      <c r="AR2" s="7" t="s">
        <v>67</v>
      </c>
      <c r="AS2" s="7" t="s">
        <v>67</v>
      </c>
      <c r="AT2" s="7" t="s">
        <v>70</v>
      </c>
      <c r="AU2" s="7" t="s">
        <v>84</v>
      </c>
      <c r="AV2" s="6" t="s">
        <v>154</v>
      </c>
      <c r="AW2" s="7" t="s">
        <v>67</v>
      </c>
      <c r="AX2" s="7" t="s">
        <v>67</v>
      </c>
      <c r="AY2" s="6" t="s">
        <v>155</v>
      </c>
      <c r="AZ2" s="6" t="s">
        <v>156</v>
      </c>
      <c r="BA2" s="6" t="s">
        <v>88</v>
      </c>
      <c r="BB2" s="6" t="s">
        <v>148</v>
      </c>
      <c r="BC2" s="6" t="s">
        <v>165</v>
      </c>
      <c r="BD2" s="6" t="s">
        <v>165</v>
      </c>
    </row>
    <row r="3" spans="1:56" x14ac:dyDescent="0.15">
      <c r="A3" s="7">
        <v>1</v>
      </c>
      <c r="B3" s="3" t="s">
        <v>37</v>
      </c>
      <c r="C3" s="7">
        <v>104023</v>
      </c>
      <c r="D3" s="7">
        <v>9</v>
      </c>
      <c r="E3" s="7">
        <v>1</v>
      </c>
      <c r="F3" s="7">
        <v>1</v>
      </c>
      <c r="G3" s="3" t="s">
        <v>126</v>
      </c>
      <c r="H3" s="3" t="s">
        <v>126</v>
      </c>
      <c r="I3" s="3" t="s">
        <v>137</v>
      </c>
      <c r="J3" s="3" t="s">
        <v>126</v>
      </c>
      <c r="K3" s="3"/>
      <c r="L3" s="3" t="s">
        <v>10</v>
      </c>
      <c r="M3" s="3" t="s">
        <v>19</v>
      </c>
      <c r="N3" s="3" t="s">
        <v>171</v>
      </c>
      <c r="O3" s="3">
        <f>N3*5</f>
        <v>50</v>
      </c>
      <c r="P3" s="15">
        <f>O3*2</f>
        <v>100</v>
      </c>
      <c r="Q3" s="3">
        <f>O3*3</f>
        <v>150</v>
      </c>
      <c r="R3" s="3">
        <f>O3*4</f>
        <v>200</v>
      </c>
      <c r="S3" s="3" t="s">
        <v>110</v>
      </c>
      <c r="T3" s="3" t="s">
        <v>124</v>
      </c>
      <c r="U3" s="3" t="s">
        <v>168</v>
      </c>
      <c r="V3" s="13">
        <v>812003</v>
      </c>
      <c r="W3" s="14" t="s">
        <v>119</v>
      </c>
      <c r="X3" s="3" t="s">
        <v>52</v>
      </c>
      <c r="Y3" s="3" t="s">
        <v>20</v>
      </c>
      <c r="Z3" s="3" t="s">
        <v>93</v>
      </c>
      <c r="AA3" s="3" t="s">
        <v>90</v>
      </c>
      <c r="AB3" s="7">
        <v>120</v>
      </c>
      <c r="AC3" s="7">
        <v>1</v>
      </c>
      <c r="AD3" s="7">
        <v>0.6</v>
      </c>
      <c r="AE3" s="7">
        <v>404001</v>
      </c>
      <c r="AF3" s="7">
        <v>1</v>
      </c>
      <c r="AG3" s="7">
        <v>404001</v>
      </c>
      <c r="AH3" s="7">
        <f>VLOOKUP(AG3,[1]stuff!$A:$C,3,FALSE)</f>
        <v>5</v>
      </c>
      <c r="AI3" s="6" t="s">
        <v>71</v>
      </c>
      <c r="AJ3" s="7">
        <v>1</v>
      </c>
      <c r="AK3" s="11">
        <v>180</v>
      </c>
      <c r="AL3" s="7">
        <v>305001</v>
      </c>
      <c r="AM3" s="7">
        <f>VLOOKUP(AL3,[1]stuff!$A:$C,3,FALSE)</f>
        <v>2</v>
      </c>
      <c r="AN3" s="6" t="s">
        <v>74</v>
      </c>
      <c r="AO3" s="7">
        <v>200</v>
      </c>
      <c r="AP3" s="11">
        <v>150</v>
      </c>
      <c r="AQ3" s="7">
        <v>401001</v>
      </c>
      <c r="AR3" s="7">
        <f>VLOOKUP(AQ3,[1]stuff!$A:$C,3,FALSE)</f>
        <v>5</v>
      </c>
      <c r="AS3" s="9" t="s">
        <v>158</v>
      </c>
      <c r="AT3" s="7">
        <v>10</v>
      </c>
      <c r="AU3" s="7">
        <v>120</v>
      </c>
      <c r="AV3" s="7"/>
      <c r="AX3" s="7"/>
      <c r="AY3" s="7"/>
      <c r="AZ3" s="7"/>
      <c r="BA3" s="7">
        <v>20</v>
      </c>
      <c r="BB3" s="7">
        <f>BA3*100/2</f>
        <v>1000</v>
      </c>
      <c r="BC3" s="7">
        <f>+AM3*AO3*AP3+AR3*AT3*AU3</f>
        <v>66000</v>
      </c>
      <c r="BD3" s="7">
        <f>BC3/10000</f>
        <v>6.6</v>
      </c>
    </row>
    <row r="4" spans="1:56" x14ac:dyDescent="0.15">
      <c r="A4" s="7">
        <v>2</v>
      </c>
      <c r="B4" s="3" t="s">
        <v>38</v>
      </c>
      <c r="C4" s="7">
        <v>104023</v>
      </c>
      <c r="D4" s="7">
        <v>9</v>
      </c>
      <c r="E4" s="7">
        <v>1</v>
      </c>
      <c r="F4" s="7">
        <v>1</v>
      </c>
      <c r="G4" s="3" t="s">
        <v>126</v>
      </c>
      <c r="H4" s="3" t="s">
        <v>126</v>
      </c>
      <c r="I4" s="3" t="s">
        <v>137</v>
      </c>
      <c r="J4" s="3" t="s">
        <v>126</v>
      </c>
      <c r="K4" s="3"/>
      <c r="L4" s="3" t="s">
        <v>11</v>
      </c>
      <c r="M4" s="3" t="s">
        <v>19</v>
      </c>
      <c r="N4" s="3" t="s">
        <v>106</v>
      </c>
      <c r="O4" s="3">
        <f t="shared" ref="O4:O16" si="0">N4*5</f>
        <v>75</v>
      </c>
      <c r="P4" s="15">
        <f t="shared" ref="P4:Q18" si="1">O4*2</f>
        <v>150</v>
      </c>
      <c r="Q4" s="3">
        <f t="shared" ref="Q4:Q18" si="2">O4*3</f>
        <v>225</v>
      </c>
      <c r="R4" s="3">
        <f t="shared" ref="R4:R18" si="3">O4*4</f>
        <v>300</v>
      </c>
      <c r="S4" s="3" t="s">
        <v>182</v>
      </c>
      <c r="T4" s="3" t="s">
        <v>183</v>
      </c>
      <c r="U4" s="3" t="s">
        <v>168</v>
      </c>
      <c r="V4" s="13">
        <v>812003</v>
      </c>
      <c r="W4" s="14" t="s">
        <v>119</v>
      </c>
      <c r="X4" s="3" t="s">
        <v>20</v>
      </c>
      <c r="Y4" s="3" t="s">
        <v>30</v>
      </c>
      <c r="Z4" s="3" t="s">
        <v>93</v>
      </c>
      <c r="AA4" s="3">
        <v>3</v>
      </c>
      <c r="AB4" s="7">
        <v>120</v>
      </c>
      <c r="AC4" s="7">
        <v>1</v>
      </c>
      <c r="AD4" s="7">
        <v>0.5</v>
      </c>
      <c r="AE4" s="7">
        <v>404001</v>
      </c>
      <c r="AF4" s="7">
        <v>1</v>
      </c>
      <c r="AG4" s="7">
        <v>404001</v>
      </c>
      <c r="AH4" s="7">
        <f>VLOOKUP(AG4,[1]stuff!$A:$C,3,FALSE)</f>
        <v>5</v>
      </c>
      <c r="AI4" s="6" t="s">
        <v>71</v>
      </c>
      <c r="AJ4" s="7">
        <v>1</v>
      </c>
      <c r="AK4" s="7">
        <f>AK3</f>
        <v>180</v>
      </c>
      <c r="AL4" s="7">
        <v>305001</v>
      </c>
      <c r="AM4" s="7">
        <f>VLOOKUP(AL4,[1]stuff!$A:$C,3,FALSE)</f>
        <v>2</v>
      </c>
      <c r="AN4" s="6" t="s">
        <v>74</v>
      </c>
      <c r="AO4" s="7">
        <v>200</v>
      </c>
      <c r="AP4" s="7">
        <f>AP3</f>
        <v>150</v>
      </c>
      <c r="AQ4" s="7">
        <v>401001</v>
      </c>
      <c r="AR4" s="7">
        <f>VLOOKUP(AQ4,[1]stuff!$A:$C,3,FALSE)</f>
        <v>5</v>
      </c>
      <c r="AS4" s="9" t="s">
        <v>158</v>
      </c>
      <c r="AT4" s="7">
        <v>10</v>
      </c>
      <c r="AU4" s="7">
        <v>120</v>
      </c>
      <c r="AV4" s="7"/>
      <c r="AW4" s="7"/>
      <c r="AX4" s="7"/>
      <c r="AY4" s="7"/>
      <c r="AZ4" s="7"/>
      <c r="BA4" s="7">
        <v>20</v>
      </c>
      <c r="BB4" s="7">
        <f t="shared" ref="BB4:BB18" si="4">BA4*100/2</f>
        <v>1000</v>
      </c>
      <c r="BC4" s="7">
        <f t="shared" ref="BC4:BC7" si="5">AH4*AJ4*AK4+AM4*AO4*AP4+AR4*AT4*AU4</f>
        <v>66900</v>
      </c>
      <c r="BD4" s="7">
        <f t="shared" ref="BD4:BD18" si="6">BC4/10000</f>
        <v>6.69</v>
      </c>
    </row>
    <row r="5" spans="1:56" x14ac:dyDescent="0.15">
      <c r="A5" s="7">
        <v>3</v>
      </c>
      <c r="B5" s="3" t="s">
        <v>39</v>
      </c>
      <c r="C5" s="7">
        <v>104023</v>
      </c>
      <c r="D5" s="7">
        <v>9</v>
      </c>
      <c r="E5" s="7">
        <v>1</v>
      </c>
      <c r="F5" s="7">
        <v>1</v>
      </c>
      <c r="G5" s="3" t="s">
        <v>126</v>
      </c>
      <c r="H5" s="3" t="s">
        <v>126</v>
      </c>
      <c r="I5" s="3" t="s">
        <v>137</v>
      </c>
      <c r="J5" s="3" t="s">
        <v>126</v>
      </c>
      <c r="K5" s="3"/>
      <c r="L5" s="3" t="s">
        <v>12</v>
      </c>
      <c r="M5" s="3" t="s">
        <v>19</v>
      </c>
      <c r="N5" s="3" t="s">
        <v>172</v>
      </c>
      <c r="O5" s="3">
        <f t="shared" si="0"/>
        <v>100</v>
      </c>
      <c r="P5" s="15">
        <f t="shared" si="1"/>
        <v>200</v>
      </c>
      <c r="Q5" s="3">
        <f t="shared" si="2"/>
        <v>300</v>
      </c>
      <c r="R5" s="3">
        <f t="shared" si="3"/>
        <v>400</v>
      </c>
      <c r="S5" s="3" t="s">
        <v>184</v>
      </c>
      <c r="T5" s="3" t="s">
        <v>185</v>
      </c>
      <c r="U5" s="3" t="s">
        <v>168</v>
      </c>
      <c r="V5" s="13">
        <v>812003</v>
      </c>
      <c r="W5" s="14" t="s">
        <v>119</v>
      </c>
      <c r="X5" s="3" t="s">
        <v>21</v>
      </c>
      <c r="Y5" s="3" t="s">
        <v>96</v>
      </c>
      <c r="Z5" s="3" t="s">
        <v>93</v>
      </c>
      <c r="AA5" s="3">
        <v>3</v>
      </c>
      <c r="AB5" s="7">
        <v>120</v>
      </c>
      <c r="AC5" s="7">
        <v>1</v>
      </c>
      <c r="AD5" s="7">
        <v>0.4</v>
      </c>
      <c r="AE5" s="7">
        <v>404001</v>
      </c>
      <c r="AF5" s="7">
        <v>1</v>
      </c>
      <c r="AG5" s="7">
        <v>404001</v>
      </c>
      <c r="AH5" s="7">
        <f>VLOOKUP(AG5,[1]stuff!$A:$C,3,FALSE)</f>
        <v>5</v>
      </c>
      <c r="AI5" s="6" t="s">
        <v>71</v>
      </c>
      <c r="AJ5" s="7">
        <v>1</v>
      </c>
      <c r="AK5" s="7">
        <f t="shared" ref="AK5:AK7" si="7">AK4</f>
        <v>180</v>
      </c>
      <c r="AL5" s="7">
        <v>305001</v>
      </c>
      <c r="AM5" s="7">
        <f>VLOOKUP(AL5,[1]stuff!$A:$C,3,FALSE)</f>
        <v>2</v>
      </c>
      <c r="AN5" s="6" t="s">
        <v>74</v>
      </c>
      <c r="AO5" s="7">
        <v>200</v>
      </c>
      <c r="AP5" s="7">
        <f t="shared" ref="AP5:AP7" si="8">AP4</f>
        <v>150</v>
      </c>
      <c r="AQ5" s="7">
        <v>401001</v>
      </c>
      <c r="AR5" s="7">
        <f>VLOOKUP(AQ5,[1]stuff!$A:$C,3,FALSE)</f>
        <v>5</v>
      </c>
      <c r="AS5" s="9" t="s">
        <v>158</v>
      </c>
      <c r="AT5" s="7">
        <v>10</v>
      </c>
      <c r="AU5" s="7">
        <v>120</v>
      </c>
      <c r="AV5" s="7"/>
      <c r="AW5" s="7"/>
      <c r="AX5" s="7"/>
      <c r="AY5" s="7"/>
      <c r="AZ5" s="7"/>
      <c r="BA5" s="7">
        <v>20</v>
      </c>
      <c r="BB5" s="7">
        <f t="shared" si="4"/>
        <v>1000</v>
      </c>
      <c r="BC5" s="7">
        <f t="shared" si="5"/>
        <v>66900</v>
      </c>
      <c r="BD5" s="7">
        <f t="shared" si="6"/>
        <v>6.69</v>
      </c>
    </row>
    <row r="6" spans="1:56" x14ac:dyDescent="0.15">
      <c r="A6" s="7">
        <v>4</v>
      </c>
      <c r="B6" s="3" t="s">
        <v>40</v>
      </c>
      <c r="C6" s="7">
        <v>104023</v>
      </c>
      <c r="D6" s="7">
        <v>9</v>
      </c>
      <c r="E6" s="7">
        <v>1</v>
      </c>
      <c r="F6" s="7">
        <v>1</v>
      </c>
      <c r="G6" s="3" t="s">
        <v>126</v>
      </c>
      <c r="H6" s="3" t="s">
        <v>126</v>
      </c>
      <c r="I6" s="3" t="s">
        <v>137</v>
      </c>
      <c r="J6" s="3" t="s">
        <v>126</v>
      </c>
      <c r="K6" s="3"/>
      <c r="L6" s="3" t="s">
        <v>13</v>
      </c>
      <c r="M6" s="3" t="s">
        <v>19</v>
      </c>
      <c r="N6" s="3" t="s">
        <v>172</v>
      </c>
      <c r="O6" s="3">
        <f t="shared" si="0"/>
        <v>100</v>
      </c>
      <c r="P6" s="15">
        <f t="shared" si="1"/>
        <v>200</v>
      </c>
      <c r="Q6" s="3">
        <f t="shared" si="2"/>
        <v>300</v>
      </c>
      <c r="R6" s="3">
        <f t="shared" si="3"/>
        <v>400</v>
      </c>
      <c r="S6" s="3" t="s">
        <v>167</v>
      </c>
      <c r="T6" s="3" t="s">
        <v>110</v>
      </c>
      <c r="U6" s="3" t="s">
        <v>168</v>
      </c>
      <c r="V6" s="13">
        <v>812003</v>
      </c>
      <c r="W6" s="14" t="s">
        <v>119</v>
      </c>
      <c r="X6" s="3" t="s">
        <v>23</v>
      </c>
      <c r="Y6" s="3" t="s">
        <v>26</v>
      </c>
      <c r="Z6" s="3" t="s">
        <v>93</v>
      </c>
      <c r="AA6" s="3">
        <v>3</v>
      </c>
      <c r="AB6" s="7">
        <v>120</v>
      </c>
      <c r="AC6" s="7">
        <v>1</v>
      </c>
      <c r="AD6" s="7">
        <v>0.3</v>
      </c>
      <c r="AE6" s="7">
        <v>404001</v>
      </c>
      <c r="AF6" s="7">
        <v>1</v>
      </c>
      <c r="AG6" s="7">
        <v>404001</v>
      </c>
      <c r="AH6" s="7">
        <f>VLOOKUP(AG6,[1]stuff!$A:$C,3,FALSE)</f>
        <v>5</v>
      </c>
      <c r="AI6" s="6" t="s">
        <v>71</v>
      </c>
      <c r="AJ6" s="7">
        <v>1</v>
      </c>
      <c r="AK6" s="7">
        <f t="shared" si="7"/>
        <v>180</v>
      </c>
      <c r="AL6" s="7">
        <v>305001</v>
      </c>
      <c r="AM6" s="7">
        <f>VLOOKUP(AL6,[1]stuff!$A:$C,3,FALSE)</f>
        <v>2</v>
      </c>
      <c r="AN6" s="6" t="s">
        <v>74</v>
      </c>
      <c r="AO6" s="7">
        <v>200</v>
      </c>
      <c r="AP6" s="7">
        <f t="shared" si="8"/>
        <v>150</v>
      </c>
      <c r="AQ6" s="7">
        <v>401001</v>
      </c>
      <c r="AR6" s="7">
        <f>VLOOKUP(AQ6,[1]stuff!$A:$C,3,FALSE)</f>
        <v>5</v>
      </c>
      <c r="AS6" s="9" t="s">
        <v>158</v>
      </c>
      <c r="AT6" s="7">
        <v>10</v>
      </c>
      <c r="AU6" s="7">
        <v>120</v>
      </c>
      <c r="AV6" s="7"/>
      <c r="AW6" s="7"/>
      <c r="AX6" s="7"/>
      <c r="AY6" s="7"/>
      <c r="AZ6" s="7"/>
      <c r="BA6" s="7">
        <v>20</v>
      </c>
      <c r="BB6" s="7">
        <f t="shared" si="4"/>
        <v>1000</v>
      </c>
      <c r="BC6" s="7">
        <f t="shared" si="5"/>
        <v>66900</v>
      </c>
      <c r="BD6" s="7">
        <f t="shared" si="6"/>
        <v>6.69</v>
      </c>
    </row>
    <row r="7" spans="1:56" x14ac:dyDescent="0.15">
      <c r="A7" s="7">
        <v>5</v>
      </c>
      <c r="B7" s="3" t="s">
        <v>41</v>
      </c>
      <c r="C7" s="7">
        <v>104023</v>
      </c>
      <c r="D7" s="7">
        <v>9</v>
      </c>
      <c r="E7" s="7">
        <v>1</v>
      </c>
      <c r="F7" s="7">
        <v>1</v>
      </c>
      <c r="G7" s="3" t="s">
        <v>126</v>
      </c>
      <c r="H7" s="3" t="s">
        <v>126</v>
      </c>
      <c r="I7" s="3" t="s">
        <v>137</v>
      </c>
      <c r="J7" s="3" t="s">
        <v>126</v>
      </c>
      <c r="K7" s="3"/>
      <c r="L7" s="3" t="s">
        <v>14</v>
      </c>
      <c r="M7" s="3" t="s">
        <v>19</v>
      </c>
      <c r="N7" s="3" t="s">
        <v>173</v>
      </c>
      <c r="O7" s="3">
        <f t="shared" si="0"/>
        <v>125</v>
      </c>
      <c r="P7" s="15">
        <f t="shared" si="1"/>
        <v>250</v>
      </c>
      <c r="Q7" s="3">
        <f t="shared" si="2"/>
        <v>375</v>
      </c>
      <c r="R7" s="3">
        <f t="shared" si="3"/>
        <v>500</v>
      </c>
      <c r="S7" s="3" t="s">
        <v>167</v>
      </c>
      <c r="T7" s="3" t="s">
        <v>110</v>
      </c>
      <c r="U7" s="3" t="s">
        <v>168</v>
      </c>
      <c r="V7" s="13">
        <v>812003</v>
      </c>
      <c r="W7" s="14" t="s">
        <v>119</v>
      </c>
      <c r="X7" s="3" t="s">
        <v>26</v>
      </c>
      <c r="Y7" s="3" t="s">
        <v>33</v>
      </c>
      <c r="Z7" s="3" t="s">
        <v>93</v>
      </c>
      <c r="AA7" s="3">
        <v>3</v>
      </c>
      <c r="AB7" s="7">
        <v>120</v>
      </c>
      <c r="AC7" s="7">
        <v>1</v>
      </c>
      <c r="AD7" s="7">
        <v>0.2</v>
      </c>
      <c r="AE7" s="7">
        <v>404001</v>
      </c>
      <c r="AF7" s="7">
        <v>1</v>
      </c>
      <c r="AG7" s="7">
        <v>404001</v>
      </c>
      <c r="AH7" s="7">
        <f>VLOOKUP(AG7,[1]stuff!$A:$C,3,FALSE)</f>
        <v>5</v>
      </c>
      <c r="AI7" s="6" t="s">
        <v>71</v>
      </c>
      <c r="AJ7" s="7">
        <v>1</v>
      </c>
      <c r="AK7" s="7">
        <f t="shared" si="7"/>
        <v>180</v>
      </c>
      <c r="AL7" s="7">
        <v>305001</v>
      </c>
      <c r="AM7" s="7">
        <f>VLOOKUP(AL7,[1]stuff!$A:$C,3,FALSE)</f>
        <v>2</v>
      </c>
      <c r="AN7" s="6" t="s">
        <v>74</v>
      </c>
      <c r="AO7" s="7">
        <v>200</v>
      </c>
      <c r="AP7" s="7">
        <f t="shared" si="8"/>
        <v>150</v>
      </c>
      <c r="AQ7" s="7">
        <v>401001</v>
      </c>
      <c r="AR7" s="7">
        <f>VLOOKUP(AQ7,[1]stuff!$A:$C,3,FALSE)</f>
        <v>5</v>
      </c>
      <c r="AS7" s="9" t="s">
        <v>158</v>
      </c>
      <c r="AT7" s="7">
        <v>10</v>
      </c>
      <c r="AU7" s="7">
        <v>120</v>
      </c>
      <c r="AV7" s="7"/>
      <c r="AW7" s="7"/>
      <c r="AX7" s="7"/>
      <c r="AY7" s="7"/>
      <c r="AZ7" s="7"/>
      <c r="BA7" s="7">
        <v>20</v>
      </c>
      <c r="BB7" s="7">
        <f t="shared" si="4"/>
        <v>1000</v>
      </c>
      <c r="BC7" s="7">
        <f t="shared" si="5"/>
        <v>66900</v>
      </c>
      <c r="BD7" s="7">
        <f t="shared" si="6"/>
        <v>6.69</v>
      </c>
    </row>
    <row r="8" spans="1:56" x14ac:dyDescent="0.15">
      <c r="A8" s="7">
        <v>6</v>
      </c>
      <c r="B8" s="3" t="s">
        <v>102</v>
      </c>
      <c r="C8" s="7">
        <v>104024</v>
      </c>
      <c r="D8" s="7">
        <v>2</v>
      </c>
      <c r="E8" s="7">
        <v>8</v>
      </c>
      <c r="F8" s="7">
        <v>3</v>
      </c>
      <c r="G8" s="3" t="s">
        <v>127</v>
      </c>
      <c r="H8" s="1">
        <v>202883</v>
      </c>
      <c r="I8" s="1">
        <v>202404</v>
      </c>
      <c r="J8" s="3" t="s">
        <v>25</v>
      </c>
      <c r="K8" s="13">
        <v>20</v>
      </c>
      <c r="L8" s="3" t="s">
        <v>12</v>
      </c>
      <c r="M8" s="3" t="s">
        <v>42</v>
      </c>
      <c r="N8" s="3" t="s">
        <v>174</v>
      </c>
      <c r="O8" s="3">
        <f t="shared" si="0"/>
        <v>150</v>
      </c>
      <c r="P8" s="15">
        <f t="shared" si="1"/>
        <v>300</v>
      </c>
      <c r="Q8" s="3">
        <f t="shared" si="2"/>
        <v>450</v>
      </c>
      <c r="R8" s="3">
        <f t="shared" si="3"/>
        <v>600</v>
      </c>
      <c r="S8" s="3" t="s">
        <v>186</v>
      </c>
      <c r="T8" s="3" t="s">
        <v>182</v>
      </c>
      <c r="U8" s="3" t="s">
        <v>168</v>
      </c>
      <c r="V8" s="13">
        <v>812005</v>
      </c>
      <c r="W8" s="14" t="s">
        <v>120</v>
      </c>
      <c r="X8" s="3" t="s">
        <v>32</v>
      </c>
      <c r="Y8" s="3" t="s">
        <v>34</v>
      </c>
      <c r="Z8" s="3" t="s">
        <v>90</v>
      </c>
      <c r="AA8" s="3" t="s">
        <v>20</v>
      </c>
      <c r="AB8" s="7">
        <v>90</v>
      </c>
      <c r="AC8" s="7">
        <v>1</v>
      </c>
      <c r="AD8" s="7">
        <v>0.3</v>
      </c>
      <c r="AE8" s="7">
        <v>404003</v>
      </c>
      <c r="AF8" s="7">
        <v>2</v>
      </c>
      <c r="AG8" s="7">
        <v>404003</v>
      </c>
      <c r="AH8" s="7">
        <f>VLOOKUP(AG8,[1]stuff!$A:$C,3,FALSE)</f>
        <v>10</v>
      </c>
      <c r="AI8" s="6" t="s">
        <v>73</v>
      </c>
      <c r="AJ8" s="7">
        <v>2</v>
      </c>
      <c r="AK8" s="11">
        <v>200</v>
      </c>
      <c r="AL8" s="7">
        <v>305002</v>
      </c>
      <c r="AM8" s="7">
        <f>VLOOKUP(AL8,[1]stuff!$A:$C,3,FALSE)</f>
        <v>4</v>
      </c>
      <c r="AN8" s="6" t="s">
        <v>75</v>
      </c>
      <c r="AO8" s="7">
        <v>300</v>
      </c>
      <c r="AP8" s="11">
        <v>200</v>
      </c>
      <c r="AQ8" s="7">
        <v>413005</v>
      </c>
      <c r="AR8" s="7">
        <f>VLOOKUP(AQ8,[1]stuff!$A:$C,3,FALSE)</f>
        <v>2000</v>
      </c>
      <c r="AS8" s="8" t="s">
        <v>76</v>
      </c>
      <c r="AT8" s="7">
        <v>1</v>
      </c>
      <c r="AU8" s="11">
        <v>120</v>
      </c>
      <c r="AV8" s="7">
        <v>401001</v>
      </c>
      <c r="AW8" s="7">
        <f>VLOOKUP(AV8,[1]stuff!$A:$C,3,FALSE)</f>
        <v>5</v>
      </c>
      <c r="AX8" s="9" t="s">
        <v>158</v>
      </c>
      <c r="AY8" s="7">
        <v>20</v>
      </c>
      <c r="AZ8" s="7">
        <v>120</v>
      </c>
      <c r="BA8" s="7">
        <v>50</v>
      </c>
      <c r="BB8" s="7">
        <f t="shared" si="4"/>
        <v>2500</v>
      </c>
      <c r="BC8" s="7">
        <f>AH8*AJ8*AK8+AM8*AO8*AP8+AR8*AT8*AU8+AW8*AY8*AZ8</f>
        <v>496000</v>
      </c>
      <c r="BD8" s="7">
        <f t="shared" si="6"/>
        <v>49.6</v>
      </c>
    </row>
    <row r="9" spans="1:56" x14ac:dyDescent="0.15">
      <c r="A9" s="7">
        <v>7</v>
      </c>
      <c r="B9" s="3" t="s">
        <v>50</v>
      </c>
      <c r="C9" s="7">
        <v>104024</v>
      </c>
      <c r="D9" s="7">
        <v>2</v>
      </c>
      <c r="E9" s="7">
        <v>8</v>
      </c>
      <c r="F9" s="7">
        <v>3</v>
      </c>
      <c r="G9" s="3" t="s">
        <v>127</v>
      </c>
      <c r="H9" s="1">
        <v>202883</v>
      </c>
      <c r="I9" s="1">
        <v>202404</v>
      </c>
      <c r="J9" s="3" t="s">
        <v>30</v>
      </c>
      <c r="K9" s="13">
        <v>50</v>
      </c>
      <c r="L9" s="3" t="s">
        <v>13</v>
      </c>
      <c r="M9" s="3" t="s">
        <v>42</v>
      </c>
      <c r="N9" s="3" t="s">
        <v>174</v>
      </c>
      <c r="O9" s="3" t="s">
        <v>198</v>
      </c>
      <c r="P9" s="15">
        <f t="shared" si="1"/>
        <v>400</v>
      </c>
      <c r="Q9" s="3">
        <f t="shared" si="2"/>
        <v>600</v>
      </c>
      <c r="R9" s="3">
        <f t="shared" si="3"/>
        <v>800</v>
      </c>
      <c r="S9" s="3" t="s">
        <v>187</v>
      </c>
      <c r="T9" s="3" t="s">
        <v>188</v>
      </c>
      <c r="U9" s="3" t="s">
        <v>168</v>
      </c>
      <c r="V9" s="13">
        <v>812005</v>
      </c>
      <c r="W9" s="14" t="s">
        <v>120</v>
      </c>
      <c r="X9" s="3" t="s">
        <v>33</v>
      </c>
      <c r="Y9" s="3" t="s">
        <v>28</v>
      </c>
      <c r="Z9" s="3" t="s">
        <v>90</v>
      </c>
      <c r="AA9" s="3" t="s">
        <v>20</v>
      </c>
      <c r="AB9" s="7">
        <v>90</v>
      </c>
      <c r="AC9" s="7">
        <v>1</v>
      </c>
      <c r="AD9" s="7">
        <v>0.4</v>
      </c>
      <c r="AE9" s="7">
        <v>404003</v>
      </c>
      <c r="AF9" s="7">
        <v>2</v>
      </c>
      <c r="AG9" s="7">
        <v>404003</v>
      </c>
      <c r="AH9" s="7">
        <f>VLOOKUP(AG9,[1]stuff!$A:$C,3,FALSE)</f>
        <v>10</v>
      </c>
      <c r="AI9" s="6" t="s">
        <v>73</v>
      </c>
      <c r="AJ9" s="7">
        <v>2</v>
      </c>
      <c r="AK9" s="7">
        <f t="shared" ref="AK9:AK14" si="9">AK8</f>
        <v>200</v>
      </c>
      <c r="AL9" s="7">
        <v>305002</v>
      </c>
      <c r="AM9" s="7">
        <f>VLOOKUP(AL9,[1]stuff!$A:$C,3,FALSE)</f>
        <v>4</v>
      </c>
      <c r="AN9" s="6" t="s">
        <v>75</v>
      </c>
      <c r="AO9" s="7">
        <v>300</v>
      </c>
      <c r="AP9" s="7">
        <f t="shared" ref="AP9:AP14" si="10">AP8</f>
        <v>200</v>
      </c>
      <c r="AQ9" s="7">
        <v>413006</v>
      </c>
      <c r="AR9" s="7">
        <f>VLOOKUP(AQ9,[1]stuff!$A:$C,3,FALSE)</f>
        <v>4500</v>
      </c>
      <c r="AS9" s="8" t="s">
        <v>77</v>
      </c>
      <c r="AT9" s="7">
        <v>1</v>
      </c>
      <c r="AU9" s="11">
        <v>110</v>
      </c>
      <c r="AV9" s="7">
        <v>401001</v>
      </c>
      <c r="AW9" s="7">
        <f>VLOOKUP(AV9,[1]stuff!$A:$C,3,FALSE)</f>
        <v>5</v>
      </c>
      <c r="AX9" s="9" t="s">
        <v>158</v>
      </c>
      <c r="AY9" s="7">
        <v>20</v>
      </c>
      <c r="AZ9" s="7">
        <v>120</v>
      </c>
      <c r="BA9" s="7">
        <v>100</v>
      </c>
      <c r="BB9" s="7">
        <f t="shared" si="4"/>
        <v>5000</v>
      </c>
      <c r="BC9" s="7">
        <f t="shared" ref="BC9:BC18" si="11">AH9*AJ9*AK9+AM9*AO9*AP9+AR9*AT9*AU9+AW9*AY9*AZ9</f>
        <v>751000</v>
      </c>
      <c r="BD9" s="7">
        <f t="shared" si="6"/>
        <v>75.099999999999994</v>
      </c>
    </row>
    <row r="10" spans="1:56" ht="14.25" customHeight="1" x14ac:dyDescent="0.15">
      <c r="A10" s="7">
        <v>8</v>
      </c>
      <c r="B10" s="3" t="s">
        <v>51</v>
      </c>
      <c r="C10" s="7">
        <v>104024</v>
      </c>
      <c r="D10" s="7">
        <v>2</v>
      </c>
      <c r="E10" s="7">
        <v>8</v>
      </c>
      <c r="F10" s="7">
        <v>3</v>
      </c>
      <c r="G10" s="3" t="s">
        <v>127</v>
      </c>
      <c r="H10" s="1">
        <v>202883</v>
      </c>
      <c r="I10" s="1">
        <v>202404</v>
      </c>
      <c r="J10" s="3" t="s">
        <v>134</v>
      </c>
      <c r="K10" s="13">
        <v>100</v>
      </c>
      <c r="L10" s="3" t="s">
        <v>14</v>
      </c>
      <c r="M10" s="3" t="s">
        <v>42</v>
      </c>
      <c r="N10" s="3" t="s">
        <v>175</v>
      </c>
      <c r="O10" s="3" t="s">
        <v>181</v>
      </c>
      <c r="P10" s="15">
        <f t="shared" si="1"/>
        <v>480</v>
      </c>
      <c r="Q10" s="3">
        <f t="shared" si="2"/>
        <v>720</v>
      </c>
      <c r="R10" s="3">
        <f t="shared" si="3"/>
        <v>960</v>
      </c>
      <c r="S10" s="3" t="s">
        <v>189</v>
      </c>
      <c r="T10" s="3" t="s">
        <v>184</v>
      </c>
      <c r="U10" s="3" t="s">
        <v>168</v>
      </c>
      <c r="V10" s="13">
        <v>812005</v>
      </c>
      <c r="W10" s="14" t="s">
        <v>120</v>
      </c>
      <c r="X10" s="3" t="s">
        <v>28</v>
      </c>
      <c r="Y10" s="3" t="s">
        <v>35</v>
      </c>
      <c r="Z10" s="3" t="s">
        <v>90</v>
      </c>
      <c r="AA10" s="3" t="s">
        <v>20</v>
      </c>
      <c r="AB10" s="7">
        <v>90</v>
      </c>
      <c r="AC10" s="7">
        <v>1</v>
      </c>
      <c r="AD10" s="7">
        <v>0.5</v>
      </c>
      <c r="AE10" s="7">
        <v>404003</v>
      </c>
      <c r="AF10" s="7">
        <v>2</v>
      </c>
      <c r="AG10" s="7">
        <v>404003</v>
      </c>
      <c r="AH10" s="7">
        <f>VLOOKUP(AG10,[1]stuff!$A:$C,3,FALSE)</f>
        <v>10</v>
      </c>
      <c r="AI10" s="6" t="s">
        <v>73</v>
      </c>
      <c r="AJ10" s="7">
        <v>2</v>
      </c>
      <c r="AK10" s="7">
        <f t="shared" si="9"/>
        <v>200</v>
      </c>
      <c r="AL10" s="7">
        <v>305002</v>
      </c>
      <c r="AM10" s="7">
        <f>VLOOKUP(AL10,[1]stuff!$A:$C,3,FALSE)</f>
        <v>4</v>
      </c>
      <c r="AN10" s="6" t="s">
        <v>75</v>
      </c>
      <c r="AO10" s="7">
        <v>300</v>
      </c>
      <c r="AP10" s="7">
        <f t="shared" si="10"/>
        <v>200</v>
      </c>
      <c r="AQ10" s="7">
        <v>413007</v>
      </c>
      <c r="AR10" s="7">
        <f>VLOOKUP(AQ10,[1]stuff!$A:$C,3,FALSE)</f>
        <v>15000</v>
      </c>
      <c r="AS10" s="8" t="s">
        <v>89</v>
      </c>
      <c r="AT10" s="7">
        <v>1</v>
      </c>
      <c r="AU10" s="11">
        <v>110</v>
      </c>
      <c r="AV10" s="7">
        <v>401001</v>
      </c>
      <c r="AW10" s="7">
        <f>VLOOKUP(AV10,[1]stuff!$A:$C,3,FALSE)</f>
        <v>5</v>
      </c>
      <c r="AX10" s="9" t="s">
        <v>158</v>
      </c>
      <c r="AY10" s="7">
        <v>20</v>
      </c>
      <c r="AZ10" s="7">
        <v>120</v>
      </c>
      <c r="BA10" s="7">
        <v>250</v>
      </c>
      <c r="BB10" s="7">
        <v>10000</v>
      </c>
      <c r="BC10" s="7">
        <f t="shared" si="11"/>
        <v>1906000</v>
      </c>
      <c r="BD10" s="7">
        <f t="shared" si="6"/>
        <v>190.6</v>
      </c>
    </row>
    <row r="11" spans="1:56" x14ac:dyDescent="0.15">
      <c r="A11" s="7">
        <v>9</v>
      </c>
      <c r="B11" s="3" t="s">
        <v>103</v>
      </c>
      <c r="C11" s="7">
        <v>104024</v>
      </c>
      <c r="D11" s="7">
        <v>8</v>
      </c>
      <c r="E11" s="7">
        <v>2</v>
      </c>
      <c r="F11" s="7">
        <v>3</v>
      </c>
      <c r="G11" s="3" t="s">
        <v>127</v>
      </c>
      <c r="H11" s="1">
        <v>202884</v>
      </c>
      <c r="I11" s="1">
        <v>202701</v>
      </c>
      <c r="J11" s="3" t="s">
        <v>25</v>
      </c>
      <c r="K11" s="13">
        <v>20</v>
      </c>
      <c r="L11" s="3" t="s">
        <v>139</v>
      </c>
      <c r="M11" s="3" t="s">
        <v>43</v>
      </c>
      <c r="N11" s="3" t="s">
        <v>113</v>
      </c>
      <c r="O11" s="3" t="s">
        <v>181</v>
      </c>
      <c r="P11" s="15">
        <f t="shared" si="1"/>
        <v>480</v>
      </c>
      <c r="Q11" s="3">
        <f t="shared" si="2"/>
        <v>720</v>
      </c>
      <c r="R11" s="3">
        <f t="shared" si="3"/>
        <v>960</v>
      </c>
      <c r="S11" s="3" t="s">
        <v>187</v>
      </c>
      <c r="T11" s="3" t="s">
        <v>188</v>
      </c>
      <c r="U11" s="3" t="s">
        <v>168</v>
      </c>
      <c r="V11" s="13">
        <v>812007</v>
      </c>
      <c r="W11" s="14" t="s">
        <v>122</v>
      </c>
      <c r="X11" s="3" t="s">
        <v>90</v>
      </c>
      <c r="Y11" s="3" t="s">
        <v>95</v>
      </c>
      <c r="Z11" s="3" t="s">
        <v>93</v>
      </c>
      <c r="AA11" s="3" t="s">
        <v>27</v>
      </c>
      <c r="AB11" s="7">
        <v>90</v>
      </c>
      <c r="AC11" s="7">
        <v>1</v>
      </c>
      <c r="AD11" s="7">
        <v>0.4</v>
      </c>
      <c r="AE11" s="7">
        <v>404003</v>
      </c>
      <c r="AF11" s="7">
        <v>3</v>
      </c>
      <c r="AG11" s="7">
        <v>404003</v>
      </c>
      <c r="AH11" s="7">
        <f>VLOOKUP(AG11,[1]stuff!$A:$C,3,FALSE)</f>
        <v>10</v>
      </c>
      <c r="AI11" s="6" t="s">
        <v>73</v>
      </c>
      <c r="AJ11" s="7">
        <v>1</v>
      </c>
      <c r="AK11" s="7">
        <f>AK9</f>
        <v>200</v>
      </c>
      <c r="AL11" s="7">
        <v>305002</v>
      </c>
      <c r="AM11" s="7">
        <f>VLOOKUP(AL11,[1]stuff!$A:$C,3,FALSE)</f>
        <v>4</v>
      </c>
      <c r="AN11" s="6" t="s">
        <v>75</v>
      </c>
      <c r="AO11" s="7">
        <v>200</v>
      </c>
      <c r="AP11" s="7">
        <f>AP9</f>
        <v>200</v>
      </c>
      <c r="AQ11" s="7">
        <v>602002</v>
      </c>
      <c r="AR11" s="7">
        <f>VLOOKUP(AQ11,[1]stuff!$A:$C,3,FALSE)</f>
        <v>15</v>
      </c>
      <c r="AS11" s="6" t="s">
        <v>78</v>
      </c>
      <c r="AT11" s="7">
        <v>10</v>
      </c>
      <c r="AU11" s="7">
        <v>200</v>
      </c>
      <c r="AV11" s="7">
        <v>413006</v>
      </c>
      <c r="AW11" s="7">
        <f>VLOOKUP(AV11,[1]stuff!$A:$C,3,FALSE)</f>
        <v>4500</v>
      </c>
      <c r="AX11" s="8" t="s">
        <v>77</v>
      </c>
      <c r="AY11" s="7">
        <v>1</v>
      </c>
      <c r="AZ11" s="11">
        <v>110</v>
      </c>
      <c r="BA11" s="7">
        <v>100</v>
      </c>
      <c r="BB11" s="7">
        <f t="shared" si="4"/>
        <v>5000</v>
      </c>
      <c r="BC11" s="7">
        <f t="shared" si="11"/>
        <v>687000</v>
      </c>
      <c r="BD11" s="7">
        <f t="shared" si="6"/>
        <v>68.7</v>
      </c>
    </row>
    <row r="12" spans="1:56" x14ac:dyDescent="0.15">
      <c r="A12" s="7">
        <v>10</v>
      </c>
      <c r="B12" s="3" t="s">
        <v>101</v>
      </c>
      <c r="C12" s="7">
        <v>104024</v>
      </c>
      <c r="D12" s="7">
        <v>8</v>
      </c>
      <c r="E12" s="7">
        <v>2</v>
      </c>
      <c r="F12" s="7">
        <v>3</v>
      </c>
      <c r="G12" s="3" t="s">
        <v>127</v>
      </c>
      <c r="H12" s="1">
        <v>202884</v>
      </c>
      <c r="I12" s="1">
        <v>202701</v>
      </c>
      <c r="J12" s="3" t="s">
        <v>30</v>
      </c>
      <c r="K12" s="13">
        <v>50</v>
      </c>
      <c r="L12" s="3" t="s">
        <v>14</v>
      </c>
      <c r="M12" s="3" t="s">
        <v>43</v>
      </c>
      <c r="N12" s="3" t="s">
        <v>176</v>
      </c>
      <c r="O12" s="3" t="s">
        <v>181</v>
      </c>
      <c r="P12" s="15">
        <f t="shared" si="1"/>
        <v>480</v>
      </c>
      <c r="Q12" s="3">
        <f t="shared" si="2"/>
        <v>720</v>
      </c>
      <c r="R12" s="3">
        <f t="shared" si="3"/>
        <v>960</v>
      </c>
      <c r="S12" s="3" t="s">
        <v>189</v>
      </c>
      <c r="T12" s="3" t="s">
        <v>184</v>
      </c>
      <c r="U12" s="3" t="s">
        <v>168</v>
      </c>
      <c r="V12" s="13">
        <v>812007</v>
      </c>
      <c r="W12" s="14" t="s">
        <v>122</v>
      </c>
      <c r="X12" s="3" t="s">
        <v>95</v>
      </c>
      <c r="Y12" s="3" t="s">
        <v>104</v>
      </c>
      <c r="Z12" s="3" t="s">
        <v>93</v>
      </c>
      <c r="AA12" s="3" t="s">
        <v>27</v>
      </c>
      <c r="AB12" s="7">
        <v>90</v>
      </c>
      <c r="AC12" s="7">
        <v>1</v>
      </c>
      <c r="AD12" s="7">
        <v>0.4</v>
      </c>
      <c r="AE12" s="7">
        <v>404003</v>
      </c>
      <c r="AF12" s="7">
        <v>3</v>
      </c>
      <c r="AG12" s="7">
        <v>404003</v>
      </c>
      <c r="AH12" s="7">
        <f>VLOOKUP(AG12,[1]stuff!$A:$C,3,FALSE)</f>
        <v>10</v>
      </c>
      <c r="AI12" s="6" t="s">
        <v>73</v>
      </c>
      <c r="AJ12" s="7">
        <v>1</v>
      </c>
      <c r="AK12" s="7">
        <f>AK10</f>
        <v>200</v>
      </c>
      <c r="AL12" s="7">
        <v>305002</v>
      </c>
      <c r="AM12" s="7">
        <f>VLOOKUP(AL12,[1]stuff!$A:$C,3,FALSE)</f>
        <v>4</v>
      </c>
      <c r="AN12" s="6" t="s">
        <v>75</v>
      </c>
      <c r="AO12" s="7">
        <v>200</v>
      </c>
      <c r="AP12" s="7">
        <f>AP10</f>
        <v>200</v>
      </c>
      <c r="AQ12" s="7">
        <v>602002</v>
      </c>
      <c r="AR12" s="7">
        <f>VLOOKUP(AQ12,[1]stuff!$A:$C,3,FALSE)</f>
        <v>15</v>
      </c>
      <c r="AS12" s="6" t="s">
        <v>78</v>
      </c>
      <c r="AT12" s="7">
        <v>10</v>
      </c>
      <c r="AU12" s="7">
        <v>200</v>
      </c>
      <c r="AV12" s="7">
        <v>413007</v>
      </c>
      <c r="AW12" s="7">
        <f>VLOOKUP(AV12,[1]stuff!$A:$C,3,FALSE)</f>
        <v>15000</v>
      </c>
      <c r="AX12" s="8" t="s">
        <v>89</v>
      </c>
      <c r="AY12" s="7">
        <v>1</v>
      </c>
      <c r="AZ12" s="11">
        <v>110</v>
      </c>
      <c r="BA12" s="7">
        <v>200</v>
      </c>
      <c r="BB12" s="7">
        <f t="shared" si="4"/>
        <v>10000</v>
      </c>
      <c r="BC12" s="7">
        <f t="shared" si="11"/>
        <v>1842000</v>
      </c>
      <c r="BD12" s="7">
        <f t="shared" si="6"/>
        <v>184.2</v>
      </c>
    </row>
    <row r="13" spans="1:56" x14ac:dyDescent="0.15">
      <c r="A13" s="7">
        <v>11</v>
      </c>
      <c r="B13" s="3" t="s">
        <v>48</v>
      </c>
      <c r="C13" s="7">
        <v>104025</v>
      </c>
      <c r="D13" s="7">
        <v>5</v>
      </c>
      <c r="E13" s="7">
        <v>5</v>
      </c>
      <c r="F13" s="7">
        <v>3</v>
      </c>
      <c r="G13" s="3" t="s">
        <v>126</v>
      </c>
      <c r="H13" s="3" t="s">
        <v>126</v>
      </c>
      <c r="I13" s="3" t="s">
        <v>137</v>
      </c>
      <c r="J13" s="3" t="s">
        <v>126</v>
      </c>
      <c r="K13" s="3"/>
      <c r="L13" s="3" t="s">
        <v>13</v>
      </c>
      <c r="M13" s="3" t="s">
        <v>44</v>
      </c>
      <c r="N13" s="3" t="s">
        <v>175</v>
      </c>
      <c r="O13" s="3">
        <f t="shared" si="0"/>
        <v>200</v>
      </c>
      <c r="P13" s="15">
        <f t="shared" si="1"/>
        <v>400</v>
      </c>
      <c r="Q13" s="3">
        <f t="shared" si="2"/>
        <v>600</v>
      </c>
      <c r="R13" s="3">
        <f t="shared" si="3"/>
        <v>800</v>
      </c>
      <c r="S13" s="3" t="s">
        <v>187</v>
      </c>
      <c r="T13" s="3" t="s">
        <v>188</v>
      </c>
      <c r="U13" s="3" t="s">
        <v>168</v>
      </c>
      <c r="V13" s="13">
        <v>812009</v>
      </c>
      <c r="W13" s="14" t="s">
        <v>123</v>
      </c>
      <c r="X13" s="3" t="s">
        <v>22</v>
      </c>
      <c r="Y13" s="3" t="s">
        <v>31</v>
      </c>
      <c r="Z13" s="3" t="s">
        <v>94</v>
      </c>
      <c r="AA13" s="3" t="s">
        <v>32</v>
      </c>
      <c r="AB13" s="7">
        <v>120</v>
      </c>
      <c r="AC13" s="7">
        <v>1</v>
      </c>
      <c r="AD13" s="7">
        <v>0.4</v>
      </c>
      <c r="AE13" s="7">
        <v>404003</v>
      </c>
      <c r="AF13" s="7">
        <v>2</v>
      </c>
      <c r="AG13" s="7">
        <v>404003</v>
      </c>
      <c r="AH13" s="7">
        <f>VLOOKUP(AG13,[1]stuff!$A:$C,3,FALSE)</f>
        <v>10</v>
      </c>
      <c r="AI13" s="6" t="s">
        <v>73</v>
      </c>
      <c r="AJ13" s="7">
        <v>2</v>
      </c>
      <c r="AK13" s="7">
        <f t="shared" si="9"/>
        <v>200</v>
      </c>
      <c r="AL13" s="7">
        <v>305002</v>
      </c>
      <c r="AM13" s="7">
        <f>VLOOKUP(AL13,[1]stuff!$A:$C,3,FALSE)</f>
        <v>4</v>
      </c>
      <c r="AN13" s="6" t="s">
        <v>75</v>
      </c>
      <c r="AO13" s="7">
        <v>250</v>
      </c>
      <c r="AP13" s="7">
        <f t="shared" si="10"/>
        <v>200</v>
      </c>
      <c r="AQ13" s="7">
        <v>403002</v>
      </c>
      <c r="AR13" s="7">
        <f>VLOOKUP(AQ13,[1]stuff!$A:$C,3,FALSE)</f>
        <v>25</v>
      </c>
      <c r="AS13" s="6" t="s">
        <v>87</v>
      </c>
      <c r="AT13" s="7">
        <v>1</v>
      </c>
      <c r="AU13" s="7">
        <v>200</v>
      </c>
      <c r="AV13" s="7">
        <v>423003</v>
      </c>
      <c r="AW13" s="7">
        <f>VLOOKUP(AV13,[1]stuff!$A:$C,3,FALSE)</f>
        <v>5000</v>
      </c>
      <c r="AX13" s="7" t="s">
        <v>157</v>
      </c>
      <c r="AY13" s="7">
        <v>1</v>
      </c>
      <c r="AZ13" s="7">
        <v>120</v>
      </c>
      <c r="BA13" s="7">
        <v>100</v>
      </c>
      <c r="BB13" s="7">
        <f t="shared" si="4"/>
        <v>5000</v>
      </c>
      <c r="BC13" s="7">
        <f t="shared" si="11"/>
        <v>809000</v>
      </c>
      <c r="BD13" s="7">
        <f t="shared" si="6"/>
        <v>80.900000000000006</v>
      </c>
    </row>
    <row r="14" spans="1:56" x14ac:dyDescent="0.15">
      <c r="A14" s="7">
        <v>12</v>
      </c>
      <c r="B14" s="3" t="s">
        <v>49</v>
      </c>
      <c r="C14" s="7">
        <v>104025</v>
      </c>
      <c r="D14" s="7">
        <v>5</v>
      </c>
      <c r="E14" s="7">
        <v>5</v>
      </c>
      <c r="F14" s="7">
        <v>3</v>
      </c>
      <c r="G14" s="3" t="s">
        <v>126</v>
      </c>
      <c r="H14" s="3" t="s">
        <v>126</v>
      </c>
      <c r="I14" s="3" t="s">
        <v>137</v>
      </c>
      <c r="J14" s="3" t="s">
        <v>126</v>
      </c>
      <c r="K14" s="3"/>
      <c r="L14" s="3" t="s">
        <v>14</v>
      </c>
      <c r="M14" s="3" t="s">
        <v>44</v>
      </c>
      <c r="N14" s="3" t="s">
        <v>113</v>
      </c>
      <c r="O14" s="3" t="s">
        <v>181</v>
      </c>
      <c r="P14" s="15">
        <f t="shared" si="1"/>
        <v>480</v>
      </c>
      <c r="Q14" s="3">
        <f t="shared" si="2"/>
        <v>720</v>
      </c>
      <c r="R14" s="3">
        <f t="shared" si="3"/>
        <v>960</v>
      </c>
      <c r="S14" s="3" t="s">
        <v>189</v>
      </c>
      <c r="T14" s="3" t="s">
        <v>184</v>
      </c>
      <c r="U14" s="3" t="s">
        <v>168</v>
      </c>
      <c r="V14" s="13">
        <v>812009</v>
      </c>
      <c r="W14" s="14" t="s">
        <v>123</v>
      </c>
      <c r="X14" s="3" t="s">
        <v>31</v>
      </c>
      <c r="Y14" s="3" t="s">
        <v>54</v>
      </c>
      <c r="Z14" s="3" t="s">
        <v>94</v>
      </c>
      <c r="AA14" s="3" t="s">
        <v>32</v>
      </c>
      <c r="AB14" s="7">
        <v>120</v>
      </c>
      <c r="AC14" s="7">
        <v>1</v>
      </c>
      <c r="AD14" s="7">
        <v>0.5</v>
      </c>
      <c r="AE14" s="7">
        <v>404003</v>
      </c>
      <c r="AF14" s="7">
        <v>2</v>
      </c>
      <c r="AG14" s="7">
        <v>404003</v>
      </c>
      <c r="AH14" s="7">
        <f>VLOOKUP(AG14,[1]stuff!$A:$C,3,FALSE)</f>
        <v>10</v>
      </c>
      <c r="AI14" s="6" t="s">
        <v>73</v>
      </c>
      <c r="AJ14" s="7">
        <v>2</v>
      </c>
      <c r="AK14" s="7">
        <f t="shared" si="9"/>
        <v>200</v>
      </c>
      <c r="AL14" s="7">
        <v>305002</v>
      </c>
      <c r="AM14" s="7">
        <f>VLOOKUP(AL14,[1]stuff!$A:$C,3,FALSE)</f>
        <v>4</v>
      </c>
      <c r="AN14" s="6" t="s">
        <v>75</v>
      </c>
      <c r="AO14" s="7">
        <v>250</v>
      </c>
      <c r="AP14" s="7">
        <f t="shared" si="10"/>
        <v>200</v>
      </c>
      <c r="AQ14" s="7">
        <v>403002</v>
      </c>
      <c r="AR14" s="7">
        <f>VLOOKUP(AQ14,[1]stuff!$A:$C,3,FALSE)</f>
        <v>25</v>
      </c>
      <c r="AS14" s="6" t="s">
        <v>87</v>
      </c>
      <c r="AT14" s="7">
        <v>1</v>
      </c>
      <c r="AU14" s="7">
        <v>200</v>
      </c>
      <c r="AV14" s="7">
        <v>423003</v>
      </c>
      <c r="AW14" s="7">
        <f>VLOOKUP(AV14,[1]stuff!$A:$C,3,FALSE)</f>
        <v>5000</v>
      </c>
      <c r="AX14" s="7" t="s">
        <v>157</v>
      </c>
      <c r="AY14" s="7">
        <v>2</v>
      </c>
      <c r="AZ14" s="7">
        <v>120</v>
      </c>
      <c r="BA14" s="7">
        <v>150</v>
      </c>
      <c r="BB14" s="7">
        <f t="shared" si="4"/>
        <v>7500</v>
      </c>
      <c r="BC14" s="7">
        <f t="shared" si="11"/>
        <v>1409000</v>
      </c>
      <c r="BD14" s="7">
        <f t="shared" si="6"/>
        <v>140.9</v>
      </c>
    </row>
    <row r="15" spans="1:56" x14ac:dyDescent="0.15">
      <c r="A15" s="7">
        <v>13</v>
      </c>
      <c r="B15" s="3" t="s">
        <v>45</v>
      </c>
      <c r="C15" s="7">
        <v>104023</v>
      </c>
      <c r="D15" s="7">
        <v>6</v>
      </c>
      <c r="E15" s="7">
        <v>4</v>
      </c>
      <c r="F15" s="7">
        <v>2</v>
      </c>
      <c r="G15" s="3" t="s">
        <v>126</v>
      </c>
      <c r="H15" s="3" t="s">
        <v>126</v>
      </c>
      <c r="I15" s="3" t="s">
        <v>137</v>
      </c>
      <c r="J15" s="3" t="s">
        <v>126</v>
      </c>
      <c r="K15" s="3"/>
      <c r="L15" s="3" t="s">
        <v>11</v>
      </c>
      <c r="M15" s="3" t="s">
        <v>15</v>
      </c>
      <c r="N15" s="3" t="s">
        <v>177</v>
      </c>
      <c r="O15" s="3">
        <f t="shared" si="0"/>
        <v>150</v>
      </c>
      <c r="P15" s="15">
        <f t="shared" si="1"/>
        <v>300</v>
      </c>
      <c r="Q15" s="3">
        <f t="shared" si="2"/>
        <v>450</v>
      </c>
      <c r="R15" s="3">
        <f t="shared" si="3"/>
        <v>600</v>
      </c>
      <c r="S15" s="3" t="s">
        <v>110</v>
      </c>
      <c r="T15" s="3" t="s">
        <v>124</v>
      </c>
      <c r="U15" s="3" t="s">
        <v>168</v>
      </c>
      <c r="V15" s="13">
        <v>812004</v>
      </c>
      <c r="W15" s="14" t="s">
        <v>121</v>
      </c>
      <c r="X15" s="3" t="s">
        <v>25</v>
      </c>
      <c r="Y15" s="3" t="s">
        <v>27</v>
      </c>
      <c r="Z15" s="3" t="s">
        <v>95</v>
      </c>
      <c r="AA15" s="3">
        <v>4</v>
      </c>
      <c r="AB15" s="7">
        <v>120</v>
      </c>
      <c r="AC15" s="7">
        <v>1</v>
      </c>
      <c r="AD15" s="7">
        <v>0.6</v>
      </c>
      <c r="AE15" s="7">
        <v>404002</v>
      </c>
      <c r="AF15" s="7">
        <v>1</v>
      </c>
      <c r="AG15" s="7">
        <v>404002</v>
      </c>
      <c r="AH15" s="7">
        <f>VLOOKUP(AG15,[1]stuff!$A:$C,3,FALSE)</f>
        <v>5</v>
      </c>
      <c r="AI15" s="6" t="s">
        <v>72</v>
      </c>
      <c r="AJ15" s="7">
        <v>1</v>
      </c>
      <c r="AK15" s="11">
        <v>180</v>
      </c>
      <c r="AL15" s="7">
        <v>305001</v>
      </c>
      <c r="AM15" s="7">
        <f>VLOOKUP(AL15,[1]stuff!$A:$C,3,FALSE)</f>
        <v>2</v>
      </c>
      <c r="AN15" s="6" t="s">
        <v>74</v>
      </c>
      <c r="AO15" s="7">
        <v>500</v>
      </c>
      <c r="AP15" s="7">
        <f>AP4</f>
        <v>150</v>
      </c>
      <c r="AQ15" s="9">
        <v>412002</v>
      </c>
      <c r="AR15" s="7">
        <f>VLOOKUP(AQ15,[1]stuff!$A:$C,3,FALSE)</f>
        <v>10</v>
      </c>
      <c r="AS15" s="10" t="s">
        <v>79</v>
      </c>
      <c r="AT15" s="7">
        <v>10</v>
      </c>
      <c r="AU15" s="11">
        <v>150</v>
      </c>
      <c r="AV15" s="7">
        <v>401003</v>
      </c>
      <c r="AW15" s="7">
        <f>VLOOKUP(AV15,[1]stuff!$A:$C,3,FALSE)</f>
        <v>6</v>
      </c>
      <c r="AX15" s="10" t="s">
        <v>159</v>
      </c>
      <c r="AY15" s="7">
        <v>30</v>
      </c>
      <c r="AZ15" s="7">
        <v>125</v>
      </c>
      <c r="BA15" s="7">
        <v>40</v>
      </c>
      <c r="BB15" s="7">
        <f t="shared" si="4"/>
        <v>2000</v>
      </c>
      <c r="BC15" s="7">
        <f t="shared" si="11"/>
        <v>188400</v>
      </c>
      <c r="BD15" s="7">
        <f t="shared" si="6"/>
        <v>18.84</v>
      </c>
    </row>
    <row r="16" spans="1:56" x14ac:dyDescent="0.15">
      <c r="A16" s="7">
        <v>14</v>
      </c>
      <c r="B16" s="3" t="s">
        <v>46</v>
      </c>
      <c r="C16" s="7">
        <v>104023</v>
      </c>
      <c r="D16" s="7">
        <v>6</v>
      </c>
      <c r="E16" s="7">
        <v>4</v>
      </c>
      <c r="F16" s="7">
        <v>2</v>
      </c>
      <c r="G16" s="3" t="s">
        <v>126</v>
      </c>
      <c r="H16" s="3" t="s">
        <v>126</v>
      </c>
      <c r="I16" s="3" t="s">
        <v>137</v>
      </c>
      <c r="J16" s="3" t="s">
        <v>126</v>
      </c>
      <c r="K16" s="3"/>
      <c r="L16" s="3" t="s">
        <v>12</v>
      </c>
      <c r="M16" s="3" t="s">
        <v>15</v>
      </c>
      <c r="N16" s="3" t="s">
        <v>178</v>
      </c>
      <c r="O16" s="3">
        <f t="shared" si="0"/>
        <v>200</v>
      </c>
      <c r="P16" s="15">
        <f t="shared" si="1"/>
        <v>400</v>
      </c>
      <c r="Q16" s="3">
        <f t="shared" si="2"/>
        <v>600</v>
      </c>
      <c r="R16" s="3">
        <f t="shared" si="3"/>
        <v>800</v>
      </c>
      <c r="S16" s="3" t="s">
        <v>182</v>
      </c>
      <c r="T16" s="3" t="s">
        <v>183</v>
      </c>
      <c r="U16" s="3" t="s">
        <v>168</v>
      </c>
      <c r="V16" s="13">
        <v>812004</v>
      </c>
      <c r="W16" s="14" t="s">
        <v>121</v>
      </c>
      <c r="X16" s="3" t="s">
        <v>105</v>
      </c>
      <c r="Y16" s="3" t="s">
        <v>106</v>
      </c>
      <c r="Z16" s="3" t="s">
        <v>95</v>
      </c>
      <c r="AA16" s="3">
        <v>4</v>
      </c>
      <c r="AB16" s="7">
        <v>120</v>
      </c>
      <c r="AC16" s="7">
        <v>1</v>
      </c>
      <c r="AD16" s="7">
        <v>0.7</v>
      </c>
      <c r="AE16" s="7">
        <v>404002</v>
      </c>
      <c r="AF16" s="7">
        <v>1</v>
      </c>
      <c r="AG16" s="7">
        <v>404002</v>
      </c>
      <c r="AH16" s="7">
        <f>VLOOKUP(AG16,[1]stuff!$A:$C,3,FALSE)</f>
        <v>5</v>
      </c>
      <c r="AI16" s="6" t="s">
        <v>72</v>
      </c>
      <c r="AJ16" s="7">
        <v>1</v>
      </c>
      <c r="AK16" s="7">
        <f t="shared" ref="AK16:AK18" si="12">AK15</f>
        <v>180</v>
      </c>
      <c r="AL16" s="7">
        <v>305001</v>
      </c>
      <c r="AM16" s="7">
        <f>VLOOKUP(AL16,[1]stuff!$A:$C,3,FALSE)</f>
        <v>2</v>
      </c>
      <c r="AN16" s="6" t="s">
        <v>74</v>
      </c>
      <c r="AO16" s="7">
        <v>500</v>
      </c>
      <c r="AP16" s="7">
        <f t="shared" ref="AP16:AP18" si="13">AP15</f>
        <v>150</v>
      </c>
      <c r="AQ16" s="9">
        <v>412002</v>
      </c>
      <c r="AR16" s="7">
        <f>VLOOKUP(AQ16,[1]stuff!$A:$C,3,FALSE)</f>
        <v>10</v>
      </c>
      <c r="AS16" s="10" t="s">
        <v>79</v>
      </c>
      <c r="AT16" s="7">
        <v>10</v>
      </c>
      <c r="AU16" s="7">
        <f t="shared" ref="AU16:AU18" si="14">AU15</f>
        <v>150</v>
      </c>
      <c r="AV16" s="7">
        <v>401003</v>
      </c>
      <c r="AW16" s="7">
        <f>VLOOKUP(AV16,[1]stuff!$A:$C,3,FALSE)</f>
        <v>6</v>
      </c>
      <c r="AX16" s="10" t="s">
        <v>159</v>
      </c>
      <c r="AY16" s="7">
        <v>30</v>
      </c>
      <c r="AZ16" s="7">
        <v>125</v>
      </c>
      <c r="BA16" s="7">
        <v>40</v>
      </c>
      <c r="BB16" s="7">
        <f t="shared" si="4"/>
        <v>2000</v>
      </c>
      <c r="BC16" s="7">
        <f t="shared" si="11"/>
        <v>188400</v>
      </c>
      <c r="BD16" s="7">
        <f t="shared" si="6"/>
        <v>18.84</v>
      </c>
    </row>
    <row r="17" spans="1:56" x14ac:dyDescent="0.15">
      <c r="A17" s="7">
        <v>15</v>
      </c>
      <c r="B17" s="3" t="s">
        <v>47</v>
      </c>
      <c r="C17" s="7">
        <v>104023</v>
      </c>
      <c r="D17" s="7">
        <v>6</v>
      </c>
      <c r="E17" s="7">
        <v>4</v>
      </c>
      <c r="F17" s="7">
        <v>2</v>
      </c>
      <c r="G17" s="3" t="s">
        <v>126</v>
      </c>
      <c r="H17" s="3" t="s">
        <v>126</v>
      </c>
      <c r="I17" s="3" t="s">
        <v>137</v>
      </c>
      <c r="J17" s="3" t="s">
        <v>126</v>
      </c>
      <c r="K17" s="3"/>
      <c r="L17" s="3" t="s">
        <v>13</v>
      </c>
      <c r="M17" s="3" t="s">
        <v>15</v>
      </c>
      <c r="N17" s="3" t="s">
        <v>179</v>
      </c>
      <c r="O17" s="3" t="s">
        <v>197</v>
      </c>
      <c r="P17" s="15">
        <f t="shared" si="1"/>
        <v>300</v>
      </c>
      <c r="Q17" s="3">
        <f t="shared" si="2"/>
        <v>450</v>
      </c>
      <c r="R17" s="3">
        <f t="shared" si="3"/>
        <v>600</v>
      </c>
      <c r="S17" s="3" t="s">
        <v>184</v>
      </c>
      <c r="T17" s="3" t="s">
        <v>185</v>
      </c>
      <c r="U17" s="3" t="s">
        <v>168</v>
      </c>
      <c r="V17" s="13">
        <v>812004</v>
      </c>
      <c r="W17" s="14" t="s">
        <v>121</v>
      </c>
      <c r="X17" s="3" t="s">
        <v>28</v>
      </c>
      <c r="Y17" s="3" t="s">
        <v>29</v>
      </c>
      <c r="Z17" s="3" t="s">
        <v>95</v>
      </c>
      <c r="AA17" s="3">
        <v>4</v>
      </c>
      <c r="AB17" s="7">
        <v>120</v>
      </c>
      <c r="AC17" s="7">
        <v>1</v>
      </c>
      <c r="AD17" s="7">
        <v>0.8</v>
      </c>
      <c r="AE17" s="7">
        <v>404002</v>
      </c>
      <c r="AF17" s="7">
        <v>1</v>
      </c>
      <c r="AG17" s="7">
        <v>404002</v>
      </c>
      <c r="AH17" s="7">
        <f>VLOOKUP(AG17,[1]stuff!$A:$C,3,FALSE)</f>
        <v>5</v>
      </c>
      <c r="AI17" s="6" t="s">
        <v>72</v>
      </c>
      <c r="AJ17" s="7">
        <v>1</v>
      </c>
      <c r="AK17" s="7">
        <f t="shared" si="12"/>
        <v>180</v>
      </c>
      <c r="AL17" s="7">
        <v>305001</v>
      </c>
      <c r="AM17" s="7">
        <f>VLOOKUP(AL17,[1]stuff!$A:$C,3,FALSE)</f>
        <v>2</v>
      </c>
      <c r="AN17" s="6" t="s">
        <v>74</v>
      </c>
      <c r="AO17" s="7">
        <v>500</v>
      </c>
      <c r="AP17" s="7">
        <f t="shared" si="13"/>
        <v>150</v>
      </c>
      <c r="AQ17" s="9">
        <v>412002</v>
      </c>
      <c r="AR17" s="7">
        <f>VLOOKUP(AQ17,[1]stuff!$A:$C,3,FALSE)</f>
        <v>10</v>
      </c>
      <c r="AS17" s="10" t="s">
        <v>79</v>
      </c>
      <c r="AT17" s="7">
        <v>10</v>
      </c>
      <c r="AU17" s="7">
        <f t="shared" si="14"/>
        <v>150</v>
      </c>
      <c r="AV17" s="7">
        <v>401003</v>
      </c>
      <c r="AW17" s="7">
        <f>VLOOKUP(AV17,[1]stuff!$A:$C,3,FALSE)</f>
        <v>6</v>
      </c>
      <c r="AX17" s="10" t="s">
        <v>159</v>
      </c>
      <c r="AY17" s="7">
        <v>30</v>
      </c>
      <c r="AZ17" s="7">
        <v>125</v>
      </c>
      <c r="BA17" s="7">
        <v>40</v>
      </c>
      <c r="BB17" s="7">
        <f t="shared" si="4"/>
        <v>2000</v>
      </c>
      <c r="BC17" s="7">
        <f t="shared" si="11"/>
        <v>188400</v>
      </c>
      <c r="BD17" s="7">
        <f t="shared" si="6"/>
        <v>18.84</v>
      </c>
    </row>
    <row r="18" spans="1:56" x14ac:dyDescent="0.15">
      <c r="A18" s="7">
        <v>16</v>
      </c>
      <c r="B18" s="3" t="s">
        <v>138</v>
      </c>
      <c r="C18" s="7">
        <v>104023</v>
      </c>
      <c r="D18" s="7">
        <v>6</v>
      </c>
      <c r="E18" s="7">
        <v>4</v>
      </c>
      <c r="F18" s="7">
        <v>2</v>
      </c>
      <c r="G18" s="3" t="s">
        <v>126</v>
      </c>
      <c r="H18" s="3" t="s">
        <v>126</v>
      </c>
      <c r="I18" s="3" t="s">
        <v>137</v>
      </c>
      <c r="J18" s="3" t="s">
        <v>126</v>
      </c>
      <c r="K18" s="3"/>
      <c r="L18" s="3" t="s">
        <v>14</v>
      </c>
      <c r="M18" s="3" t="s">
        <v>15</v>
      </c>
      <c r="N18" s="3" t="s">
        <v>176</v>
      </c>
      <c r="O18" s="3" t="s">
        <v>198</v>
      </c>
      <c r="P18" s="15">
        <f t="shared" si="1"/>
        <v>400</v>
      </c>
      <c r="Q18" s="3">
        <f t="shared" si="2"/>
        <v>600</v>
      </c>
      <c r="R18" s="3">
        <f t="shared" si="3"/>
        <v>800</v>
      </c>
      <c r="S18" s="3" t="s">
        <v>167</v>
      </c>
      <c r="T18" s="3" t="s">
        <v>110</v>
      </c>
      <c r="U18" s="3" t="s">
        <v>168</v>
      </c>
      <c r="V18" s="13">
        <v>812004</v>
      </c>
      <c r="W18" s="14" t="s">
        <v>121</v>
      </c>
      <c r="X18" s="3" t="s">
        <v>29</v>
      </c>
      <c r="Y18" s="3" t="s">
        <v>53</v>
      </c>
      <c r="Z18" s="3" t="s">
        <v>95</v>
      </c>
      <c r="AA18" s="3">
        <v>4</v>
      </c>
      <c r="AB18" s="7">
        <v>120</v>
      </c>
      <c r="AC18" s="7">
        <v>1</v>
      </c>
      <c r="AD18" s="7">
        <v>0.9</v>
      </c>
      <c r="AE18" s="7">
        <v>404002</v>
      </c>
      <c r="AF18" s="7">
        <v>1</v>
      </c>
      <c r="AG18" s="7">
        <v>404002</v>
      </c>
      <c r="AH18" s="7">
        <f>VLOOKUP(AG18,[1]stuff!$A:$C,3,FALSE)</f>
        <v>5</v>
      </c>
      <c r="AI18" s="6" t="s">
        <v>72</v>
      </c>
      <c r="AJ18" s="7">
        <v>1</v>
      </c>
      <c r="AK18" s="7">
        <f t="shared" si="12"/>
        <v>180</v>
      </c>
      <c r="AL18" s="7">
        <v>305001</v>
      </c>
      <c r="AM18" s="7">
        <f>VLOOKUP(AL18,[1]stuff!$A:$C,3,FALSE)</f>
        <v>2</v>
      </c>
      <c r="AN18" s="6" t="s">
        <v>74</v>
      </c>
      <c r="AO18" s="7">
        <v>500</v>
      </c>
      <c r="AP18" s="7">
        <f t="shared" si="13"/>
        <v>150</v>
      </c>
      <c r="AQ18" s="9">
        <v>412002</v>
      </c>
      <c r="AR18" s="7">
        <f>VLOOKUP(AQ18,[1]stuff!$A:$C,3,FALSE)</f>
        <v>10</v>
      </c>
      <c r="AS18" s="10" t="s">
        <v>79</v>
      </c>
      <c r="AT18" s="7">
        <v>10</v>
      </c>
      <c r="AU18" s="7">
        <f t="shared" si="14"/>
        <v>150</v>
      </c>
      <c r="AV18" s="7">
        <v>401003</v>
      </c>
      <c r="AW18" s="7">
        <f>VLOOKUP(AV18,[1]stuff!$A:$C,3,FALSE)</f>
        <v>6</v>
      </c>
      <c r="AX18" s="10" t="s">
        <v>159</v>
      </c>
      <c r="AY18" s="7">
        <v>30</v>
      </c>
      <c r="AZ18" s="7">
        <v>125</v>
      </c>
      <c r="BA18" s="7">
        <v>40</v>
      </c>
      <c r="BB18" s="7">
        <f t="shared" si="4"/>
        <v>2000</v>
      </c>
      <c r="BC18" s="7">
        <f t="shared" si="11"/>
        <v>188400</v>
      </c>
      <c r="BD18" s="7">
        <f t="shared" si="6"/>
        <v>18.84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traveller_group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2025-12-15T04:09:12Z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