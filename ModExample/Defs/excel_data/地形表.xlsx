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A5AA5DBA-80DD-419B-8253-57D8465215EA}" xr6:coauthVersionLast="47" xr6:coauthVersionMax="47" xr10:uidLastSave="{00000000-0000-0000-0000-000000000000}"/>
  <bookViews>
    <workbookView xWindow="945" yWindow="780" windowWidth="26835" windowHeight="13815" xr2:uid="{00000000-000D-0000-FFFF-FFFF00000000}"/>
  </bookViews>
  <sheets>
    <sheet name="terrain" sheetId="1" r:id="rId1"/>
  </sheets>
  <definedNames>
    <definedName name="_xlnm._FilterDatabase" localSheetId="0" hidden="1">terrain!$A$1:$C$2</definedName>
  </definedNames>
  <calcPr calcId="181029"/>
</workbook>
</file>

<file path=xl/calcChain.xml><?xml version="1.0" encoding="utf-8"?>
<calcChain xmlns="http://schemas.openxmlformats.org/spreadsheetml/2006/main">
  <c r="L51" i="1" l="1"/>
  <c r="L21" i="1"/>
  <c r="I12" i="1"/>
  <c r="I17" i="1"/>
  <c r="I18" i="1"/>
  <c r="I19" i="1"/>
  <c r="I20" i="1"/>
  <c r="I21" i="1"/>
  <c r="L20" i="1"/>
  <c r="L19" i="1"/>
  <c r="L18" i="1"/>
  <c r="L17" i="1"/>
  <c r="L24" i="1"/>
  <c r="L3" i="1"/>
  <c r="L56" i="1"/>
  <c r="L55" i="1"/>
  <c r="L54" i="1"/>
  <c r="L53" i="1"/>
  <c r="L52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I31" i="1"/>
  <c r="L30" i="1"/>
  <c r="I30" i="1"/>
  <c r="L29" i="1"/>
  <c r="I29" i="1"/>
  <c r="L28" i="1"/>
  <c r="I28" i="1"/>
  <c r="L27" i="1"/>
  <c r="I27" i="1"/>
  <c r="L26" i="1"/>
  <c r="I26" i="1"/>
  <c r="L25" i="1"/>
  <c r="I25" i="1"/>
  <c r="I24" i="1"/>
  <c r="L14" i="1"/>
  <c r="I14" i="1"/>
  <c r="L16" i="1"/>
  <c r="I16" i="1"/>
  <c r="L15" i="1"/>
  <c r="I15" i="1"/>
  <c r="L13" i="1"/>
  <c r="I13" i="1"/>
  <c r="L23" i="1"/>
  <c r="L22" i="1"/>
  <c r="L12" i="1"/>
  <c r="L11" i="1"/>
  <c r="I11" i="1"/>
  <c r="L10" i="1"/>
  <c r="I10" i="1"/>
  <c r="L9" i="1"/>
  <c r="I9" i="1"/>
  <c r="L8" i="1"/>
  <c r="I8" i="1"/>
  <c r="L7" i="1"/>
  <c r="I7" i="1"/>
  <c r="L6" i="1"/>
  <c r="I6" i="1"/>
  <c r="L5" i="1"/>
  <c r="I5" i="1"/>
  <c r="L4" i="1"/>
  <c r="I4" i="1"/>
  <c r="T2" i="1"/>
  <c r="S2" i="1"/>
  <c r="R2" i="1"/>
  <c r="Q2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<sst xmlns="http://schemas.openxmlformats.org/spreadsheetml/2006/main" count="328" uniqueCount="235">
  <si>
    <t>名称</t>
  </si>
  <si>
    <t>类型</t>
  </si>
  <si>
    <t>树的类型</t>
  </si>
  <si>
    <t>花的类型1</t>
  </si>
  <si>
    <t>花的类型2</t>
  </si>
  <si>
    <r>
      <rPr>
        <sz val="11"/>
        <color theme="1"/>
        <rFont val="宋体"/>
        <family val="3"/>
        <charset val="134"/>
        <scheme val="minor"/>
      </rPr>
      <t xml:space="preserve">行走影响
</t>
    </r>
    <r>
      <rPr>
        <sz val="11"/>
        <color rgb="FFFF0000"/>
        <rFont val="宋体"/>
        <family val="3"/>
        <charset val="134"/>
        <scheme val="minor"/>
      </rPr>
      <t>该字段尚未起作用</t>
    </r>
  </si>
  <si>
    <t>地形图标</t>
  </si>
  <si>
    <t>备注</t>
  </si>
  <si>
    <t>缩略图上的颜色</t>
  </si>
  <si>
    <t>zh-CN</t>
  </si>
  <si>
    <t>en</t>
  </si>
  <si>
    <t>zh-TW</t>
  </si>
  <si>
    <t>ru</t>
  </si>
  <si>
    <t>es</t>
  </si>
  <si>
    <t>de</t>
  </si>
  <si>
    <t>pt</t>
  </si>
  <si>
    <t>fr</t>
  </si>
  <si>
    <t>pl</t>
  </si>
  <si>
    <t>terrain_id#int</t>
  </si>
  <si>
    <t>!terrain_name#str</t>
  </si>
  <si>
    <t>terrain_type#int</t>
  </si>
  <si>
    <t>tree_type#int</t>
  </si>
  <si>
    <t>flower_wild_type1#int</t>
  </si>
  <si>
    <t>flower_wild_type2#int</t>
  </si>
  <si>
    <t>speed_rate#float</t>
  </si>
  <si>
    <t>terrain_icon#int</t>
  </si>
  <si>
    <t>!remark</t>
  </si>
  <si>
    <t>_color#str</t>
  </si>
  <si>
    <t>沙地</t>
  </si>
  <si>
    <t>0.5</t>
  </si>
  <si>
    <t>沙地适合种核桃，棉花、大豆、花生、葡萄、沙棘、西瓜、水稻、枸杞、毛豆、萝卜、红薯、芝麻、香瓜、哈密瓜等农作物</t>
  </si>
  <si>
    <t>248,214,163,255</t>
  </si>
  <si>
    <t>戈壁</t>
  </si>
  <si>
    <t>石头多</t>
  </si>
  <si>
    <t>217,174,128,255</t>
  </si>
  <si>
    <t>Gobi</t>
  </si>
  <si>
    <t>石头多，树多，采集食物多，牧草少</t>
  </si>
  <si>
    <t>铁矿多，树多，采集食物多，牧草少</t>
  </si>
  <si>
    <t>134,94,64,255</t>
  </si>
  <si>
    <t>黄土</t>
  </si>
  <si>
    <t>粱,甘薯,小麦,花生,西瓜，树少，采集少</t>
  </si>
  <si>
    <t>黃土</t>
  </si>
  <si>
    <t>灰土</t>
  </si>
  <si>
    <t>树木或果园，采集食物多，牧草少</t>
  </si>
  <si>
    <t>74,68,78,255</t>
  </si>
  <si>
    <t>Dust</t>
  </si>
  <si>
    <t>黑土</t>
  </si>
  <si>
    <t>种植主食和蔬菜，树多，牧草多，矿少</t>
  </si>
  <si>
    <t>34,40,42,255</t>
  </si>
  <si>
    <t>红土</t>
  </si>
  <si>
    <t>紅土</t>
  </si>
  <si>
    <t>土路</t>
  </si>
  <si>
    <t>石板路</t>
  </si>
  <si>
    <t>Stone road</t>
  </si>
  <si>
    <t>草地</t>
  </si>
  <si>
    <t>牧草会更多，树少，石头和矿多</t>
  </si>
  <si>
    <t>鱼</t>
  </si>
  <si>
    <t>水</t>
  </si>
  <si>
    <t>深水</t>
  </si>
  <si>
    <t>树多，矿多</t>
  </si>
  <si>
    <t>0,0,0,255</t>
  </si>
  <si>
    <t>山地5</t>
  </si>
  <si>
    <t>Mountain 5</t>
  </si>
  <si>
    <t>山地6</t>
  </si>
  <si>
    <t>Mountain 6</t>
  </si>
  <si>
    <t>山地7</t>
  </si>
  <si>
    <t>Mountain 7</t>
  </si>
  <si>
    <t>山地8</t>
  </si>
  <si>
    <t>山地墙1</t>
  </si>
  <si>
    <t>山地牆1</t>
  </si>
  <si>
    <t>山地墙2</t>
  </si>
  <si>
    <t>mountain wall 2</t>
  </si>
  <si>
    <t>山地牆2</t>
  </si>
  <si>
    <t>山地墙3</t>
  </si>
  <si>
    <t>mountain wall 3</t>
  </si>
  <si>
    <t>山地牆3</t>
  </si>
  <si>
    <t>山地墙4</t>
  </si>
  <si>
    <t>mountain wall 4</t>
  </si>
  <si>
    <t>山地牆4</t>
  </si>
  <si>
    <t>山地墙5</t>
  </si>
  <si>
    <t>mountain wall 5</t>
  </si>
  <si>
    <t>山地牆5</t>
  </si>
  <si>
    <t>山地墙6</t>
  </si>
  <si>
    <t>mountain wall 6</t>
  </si>
  <si>
    <t>山地牆6</t>
  </si>
  <si>
    <t>山地墙7</t>
  </si>
  <si>
    <t>mountain wall 7</t>
  </si>
  <si>
    <t>山地牆7</t>
  </si>
  <si>
    <t>山地墙8</t>
  </si>
  <si>
    <t>mountain wall 8</t>
  </si>
  <si>
    <t>山地牆8</t>
  </si>
  <si>
    <t>山地墙逻辑扩展1</t>
  </si>
  <si>
    <t>与陆地一样的颜色</t>
  </si>
  <si>
    <t>Mountain Wall Logic Extension 1</t>
  </si>
  <si>
    <t>山地牆邏輯擴展1</t>
  </si>
  <si>
    <t>山地墙逻辑扩展2</t>
  </si>
  <si>
    <t>Mountain Wall Logic Extension 2</t>
  </si>
  <si>
    <t>山地牆邏輯擴展2</t>
  </si>
  <si>
    <t>山地墙逻辑扩展3</t>
  </si>
  <si>
    <t>184,135,81,255</t>
  </si>
  <si>
    <t>Mountain Wall Logic Extension 3</t>
  </si>
  <si>
    <t>山地牆邏輯擴展3</t>
  </si>
  <si>
    <t>山地墙逻辑扩展4</t>
  </si>
  <si>
    <t>Mountain Wall Logic Extension 4</t>
  </si>
  <si>
    <t>山地牆邏輯擴展4</t>
  </si>
  <si>
    <t>山地墙逻辑扩展5</t>
  </si>
  <si>
    <t>126,112,104,255</t>
  </si>
  <si>
    <t>Mountain Wall Logic Extension 5</t>
  </si>
  <si>
    <t>山地牆邏輯擴展5</t>
  </si>
  <si>
    <t>山地墙逻辑扩展6</t>
  </si>
  <si>
    <t>Mountain Wall Logic Extension 6</t>
  </si>
  <si>
    <t>山地牆邏輯擴展6</t>
  </si>
  <si>
    <t>山地墙逻辑扩展7</t>
  </si>
  <si>
    <t>Mountain Wall Logic Extension 7</t>
  </si>
  <si>
    <t>山地牆邏輯擴展7</t>
  </si>
  <si>
    <t>山地墙逻辑扩展8</t>
  </si>
  <si>
    <t>114,62,42,255</t>
  </si>
  <si>
    <t>Mountain Wall Logic Extension 8</t>
  </si>
  <si>
    <t>山地牆邏輯擴展8</t>
  </si>
  <si>
    <t>山上設施</t>
  </si>
  <si>
    <t>水中设施</t>
  </si>
  <si>
    <t>水中設施</t>
  </si>
  <si>
    <t>陸地設施</t>
  </si>
  <si>
    <t>255,189,255,255</t>
  </si>
  <si>
    <t>怪物</t>
  </si>
  <si>
    <t>255,0,0,255</t>
  </si>
  <si>
    <t>NPC</t>
  </si>
  <si>
    <r>
      <rPr>
        <sz val="11"/>
        <color theme="1"/>
        <rFont val="宋体"/>
        <family val="3"/>
        <charset val="134"/>
        <scheme val="minor"/>
      </rPr>
      <t>0,255,0</t>
    </r>
    <r>
      <rPr>
        <sz val="11"/>
        <color theme="1"/>
        <rFont val="宋体"/>
        <family val="3"/>
        <charset val="134"/>
        <scheme val="minor"/>
      </rPr>
      <t>,255</t>
    </r>
  </si>
  <si>
    <t>NPCs</t>
  </si>
  <si>
    <t>商船颜色</t>
  </si>
  <si>
    <t>merchant ship color</t>
  </si>
  <si>
    <t>商船顏色</t>
  </si>
  <si>
    <t>Sand</t>
    <phoneticPr fontId="4" type="noConversion"/>
  </si>
  <si>
    <r>
      <t>B</t>
    </r>
    <r>
      <rPr>
        <sz val="11"/>
        <color theme="1"/>
        <rFont val="宋体"/>
        <family val="3"/>
        <charset val="134"/>
        <scheme val="minor"/>
      </rPr>
      <t>lack soil</t>
    </r>
    <phoneticPr fontId="4" type="noConversion"/>
  </si>
  <si>
    <t>Loess</t>
    <phoneticPr fontId="4" type="noConversion"/>
  </si>
  <si>
    <t>Red clay</t>
    <phoneticPr fontId="4" type="noConversion"/>
  </si>
  <si>
    <t>Indoor</t>
    <phoneticPr fontId="4" type="noConversion"/>
  </si>
  <si>
    <t>室內</t>
  </si>
  <si>
    <t>Mountain 8</t>
    <phoneticPr fontId="4" type="noConversion"/>
  </si>
  <si>
    <t>雾的颜色</t>
    <phoneticPr fontId="4" type="noConversion"/>
  </si>
  <si>
    <t>霧的顏色</t>
  </si>
  <si>
    <t>17,17,17,255</t>
    <phoneticPr fontId="4" type="noConversion"/>
  </si>
  <si>
    <t>#BE3BCA</t>
    <phoneticPr fontId="4" type="noConversion"/>
  </si>
  <si>
    <t>#27666B</t>
    <phoneticPr fontId="4" type="noConversion"/>
  </si>
  <si>
    <t>秘银山地</t>
    <phoneticPr fontId="4" type="noConversion"/>
  </si>
  <si>
    <t>精金山地</t>
  </si>
  <si>
    <t>精金山地</t>
    <phoneticPr fontId="4" type="noConversion"/>
  </si>
  <si>
    <t>山铜山地</t>
    <phoneticPr fontId="4" type="noConversion"/>
  </si>
  <si>
    <t>mountain wall 1</t>
    <phoneticPr fontId="4" type="noConversion"/>
  </si>
  <si>
    <t>秘銀山地</t>
  </si>
  <si>
    <t>山銅山地</t>
  </si>
  <si>
    <t>Mythril Mountains</t>
  </si>
  <si>
    <t>Adamantite Mountains</t>
  </si>
  <si>
    <t>Orichalcum Mountains</t>
  </si>
  <si>
    <t>板岩</t>
  </si>
  <si>
    <t>板岩</t>
    <phoneticPr fontId="4" type="noConversion"/>
  </si>
  <si>
    <t>砂岩</t>
  </si>
  <si>
    <t>砂岩</t>
    <phoneticPr fontId="4" type="noConversion"/>
  </si>
  <si>
    <t>Sandstone</t>
  </si>
  <si>
    <t>Slate</t>
  </si>
  <si>
    <t>河床</t>
  </si>
  <si>
    <t>河床</t>
    <phoneticPr fontId="4" type="noConversion"/>
  </si>
  <si>
    <t>River bed</t>
    <phoneticPr fontId="4" type="noConversion"/>
  </si>
  <si>
    <t>Deep water</t>
    <phoneticPr fontId="4" type="noConversion"/>
  </si>
  <si>
    <t>Water</t>
    <phoneticPr fontId="4" type="noConversion"/>
  </si>
  <si>
    <t>Grassland</t>
    <phoneticPr fontId="4" type="noConversion"/>
  </si>
  <si>
    <t>Dirt road</t>
    <phoneticPr fontId="4" type="noConversion"/>
  </si>
  <si>
    <t>Fog color</t>
    <phoneticPr fontId="4" type="noConversion"/>
  </si>
  <si>
    <t>是否显示名称</t>
    <phoneticPr fontId="4" type="noConversion"/>
  </si>
  <si>
    <t>is_show_name#int</t>
    <phoneticPr fontId="4" type="noConversion"/>
  </si>
  <si>
    <t>0</t>
    <phoneticPr fontId="4" type="noConversion"/>
  </si>
  <si>
    <t>1</t>
    <phoneticPr fontId="4" type="noConversion"/>
  </si>
  <si>
    <t>山地</t>
    <phoneticPr fontId="4" type="noConversion"/>
  </si>
  <si>
    <t>Mountains</t>
    <phoneticPr fontId="4" type="noConversion"/>
  </si>
  <si>
    <t>山地</t>
    <phoneticPr fontId="4" type="noConversion"/>
  </si>
  <si>
    <t>#987150</t>
    <phoneticPr fontId="4" type="noConversion"/>
  </si>
  <si>
    <t>#749A64</t>
    <phoneticPr fontId="4" type="noConversion"/>
  </si>
  <si>
    <t>#59A3A8</t>
    <phoneticPr fontId="4" type="noConversion"/>
  </si>
  <si>
    <t>#3B7795</t>
    <phoneticPr fontId="4" type="noConversion"/>
  </si>
  <si>
    <t>#A37D64</t>
    <phoneticPr fontId="4" type="noConversion"/>
  </si>
  <si>
    <t>#BF9C60</t>
    <phoneticPr fontId="4" type="noConversion"/>
  </si>
  <si>
    <t>#869C76</t>
    <phoneticPr fontId="4" type="noConversion"/>
  </si>
  <si>
    <t>#69937D</t>
    <phoneticPr fontId="4" type="noConversion"/>
  </si>
  <si>
    <t>#A38B5E</t>
    <phoneticPr fontId="4" type="noConversion"/>
  </si>
  <si>
    <t>灰土</t>
    <phoneticPr fontId="4" type="noConversion"/>
  </si>
  <si>
    <t>#4E4255</t>
    <phoneticPr fontId="4" type="noConversion"/>
  </si>
  <si>
    <t>#60577D</t>
    <phoneticPr fontId="4" type="noConversion"/>
  </si>
  <si>
    <t>#92686B</t>
    <phoneticPr fontId="4" type="noConversion"/>
  </si>
  <si>
    <t>#6F4D53</t>
    <phoneticPr fontId="4" type="noConversion"/>
  </si>
  <si>
    <t>#A87C59</t>
    <phoneticPr fontId="4" type="noConversion"/>
  </si>
  <si>
    <t>#89919D</t>
    <phoneticPr fontId="4" type="noConversion"/>
  </si>
  <si>
    <t>#437758</t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</si>
  <si>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地形编号ID
</t>
    </r>
    <r>
      <rPr>
        <sz val="11"/>
        <color rgb="FFFF0000"/>
        <rFont val="宋体"/>
        <family val="3"/>
        <charset val="134"/>
        <scheme val="minor"/>
      </rPr>
      <t>号段在代码中是写死的，不能修改</t>
    </r>
    <r>
      <rPr>
        <sz val="11"/>
        <color theme="1"/>
        <rFont val="宋体"/>
        <family val="3"/>
        <charset val="134"/>
        <scheme val="minor"/>
      </rPr>
      <t xml:space="preserve">
号段1,19 陆地
20-29，水
51,99，山
101，149，山的墙面
</t>
    </r>
    <r>
      <rPr>
        <sz val="11"/>
        <color rgb="FFFF0000"/>
        <rFont val="宋体"/>
        <family val="3"/>
        <charset val="134"/>
        <scheme val="minor"/>
      </rPr>
      <t>显示层级关系，按此配置表中的先后顺序</t>
    </r>
    <phoneticPr fontId="4" type="noConversion"/>
  </si>
  <si>
    <t>室内</t>
    <phoneticPr fontId="4" type="noConversion"/>
  </si>
  <si>
    <t>石质地板</t>
    <phoneticPr fontId="4" type="noConversion"/>
  </si>
  <si>
    <t>木质地板</t>
    <phoneticPr fontId="4" type="noConversion"/>
  </si>
  <si>
    <t>铁质地板</t>
    <phoneticPr fontId="4" type="noConversion"/>
  </si>
  <si>
    <t>银质地板</t>
    <phoneticPr fontId="4" type="noConversion"/>
  </si>
  <si>
    <t>金质地板</t>
    <phoneticPr fontId="4" type="noConversion"/>
  </si>
  <si>
    <t>建成室内空间后，默认的地面</t>
    <phoneticPr fontId="4" type="noConversion"/>
  </si>
  <si>
    <t>银质的地板，干净，防病毒</t>
    <phoneticPr fontId="4" type="noConversion"/>
  </si>
  <si>
    <t>木質地板</t>
  </si>
  <si>
    <t>石質地板</t>
  </si>
  <si>
    <t>鐵質地板</t>
  </si>
  <si>
    <t>銀質地板</t>
  </si>
  <si>
    <t>金質地板</t>
  </si>
  <si>
    <t>Wooden floor</t>
    <phoneticPr fontId="4" type="noConversion"/>
  </si>
  <si>
    <t>Stone floor</t>
    <phoneticPr fontId="4" type="noConversion"/>
  </si>
  <si>
    <t>Iron floor</t>
    <phoneticPr fontId="4" type="noConversion"/>
  </si>
  <si>
    <t>Silver floor</t>
    <phoneticPr fontId="4" type="noConversion"/>
  </si>
  <si>
    <t>Golden floor</t>
    <phoneticPr fontId="4" type="noConversion"/>
  </si>
  <si>
    <t>木头质地的地板，保暖</t>
    <phoneticPr fontId="4" type="noConversion"/>
  </si>
  <si>
    <t>铁制的地板，坚固可靠，对制造有加成</t>
    <phoneticPr fontId="4" type="noConversion"/>
  </si>
  <si>
    <t>石头质地的地板，对劈材，烹饪，冶炼有加成</t>
    <phoneticPr fontId="4" type="noConversion"/>
  </si>
  <si>
    <t>黄金与皮革打造的地板，奢华，对贵族忠诚和幸福有加成</t>
    <phoneticPr fontId="4" type="noConversion"/>
  </si>
  <si>
    <t>红壤系列的土壤适于发展热带、亚热带经济作物、果树和林木，矿少</t>
    <phoneticPr fontId="4" type="noConversion"/>
  </si>
  <si>
    <t>山上设施</t>
    <phoneticPr fontId="4" type="noConversion"/>
  </si>
  <si>
    <t>陆地设施</t>
    <phoneticPr fontId="4" type="noConversion"/>
  </si>
  <si>
    <t>#0000FF</t>
  </si>
  <si>
    <t>255,0,255,255</t>
    <phoneticPr fontId="4" type="noConversion"/>
  </si>
  <si>
    <t>255,0,0,255</t>
    <phoneticPr fontId="4" type="noConversion"/>
  </si>
  <si>
    <t>#6F0414</t>
    <phoneticPr fontId="4" type="noConversion"/>
  </si>
  <si>
    <t>盟友</t>
  </si>
  <si>
    <t>盟友</t>
    <phoneticPr fontId="4" type="noConversion"/>
  </si>
  <si>
    <t>敌人-强盗</t>
    <phoneticPr fontId="4" type="noConversion"/>
  </si>
  <si>
    <t>敌人-强盗-晕倒</t>
    <phoneticPr fontId="4" type="noConversion"/>
  </si>
  <si>
    <t>Ally</t>
  </si>
  <si>
    <t>Enemy-Bandit-Fainted</t>
  </si>
  <si>
    <t>Enemy-Bandit</t>
  </si>
  <si>
    <t>敵人-強盜-暈倒</t>
  </si>
  <si>
    <t>敵人-強盜</t>
  </si>
  <si>
    <t>Land facilities</t>
    <phoneticPr fontId="4" type="noConversion"/>
  </si>
  <si>
    <t>Water facilities</t>
    <phoneticPr fontId="4" type="noConversion"/>
  </si>
  <si>
    <t>Mountain facilities</t>
    <phoneticPr fontId="4" type="noConversion"/>
  </si>
  <si>
    <t>Monster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</si>
</sst>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49" fontId="0" fillId="0" borderId="1" xfId="0" applyNumberFormat="1" applyBorder="1"/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0" fillId="3" borderId="1" xfId="0" applyNumberFormat="1" applyFill="1" applyBorder="1"/>
    <xf numFmtId="0" fontId="2" fillId="2" borderId="1" xfId="0" applyFont="1" applyFill="1" applyBorder="1"/>
    <xf numFmtId="0" fontId="2" fillId="0" borderId="1" xfId="0" applyFont="1" applyBorder="1"/>
    <xf numFmtId="49" fontId="2" fillId="0" borderId="1" xfId="0" applyNumberFormat="1" applyFont="1" applyBorder="1"/>
    <xf numFmtId="0" fontId="2" fillId="0" borderId="1" xfId="0" applyFont="1" applyBorder="1" applyAlignment="1">
      <alignment wrapText="1"/>
    </xf>
    <xf numFmtId="49" fontId="2" fillId="3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workbookViewId="0">
      <pane ySplit="1" topLeftCell="A44" activePane="bottomLeft" state="frozen"/>
      <selection pane="bottomLeft" activeCell="M61" sqref="M61"/>
    </sheetView>
  </sheetViews>
  <sheetFormatPr defaultColWidth="9" defaultRowHeight="13.5" x14ac:dyDescent="0.15"/>
  <cols>
    <col min="1" max="1" width="19.375" customWidth="1"/>
    <col min="2" max="2" width="16" style="1" customWidth="1"/>
    <col min="3" max="3" width="11.25" customWidth="1"/>
    <col min="4" max="4" width="5.125" customWidth="1"/>
    <col min="5" max="5" width="16.125" customWidth="1"/>
    <col min="6" max="6" width="9.875" customWidth="1"/>
    <col min="7" max="7" width="10.75" customWidth="1"/>
    <col min="8" max="8" width="11" customWidth="1"/>
    <col min="9" max="9" width="12.125" customWidth="1"/>
    <col min="10" max="10" width="40.625" customWidth="1"/>
    <col min="11" max="11" width="4.5" style="1" customWidth="1"/>
  </cols>
  <sheetData>
    <row r="1" spans="1:20" ht="125.25" customHeight="1" x14ac:dyDescent="0.15">
      <c r="A1" s="14" t="s">
        <v>192</v>
      </c>
      <c r="B1" s="7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2" t="s">
        <v>5</v>
      </c>
      <c r="I1" s="3" t="s">
        <v>6</v>
      </c>
      <c r="J1" s="3" t="s">
        <v>7</v>
      </c>
      <c r="K1" s="13" t="s">
        <v>168</v>
      </c>
      <c r="L1" s="8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</row>
    <row r="2" spans="1:20" x14ac:dyDescent="0.15">
      <c r="A2" s="3" t="s">
        <v>18</v>
      </c>
      <c r="B2" s="7" t="s">
        <v>27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13" t="s">
        <v>169</v>
      </c>
      <c r="L2" s="3" t="str">
        <f>CONCATENATE("terrain_name_",L1,"#str")</f>
        <v>terrain_name_zh-CN#str</v>
      </c>
      <c r="M2" s="3" t="str">
        <f t="shared" ref="M2:T2" si="0">CONCATENATE("terrain_name_",M1,"#str")</f>
        <v>terrain_name_en#str</v>
      </c>
      <c r="N2" s="3" t="str">
        <f t="shared" si="0"/>
        <v>terrain_name_zh-TW#str</v>
      </c>
      <c r="O2" s="3" t="str">
        <f t="shared" si="0"/>
        <v>terrain_name_ru#str</v>
      </c>
      <c r="P2" s="3" t="str">
        <f t="shared" si="0"/>
        <v>terrain_name_es#str</v>
      </c>
      <c r="Q2" s="3" t="str">
        <f t="shared" si="0"/>
        <v>terrain_name_de#str</v>
      </c>
      <c r="R2" s="3" t="str">
        <f t="shared" si="0"/>
        <v>terrain_name_pt#str</v>
      </c>
      <c r="S2" s="3" t="str">
        <f t="shared" si="0"/>
        <v>terrain_name_fr#str</v>
      </c>
      <c r="T2" s="3" t="str">
        <f t="shared" si="0"/>
        <v>terrain_name_pl#str</v>
      </c>
    </row>
    <row r="3" spans="1:20" x14ac:dyDescent="0.15">
      <c r="A3" s="3">
        <v>0</v>
      </c>
      <c r="B3" s="15" t="s">
        <v>141</v>
      </c>
      <c r="C3" s="3" t="s">
        <v>139</v>
      </c>
      <c r="D3" s="3">
        <v>7</v>
      </c>
      <c r="E3" s="3">
        <v>0</v>
      </c>
      <c r="F3" s="3">
        <v>0</v>
      </c>
      <c r="G3" s="3">
        <v>1</v>
      </c>
      <c r="H3" s="3">
        <v>0</v>
      </c>
      <c r="I3" s="3"/>
      <c r="J3" s="3"/>
      <c r="K3" s="13" t="s">
        <v>170</v>
      </c>
      <c r="L3" s="3" t="str">
        <f t="shared" ref="L3" si="1">C3</f>
        <v>雾的颜色</v>
      </c>
      <c r="M3" s="12" t="s">
        <v>167</v>
      </c>
      <c r="N3" s="3" t="s">
        <v>140</v>
      </c>
      <c r="O3" s="3"/>
      <c r="P3" s="3"/>
      <c r="Q3" s="3"/>
      <c r="R3" s="3"/>
      <c r="S3" s="3"/>
      <c r="T3" s="3"/>
    </row>
    <row r="4" spans="1:20" x14ac:dyDescent="0.15">
      <c r="A4" s="3">
        <v>1</v>
      </c>
      <c r="B4" s="13" t="s">
        <v>180</v>
      </c>
      <c r="C4" s="4" t="s">
        <v>28</v>
      </c>
      <c r="D4" s="3">
        <v>1</v>
      </c>
      <c r="E4" s="3">
        <v>2</v>
      </c>
      <c r="F4" s="3">
        <v>0</v>
      </c>
      <c r="G4" s="3">
        <v>1</v>
      </c>
      <c r="H4" s="5" t="s">
        <v>29</v>
      </c>
      <c r="I4" s="6" t="str">
        <f t="shared" ref="I4:I11" si="2">CONCATENATE("map_tile_",A4)</f>
        <v>map_tile_1</v>
      </c>
      <c r="J4" s="3" t="s">
        <v>30</v>
      </c>
      <c r="K4" s="13" t="s">
        <v>170</v>
      </c>
      <c r="L4" s="3" t="str">
        <f>C4</f>
        <v>沙地</v>
      </c>
      <c r="M4" s="12" t="s">
        <v>132</v>
      </c>
      <c r="N4" s="3" t="s">
        <v>28</v>
      </c>
      <c r="O4" s="3"/>
      <c r="P4" s="3"/>
      <c r="Q4" s="3"/>
      <c r="R4" s="3"/>
      <c r="S4" s="3"/>
      <c r="T4" s="3"/>
    </row>
    <row r="5" spans="1:20" x14ac:dyDescent="0.15">
      <c r="A5" s="3">
        <v>2</v>
      </c>
      <c r="B5" s="13" t="s">
        <v>179</v>
      </c>
      <c r="C5" s="3" t="s">
        <v>32</v>
      </c>
      <c r="D5" s="3">
        <v>1</v>
      </c>
      <c r="E5" s="3">
        <v>2</v>
      </c>
      <c r="F5" s="3">
        <v>0</v>
      </c>
      <c r="G5" s="3">
        <v>1</v>
      </c>
      <c r="H5" s="3">
        <v>0.75</v>
      </c>
      <c r="I5" s="6" t="str">
        <f t="shared" si="2"/>
        <v>map_tile_2</v>
      </c>
      <c r="J5" s="3" t="s">
        <v>33</v>
      </c>
      <c r="K5" s="13" t="s">
        <v>170</v>
      </c>
      <c r="L5" s="3" t="str">
        <f t="shared" ref="L5:L56" si="3">C5</f>
        <v>戈壁</v>
      </c>
      <c r="M5" s="3" t="s">
        <v>35</v>
      </c>
      <c r="N5" s="3" t="s">
        <v>32</v>
      </c>
      <c r="O5" s="3"/>
      <c r="P5" s="3"/>
      <c r="Q5" s="3"/>
      <c r="R5" s="3"/>
      <c r="S5" s="3"/>
      <c r="T5" s="3"/>
    </row>
    <row r="6" spans="1:20" x14ac:dyDescent="0.15">
      <c r="A6" s="3">
        <v>3</v>
      </c>
      <c r="B6" s="14" t="s">
        <v>181</v>
      </c>
      <c r="C6" s="11" t="s">
        <v>157</v>
      </c>
      <c r="D6" s="3">
        <v>1</v>
      </c>
      <c r="E6" s="3">
        <v>4</v>
      </c>
      <c r="F6" s="3">
        <v>0</v>
      </c>
      <c r="G6" s="3">
        <v>1</v>
      </c>
      <c r="H6" s="3">
        <v>1</v>
      </c>
      <c r="I6" s="6" t="str">
        <f t="shared" si="2"/>
        <v>map_tile_3</v>
      </c>
      <c r="J6" s="3" t="s">
        <v>36</v>
      </c>
      <c r="K6" s="13" t="s">
        <v>170</v>
      </c>
      <c r="L6" s="3" t="str">
        <f t="shared" si="3"/>
        <v>砂岩</v>
      </c>
      <c r="M6" s="12" t="s">
        <v>158</v>
      </c>
      <c r="N6" s="3" t="s">
        <v>156</v>
      </c>
      <c r="O6" s="3"/>
      <c r="P6" s="3"/>
      <c r="Q6" s="3"/>
      <c r="R6" s="3"/>
      <c r="S6" s="3"/>
      <c r="T6" s="3"/>
    </row>
    <row r="7" spans="1:20" x14ac:dyDescent="0.15">
      <c r="A7" s="3">
        <v>4</v>
      </c>
      <c r="B7" s="13" t="s">
        <v>182</v>
      </c>
      <c r="C7" s="12" t="s">
        <v>155</v>
      </c>
      <c r="D7" s="3">
        <v>1</v>
      </c>
      <c r="E7" s="3">
        <v>0</v>
      </c>
      <c r="F7" s="3">
        <v>0</v>
      </c>
      <c r="G7" s="3">
        <v>1</v>
      </c>
      <c r="H7" s="3">
        <v>1</v>
      </c>
      <c r="I7" s="6" t="str">
        <f t="shared" si="2"/>
        <v>map_tile_4</v>
      </c>
      <c r="J7" s="3" t="s">
        <v>37</v>
      </c>
      <c r="K7" s="13" t="s">
        <v>170</v>
      </c>
      <c r="L7" s="3" t="str">
        <f t="shared" si="3"/>
        <v>板岩</v>
      </c>
      <c r="M7" s="3" t="s">
        <v>159</v>
      </c>
      <c r="N7" s="3" t="s">
        <v>154</v>
      </c>
      <c r="O7" s="3"/>
      <c r="P7" s="3"/>
      <c r="Q7" s="3"/>
      <c r="R7" s="3"/>
      <c r="S7" s="3"/>
      <c r="T7" s="3"/>
    </row>
    <row r="8" spans="1:20" x14ac:dyDescent="0.15">
      <c r="A8" s="3">
        <v>5</v>
      </c>
      <c r="B8" s="13" t="s">
        <v>183</v>
      </c>
      <c r="C8" s="4" t="s">
        <v>39</v>
      </c>
      <c r="D8" s="3">
        <v>1</v>
      </c>
      <c r="E8" s="3">
        <v>2</v>
      </c>
      <c r="F8" s="3">
        <v>3</v>
      </c>
      <c r="G8" s="3">
        <v>3</v>
      </c>
      <c r="H8" s="3">
        <v>1</v>
      </c>
      <c r="I8" s="6" t="str">
        <f t="shared" si="2"/>
        <v>map_tile_5</v>
      </c>
      <c r="J8" s="3" t="s">
        <v>40</v>
      </c>
      <c r="K8" s="13" t="s">
        <v>170</v>
      </c>
      <c r="L8" s="3" t="str">
        <f t="shared" si="3"/>
        <v>黄土</v>
      </c>
      <c r="M8" s="12" t="s">
        <v>134</v>
      </c>
      <c r="N8" s="3" t="s">
        <v>41</v>
      </c>
      <c r="O8" s="3"/>
      <c r="P8" s="3"/>
      <c r="Q8" s="3"/>
      <c r="R8" s="3"/>
      <c r="S8" s="3"/>
      <c r="T8" s="3"/>
    </row>
    <row r="9" spans="1:20" x14ac:dyDescent="0.15">
      <c r="A9" s="3">
        <v>6</v>
      </c>
      <c r="B9" s="13" t="s">
        <v>185</v>
      </c>
      <c r="C9" s="12" t="s">
        <v>184</v>
      </c>
      <c r="D9" s="3">
        <v>1</v>
      </c>
      <c r="E9" s="3">
        <v>1</v>
      </c>
      <c r="F9" s="3">
        <v>0</v>
      </c>
      <c r="G9" s="3">
        <v>1</v>
      </c>
      <c r="H9" s="3">
        <v>1</v>
      </c>
      <c r="I9" s="6" t="str">
        <f t="shared" si="2"/>
        <v>map_tile_6</v>
      </c>
      <c r="J9" s="3" t="s">
        <v>43</v>
      </c>
      <c r="K9" s="13" t="s">
        <v>170</v>
      </c>
      <c r="L9" s="3" t="str">
        <f t="shared" si="3"/>
        <v>灰土</v>
      </c>
      <c r="M9" s="3" t="s">
        <v>45</v>
      </c>
      <c r="N9" s="3" t="s">
        <v>42</v>
      </c>
      <c r="O9" s="3"/>
      <c r="P9" s="3"/>
      <c r="Q9" s="3"/>
      <c r="R9" s="3"/>
      <c r="S9" s="3"/>
      <c r="T9" s="3"/>
    </row>
    <row r="10" spans="1:20" x14ac:dyDescent="0.15">
      <c r="A10" s="3">
        <v>7</v>
      </c>
      <c r="B10" s="13" t="s">
        <v>186</v>
      </c>
      <c r="C10" s="3" t="s">
        <v>46</v>
      </c>
      <c r="D10" s="3">
        <v>1</v>
      </c>
      <c r="E10" s="3">
        <v>1</v>
      </c>
      <c r="F10" s="3">
        <v>3</v>
      </c>
      <c r="G10" s="3">
        <v>3</v>
      </c>
      <c r="H10" s="3">
        <v>1</v>
      </c>
      <c r="I10" s="6" t="str">
        <f t="shared" si="2"/>
        <v>map_tile_7</v>
      </c>
      <c r="J10" s="3" t="s">
        <v>47</v>
      </c>
      <c r="K10" s="13" t="s">
        <v>170</v>
      </c>
      <c r="L10" s="3" t="str">
        <f t="shared" si="3"/>
        <v>黑土</v>
      </c>
      <c r="M10" s="12" t="s">
        <v>133</v>
      </c>
      <c r="N10" s="3" t="s">
        <v>46</v>
      </c>
      <c r="O10" s="3"/>
      <c r="P10" s="3"/>
      <c r="Q10" s="3"/>
      <c r="R10" s="3"/>
      <c r="S10" s="3"/>
      <c r="T10" s="3"/>
    </row>
    <row r="11" spans="1:20" x14ac:dyDescent="0.15">
      <c r="A11" s="3">
        <v>8</v>
      </c>
      <c r="B11" s="13" t="s">
        <v>187</v>
      </c>
      <c r="C11" s="4" t="s">
        <v>49</v>
      </c>
      <c r="D11" s="3">
        <v>1</v>
      </c>
      <c r="E11" s="3">
        <v>1</v>
      </c>
      <c r="F11" s="3">
        <v>5</v>
      </c>
      <c r="G11" s="3">
        <v>5</v>
      </c>
      <c r="H11" s="3">
        <v>1</v>
      </c>
      <c r="I11" s="6" t="str">
        <f t="shared" si="2"/>
        <v>map_tile_8</v>
      </c>
      <c r="J11" s="12" t="s">
        <v>215</v>
      </c>
      <c r="K11" s="13" t="s">
        <v>170</v>
      </c>
      <c r="L11" s="3" t="str">
        <f t="shared" si="3"/>
        <v>红土</v>
      </c>
      <c r="M11" s="12" t="s">
        <v>135</v>
      </c>
      <c r="N11" s="3" t="s">
        <v>50</v>
      </c>
      <c r="O11" s="3"/>
      <c r="P11" s="3"/>
      <c r="Q11" s="3"/>
      <c r="R11" s="3"/>
      <c r="S11" s="3"/>
      <c r="T11" s="3"/>
    </row>
    <row r="12" spans="1:20" x14ac:dyDescent="0.15">
      <c r="A12" s="3">
        <v>9</v>
      </c>
      <c r="B12" s="13" t="s">
        <v>188</v>
      </c>
      <c r="C12" s="11" t="s">
        <v>193</v>
      </c>
      <c r="D12" s="3">
        <v>1</v>
      </c>
      <c r="E12" s="3">
        <v>0</v>
      </c>
      <c r="F12" s="3">
        <v>0</v>
      </c>
      <c r="G12" s="3">
        <v>1</v>
      </c>
      <c r="H12" s="3">
        <v>1.25</v>
      </c>
      <c r="I12" s="6" t="str">
        <f>CONCATENATE("map_tile_",A12)</f>
        <v>map_tile_9</v>
      </c>
      <c r="J12" s="14" t="s">
        <v>199</v>
      </c>
      <c r="K12" s="13" t="s">
        <v>170</v>
      </c>
      <c r="L12" s="3" t="str">
        <f>C12</f>
        <v>室内</v>
      </c>
      <c r="M12" s="12" t="s">
        <v>136</v>
      </c>
      <c r="N12" s="3" t="s">
        <v>137</v>
      </c>
      <c r="O12" s="3"/>
      <c r="P12" s="3"/>
      <c r="Q12" s="3"/>
      <c r="R12" s="3"/>
      <c r="S12" s="3"/>
      <c r="T12" s="3"/>
    </row>
    <row r="13" spans="1:20" x14ac:dyDescent="0.15">
      <c r="A13" s="3">
        <v>12</v>
      </c>
      <c r="B13" s="15" t="s">
        <v>176</v>
      </c>
      <c r="C13" s="4" t="s">
        <v>54</v>
      </c>
      <c r="D13" s="3">
        <v>1</v>
      </c>
      <c r="E13" s="3">
        <v>0</v>
      </c>
      <c r="F13" s="3">
        <v>2</v>
      </c>
      <c r="G13" s="3">
        <v>4</v>
      </c>
      <c r="H13" s="3">
        <v>1</v>
      </c>
      <c r="I13" s="6" t="str">
        <f>CONCATENATE("map_tile_",A13)</f>
        <v>map_tile_12</v>
      </c>
      <c r="J13" s="3" t="s">
        <v>55</v>
      </c>
      <c r="K13" s="13" t="s">
        <v>170</v>
      </c>
      <c r="L13" s="3" t="str">
        <f>C13</f>
        <v>草地</v>
      </c>
      <c r="M13" s="12" t="s">
        <v>165</v>
      </c>
      <c r="N13" s="3" t="s">
        <v>54</v>
      </c>
      <c r="O13" s="3"/>
      <c r="P13" s="3"/>
      <c r="Q13" s="3"/>
      <c r="R13" s="3"/>
      <c r="S13" s="3"/>
      <c r="T13" s="3"/>
    </row>
    <row r="14" spans="1:20" x14ac:dyDescent="0.15">
      <c r="A14" s="3">
        <v>24</v>
      </c>
      <c r="B14" s="15" t="s">
        <v>177</v>
      </c>
      <c r="C14" s="11" t="s">
        <v>161</v>
      </c>
      <c r="D14" s="3">
        <v>2</v>
      </c>
      <c r="E14" s="3">
        <v>0</v>
      </c>
      <c r="F14" s="3">
        <v>0</v>
      </c>
      <c r="G14" s="3">
        <v>1</v>
      </c>
      <c r="H14" s="3">
        <v>0</v>
      </c>
      <c r="I14" s="6" t="str">
        <f t="shared" ref="I14" si="4">CONCATENATE("map_tile_",A14)</f>
        <v>map_tile_24</v>
      </c>
      <c r="J14" s="3"/>
      <c r="K14" s="13" t="s">
        <v>171</v>
      </c>
      <c r="L14" s="3" t="str">
        <f>C14</f>
        <v>河床</v>
      </c>
      <c r="M14" s="12" t="s">
        <v>162</v>
      </c>
      <c r="N14" s="3" t="s">
        <v>160</v>
      </c>
      <c r="O14" s="3"/>
      <c r="P14" s="3"/>
      <c r="Q14" s="3"/>
      <c r="R14" s="3"/>
      <c r="S14" s="3"/>
      <c r="T14" s="3"/>
    </row>
    <row r="15" spans="1:20" x14ac:dyDescent="0.15">
      <c r="A15" s="3">
        <v>22</v>
      </c>
      <c r="B15" s="15" t="s">
        <v>177</v>
      </c>
      <c r="C15" s="4" t="s">
        <v>57</v>
      </c>
      <c r="D15" s="3">
        <v>2</v>
      </c>
      <c r="E15" s="3">
        <v>0</v>
      </c>
      <c r="F15" s="3">
        <v>0</v>
      </c>
      <c r="G15" s="3">
        <v>1</v>
      </c>
      <c r="H15" s="3">
        <v>0</v>
      </c>
      <c r="I15" s="6" t="str">
        <f t="shared" ref="I15:I31" si="5">CONCATENATE("map_tile_",A15)</f>
        <v>map_tile_22</v>
      </c>
      <c r="J15" s="3" t="s">
        <v>56</v>
      </c>
      <c r="K15" s="13" t="s">
        <v>170</v>
      </c>
      <c r="L15" s="3" t="str">
        <f t="shared" si="3"/>
        <v>水</v>
      </c>
      <c r="M15" s="12" t="s">
        <v>164</v>
      </c>
      <c r="N15" s="3" t="s">
        <v>57</v>
      </c>
      <c r="O15" s="3"/>
      <c r="P15" s="3"/>
      <c r="Q15" s="3"/>
      <c r="R15" s="3"/>
      <c r="S15" s="3"/>
      <c r="T15" s="3"/>
    </row>
    <row r="16" spans="1:20" x14ac:dyDescent="0.15">
      <c r="A16" s="3">
        <v>23</v>
      </c>
      <c r="B16" s="15" t="s">
        <v>178</v>
      </c>
      <c r="C16" s="4" t="s">
        <v>58</v>
      </c>
      <c r="D16" s="3">
        <v>2</v>
      </c>
      <c r="E16" s="3">
        <v>0</v>
      </c>
      <c r="F16" s="3">
        <v>0</v>
      </c>
      <c r="G16" s="3">
        <v>1</v>
      </c>
      <c r="H16" s="3">
        <v>0</v>
      </c>
      <c r="I16" s="6" t="str">
        <f t="shared" si="5"/>
        <v>map_tile_23</v>
      </c>
      <c r="J16" s="3" t="s">
        <v>56</v>
      </c>
      <c r="K16" s="13" t="s">
        <v>171</v>
      </c>
      <c r="L16" s="3" t="str">
        <f t="shared" si="3"/>
        <v>深水</v>
      </c>
      <c r="M16" s="12" t="s">
        <v>163</v>
      </c>
      <c r="N16" s="3" t="s">
        <v>58</v>
      </c>
      <c r="O16" s="3"/>
      <c r="P16" s="3"/>
      <c r="Q16" s="3"/>
      <c r="R16" s="3"/>
      <c r="S16" s="3"/>
      <c r="T16" s="3"/>
    </row>
    <row r="17" spans="1:20" x14ac:dyDescent="0.15">
      <c r="A17" s="3">
        <v>13</v>
      </c>
      <c r="B17" s="13" t="s">
        <v>188</v>
      </c>
      <c r="C17" s="11" t="s">
        <v>195</v>
      </c>
      <c r="D17" s="3">
        <v>1</v>
      </c>
      <c r="E17" s="3">
        <v>0</v>
      </c>
      <c r="F17" s="3">
        <v>0</v>
      </c>
      <c r="G17" s="3">
        <v>1</v>
      </c>
      <c r="H17" s="3">
        <v>1.25</v>
      </c>
      <c r="I17" s="6" t="str">
        <f t="shared" ref="I17:I21" si="6">CONCATENATE("map_tile_",A17)</f>
        <v>map_tile_13</v>
      </c>
      <c r="J17" s="14" t="s">
        <v>211</v>
      </c>
      <c r="K17" s="13" t="s">
        <v>171</v>
      </c>
      <c r="L17" s="3" t="str">
        <f t="shared" ref="L17:L24" si="7">C17</f>
        <v>木质地板</v>
      </c>
      <c r="M17" s="12" t="s">
        <v>206</v>
      </c>
      <c r="N17" s="3" t="s">
        <v>201</v>
      </c>
      <c r="O17" s="3"/>
      <c r="P17" s="3"/>
      <c r="Q17" s="3"/>
      <c r="R17" s="3"/>
      <c r="S17" s="3"/>
      <c r="T17" s="3"/>
    </row>
    <row r="18" spans="1:20" x14ac:dyDescent="0.15">
      <c r="A18" s="3">
        <v>14</v>
      </c>
      <c r="B18" s="13" t="s">
        <v>188</v>
      </c>
      <c r="C18" s="11" t="s">
        <v>194</v>
      </c>
      <c r="D18" s="3">
        <v>1</v>
      </c>
      <c r="E18" s="3">
        <v>0</v>
      </c>
      <c r="F18" s="3">
        <v>0</v>
      </c>
      <c r="G18" s="3">
        <v>1</v>
      </c>
      <c r="H18" s="3">
        <v>1.25</v>
      </c>
      <c r="I18" s="6" t="str">
        <f t="shared" si="6"/>
        <v>map_tile_14</v>
      </c>
      <c r="J18" s="14" t="s">
        <v>213</v>
      </c>
      <c r="K18" s="13" t="s">
        <v>171</v>
      </c>
      <c r="L18" s="3" t="str">
        <f t="shared" si="7"/>
        <v>石质地板</v>
      </c>
      <c r="M18" s="12" t="s">
        <v>207</v>
      </c>
      <c r="N18" s="3" t="s">
        <v>202</v>
      </c>
      <c r="O18" s="3"/>
      <c r="P18" s="3"/>
      <c r="Q18" s="3"/>
      <c r="R18" s="3"/>
      <c r="S18" s="3"/>
      <c r="T18" s="3"/>
    </row>
    <row r="19" spans="1:20" x14ac:dyDescent="0.15">
      <c r="A19" s="3">
        <v>15</v>
      </c>
      <c r="B19" s="13" t="s">
        <v>188</v>
      </c>
      <c r="C19" s="11" t="s">
        <v>196</v>
      </c>
      <c r="D19" s="3">
        <v>1</v>
      </c>
      <c r="E19" s="3">
        <v>0</v>
      </c>
      <c r="F19" s="3">
        <v>0</v>
      </c>
      <c r="G19" s="3">
        <v>1</v>
      </c>
      <c r="H19" s="3">
        <v>1.25</v>
      </c>
      <c r="I19" s="6" t="str">
        <f t="shared" si="6"/>
        <v>map_tile_15</v>
      </c>
      <c r="J19" s="14" t="s">
        <v>212</v>
      </c>
      <c r="K19" s="13" t="s">
        <v>171</v>
      </c>
      <c r="L19" s="3" t="str">
        <f t="shared" si="7"/>
        <v>铁质地板</v>
      </c>
      <c r="M19" s="12" t="s">
        <v>208</v>
      </c>
      <c r="N19" s="3" t="s">
        <v>203</v>
      </c>
      <c r="O19" s="3"/>
      <c r="P19" s="3"/>
      <c r="Q19" s="3"/>
      <c r="R19" s="3"/>
      <c r="S19" s="3"/>
      <c r="T19" s="3"/>
    </row>
    <row r="20" spans="1:20" x14ac:dyDescent="0.15">
      <c r="A20" s="3">
        <v>16</v>
      </c>
      <c r="B20" s="13" t="s">
        <v>188</v>
      </c>
      <c r="C20" s="11" t="s">
        <v>197</v>
      </c>
      <c r="D20" s="3">
        <v>1</v>
      </c>
      <c r="E20" s="3">
        <v>0</v>
      </c>
      <c r="F20" s="3">
        <v>0</v>
      </c>
      <c r="G20" s="3">
        <v>1</v>
      </c>
      <c r="H20" s="3">
        <v>1.25</v>
      </c>
      <c r="I20" s="6" t="str">
        <f t="shared" si="6"/>
        <v>map_tile_16</v>
      </c>
      <c r="J20" s="14" t="s">
        <v>200</v>
      </c>
      <c r="K20" s="13" t="s">
        <v>171</v>
      </c>
      <c r="L20" s="3" t="str">
        <f t="shared" si="7"/>
        <v>银质地板</v>
      </c>
      <c r="M20" s="12" t="s">
        <v>209</v>
      </c>
      <c r="N20" s="3" t="s">
        <v>204</v>
      </c>
      <c r="O20" s="3"/>
      <c r="P20" s="3"/>
      <c r="Q20" s="3"/>
      <c r="R20" s="3"/>
      <c r="S20" s="3"/>
      <c r="T20" s="3"/>
    </row>
    <row r="21" spans="1:20" ht="27" x14ac:dyDescent="0.15">
      <c r="A21" s="3">
        <v>17</v>
      </c>
      <c r="B21" s="13" t="s">
        <v>188</v>
      </c>
      <c r="C21" s="11" t="s">
        <v>198</v>
      </c>
      <c r="D21" s="3">
        <v>1</v>
      </c>
      <c r="E21" s="3">
        <v>0</v>
      </c>
      <c r="F21" s="3">
        <v>0</v>
      </c>
      <c r="G21" s="3">
        <v>1</v>
      </c>
      <c r="H21" s="3">
        <v>1.25</v>
      </c>
      <c r="I21" s="6" t="str">
        <f t="shared" si="6"/>
        <v>map_tile_17</v>
      </c>
      <c r="J21" s="14" t="s">
        <v>214</v>
      </c>
      <c r="K21" s="13" t="s">
        <v>171</v>
      </c>
      <c r="L21" s="3" t="str">
        <f t="shared" si="7"/>
        <v>金质地板</v>
      </c>
      <c r="M21" s="12" t="s">
        <v>210</v>
      </c>
      <c r="N21" s="3" t="s">
        <v>205</v>
      </c>
      <c r="O21" s="3"/>
      <c r="P21" s="3"/>
      <c r="Q21" s="3"/>
      <c r="R21" s="3"/>
      <c r="S21" s="3"/>
      <c r="T21" s="3"/>
    </row>
    <row r="22" spans="1:20" x14ac:dyDescent="0.15">
      <c r="A22" s="3">
        <v>10</v>
      </c>
      <c r="B22" s="13" t="s">
        <v>189</v>
      </c>
      <c r="C22" s="4" t="s">
        <v>51</v>
      </c>
      <c r="D22" s="3">
        <v>1</v>
      </c>
      <c r="E22" s="3">
        <v>0</v>
      </c>
      <c r="F22" s="3">
        <v>0</v>
      </c>
      <c r="G22" s="3">
        <v>1</v>
      </c>
      <c r="H22" s="3">
        <v>1.25</v>
      </c>
      <c r="I22" s="3"/>
      <c r="J22" s="3"/>
      <c r="K22" s="13" t="s">
        <v>170</v>
      </c>
      <c r="L22" s="3" t="str">
        <f t="shared" si="7"/>
        <v>土路</v>
      </c>
      <c r="M22" s="12" t="s">
        <v>166</v>
      </c>
      <c r="N22" s="3" t="s">
        <v>51</v>
      </c>
      <c r="O22" s="3"/>
      <c r="P22" s="3"/>
      <c r="Q22" s="3"/>
      <c r="R22" s="3"/>
      <c r="S22" s="3"/>
      <c r="T22" s="3"/>
    </row>
    <row r="23" spans="1:20" x14ac:dyDescent="0.15">
      <c r="A23" s="3">
        <v>11</v>
      </c>
      <c r="B23" s="13" t="s">
        <v>190</v>
      </c>
      <c r="C23" s="4" t="s">
        <v>52</v>
      </c>
      <c r="D23" s="3">
        <v>1</v>
      </c>
      <c r="E23" s="3">
        <v>0</v>
      </c>
      <c r="F23" s="3">
        <v>0</v>
      </c>
      <c r="G23" s="3">
        <v>1</v>
      </c>
      <c r="H23" s="3">
        <v>1.5</v>
      </c>
      <c r="I23" s="3"/>
      <c r="J23" s="3"/>
      <c r="K23" s="13" t="s">
        <v>170</v>
      </c>
      <c r="L23" s="3" t="str">
        <f t="shared" si="7"/>
        <v>石板路</v>
      </c>
      <c r="M23" s="3" t="s">
        <v>53</v>
      </c>
      <c r="N23" s="3" t="s">
        <v>52</v>
      </c>
      <c r="O23" s="3"/>
      <c r="P23" s="3"/>
      <c r="Q23" s="3"/>
      <c r="R23" s="3"/>
      <c r="S23" s="3"/>
      <c r="T23" s="3"/>
    </row>
    <row r="24" spans="1:20" x14ac:dyDescent="0.15">
      <c r="A24" s="3">
        <v>51</v>
      </c>
      <c r="B24" s="13" t="s">
        <v>191</v>
      </c>
      <c r="C24" s="11" t="s">
        <v>172</v>
      </c>
      <c r="D24" s="3">
        <v>3</v>
      </c>
      <c r="E24" s="3">
        <v>3</v>
      </c>
      <c r="F24" s="3">
        <v>0</v>
      </c>
      <c r="G24" s="3">
        <v>1</v>
      </c>
      <c r="H24" s="3">
        <v>0</v>
      </c>
      <c r="I24" s="6" t="str">
        <f t="shared" si="5"/>
        <v>map_tile_51</v>
      </c>
      <c r="J24" s="3" t="s">
        <v>59</v>
      </c>
      <c r="K24" s="13" t="s">
        <v>171</v>
      </c>
      <c r="L24" s="3" t="str">
        <f t="shared" si="7"/>
        <v>山地</v>
      </c>
      <c r="M24" s="12" t="s">
        <v>173</v>
      </c>
      <c r="N24" s="12" t="s">
        <v>174</v>
      </c>
      <c r="O24" s="3"/>
      <c r="P24" s="3"/>
      <c r="Q24" s="3"/>
      <c r="R24" s="3"/>
      <c r="S24" s="3"/>
      <c r="T24" s="3"/>
    </row>
    <row r="25" spans="1:20" x14ac:dyDescent="0.15">
      <c r="A25" s="3">
        <v>52</v>
      </c>
      <c r="B25" s="13" t="s">
        <v>143</v>
      </c>
      <c r="C25" s="12" t="s">
        <v>144</v>
      </c>
      <c r="D25" s="3">
        <v>3</v>
      </c>
      <c r="E25" s="3">
        <v>3</v>
      </c>
      <c r="F25" s="3">
        <v>0</v>
      </c>
      <c r="G25" s="3">
        <v>1</v>
      </c>
      <c r="H25" s="3">
        <v>0</v>
      </c>
      <c r="I25" s="6" t="str">
        <f t="shared" si="5"/>
        <v>map_tile_52</v>
      </c>
      <c r="J25" s="3" t="s">
        <v>59</v>
      </c>
      <c r="K25" s="13" t="s">
        <v>171</v>
      </c>
      <c r="L25" s="3" t="str">
        <f t="shared" si="3"/>
        <v>秘银山地</v>
      </c>
      <c r="M25" s="12" t="s">
        <v>151</v>
      </c>
      <c r="N25" s="3" t="s">
        <v>149</v>
      </c>
      <c r="O25" s="3"/>
      <c r="P25" s="3"/>
      <c r="Q25" s="3"/>
      <c r="R25" s="3"/>
      <c r="S25" s="3"/>
      <c r="T25" s="3"/>
    </row>
    <row r="26" spans="1:20" x14ac:dyDescent="0.15">
      <c r="A26" s="3">
        <v>53</v>
      </c>
      <c r="B26" s="14" t="s">
        <v>221</v>
      </c>
      <c r="C26" s="12" t="s">
        <v>146</v>
      </c>
      <c r="D26" s="3">
        <v>3</v>
      </c>
      <c r="E26" s="3">
        <v>3</v>
      </c>
      <c r="F26" s="3">
        <v>0</v>
      </c>
      <c r="G26" s="3">
        <v>1</v>
      </c>
      <c r="H26" s="3">
        <v>0</v>
      </c>
      <c r="I26" s="6" t="str">
        <f t="shared" si="5"/>
        <v>map_tile_53</v>
      </c>
      <c r="J26" s="3" t="s">
        <v>59</v>
      </c>
      <c r="K26" s="13" t="s">
        <v>171</v>
      </c>
      <c r="L26" s="3" t="str">
        <f t="shared" si="3"/>
        <v>精金山地</v>
      </c>
      <c r="M26" s="12" t="s">
        <v>152</v>
      </c>
      <c r="N26" s="3" t="s">
        <v>145</v>
      </c>
      <c r="O26" s="3"/>
      <c r="P26" s="3"/>
      <c r="Q26" s="3"/>
      <c r="R26" s="3"/>
      <c r="S26" s="3"/>
      <c r="T26" s="3"/>
    </row>
    <row r="27" spans="1:20" x14ac:dyDescent="0.15">
      <c r="A27" s="3">
        <v>54</v>
      </c>
      <c r="B27" s="13" t="s">
        <v>142</v>
      </c>
      <c r="C27" s="12" t="s">
        <v>147</v>
      </c>
      <c r="D27" s="3">
        <v>3</v>
      </c>
      <c r="E27" s="3">
        <v>3</v>
      </c>
      <c r="F27" s="3">
        <v>0</v>
      </c>
      <c r="G27" s="3">
        <v>1</v>
      </c>
      <c r="H27" s="3">
        <v>0</v>
      </c>
      <c r="I27" s="6" t="str">
        <f t="shared" si="5"/>
        <v>map_tile_54</v>
      </c>
      <c r="J27" s="3" t="s">
        <v>59</v>
      </c>
      <c r="K27" s="13" t="s">
        <v>171</v>
      </c>
      <c r="L27" s="3" t="str">
        <f t="shared" si="3"/>
        <v>山铜山地</v>
      </c>
      <c r="M27" s="12" t="s">
        <v>153</v>
      </c>
      <c r="N27" s="3" t="s">
        <v>150</v>
      </c>
      <c r="O27" s="3"/>
      <c r="P27" s="3"/>
      <c r="Q27" s="3"/>
      <c r="R27" s="3"/>
      <c r="S27" s="3"/>
      <c r="T27" s="3"/>
    </row>
    <row r="28" spans="1:20" x14ac:dyDescent="0.15">
      <c r="A28" s="3">
        <v>55</v>
      </c>
      <c r="B28" s="7" t="s">
        <v>60</v>
      </c>
      <c r="C28" s="3" t="s">
        <v>61</v>
      </c>
      <c r="D28" s="3">
        <v>3</v>
      </c>
      <c r="E28" s="3">
        <v>3</v>
      </c>
      <c r="F28" s="3">
        <v>0</v>
      </c>
      <c r="G28" s="3">
        <v>1</v>
      </c>
      <c r="H28" s="3">
        <v>0</v>
      </c>
      <c r="I28" s="6" t="str">
        <f t="shared" si="5"/>
        <v>map_tile_55</v>
      </c>
      <c r="J28" s="3" t="s">
        <v>59</v>
      </c>
      <c r="K28" s="13" t="s">
        <v>170</v>
      </c>
      <c r="L28" s="3" t="str">
        <f t="shared" si="3"/>
        <v>山地5</v>
      </c>
      <c r="M28" s="12" t="s">
        <v>62</v>
      </c>
      <c r="N28" s="3" t="s">
        <v>61</v>
      </c>
      <c r="O28" s="3"/>
      <c r="P28" s="3"/>
      <c r="Q28" s="3"/>
      <c r="R28" s="3"/>
      <c r="S28" s="3"/>
      <c r="T28" s="3"/>
    </row>
    <row r="29" spans="1:20" x14ac:dyDescent="0.15">
      <c r="A29" s="3">
        <v>56</v>
      </c>
      <c r="B29" s="7" t="s">
        <v>60</v>
      </c>
      <c r="C29" s="3" t="s">
        <v>63</v>
      </c>
      <c r="D29" s="3">
        <v>3</v>
      </c>
      <c r="E29" s="3">
        <v>3</v>
      </c>
      <c r="F29" s="3">
        <v>0</v>
      </c>
      <c r="G29" s="3">
        <v>1</v>
      </c>
      <c r="H29" s="3">
        <v>0</v>
      </c>
      <c r="I29" s="6" t="str">
        <f t="shared" si="5"/>
        <v>map_tile_56</v>
      </c>
      <c r="J29" s="3" t="s">
        <v>59</v>
      </c>
      <c r="K29" s="13" t="s">
        <v>170</v>
      </c>
      <c r="L29" s="3" t="str">
        <f t="shared" si="3"/>
        <v>山地6</v>
      </c>
      <c r="M29" s="12" t="s">
        <v>64</v>
      </c>
      <c r="N29" s="3" t="s">
        <v>63</v>
      </c>
      <c r="O29" s="3"/>
      <c r="P29" s="12"/>
      <c r="Q29" s="3"/>
      <c r="R29" s="3"/>
      <c r="S29" s="3"/>
      <c r="T29" s="3"/>
    </row>
    <row r="30" spans="1:20" x14ac:dyDescent="0.15">
      <c r="A30" s="3">
        <v>57</v>
      </c>
      <c r="B30" s="7" t="s">
        <v>60</v>
      </c>
      <c r="C30" s="3" t="s">
        <v>65</v>
      </c>
      <c r="D30" s="3">
        <v>3</v>
      </c>
      <c r="E30" s="3">
        <v>3</v>
      </c>
      <c r="F30" s="3">
        <v>0</v>
      </c>
      <c r="G30" s="3">
        <v>1</v>
      </c>
      <c r="H30" s="3">
        <v>0</v>
      </c>
      <c r="I30" s="6" t="str">
        <f t="shared" si="5"/>
        <v>map_tile_57</v>
      </c>
      <c r="J30" s="3" t="s">
        <v>59</v>
      </c>
      <c r="K30" s="13" t="s">
        <v>170</v>
      </c>
      <c r="L30" s="3" t="str">
        <f t="shared" si="3"/>
        <v>山地7</v>
      </c>
      <c r="M30" s="12" t="s">
        <v>66</v>
      </c>
      <c r="N30" s="3" t="s">
        <v>65</v>
      </c>
      <c r="O30" s="3"/>
      <c r="P30" s="3"/>
      <c r="Q30" s="3"/>
      <c r="R30" s="3"/>
      <c r="S30" s="3"/>
      <c r="T30" s="3"/>
    </row>
    <row r="31" spans="1:20" x14ac:dyDescent="0.15">
      <c r="A31" s="3">
        <v>58</v>
      </c>
      <c r="B31" s="7" t="s">
        <v>60</v>
      </c>
      <c r="C31" s="3" t="s">
        <v>67</v>
      </c>
      <c r="D31" s="3">
        <v>3</v>
      </c>
      <c r="E31" s="3">
        <v>3</v>
      </c>
      <c r="F31" s="3">
        <v>0</v>
      </c>
      <c r="G31" s="3">
        <v>1</v>
      </c>
      <c r="H31" s="3">
        <v>0</v>
      </c>
      <c r="I31" s="6" t="str">
        <f t="shared" si="5"/>
        <v>map_tile_58</v>
      </c>
      <c r="J31" s="3" t="s">
        <v>59</v>
      </c>
      <c r="K31" s="13" t="s">
        <v>170</v>
      </c>
      <c r="L31" s="3" t="str">
        <f t="shared" si="3"/>
        <v>山地8</v>
      </c>
      <c r="M31" s="12" t="s">
        <v>138</v>
      </c>
      <c r="N31" s="3" t="s">
        <v>67</v>
      </c>
      <c r="O31" s="3"/>
      <c r="P31" s="3"/>
      <c r="Q31" s="3"/>
      <c r="R31" s="3"/>
      <c r="S31" s="3"/>
      <c r="T31" s="3"/>
    </row>
    <row r="32" spans="1:20" x14ac:dyDescent="0.15">
      <c r="A32" s="3">
        <v>111</v>
      </c>
      <c r="B32" s="13" t="s">
        <v>191</v>
      </c>
      <c r="C32" s="3" t="s">
        <v>68</v>
      </c>
      <c r="D32" s="3">
        <v>4</v>
      </c>
      <c r="E32" s="3">
        <v>0</v>
      </c>
      <c r="F32" s="3">
        <v>0</v>
      </c>
      <c r="G32" s="3">
        <v>1</v>
      </c>
      <c r="H32" s="3">
        <v>0</v>
      </c>
      <c r="I32" s="3"/>
      <c r="J32" s="3"/>
      <c r="K32" s="13" t="s">
        <v>170</v>
      </c>
      <c r="L32" s="3" t="str">
        <f t="shared" si="3"/>
        <v>山地墙1</v>
      </c>
      <c r="M32" s="12" t="s">
        <v>148</v>
      </c>
      <c r="N32" s="3" t="s">
        <v>69</v>
      </c>
      <c r="O32" s="3"/>
      <c r="P32" s="3"/>
      <c r="Q32" s="3"/>
      <c r="R32" s="3"/>
      <c r="S32" s="3"/>
      <c r="T32" s="3"/>
    </row>
    <row r="33" spans="1:20" x14ac:dyDescent="0.15">
      <c r="A33" s="3">
        <v>112</v>
      </c>
      <c r="B33" s="13" t="s">
        <v>143</v>
      </c>
      <c r="C33" s="3" t="s">
        <v>70</v>
      </c>
      <c r="D33" s="3">
        <v>4</v>
      </c>
      <c r="E33" s="3">
        <v>0</v>
      </c>
      <c r="F33" s="3">
        <v>0</v>
      </c>
      <c r="G33" s="3">
        <v>1</v>
      </c>
      <c r="H33" s="3">
        <v>0</v>
      </c>
      <c r="I33" s="3"/>
      <c r="J33" s="3"/>
      <c r="K33" s="13" t="s">
        <v>170</v>
      </c>
      <c r="L33" s="3" t="str">
        <f t="shared" si="3"/>
        <v>山地墙2</v>
      </c>
      <c r="M33" s="3" t="s">
        <v>71</v>
      </c>
      <c r="N33" s="3" t="s">
        <v>72</v>
      </c>
      <c r="O33" s="3"/>
      <c r="P33" s="3"/>
      <c r="Q33" s="3"/>
      <c r="R33" s="3"/>
      <c r="S33" s="3"/>
      <c r="T33" s="3"/>
    </row>
    <row r="34" spans="1:20" x14ac:dyDescent="0.15">
      <c r="A34" s="3">
        <v>113</v>
      </c>
      <c r="B34" s="14" t="s">
        <v>221</v>
      </c>
      <c r="C34" s="3" t="s">
        <v>73</v>
      </c>
      <c r="D34" s="3">
        <v>4</v>
      </c>
      <c r="E34" s="3">
        <v>0</v>
      </c>
      <c r="F34" s="3">
        <v>0</v>
      </c>
      <c r="G34" s="3">
        <v>1</v>
      </c>
      <c r="H34" s="3">
        <v>0</v>
      </c>
      <c r="I34" s="3"/>
      <c r="J34" s="3"/>
      <c r="K34" s="13" t="s">
        <v>170</v>
      </c>
      <c r="L34" s="3" t="str">
        <f t="shared" si="3"/>
        <v>山地墙3</v>
      </c>
      <c r="M34" s="3" t="s">
        <v>74</v>
      </c>
      <c r="N34" s="3" t="s">
        <v>75</v>
      </c>
      <c r="O34" s="3"/>
      <c r="P34" s="3"/>
      <c r="Q34" s="3"/>
      <c r="R34" s="3"/>
      <c r="S34" s="3"/>
      <c r="T34" s="3"/>
    </row>
    <row r="35" spans="1:20" x14ac:dyDescent="0.15">
      <c r="A35" s="3">
        <v>114</v>
      </c>
      <c r="B35" s="13" t="s">
        <v>142</v>
      </c>
      <c r="C35" s="3" t="s">
        <v>76</v>
      </c>
      <c r="D35" s="3">
        <v>4</v>
      </c>
      <c r="E35" s="3">
        <v>0</v>
      </c>
      <c r="F35" s="3">
        <v>0</v>
      </c>
      <c r="G35" s="3">
        <v>1</v>
      </c>
      <c r="H35" s="3">
        <v>0</v>
      </c>
      <c r="I35" s="3"/>
      <c r="J35" s="3"/>
      <c r="K35" s="13" t="s">
        <v>170</v>
      </c>
      <c r="L35" s="3" t="str">
        <f t="shared" si="3"/>
        <v>山地墙4</v>
      </c>
      <c r="M35" s="3" t="s">
        <v>77</v>
      </c>
      <c r="N35" s="3" t="s">
        <v>78</v>
      </c>
      <c r="O35" s="3"/>
      <c r="P35" s="3"/>
      <c r="Q35" s="3"/>
      <c r="R35" s="3"/>
      <c r="S35" s="3"/>
      <c r="T35" s="3"/>
    </row>
    <row r="36" spans="1:20" x14ac:dyDescent="0.15">
      <c r="A36" s="3">
        <v>115</v>
      </c>
      <c r="B36" s="7" t="s">
        <v>60</v>
      </c>
      <c r="C36" s="3" t="s">
        <v>79</v>
      </c>
      <c r="D36" s="3">
        <v>4</v>
      </c>
      <c r="E36" s="3">
        <v>0</v>
      </c>
      <c r="F36" s="3">
        <v>0</v>
      </c>
      <c r="G36" s="3">
        <v>1</v>
      </c>
      <c r="H36" s="3">
        <v>0</v>
      </c>
      <c r="I36" s="3"/>
      <c r="J36" s="3"/>
      <c r="K36" s="13" t="s">
        <v>170</v>
      </c>
      <c r="L36" s="3" t="str">
        <f t="shared" si="3"/>
        <v>山地墙5</v>
      </c>
      <c r="M36" s="3" t="s">
        <v>80</v>
      </c>
      <c r="N36" s="3" t="s">
        <v>81</v>
      </c>
      <c r="O36" s="3"/>
      <c r="P36" s="3"/>
      <c r="Q36" s="3"/>
      <c r="R36" s="3"/>
      <c r="S36" s="3"/>
      <c r="T36" s="3"/>
    </row>
    <row r="37" spans="1:20" x14ac:dyDescent="0.15">
      <c r="A37" s="3">
        <v>116</v>
      </c>
      <c r="B37" s="7" t="s">
        <v>60</v>
      </c>
      <c r="C37" s="3" t="s">
        <v>82</v>
      </c>
      <c r="D37" s="3">
        <v>4</v>
      </c>
      <c r="E37" s="3">
        <v>0</v>
      </c>
      <c r="F37" s="3">
        <v>0</v>
      </c>
      <c r="G37" s="3">
        <v>1</v>
      </c>
      <c r="H37" s="3">
        <v>0</v>
      </c>
      <c r="I37" s="3"/>
      <c r="J37" s="3"/>
      <c r="K37" s="13" t="s">
        <v>170</v>
      </c>
      <c r="L37" s="3" t="str">
        <f t="shared" si="3"/>
        <v>山地墙6</v>
      </c>
      <c r="M37" s="3" t="s">
        <v>83</v>
      </c>
      <c r="N37" s="3" t="s">
        <v>84</v>
      </c>
      <c r="O37" s="3"/>
      <c r="P37" s="3"/>
      <c r="Q37" s="3"/>
      <c r="R37" s="3"/>
      <c r="S37" s="3"/>
      <c r="T37" s="3"/>
    </row>
    <row r="38" spans="1:20" x14ac:dyDescent="0.15">
      <c r="A38" s="3">
        <v>117</v>
      </c>
      <c r="B38" s="7" t="s">
        <v>60</v>
      </c>
      <c r="C38" s="3" t="s">
        <v>85</v>
      </c>
      <c r="D38" s="3">
        <v>4</v>
      </c>
      <c r="E38" s="3">
        <v>0</v>
      </c>
      <c r="F38" s="3">
        <v>0</v>
      </c>
      <c r="G38" s="3">
        <v>1</v>
      </c>
      <c r="H38" s="3">
        <v>0</v>
      </c>
      <c r="I38" s="3"/>
      <c r="J38" s="3"/>
      <c r="K38" s="13" t="s">
        <v>170</v>
      </c>
      <c r="L38" s="3" t="str">
        <f t="shared" si="3"/>
        <v>山地墙7</v>
      </c>
      <c r="M38" s="3" t="s">
        <v>86</v>
      </c>
      <c r="N38" s="3" t="s">
        <v>87</v>
      </c>
      <c r="O38" s="3"/>
      <c r="P38" s="3"/>
      <c r="Q38" s="3"/>
      <c r="R38" s="3"/>
      <c r="S38" s="3"/>
      <c r="T38" s="3"/>
    </row>
    <row r="39" spans="1:20" x14ac:dyDescent="0.15">
      <c r="A39" s="3">
        <v>118</v>
      </c>
      <c r="B39" s="7" t="s">
        <v>60</v>
      </c>
      <c r="C39" s="3" t="s">
        <v>88</v>
      </c>
      <c r="D39" s="3">
        <v>4</v>
      </c>
      <c r="E39" s="3">
        <v>0</v>
      </c>
      <c r="F39" s="3">
        <v>0</v>
      </c>
      <c r="G39" s="3">
        <v>1</v>
      </c>
      <c r="H39" s="3">
        <v>0</v>
      </c>
      <c r="I39" s="3"/>
      <c r="J39" s="3"/>
      <c r="K39" s="13" t="s">
        <v>170</v>
      </c>
      <c r="L39" s="3" t="str">
        <f t="shared" si="3"/>
        <v>山地墙8</v>
      </c>
      <c r="M39" s="3" t="s">
        <v>89</v>
      </c>
      <c r="N39" s="3" t="s">
        <v>90</v>
      </c>
      <c r="O39" s="3"/>
      <c r="P39" s="3"/>
      <c r="Q39" s="3"/>
      <c r="R39" s="3"/>
      <c r="S39" s="3"/>
      <c r="T39" s="3"/>
    </row>
    <row r="40" spans="1:20" x14ac:dyDescent="0.15">
      <c r="A40" s="3">
        <v>151</v>
      </c>
      <c r="B40" s="7" t="s">
        <v>31</v>
      </c>
      <c r="C40" s="3" t="s">
        <v>91</v>
      </c>
      <c r="D40" s="3">
        <v>6</v>
      </c>
      <c r="E40" s="3">
        <v>0</v>
      </c>
      <c r="F40" s="3">
        <v>0</v>
      </c>
      <c r="G40" s="3">
        <v>1</v>
      </c>
      <c r="H40" s="3">
        <v>0</v>
      </c>
      <c r="I40" s="3"/>
      <c r="J40" s="3" t="s">
        <v>92</v>
      </c>
      <c r="K40" s="13" t="s">
        <v>170</v>
      </c>
      <c r="L40" s="3" t="str">
        <f t="shared" si="3"/>
        <v>山地墙逻辑扩展1</v>
      </c>
      <c r="M40" s="3" t="s">
        <v>93</v>
      </c>
      <c r="N40" s="3" t="s">
        <v>94</v>
      </c>
      <c r="O40" s="3"/>
      <c r="P40" s="3"/>
      <c r="Q40" s="3"/>
      <c r="R40" s="3"/>
      <c r="S40" s="3"/>
      <c r="T40" s="3"/>
    </row>
    <row r="41" spans="1:20" x14ac:dyDescent="0.15">
      <c r="A41" s="3">
        <v>152</v>
      </c>
      <c r="B41" s="7" t="s">
        <v>34</v>
      </c>
      <c r="C41" s="3" t="s">
        <v>95</v>
      </c>
      <c r="D41" s="3">
        <v>6</v>
      </c>
      <c r="E41" s="3">
        <v>0</v>
      </c>
      <c r="F41" s="3">
        <v>0</v>
      </c>
      <c r="G41" s="3">
        <v>1</v>
      </c>
      <c r="H41" s="3">
        <v>0</v>
      </c>
      <c r="I41" s="3"/>
      <c r="J41" s="3"/>
      <c r="K41" s="13" t="s">
        <v>170</v>
      </c>
      <c r="L41" s="3" t="str">
        <f t="shared" si="3"/>
        <v>山地墙逻辑扩展2</v>
      </c>
      <c r="M41" s="3" t="s">
        <v>96</v>
      </c>
      <c r="N41" s="3" t="s">
        <v>97</v>
      </c>
      <c r="O41" s="3"/>
      <c r="P41" s="3"/>
      <c r="Q41" s="3"/>
      <c r="R41" s="3"/>
      <c r="S41" s="3"/>
      <c r="T41" s="3"/>
    </row>
    <row r="42" spans="1:20" x14ac:dyDescent="0.15">
      <c r="A42" s="3">
        <v>153</v>
      </c>
      <c r="B42" s="7" t="s">
        <v>99</v>
      </c>
      <c r="C42" s="3" t="s">
        <v>98</v>
      </c>
      <c r="D42" s="3">
        <v>6</v>
      </c>
      <c r="E42" s="3">
        <v>0</v>
      </c>
      <c r="F42" s="3">
        <v>0</v>
      </c>
      <c r="G42" s="3">
        <v>1</v>
      </c>
      <c r="H42" s="3">
        <v>0</v>
      </c>
      <c r="I42" s="3"/>
      <c r="J42" s="3"/>
      <c r="K42" s="13" t="s">
        <v>170</v>
      </c>
      <c r="L42" s="3" t="str">
        <f t="shared" si="3"/>
        <v>山地墙逻辑扩展3</v>
      </c>
      <c r="M42" s="3" t="s">
        <v>100</v>
      </c>
      <c r="N42" s="3" t="s">
        <v>101</v>
      </c>
      <c r="O42" s="3"/>
      <c r="P42" s="3"/>
      <c r="Q42" s="3"/>
      <c r="R42" s="3"/>
      <c r="S42" s="3"/>
      <c r="T42" s="3"/>
    </row>
    <row r="43" spans="1:20" x14ac:dyDescent="0.15">
      <c r="A43" s="3">
        <v>154</v>
      </c>
      <c r="B43" s="7" t="s">
        <v>38</v>
      </c>
      <c r="C43" s="3" t="s">
        <v>102</v>
      </c>
      <c r="D43" s="3">
        <v>6</v>
      </c>
      <c r="E43" s="3">
        <v>0</v>
      </c>
      <c r="F43" s="3">
        <v>0</v>
      </c>
      <c r="G43" s="3">
        <v>1</v>
      </c>
      <c r="H43" s="3">
        <v>0</v>
      </c>
      <c r="I43" s="3"/>
      <c r="J43" s="3"/>
      <c r="K43" s="13" t="s">
        <v>170</v>
      </c>
      <c r="L43" s="3" t="str">
        <f t="shared" si="3"/>
        <v>山地墙逻辑扩展4</v>
      </c>
      <c r="M43" s="3" t="s">
        <v>103</v>
      </c>
      <c r="N43" s="3" t="s">
        <v>104</v>
      </c>
      <c r="O43" s="3"/>
      <c r="P43" s="3"/>
      <c r="Q43" s="3"/>
      <c r="R43" s="3"/>
      <c r="S43" s="3"/>
      <c r="T43" s="3"/>
    </row>
    <row r="44" spans="1:20" x14ac:dyDescent="0.15">
      <c r="A44" s="3">
        <v>155</v>
      </c>
      <c r="B44" s="7" t="s">
        <v>106</v>
      </c>
      <c r="C44" s="3" t="s">
        <v>105</v>
      </c>
      <c r="D44" s="3">
        <v>6</v>
      </c>
      <c r="E44" s="3">
        <v>0</v>
      </c>
      <c r="F44" s="3">
        <v>0</v>
      </c>
      <c r="G44" s="3">
        <v>1</v>
      </c>
      <c r="H44" s="3">
        <v>0</v>
      </c>
      <c r="I44" s="3"/>
      <c r="J44" s="3"/>
      <c r="K44" s="13" t="s">
        <v>170</v>
      </c>
      <c r="L44" s="3" t="str">
        <f t="shared" si="3"/>
        <v>山地墙逻辑扩展5</v>
      </c>
      <c r="M44" s="3" t="s">
        <v>107</v>
      </c>
      <c r="N44" s="3" t="s">
        <v>108</v>
      </c>
      <c r="O44" s="3"/>
      <c r="P44" s="3"/>
      <c r="Q44" s="3"/>
      <c r="R44" s="3"/>
      <c r="S44" s="3"/>
      <c r="T44" s="3"/>
    </row>
    <row r="45" spans="1:20" x14ac:dyDescent="0.15">
      <c r="A45" s="3">
        <v>156</v>
      </c>
      <c r="B45" s="7" t="s">
        <v>44</v>
      </c>
      <c r="C45" s="3" t="s">
        <v>109</v>
      </c>
      <c r="D45" s="3">
        <v>6</v>
      </c>
      <c r="E45" s="3">
        <v>0</v>
      </c>
      <c r="F45" s="3">
        <v>0</v>
      </c>
      <c r="G45" s="3">
        <v>1</v>
      </c>
      <c r="H45" s="3">
        <v>0</v>
      </c>
      <c r="I45" s="3"/>
      <c r="J45" s="3"/>
      <c r="K45" s="13" t="s">
        <v>170</v>
      </c>
      <c r="L45" s="3" t="str">
        <f t="shared" si="3"/>
        <v>山地墙逻辑扩展6</v>
      </c>
      <c r="M45" s="3" t="s">
        <v>110</v>
      </c>
      <c r="N45" s="3" t="s">
        <v>111</v>
      </c>
      <c r="O45" s="3"/>
      <c r="P45" s="3"/>
      <c r="Q45" s="3"/>
      <c r="R45" s="3"/>
      <c r="S45" s="3"/>
      <c r="T45" s="3"/>
    </row>
    <row r="46" spans="1:20" x14ac:dyDescent="0.15">
      <c r="A46" s="3">
        <v>157</v>
      </c>
      <c r="B46" s="7" t="s">
        <v>48</v>
      </c>
      <c r="C46" s="3" t="s">
        <v>112</v>
      </c>
      <c r="D46" s="3">
        <v>6</v>
      </c>
      <c r="E46" s="3">
        <v>0</v>
      </c>
      <c r="F46" s="3">
        <v>0</v>
      </c>
      <c r="G46" s="3">
        <v>1</v>
      </c>
      <c r="H46" s="3">
        <v>0</v>
      </c>
      <c r="I46" s="3"/>
      <c r="J46" s="3"/>
      <c r="K46" s="13" t="s">
        <v>170</v>
      </c>
      <c r="L46" s="3" t="str">
        <f t="shared" si="3"/>
        <v>山地墙逻辑扩展7</v>
      </c>
      <c r="M46" s="3" t="s">
        <v>113</v>
      </c>
      <c r="N46" s="3" t="s">
        <v>114</v>
      </c>
      <c r="O46" s="3"/>
      <c r="P46" s="3"/>
      <c r="Q46" s="3"/>
      <c r="R46" s="3"/>
      <c r="S46" s="3"/>
      <c r="T46" s="3"/>
    </row>
    <row r="47" spans="1:20" x14ac:dyDescent="0.15">
      <c r="A47" s="3">
        <v>158</v>
      </c>
      <c r="B47" s="7" t="s">
        <v>116</v>
      </c>
      <c r="C47" s="3" t="s">
        <v>115</v>
      </c>
      <c r="D47" s="3">
        <v>6</v>
      </c>
      <c r="E47" s="3">
        <v>0</v>
      </c>
      <c r="F47" s="3">
        <v>0</v>
      </c>
      <c r="G47" s="3">
        <v>1</v>
      </c>
      <c r="H47" s="3">
        <v>0</v>
      </c>
      <c r="I47" s="3"/>
      <c r="J47" s="3"/>
      <c r="K47" s="13" t="s">
        <v>170</v>
      </c>
      <c r="L47" s="3" t="str">
        <f t="shared" si="3"/>
        <v>山地墙逻辑扩展8</v>
      </c>
      <c r="M47" s="3" t="s">
        <v>117</v>
      </c>
      <c r="N47" s="3" t="s">
        <v>118</v>
      </c>
      <c r="O47" s="3"/>
      <c r="P47" s="3"/>
      <c r="Q47" s="3"/>
      <c r="R47" s="3"/>
      <c r="S47" s="3"/>
      <c r="T47" s="3"/>
    </row>
    <row r="48" spans="1:20" x14ac:dyDescent="0.15">
      <c r="A48" s="3">
        <v>207</v>
      </c>
      <c r="B48" s="15" t="s">
        <v>175</v>
      </c>
      <c r="C48" s="12" t="s">
        <v>217</v>
      </c>
      <c r="D48" s="3">
        <v>5</v>
      </c>
      <c r="E48" s="3">
        <v>0</v>
      </c>
      <c r="F48" s="3">
        <v>0</v>
      </c>
      <c r="G48" s="3">
        <v>1</v>
      </c>
      <c r="H48" s="3">
        <v>0</v>
      </c>
      <c r="I48" s="3"/>
      <c r="J48" s="3"/>
      <c r="K48" s="13" t="s">
        <v>170</v>
      </c>
      <c r="L48" s="3" t="str">
        <f>C48</f>
        <v>陆地设施</v>
      </c>
      <c r="M48" s="12" t="s">
        <v>231</v>
      </c>
      <c r="N48" s="3" t="s">
        <v>122</v>
      </c>
      <c r="O48" s="3"/>
      <c r="P48" s="3"/>
      <c r="Q48" s="3"/>
      <c r="R48" s="3"/>
      <c r="S48" s="3"/>
      <c r="T48" s="3"/>
    </row>
    <row r="49" spans="1:20" x14ac:dyDescent="0.15">
      <c r="A49" s="3">
        <v>208</v>
      </c>
      <c r="B49" s="15" t="s">
        <v>175</v>
      </c>
      <c r="C49" s="3" t="s">
        <v>120</v>
      </c>
      <c r="D49" s="3">
        <v>5</v>
      </c>
      <c r="E49" s="3">
        <v>0</v>
      </c>
      <c r="F49" s="3">
        <v>0</v>
      </c>
      <c r="G49" s="3">
        <v>1</v>
      </c>
      <c r="H49" s="3">
        <v>0</v>
      </c>
      <c r="I49" s="3"/>
      <c r="J49" s="3"/>
      <c r="K49" s="13" t="s">
        <v>170</v>
      </c>
      <c r="L49" s="3" t="str">
        <f t="shared" si="3"/>
        <v>水中设施</v>
      </c>
      <c r="M49" s="12" t="s">
        <v>232</v>
      </c>
      <c r="N49" s="3" t="s">
        <v>121</v>
      </c>
      <c r="O49" s="3"/>
      <c r="P49" s="3"/>
      <c r="Q49" s="3"/>
      <c r="R49" s="3"/>
      <c r="S49" s="3"/>
      <c r="T49" s="3"/>
    </row>
    <row r="50" spans="1:20" x14ac:dyDescent="0.15">
      <c r="A50" s="3">
        <v>209</v>
      </c>
      <c r="B50" s="15" t="s">
        <v>175</v>
      </c>
      <c r="C50" s="3" t="s">
        <v>216</v>
      </c>
      <c r="D50" s="3">
        <v>5</v>
      </c>
      <c r="E50" s="3">
        <v>0</v>
      </c>
      <c r="F50" s="3">
        <v>0</v>
      </c>
      <c r="G50" s="3">
        <v>1</v>
      </c>
      <c r="H50" s="3">
        <v>0</v>
      </c>
      <c r="I50" s="3"/>
      <c r="J50" s="3"/>
      <c r="K50" s="13" t="s">
        <v>170</v>
      </c>
      <c r="L50" s="3" t="str">
        <f t="shared" si="3"/>
        <v>山上设施</v>
      </c>
      <c r="M50" s="12" t="s">
        <v>233</v>
      </c>
      <c r="N50" s="3" t="s">
        <v>119</v>
      </c>
      <c r="O50" s="3"/>
      <c r="P50" s="3"/>
      <c r="Q50" s="3"/>
      <c r="R50" s="3"/>
      <c r="S50" s="3"/>
      <c r="T50" s="3"/>
    </row>
    <row r="51" spans="1:20" x14ac:dyDescent="0.15">
      <c r="A51" s="3">
        <v>216</v>
      </c>
      <c r="B51" s="10" t="s">
        <v>218</v>
      </c>
      <c r="C51" s="12" t="s">
        <v>223</v>
      </c>
      <c r="D51" s="3">
        <v>7</v>
      </c>
      <c r="E51" s="3">
        <v>0</v>
      </c>
      <c r="F51" s="3">
        <v>0</v>
      </c>
      <c r="G51" s="3">
        <v>1</v>
      </c>
      <c r="H51" s="3">
        <v>0</v>
      </c>
      <c r="I51" s="3"/>
      <c r="J51" s="3"/>
      <c r="K51" s="13" t="s">
        <v>170</v>
      </c>
      <c r="L51" s="3" t="str">
        <f>C51</f>
        <v>盟友</v>
      </c>
      <c r="M51" s="3" t="s">
        <v>226</v>
      </c>
      <c r="N51" s="3" t="s">
        <v>222</v>
      </c>
      <c r="O51" s="3"/>
      <c r="P51" s="3"/>
      <c r="Q51" s="3"/>
      <c r="R51" s="3"/>
      <c r="S51" s="3"/>
      <c r="T51" s="3"/>
    </row>
    <row r="52" spans="1:20" x14ac:dyDescent="0.15">
      <c r="A52" s="3">
        <v>217</v>
      </c>
      <c r="B52" s="10" t="s">
        <v>123</v>
      </c>
      <c r="C52" s="12" t="s">
        <v>225</v>
      </c>
      <c r="D52" s="3">
        <v>7</v>
      </c>
      <c r="E52" s="3">
        <v>0</v>
      </c>
      <c r="F52" s="3">
        <v>0</v>
      </c>
      <c r="G52" s="3">
        <v>1</v>
      </c>
      <c r="H52" s="3">
        <v>0</v>
      </c>
      <c r="I52" s="3"/>
      <c r="J52" s="3"/>
      <c r="K52" s="13" t="s">
        <v>170</v>
      </c>
      <c r="L52" s="3" t="str">
        <f t="shared" si="3"/>
        <v>敌人-强盗-晕倒</v>
      </c>
      <c r="M52" s="3" t="s">
        <v>227</v>
      </c>
      <c r="N52" s="3" t="s">
        <v>229</v>
      </c>
      <c r="O52" s="3"/>
      <c r="P52" s="3"/>
      <c r="Q52" s="3"/>
      <c r="R52" s="3"/>
      <c r="S52" s="3"/>
      <c r="T52" s="3"/>
    </row>
    <row r="53" spans="1:20" x14ac:dyDescent="0.15">
      <c r="A53" s="3">
        <v>218</v>
      </c>
      <c r="B53" s="15" t="s">
        <v>219</v>
      </c>
      <c r="C53" s="12" t="s">
        <v>224</v>
      </c>
      <c r="D53" s="3">
        <v>7</v>
      </c>
      <c r="E53" s="3">
        <v>0</v>
      </c>
      <c r="F53" s="3">
        <v>0</v>
      </c>
      <c r="G53" s="3">
        <v>1</v>
      </c>
      <c r="H53" s="3">
        <v>0</v>
      </c>
      <c r="I53" s="3"/>
      <c r="J53" s="3"/>
      <c r="K53" s="13" t="s">
        <v>170</v>
      </c>
      <c r="L53" s="3" t="str">
        <f t="shared" si="3"/>
        <v>敌人-强盗</v>
      </c>
      <c r="M53" s="3" t="s">
        <v>228</v>
      </c>
      <c r="N53" s="3" t="s">
        <v>230</v>
      </c>
      <c r="O53" s="3"/>
      <c r="P53" s="3"/>
      <c r="Q53" s="3"/>
      <c r="R53" s="3"/>
      <c r="S53" s="3"/>
      <c r="T53" s="3"/>
    </row>
    <row r="54" spans="1:20" x14ac:dyDescent="0.15">
      <c r="A54" s="3">
        <v>219</v>
      </c>
      <c r="B54" s="15" t="s">
        <v>220</v>
      </c>
      <c r="C54" s="3" t="s">
        <v>124</v>
      </c>
      <c r="D54" s="3">
        <v>7</v>
      </c>
      <c r="E54" s="3">
        <v>0</v>
      </c>
      <c r="F54" s="3">
        <v>0</v>
      </c>
      <c r="G54" s="3">
        <v>1</v>
      </c>
      <c r="H54" s="3">
        <v>0</v>
      </c>
      <c r="I54" s="3"/>
      <c r="J54" s="3"/>
      <c r="K54" s="13" t="s">
        <v>170</v>
      </c>
      <c r="L54" s="3" t="str">
        <f t="shared" si="3"/>
        <v>怪物</v>
      </c>
      <c r="M54" s="12" t="s">
        <v>234</v>
      </c>
      <c r="N54" s="3" t="s">
        <v>124</v>
      </c>
      <c r="O54" s="3"/>
      <c r="P54" s="3"/>
      <c r="Q54" s="3"/>
      <c r="R54" s="3"/>
      <c r="S54" s="3"/>
      <c r="T54" s="3"/>
    </row>
    <row r="55" spans="1:20" x14ac:dyDescent="0.15">
      <c r="A55" s="3">
        <v>220</v>
      </c>
      <c r="B55" s="10" t="s">
        <v>127</v>
      </c>
      <c r="C55" s="3" t="s">
        <v>126</v>
      </c>
      <c r="D55" s="3">
        <v>7</v>
      </c>
      <c r="E55" s="3">
        <v>0</v>
      </c>
      <c r="F55" s="3">
        <v>0</v>
      </c>
      <c r="G55" s="3">
        <v>1</v>
      </c>
      <c r="H55" s="3">
        <v>0</v>
      </c>
      <c r="I55" s="3"/>
      <c r="J55" s="3"/>
      <c r="K55" s="13" t="s">
        <v>170</v>
      </c>
      <c r="L55" s="3" t="str">
        <f t="shared" si="3"/>
        <v>NPC</v>
      </c>
      <c r="M55" s="3" t="s">
        <v>128</v>
      </c>
      <c r="N55" s="3" t="s">
        <v>126</v>
      </c>
      <c r="O55" s="3"/>
      <c r="P55" s="3"/>
      <c r="Q55" s="3"/>
      <c r="R55" s="3"/>
      <c r="S55" s="3"/>
      <c r="T55" s="3"/>
    </row>
    <row r="56" spans="1:20" x14ac:dyDescent="0.15">
      <c r="A56" s="3">
        <v>221</v>
      </c>
      <c r="B56" s="10" t="s">
        <v>125</v>
      </c>
      <c r="C56" s="3" t="s">
        <v>129</v>
      </c>
      <c r="D56" s="3">
        <v>7</v>
      </c>
      <c r="E56" s="3">
        <v>0</v>
      </c>
      <c r="F56" s="3">
        <v>0</v>
      </c>
      <c r="G56" s="3">
        <v>1</v>
      </c>
      <c r="H56" s="3">
        <v>0</v>
      </c>
      <c r="I56" s="3"/>
      <c r="J56" s="3"/>
      <c r="K56" s="13" t="s">
        <v>170</v>
      </c>
      <c r="L56" s="3" t="str">
        <f t="shared" si="3"/>
        <v>商船颜色</v>
      </c>
      <c r="M56" s="3" t="s">
        <v>130</v>
      </c>
      <c r="N56" s="3" t="s">
        <v>131</v>
      </c>
      <c r="O56" s="3"/>
      <c r="P56" s="3"/>
      <c r="Q56" s="3"/>
      <c r="R56" s="3"/>
      <c r="S56" s="3"/>
      <c r="T56" s="3"/>
    </row>
  </sheetData>
  <sortState xmlns:xlrd2="http://schemas.microsoft.com/office/spreadsheetml/2017/richdata2" ref="A2:R62">
    <sortCondition ref="A1"/>
  </sortState>
  <phoneticPr fontId="4" type="noConversion"/>
  <conditionalFormatting sqref="E51:E5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7:F1048576 E1:F2 E4:F7 E54:E56 E3:E5 E8:E13 E15:E5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G1048576">
    <cfRule type="colorScale" priority="3">
      <colorScale>
        <cfvo type="min"/>
        <cfvo type="max"/>
        <color theme="0"/>
        <color rgb="FFFFEF9C"/>
      </colorScale>
    </cfRule>
  </conditionalFormatting>
  <conditionalFormatting sqref="F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:F11 E14 F1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:F21 F12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:F5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5:F56 F14:F16 F24:F5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:G11 G1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:G21 G12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:G5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5:G56 G14:G16 G24:G5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7:G1048576 G1:G2 G4:G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terrain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2025-09-25T10:30:54Z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FCB21DFD6B4A4FCDAAA9F9C69EDDCB7D</vt:lpwstr>
  </property>
</Properties>
</file>