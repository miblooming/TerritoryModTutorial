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95EE99-EF89-4F02-8C02-D51D5FE01D53}" xr6:coauthVersionLast="47" xr6:coauthVersionMax="47" xr10:uidLastSave="{00000000-0000-0000-0000-000000000000}"/>
  <bookViews>
    <workbookView xWindow="2715" yWindow="1335" windowWidth="25020" windowHeight="13965" xr2:uid="{00000000-000D-0000-FFFF-FFFF00000000}"/>
  </bookViews>
  <sheets>
    <sheet name="monster_facility" sheetId="1" r:id="rId1"/>
  </sheets>
  <calcPr calcId="181029"/>
</workbook>
</file>

<file path=xl/calcChain.xml><?xml version="1.0" encoding="utf-8"?>
<calcChain xmlns="http://schemas.openxmlformats.org/spreadsheetml/2006/main">
  <c r="AF127" i="1" l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126" i="1"/>
  <c r="P147" i="1"/>
  <c r="P148" i="1"/>
  <c r="P149" i="1"/>
  <c r="P152" i="1" s="1"/>
  <c r="P155" i="1" s="1"/>
  <c r="P158" i="1" s="1"/>
  <c r="P161" i="1" s="1"/>
  <c r="P164" i="1" s="1"/>
  <c r="P167" i="1" s="1"/>
  <c r="P170" i="1" s="1"/>
  <c r="P173" i="1" s="1"/>
  <c r="P176" i="1" s="1"/>
  <c r="P179" i="1" s="1"/>
  <c r="P182" i="1" s="1"/>
  <c r="P185" i="1" s="1"/>
  <c r="P188" i="1" s="1"/>
  <c r="P191" i="1" s="1"/>
  <c r="P194" i="1" s="1"/>
  <c r="P197" i="1" s="1"/>
  <c r="P200" i="1" s="1"/>
  <c r="P203" i="1" s="1"/>
  <c r="P206" i="1" s="1"/>
  <c r="P209" i="1" s="1"/>
  <c r="P212" i="1" s="1"/>
  <c r="P215" i="1" s="1"/>
  <c r="P218" i="1" s="1"/>
  <c r="P221" i="1" s="1"/>
  <c r="P150" i="1"/>
  <c r="P151" i="1"/>
  <c r="P154" i="1" s="1"/>
  <c r="P157" i="1" s="1"/>
  <c r="P160" i="1" s="1"/>
  <c r="P163" i="1" s="1"/>
  <c r="P166" i="1" s="1"/>
  <c r="P169" i="1" s="1"/>
  <c r="P172" i="1" s="1"/>
  <c r="P175" i="1" s="1"/>
  <c r="P178" i="1" s="1"/>
  <c r="P181" i="1" s="1"/>
  <c r="P184" i="1" s="1"/>
  <c r="P187" i="1" s="1"/>
  <c r="P190" i="1" s="1"/>
  <c r="P193" i="1" s="1"/>
  <c r="P196" i="1" s="1"/>
  <c r="P199" i="1" s="1"/>
  <c r="P202" i="1" s="1"/>
  <c r="P205" i="1" s="1"/>
  <c r="P208" i="1" s="1"/>
  <c r="P211" i="1" s="1"/>
  <c r="P214" i="1" s="1"/>
  <c r="P217" i="1" s="1"/>
  <c r="P220" i="1" s="1"/>
  <c r="P153" i="1"/>
  <c r="P156" i="1"/>
  <c r="P159" i="1" s="1"/>
  <c r="P162" i="1" s="1"/>
  <c r="P165" i="1" s="1"/>
  <c r="P168" i="1" s="1"/>
  <c r="P171" i="1" s="1"/>
  <c r="P174" i="1" s="1"/>
  <c r="P177" i="1" s="1"/>
  <c r="P180" i="1" s="1"/>
  <c r="P183" i="1" s="1"/>
  <c r="P186" i="1" s="1"/>
  <c r="P189" i="1" s="1"/>
  <c r="P192" i="1" s="1"/>
  <c r="P195" i="1" s="1"/>
  <c r="P198" i="1" s="1"/>
  <c r="P201" i="1" s="1"/>
  <c r="P204" i="1" s="1"/>
  <c r="P207" i="1" s="1"/>
  <c r="P210" i="1" s="1"/>
  <c r="P213" i="1" s="1"/>
  <c r="P216" i="1" s="1"/>
  <c r="P219" i="1" s="1"/>
  <c r="P222" i="1" s="1"/>
  <c r="P127" i="1"/>
  <c r="P130" i="1" s="1"/>
  <c r="P133" i="1" s="1"/>
  <c r="P136" i="1" s="1"/>
  <c r="P139" i="1" s="1"/>
  <c r="P142" i="1" s="1"/>
  <c r="P145" i="1" s="1"/>
  <c r="P128" i="1"/>
  <c r="P131" i="1" s="1"/>
  <c r="P134" i="1" s="1"/>
  <c r="P137" i="1" s="1"/>
  <c r="P140" i="1" s="1"/>
  <c r="P143" i="1" s="1"/>
  <c r="P146" i="1" s="1"/>
  <c r="P126" i="1"/>
  <c r="P129" i="1" s="1"/>
  <c r="P132" i="1" s="1"/>
  <c r="P135" i="1" s="1"/>
  <c r="P138" i="1" s="1"/>
  <c r="P141" i="1" s="1"/>
  <c r="P144" i="1" s="1"/>
  <c r="P4" i="1" l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J78" i="1" l="1"/>
  <c r="J81" i="1" s="1"/>
  <c r="J84" i="1" s="1"/>
  <c r="J87" i="1" s="1"/>
  <c r="J90" i="1" s="1"/>
  <c r="J93" i="1" s="1"/>
  <c r="J96" i="1" s="1"/>
  <c r="J99" i="1" s="1"/>
  <c r="J102" i="1" s="1"/>
  <c r="J77" i="1"/>
  <c r="J80" i="1" s="1"/>
  <c r="J83" i="1" s="1"/>
  <c r="J86" i="1" s="1"/>
  <c r="J89" i="1" s="1"/>
  <c r="J92" i="1" s="1"/>
  <c r="J95" i="1" s="1"/>
  <c r="J98" i="1" s="1"/>
  <c r="J101" i="1" s="1"/>
  <c r="J76" i="1"/>
  <c r="J79" i="1" s="1"/>
  <c r="J82" i="1" s="1"/>
  <c r="J85" i="1" s="1"/>
  <c r="J88" i="1" s="1"/>
  <c r="J91" i="1" s="1"/>
  <c r="J94" i="1" s="1"/>
  <c r="J97" i="1" s="1"/>
  <c r="J100" i="1" s="1"/>
  <c r="J50" i="1" l="1"/>
  <c r="J53" i="1" s="1"/>
  <c r="J56" i="1" s="1"/>
  <c r="J59" i="1" s="1"/>
  <c r="J62" i="1" s="1"/>
  <c r="J65" i="1" s="1"/>
  <c r="J68" i="1" s="1"/>
  <c r="J71" i="1" s="1"/>
  <c r="J51" i="1"/>
  <c r="J54" i="1" s="1"/>
  <c r="J57" i="1" s="1"/>
  <c r="J60" i="1" s="1"/>
  <c r="J63" i="1" s="1"/>
  <c r="J66" i="1" s="1"/>
  <c r="J69" i="1" s="1"/>
  <c r="J72" i="1" s="1"/>
  <c r="J49" i="1"/>
  <c r="J52" i="1" s="1"/>
  <c r="J55" i="1" s="1"/>
  <c r="J58" i="1" s="1"/>
  <c r="J61" i="1" s="1"/>
  <c r="J64" i="1" s="1"/>
  <c r="J67" i="1" s="1"/>
  <c r="J70" i="1" s="1"/>
  <c r="G47" i="1"/>
  <c r="G50" i="1" s="1"/>
  <c r="G53" i="1" s="1"/>
  <c r="G56" i="1" s="1"/>
  <c r="G59" i="1" s="1"/>
  <c r="G62" i="1" s="1"/>
  <c r="G65" i="1" s="1"/>
  <c r="G68" i="1" s="1"/>
  <c r="G71" i="1" s="1"/>
  <c r="G48" i="1"/>
  <c r="G51" i="1" s="1"/>
  <c r="G54" i="1" s="1"/>
  <c r="G57" i="1" s="1"/>
  <c r="G60" i="1" s="1"/>
  <c r="G63" i="1" s="1"/>
  <c r="G66" i="1" s="1"/>
  <c r="G69" i="1" s="1"/>
  <c r="G72" i="1" s="1"/>
  <c r="G46" i="1"/>
  <c r="G49" i="1" s="1"/>
  <c r="G52" i="1" s="1"/>
  <c r="G55" i="1" s="1"/>
  <c r="G58" i="1" s="1"/>
  <c r="G61" i="1" s="1"/>
  <c r="G64" i="1" s="1"/>
  <c r="G67" i="1" s="1"/>
  <c r="G70" i="1" s="1"/>
  <c r="D48" i="1"/>
  <c r="D51" i="1" s="1"/>
  <c r="D54" i="1" s="1"/>
  <c r="D57" i="1" s="1"/>
  <c r="D60" i="1" s="1"/>
  <c r="D63" i="1" s="1"/>
  <c r="D66" i="1" s="1"/>
  <c r="D69" i="1" s="1"/>
  <c r="D72" i="1" s="1"/>
  <c r="D47" i="1"/>
  <c r="D50" i="1" s="1"/>
  <c r="D53" i="1" s="1"/>
  <c r="D56" i="1" s="1"/>
  <c r="D59" i="1" s="1"/>
  <c r="D62" i="1" s="1"/>
  <c r="D65" i="1" s="1"/>
  <c r="D68" i="1" s="1"/>
  <c r="D71" i="1" s="1"/>
  <c r="D46" i="1"/>
  <c r="D49" i="1" s="1"/>
  <c r="D52" i="1" s="1"/>
  <c r="D55" i="1" s="1"/>
  <c r="D58" i="1" s="1"/>
  <c r="D61" i="1" s="1"/>
  <c r="D64" i="1" s="1"/>
  <c r="D67" i="1" s="1"/>
  <c r="D70" i="1" s="1"/>
  <c r="G77" i="1"/>
  <c r="G80" i="1" s="1"/>
  <c r="G83" i="1" s="1"/>
  <c r="G86" i="1" s="1"/>
  <c r="G89" i="1" s="1"/>
  <c r="G92" i="1" s="1"/>
  <c r="G95" i="1" s="1"/>
  <c r="G98" i="1" s="1"/>
  <c r="G101" i="1" s="1"/>
  <c r="G78" i="1"/>
  <c r="G81" i="1" s="1"/>
  <c r="G84" i="1" s="1"/>
  <c r="G87" i="1" s="1"/>
  <c r="G90" i="1" s="1"/>
  <c r="G93" i="1" s="1"/>
  <c r="G96" i="1" s="1"/>
  <c r="G99" i="1" s="1"/>
  <c r="G102" i="1" s="1"/>
  <c r="G76" i="1"/>
  <c r="G79" i="1" s="1"/>
  <c r="G82" i="1" s="1"/>
  <c r="G85" i="1" s="1"/>
  <c r="G88" i="1" s="1"/>
  <c r="G91" i="1" s="1"/>
  <c r="G94" i="1" s="1"/>
  <c r="G97" i="1" s="1"/>
  <c r="G100" i="1" s="1"/>
  <c r="D78" i="1"/>
  <c r="D81" i="1" s="1"/>
  <c r="D84" i="1" s="1"/>
  <c r="D87" i="1" s="1"/>
  <c r="D90" i="1" s="1"/>
  <c r="D93" i="1" s="1"/>
  <c r="D96" i="1" s="1"/>
  <c r="D99" i="1" s="1"/>
  <c r="D102" i="1" s="1"/>
  <c r="D77" i="1"/>
  <c r="D80" i="1" s="1"/>
  <c r="D83" i="1" s="1"/>
  <c r="D86" i="1" s="1"/>
  <c r="D89" i="1" s="1"/>
  <c r="D92" i="1" s="1"/>
  <c r="D95" i="1" s="1"/>
  <c r="D98" i="1" s="1"/>
  <c r="D101" i="1" s="1"/>
  <c r="D76" i="1"/>
  <c r="D79" i="1" s="1"/>
  <c r="D82" i="1" s="1"/>
  <c r="D85" i="1" s="1"/>
  <c r="D88" i="1" s="1"/>
  <c r="D91" i="1" s="1"/>
  <c r="D94" i="1" s="1"/>
  <c r="D97" i="1" s="1"/>
  <c r="D100" i="1" s="1"/>
  <c r="J7" i="1"/>
  <c r="J10" i="1" s="1"/>
  <c r="J13" i="1" s="1"/>
  <c r="J16" i="1" s="1"/>
  <c r="J19" i="1" s="1"/>
  <c r="J22" i="1" s="1"/>
  <c r="J25" i="1" s="1"/>
  <c r="J28" i="1" s="1"/>
  <c r="J31" i="1" s="1"/>
  <c r="J8" i="1"/>
  <c r="J11" i="1" s="1"/>
  <c r="J14" i="1" s="1"/>
  <c r="J17" i="1" s="1"/>
  <c r="J20" i="1" s="1"/>
  <c r="J23" i="1" s="1"/>
  <c r="J26" i="1" s="1"/>
  <c r="J29" i="1" s="1"/>
  <c r="J32" i="1" s="1"/>
  <c r="J6" i="1"/>
  <c r="J9" i="1" s="1"/>
  <c r="J12" i="1" s="1"/>
  <c r="J15" i="1" s="1"/>
  <c r="J18" i="1" s="1"/>
  <c r="J21" i="1" s="1"/>
  <c r="J24" i="1" s="1"/>
  <c r="J27" i="1" s="1"/>
  <c r="J30" i="1" s="1"/>
  <c r="G7" i="1"/>
  <c r="G10" i="1" s="1"/>
  <c r="G13" i="1" s="1"/>
  <c r="G16" i="1" s="1"/>
  <c r="G19" i="1" s="1"/>
  <c r="G22" i="1" s="1"/>
  <c r="G25" i="1" s="1"/>
  <c r="G28" i="1" s="1"/>
  <c r="G31" i="1" s="1"/>
  <c r="G8" i="1"/>
  <c r="G11" i="1" s="1"/>
  <c r="G14" i="1" s="1"/>
  <c r="G17" i="1" s="1"/>
  <c r="G20" i="1" s="1"/>
  <c r="G23" i="1" s="1"/>
  <c r="G26" i="1" s="1"/>
  <c r="G29" i="1" s="1"/>
  <c r="G32" i="1" s="1"/>
  <c r="G6" i="1"/>
  <c r="G9" i="1" s="1"/>
  <c r="G12" i="1" s="1"/>
  <c r="G15" i="1" s="1"/>
  <c r="G18" i="1" s="1"/>
  <c r="G21" i="1" s="1"/>
  <c r="G24" i="1" s="1"/>
  <c r="G27" i="1" s="1"/>
  <c r="G30" i="1" s="1"/>
  <c r="D7" i="1" l="1"/>
  <c r="D10" i="1" s="1"/>
  <c r="D13" i="1" s="1"/>
  <c r="D16" i="1" s="1"/>
  <c r="D19" i="1" s="1"/>
  <c r="D22" i="1" s="1"/>
  <c r="D25" i="1" s="1"/>
  <c r="D28" i="1" s="1"/>
  <c r="D31" i="1" s="1"/>
  <c r="D8" i="1"/>
  <c r="D11" i="1" s="1"/>
  <c r="D14" i="1" s="1"/>
  <c r="D17" i="1" s="1"/>
  <c r="D20" i="1" s="1"/>
  <c r="D23" i="1" s="1"/>
  <c r="D26" i="1" s="1"/>
  <c r="D29" i="1" s="1"/>
  <c r="D32" i="1" s="1"/>
  <c r="D6" i="1"/>
  <c r="D9" i="1" s="1"/>
  <c r="D12" i="1" s="1"/>
  <c r="D15" i="1" s="1"/>
  <c r="D18" i="1" s="1"/>
  <c r="D21" i="1" s="1"/>
  <c r="D24" i="1" s="1"/>
  <c r="D27" i="1" s="1"/>
  <c r="D30" i="1" s="1"/>
</calcChain>
</file>

<file path=xl/sharedStrings.xml><?xml version="1.0" encoding="utf-8"?>
<sst xmlns="http://schemas.openxmlformats.org/spreadsheetml/2006/main" count="1188" uniqueCount="101">
  <si>
    <t>设施</t>
    <phoneticPr fontId="1" type="noConversion"/>
  </si>
  <si>
    <t>怪物ID</t>
    <phoneticPr fontId="1" type="noConversion"/>
  </si>
  <si>
    <t>怪物名称</t>
    <phoneticPr fontId="1" type="noConversion"/>
  </si>
  <si>
    <t>怪物数量</t>
    <phoneticPr fontId="1" type="noConversion"/>
  </si>
  <si>
    <t>资源ID</t>
    <phoneticPr fontId="1" type="noConversion"/>
  </si>
  <si>
    <t>资源名称</t>
    <phoneticPr fontId="1" type="noConversion"/>
  </si>
  <si>
    <t>资源数量</t>
    <phoneticPr fontId="1" type="noConversion"/>
  </si>
  <si>
    <t>facility_stuff_id#int</t>
    <phoneticPr fontId="1" type="noConversion"/>
  </si>
  <si>
    <t>!name</t>
    <phoneticPr fontId="1" type="noConversion"/>
  </si>
  <si>
    <t>设施名称</t>
    <phoneticPr fontId="1" type="noConversion"/>
  </si>
  <si>
    <t>!facility_name</t>
    <phoneticPr fontId="1" type="noConversion"/>
  </si>
  <si>
    <t>!monster_name2</t>
    <phoneticPr fontId="1" type="noConversion"/>
  </si>
  <si>
    <t>!monster1_name</t>
    <phoneticPr fontId="1" type="noConversion"/>
  </si>
  <si>
    <t>!name1</t>
    <phoneticPr fontId="1" type="noConversion"/>
  </si>
  <si>
    <t>product1_count#int</t>
    <phoneticPr fontId="1" type="noConversion"/>
  </si>
  <si>
    <t>product2_id#int</t>
    <phoneticPr fontId="1" type="noConversion"/>
  </si>
  <si>
    <t>product1_id#int</t>
    <phoneticPr fontId="1" type="noConversion"/>
  </si>
  <si>
    <t>product2_count#int</t>
    <phoneticPr fontId="1" type="noConversion"/>
  </si>
  <si>
    <t>蜂蜜</t>
    <phoneticPr fontId="1" type="noConversion"/>
  </si>
  <si>
    <t>巨型蘑菇</t>
    <phoneticPr fontId="1" type="noConversion"/>
  </si>
  <si>
    <t>蘑菇</t>
  </si>
  <si>
    <t>巨树</t>
    <phoneticPr fontId="1" type="noConversion"/>
  </si>
  <si>
    <t>原木</t>
    <phoneticPr fontId="1" type="noConversion"/>
  </si>
  <si>
    <t>product3_id#int</t>
    <phoneticPr fontId="1" type="noConversion"/>
  </si>
  <si>
    <t>product3_count#int</t>
    <phoneticPr fontId="1" type="noConversion"/>
  </si>
  <si>
    <t>传说武器</t>
    <phoneticPr fontId="1" type="noConversion"/>
  </si>
  <si>
    <t>传说盾牌</t>
  </si>
  <si>
    <t>传说盔甲</t>
  </si>
  <si>
    <t>金字塔</t>
    <phoneticPr fontId="1" type="noConversion"/>
  </si>
  <si>
    <t>供品ID</t>
  </si>
  <si>
    <t>供品名称</t>
  </si>
  <si>
    <t>供品数量</t>
  </si>
  <si>
    <t>offering1_count#int</t>
  </si>
  <si>
    <t>offering2_id#int</t>
  </si>
  <si>
    <t>offering2_count#int</t>
  </si>
  <si>
    <t>offering3_id#int</t>
  </si>
  <si>
    <t>offering3_count#int</t>
  </si>
  <si>
    <t>红宝石</t>
    <phoneticPr fontId="1" type="noConversion"/>
  </si>
  <si>
    <t>蓝宝石</t>
    <phoneticPr fontId="1" type="noConversion"/>
  </si>
  <si>
    <t>绿宝石</t>
    <phoneticPr fontId="1" type="noConversion"/>
  </si>
  <si>
    <t>offering1_id#int</t>
    <phoneticPr fontId="1" type="noConversion"/>
  </si>
  <si>
    <t>怪物等级</t>
    <phoneticPr fontId="1" type="noConversion"/>
  </si>
  <si>
    <t>毒蜂</t>
  </si>
  <si>
    <t>毒蜂幼虫</t>
    <phoneticPr fontId="1" type="noConversion"/>
  </si>
  <si>
    <t>魔蟹</t>
    <phoneticPr fontId="1" type="noConversion"/>
  </si>
  <si>
    <t>蠹虫</t>
    <phoneticPr fontId="1" type="noConversion"/>
  </si>
  <si>
    <t>自爆蘑菇</t>
    <phoneticPr fontId="1" type="noConversion"/>
  </si>
  <si>
    <t>魔血巨眼</t>
  </si>
  <si>
    <t>monster_level#int</t>
    <phoneticPr fontId="1" type="noConversion"/>
  </si>
  <si>
    <t>魔血小眼</t>
  </si>
  <si>
    <t>毒蜂</t>
    <phoneticPr fontId="1" type="noConversion"/>
  </si>
  <si>
    <t>魔血巨眼</t>
    <phoneticPr fontId="1" type="noConversion"/>
  </si>
  <si>
    <t>关卡等级</t>
    <phoneticPr fontId="1" type="noConversion"/>
  </si>
  <si>
    <t>巨型蜂巢</t>
    <phoneticPr fontId="1" type="noConversion"/>
  </si>
  <si>
    <t>幽灵</t>
    <phoneticPr fontId="1" type="noConversion"/>
  </si>
  <si>
    <t>monster1_count#int</t>
    <phoneticPr fontId="1" type="noConversion"/>
  </si>
  <si>
    <t>monster_type2#int</t>
    <phoneticPr fontId="1" type="noConversion"/>
  </si>
  <si>
    <t>monster_type1#int</t>
    <phoneticPr fontId="1" type="noConversion"/>
  </si>
  <si>
    <t>!monster_name3</t>
    <phoneticPr fontId="1" type="noConversion"/>
  </si>
  <si>
    <t>monster2_count#int</t>
    <phoneticPr fontId="1" type="noConversion"/>
  </si>
  <si>
    <t>monster_type3#int</t>
    <phoneticPr fontId="1" type="noConversion"/>
  </si>
  <si>
    <t>monster3_count#int</t>
    <phoneticPr fontId="1" type="noConversion"/>
  </si>
  <si>
    <t>黄金</t>
  </si>
  <si>
    <t>传说武器图纸</t>
  </si>
  <si>
    <t>传说盔甲图纸</t>
  </si>
  <si>
    <t>传说盾牌图纸</t>
  </si>
  <si>
    <t>尸体</t>
  </si>
  <si>
    <t>史诗武器</t>
  </si>
  <si>
    <t>史诗盾牌</t>
  </si>
  <si>
    <t>史诗盔甲</t>
  </si>
  <si>
    <t>史诗盾牌图纸</t>
  </si>
  <si>
    <t>史诗盔甲图纸</t>
  </si>
  <si>
    <t>史诗武器图纸</t>
  </si>
  <si>
    <t>寒冰之心</t>
  </si>
  <si>
    <t>钉甲虫</t>
    <phoneticPr fontId="1" type="noConversion"/>
  </si>
  <si>
    <t>暗夜收割者</t>
  </si>
  <si>
    <t>寄居蟹</t>
  </si>
  <si>
    <t>蝙蝠</t>
  </si>
  <si>
    <t>骷髅战士</t>
    <phoneticPr fontId="1" type="noConversion"/>
  </si>
  <si>
    <t>蠹虫</t>
  </si>
  <si>
    <t>钻地虫</t>
  </si>
  <si>
    <t>刺毛虫</t>
  </si>
  <si>
    <t>白银</t>
  </si>
  <si>
    <t>蚁穴</t>
    <phoneticPr fontId="1" type="noConversion"/>
  </si>
  <si>
    <t>工蚁</t>
    <phoneticPr fontId="1" type="noConversion"/>
  </si>
  <si>
    <t>兵蚁</t>
    <phoneticPr fontId="1" type="noConversion"/>
  </si>
  <si>
    <t>海盗王</t>
  </si>
  <si>
    <t>108009</t>
    <phoneticPr fontId="1" type="noConversion"/>
  </si>
  <si>
    <t>图腾之柱</t>
    <phoneticPr fontId="1" type="noConversion"/>
  </si>
  <si>
    <t>领主点数</t>
    <phoneticPr fontId="1" type="noConversion"/>
  </si>
  <si>
    <t>石料</t>
  </si>
  <si>
    <t>红宝石</t>
  </si>
  <si>
    <t>蓝宝石</t>
  </si>
  <si>
    <t>绿宝石</t>
  </si>
  <si>
    <t>森林之心</t>
    <phoneticPr fontId="1" type="noConversion"/>
  </si>
  <si>
    <t>红蚁穴</t>
    <phoneticPr fontId="1" type="noConversion"/>
  </si>
  <si>
    <t>!tmp</t>
    <phoneticPr fontId="1" type="noConversion"/>
  </si>
  <si>
    <t>成本白银</t>
    <phoneticPr fontId="1" type="noConversion"/>
  </si>
  <si>
    <t>成本白银，满足领主光环升级之需</t>
    <phoneticPr fontId="1" type="noConversion"/>
  </si>
  <si>
    <t>成本白银，驭龙之力还需5次维修点满</t>
    <phoneticPr fontId="1" type="noConversion"/>
  </si>
  <si>
    <t>level#int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</si>
</sst>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19191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3" fillId="0" borderId="1" xfId="0" applyFont="1" applyBorder="1"/>
    <xf numFmtId="0" fontId="2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2" borderId="1" xfId="0" applyFill="1" applyBorder="1"/>
    <xf numFmtId="0" fontId="0" fillId="0" borderId="5" xfId="0" applyBorder="1"/>
    <xf numFmtId="49" fontId="2" fillId="0" borderId="1" xfId="0" applyNumberFormat="1" applyFont="1" applyBorder="1" applyAlignment="1">
      <alignment horizontal="right"/>
    </xf>
    <xf numFmtId="0" fontId="2" fillId="3" borderId="5" xfId="0" applyFont="1" applyFill="1" applyBorder="1"/>
    <xf numFmtId="49" fontId="2" fillId="2" borderId="1" xfId="0" applyNumberFormat="1" applyFont="1" applyFill="1" applyBorder="1" applyAlignment="1">
      <alignment horizontal="right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2"/>
  <sheetViews>
    <sheetView tabSelected="1" topLeftCell="A148" workbookViewId="0">
      <selection activeCell="D5" sqref="D5"/>
    </sheetView>
  </sheetViews>
  <sheetFormatPr defaultRowHeight="13.5" x14ac:dyDescent="0.15"/>
  <cols>
    <col min="23" max="31" width="6.625" customWidth="1"/>
  </cols>
  <sheetData>
    <row r="1" spans="1:33" x14ac:dyDescent="0.15">
      <c r="A1" s="1" t="s">
        <v>0</v>
      </c>
      <c r="B1" s="1" t="s">
        <v>9</v>
      </c>
      <c r="C1" s="1" t="s">
        <v>52</v>
      </c>
      <c r="D1" s="1" t="s">
        <v>41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4</v>
      </c>
      <c r="R1" s="1" t="s">
        <v>5</v>
      </c>
      <c r="S1" s="1" t="s">
        <v>6</v>
      </c>
      <c r="T1" s="1" t="s">
        <v>4</v>
      </c>
      <c r="U1" s="1" t="s">
        <v>5</v>
      </c>
      <c r="V1" s="1" t="s">
        <v>6</v>
      </c>
      <c r="W1" s="1" t="s">
        <v>29</v>
      </c>
      <c r="X1" s="1" t="s">
        <v>30</v>
      </c>
      <c r="Y1" s="1" t="s">
        <v>31</v>
      </c>
      <c r="Z1" s="1" t="s">
        <v>29</v>
      </c>
      <c r="AA1" s="1" t="s">
        <v>30</v>
      </c>
      <c r="AB1" s="1" t="s">
        <v>31</v>
      </c>
      <c r="AC1" s="1" t="s">
        <v>29</v>
      </c>
      <c r="AD1" s="1" t="s">
        <v>30</v>
      </c>
      <c r="AE1" s="1" t="s">
        <v>31</v>
      </c>
    </row>
    <row r="2" spans="1:33" x14ac:dyDescent="0.15">
      <c r="A2" s="1" t="s">
        <v>7</v>
      </c>
      <c r="B2" s="1" t="s">
        <v>10</v>
      </c>
      <c r="C2" s="1" t="s">
        <v>100</v>
      </c>
      <c r="D2" s="1" t="s">
        <v>48</v>
      </c>
      <c r="E2" s="1" t="s">
        <v>57</v>
      </c>
      <c r="F2" s="1" t="s">
        <v>12</v>
      </c>
      <c r="G2" s="1" t="s">
        <v>55</v>
      </c>
      <c r="H2" s="1" t="s">
        <v>56</v>
      </c>
      <c r="I2" s="1" t="s">
        <v>11</v>
      </c>
      <c r="J2" s="1" t="s">
        <v>59</v>
      </c>
      <c r="K2" s="1" t="s">
        <v>60</v>
      </c>
      <c r="L2" s="1" t="s">
        <v>58</v>
      </c>
      <c r="M2" s="1" t="s">
        <v>61</v>
      </c>
      <c r="N2" s="1" t="s">
        <v>16</v>
      </c>
      <c r="O2" s="1" t="s">
        <v>13</v>
      </c>
      <c r="P2" s="1" t="s">
        <v>14</v>
      </c>
      <c r="Q2" s="1" t="s">
        <v>15</v>
      </c>
      <c r="R2" s="1" t="s">
        <v>8</v>
      </c>
      <c r="S2" s="1" t="s">
        <v>17</v>
      </c>
      <c r="T2" s="1" t="s">
        <v>23</v>
      </c>
      <c r="U2" s="1" t="s">
        <v>8</v>
      </c>
      <c r="V2" s="1" t="s">
        <v>24</v>
      </c>
      <c r="W2" s="1" t="s">
        <v>40</v>
      </c>
      <c r="X2" s="1" t="s">
        <v>13</v>
      </c>
      <c r="Y2" s="1" t="s">
        <v>32</v>
      </c>
      <c r="Z2" s="1" t="s">
        <v>33</v>
      </c>
      <c r="AA2" s="1" t="s">
        <v>8</v>
      </c>
      <c r="AB2" s="1" t="s">
        <v>34</v>
      </c>
      <c r="AC2" s="1" t="s">
        <v>35</v>
      </c>
      <c r="AD2" s="1" t="s">
        <v>8</v>
      </c>
      <c r="AE2" s="1" t="s">
        <v>36</v>
      </c>
      <c r="AF2" s="8" t="s">
        <v>96</v>
      </c>
      <c r="AG2" s="8" t="s">
        <v>96</v>
      </c>
    </row>
    <row r="3" spans="1:33" x14ac:dyDescent="0.15">
      <c r="A3" s="1">
        <v>108002</v>
      </c>
      <c r="B3" s="3" t="s">
        <v>53</v>
      </c>
      <c r="C3" s="1">
        <v>1</v>
      </c>
      <c r="D3" s="1">
        <v>1</v>
      </c>
      <c r="E3" s="1">
        <v>203016</v>
      </c>
      <c r="F3" s="1" t="s">
        <v>50</v>
      </c>
      <c r="G3" s="1">
        <v>5</v>
      </c>
      <c r="H3" s="1">
        <v>203017</v>
      </c>
      <c r="I3" s="1" t="s">
        <v>43</v>
      </c>
      <c r="J3" s="1">
        <v>3</v>
      </c>
      <c r="K3" s="1"/>
      <c r="L3" s="1"/>
      <c r="M3" s="1"/>
      <c r="N3" s="1">
        <v>306001</v>
      </c>
      <c r="O3" s="3" t="s">
        <v>18</v>
      </c>
      <c r="P3" s="1">
        <v>3000</v>
      </c>
      <c r="Q3" s="1"/>
      <c r="R3" s="1"/>
      <c r="S3" s="1"/>
      <c r="T3" s="1"/>
      <c r="U3" s="1"/>
      <c r="V3" s="1"/>
      <c r="W3" s="1"/>
      <c r="X3" s="3"/>
      <c r="Y3" s="1"/>
      <c r="Z3" s="1"/>
      <c r="AA3" s="1"/>
      <c r="AB3" s="1"/>
      <c r="AC3" s="1"/>
      <c r="AD3" s="1"/>
      <c r="AE3" s="1"/>
    </row>
    <row r="4" spans="1:33" x14ac:dyDescent="0.15">
      <c r="A4" s="1">
        <v>108002</v>
      </c>
      <c r="B4" s="3" t="s">
        <v>53</v>
      </c>
      <c r="C4" s="1">
        <v>2</v>
      </c>
      <c r="D4" s="1">
        <v>1</v>
      </c>
      <c r="E4" s="1">
        <v>203016</v>
      </c>
      <c r="F4" s="1" t="s">
        <v>42</v>
      </c>
      <c r="G4" s="1">
        <v>10</v>
      </c>
      <c r="H4" s="1">
        <v>203017</v>
      </c>
      <c r="I4" s="1" t="s">
        <v>43</v>
      </c>
      <c r="J4" s="1">
        <v>6</v>
      </c>
      <c r="K4" s="1"/>
      <c r="L4" s="1"/>
      <c r="M4" s="1"/>
      <c r="N4" s="1">
        <v>306001</v>
      </c>
      <c r="O4" s="3" t="s">
        <v>18</v>
      </c>
      <c r="P4" s="1">
        <f>P3+500</f>
        <v>3500</v>
      </c>
      <c r="Q4" s="1"/>
      <c r="R4" s="1"/>
      <c r="S4" s="1"/>
      <c r="T4" s="1"/>
      <c r="U4" s="1"/>
      <c r="V4" s="1"/>
      <c r="W4" s="1"/>
      <c r="X4" s="3"/>
      <c r="Y4" s="1"/>
      <c r="Z4" s="1"/>
      <c r="AA4" s="1"/>
      <c r="AB4" s="1"/>
      <c r="AC4" s="1"/>
      <c r="AD4" s="1"/>
      <c r="AE4" s="1"/>
    </row>
    <row r="5" spans="1:33" x14ac:dyDescent="0.15">
      <c r="A5" s="1">
        <v>108002</v>
      </c>
      <c r="B5" s="3" t="s">
        <v>53</v>
      </c>
      <c r="C5" s="1">
        <v>3</v>
      </c>
      <c r="D5" s="1">
        <v>1</v>
      </c>
      <c r="E5" s="1">
        <v>203016</v>
      </c>
      <c r="F5" s="1" t="s">
        <v>42</v>
      </c>
      <c r="G5" s="1">
        <v>15</v>
      </c>
      <c r="H5" s="1">
        <v>203017</v>
      </c>
      <c r="I5" s="1" t="s">
        <v>43</v>
      </c>
      <c r="J5" s="1">
        <v>9</v>
      </c>
      <c r="K5" s="1"/>
      <c r="L5" s="1"/>
      <c r="M5" s="1"/>
      <c r="N5" s="1">
        <v>306001</v>
      </c>
      <c r="O5" s="3" t="s">
        <v>18</v>
      </c>
      <c r="P5" s="1">
        <f t="shared" ref="P5:P32" si="0">P4+500</f>
        <v>4000</v>
      </c>
      <c r="Q5" s="1"/>
      <c r="R5" s="1"/>
      <c r="S5" s="1"/>
      <c r="T5" s="1"/>
      <c r="U5" s="1"/>
      <c r="V5" s="1"/>
      <c r="W5" s="1"/>
      <c r="X5" s="3"/>
      <c r="Y5" s="1"/>
      <c r="Z5" s="1"/>
      <c r="AA5" s="1"/>
      <c r="AB5" s="1"/>
      <c r="AC5" s="1"/>
      <c r="AD5" s="1"/>
      <c r="AE5" s="1"/>
    </row>
    <row r="6" spans="1:33" x14ac:dyDescent="0.15">
      <c r="A6" s="1">
        <v>108002</v>
      </c>
      <c r="B6" s="3" t="s">
        <v>53</v>
      </c>
      <c r="C6" s="1">
        <v>4</v>
      </c>
      <c r="D6" s="1">
        <f>D3+1</f>
        <v>2</v>
      </c>
      <c r="E6" s="1">
        <v>203016</v>
      </c>
      <c r="F6" s="1" t="s">
        <v>42</v>
      </c>
      <c r="G6" s="1">
        <f>G3+5</f>
        <v>10</v>
      </c>
      <c r="H6" s="1">
        <v>203017</v>
      </c>
      <c r="I6" s="1" t="s">
        <v>43</v>
      </c>
      <c r="J6" s="1">
        <f>J3+3</f>
        <v>6</v>
      </c>
      <c r="K6" s="1"/>
      <c r="L6" s="1"/>
      <c r="M6" s="1"/>
      <c r="N6" s="1">
        <v>306001</v>
      </c>
      <c r="O6" s="3" t="s">
        <v>18</v>
      </c>
      <c r="P6" s="1">
        <f t="shared" si="0"/>
        <v>4500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3" x14ac:dyDescent="0.15">
      <c r="A7" s="1">
        <v>108002</v>
      </c>
      <c r="B7" s="3" t="s">
        <v>53</v>
      </c>
      <c r="C7" s="1">
        <v>5</v>
      </c>
      <c r="D7" s="1">
        <f t="shared" ref="D7:D32" si="1">D4+1</f>
        <v>2</v>
      </c>
      <c r="E7" s="1">
        <v>203016</v>
      </c>
      <c r="F7" s="1" t="s">
        <v>42</v>
      </c>
      <c r="G7" s="1">
        <f t="shared" ref="G7:G32" si="2">G4+5</f>
        <v>15</v>
      </c>
      <c r="H7" s="1">
        <v>203017</v>
      </c>
      <c r="I7" s="1" t="s">
        <v>43</v>
      </c>
      <c r="J7" s="1">
        <f t="shared" ref="J7:J32" si="3">J4+3</f>
        <v>9</v>
      </c>
      <c r="K7" s="1"/>
      <c r="L7" s="1"/>
      <c r="M7" s="1"/>
      <c r="N7" s="1">
        <v>306001</v>
      </c>
      <c r="O7" s="3" t="s">
        <v>18</v>
      </c>
      <c r="P7" s="1">
        <f t="shared" si="0"/>
        <v>5000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3" x14ac:dyDescent="0.15">
      <c r="A8" s="1">
        <v>108002</v>
      </c>
      <c r="B8" s="3" t="s">
        <v>53</v>
      </c>
      <c r="C8" s="1">
        <v>6</v>
      </c>
      <c r="D8" s="1">
        <f t="shared" si="1"/>
        <v>2</v>
      </c>
      <c r="E8" s="1">
        <v>203016</v>
      </c>
      <c r="F8" s="1" t="s">
        <v>42</v>
      </c>
      <c r="G8" s="1">
        <f t="shared" si="2"/>
        <v>20</v>
      </c>
      <c r="H8" s="1">
        <v>203017</v>
      </c>
      <c r="I8" s="1" t="s">
        <v>43</v>
      </c>
      <c r="J8" s="1">
        <f t="shared" si="3"/>
        <v>12</v>
      </c>
      <c r="K8" s="1"/>
      <c r="L8" s="1"/>
      <c r="M8" s="1"/>
      <c r="N8" s="1">
        <v>306001</v>
      </c>
      <c r="O8" s="3" t="s">
        <v>18</v>
      </c>
      <c r="P8" s="1">
        <f t="shared" si="0"/>
        <v>5500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3" x14ac:dyDescent="0.15">
      <c r="A9" s="1">
        <v>108002</v>
      </c>
      <c r="B9" s="3" t="s">
        <v>53</v>
      </c>
      <c r="C9" s="1">
        <v>7</v>
      </c>
      <c r="D9" s="1">
        <f t="shared" si="1"/>
        <v>3</v>
      </c>
      <c r="E9" s="1">
        <v>203016</v>
      </c>
      <c r="F9" s="1" t="s">
        <v>42</v>
      </c>
      <c r="G9" s="1">
        <f t="shared" si="2"/>
        <v>15</v>
      </c>
      <c r="H9" s="1">
        <v>203017</v>
      </c>
      <c r="I9" s="1" t="s">
        <v>43</v>
      </c>
      <c r="J9" s="1">
        <f t="shared" si="3"/>
        <v>9</v>
      </c>
      <c r="K9" s="1"/>
      <c r="L9" s="1"/>
      <c r="M9" s="1"/>
      <c r="N9" s="1">
        <v>306001</v>
      </c>
      <c r="O9" s="3" t="s">
        <v>18</v>
      </c>
      <c r="P9" s="1">
        <f t="shared" si="0"/>
        <v>6000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3" x14ac:dyDescent="0.15">
      <c r="A10" s="1">
        <v>108002</v>
      </c>
      <c r="B10" s="3" t="s">
        <v>53</v>
      </c>
      <c r="C10" s="1">
        <v>8</v>
      </c>
      <c r="D10" s="1">
        <f t="shared" si="1"/>
        <v>3</v>
      </c>
      <c r="E10" s="1">
        <v>203016</v>
      </c>
      <c r="F10" s="1" t="s">
        <v>42</v>
      </c>
      <c r="G10" s="1">
        <f t="shared" si="2"/>
        <v>20</v>
      </c>
      <c r="H10" s="1">
        <v>203017</v>
      </c>
      <c r="I10" s="1" t="s">
        <v>43</v>
      </c>
      <c r="J10" s="1">
        <f t="shared" si="3"/>
        <v>12</v>
      </c>
      <c r="K10" s="1"/>
      <c r="L10" s="1"/>
      <c r="M10" s="1"/>
      <c r="N10" s="1">
        <v>306001</v>
      </c>
      <c r="O10" s="3" t="s">
        <v>18</v>
      </c>
      <c r="P10" s="1">
        <f t="shared" si="0"/>
        <v>6500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3" x14ac:dyDescent="0.15">
      <c r="A11" s="1">
        <v>108002</v>
      </c>
      <c r="B11" s="3" t="s">
        <v>53</v>
      </c>
      <c r="C11" s="1">
        <v>9</v>
      </c>
      <c r="D11" s="1">
        <f t="shared" si="1"/>
        <v>3</v>
      </c>
      <c r="E11" s="1">
        <v>203016</v>
      </c>
      <c r="F11" s="1" t="s">
        <v>42</v>
      </c>
      <c r="G11" s="1">
        <f t="shared" si="2"/>
        <v>25</v>
      </c>
      <c r="H11" s="1">
        <v>203017</v>
      </c>
      <c r="I11" s="1" t="s">
        <v>43</v>
      </c>
      <c r="J11" s="1">
        <f t="shared" si="3"/>
        <v>15</v>
      </c>
      <c r="K11" s="1"/>
      <c r="L11" s="1"/>
      <c r="M11" s="1"/>
      <c r="N11" s="1">
        <v>306001</v>
      </c>
      <c r="O11" s="3" t="s">
        <v>18</v>
      </c>
      <c r="P11" s="1">
        <f t="shared" si="0"/>
        <v>7000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3" x14ac:dyDescent="0.15">
      <c r="A12" s="1">
        <v>108002</v>
      </c>
      <c r="B12" s="3" t="s">
        <v>53</v>
      </c>
      <c r="C12" s="1">
        <v>10</v>
      </c>
      <c r="D12" s="1">
        <f t="shared" si="1"/>
        <v>4</v>
      </c>
      <c r="E12" s="1">
        <v>203016</v>
      </c>
      <c r="F12" s="1" t="s">
        <v>42</v>
      </c>
      <c r="G12" s="1">
        <f t="shared" si="2"/>
        <v>20</v>
      </c>
      <c r="H12" s="1">
        <v>203017</v>
      </c>
      <c r="I12" s="1" t="s">
        <v>43</v>
      </c>
      <c r="J12" s="1">
        <f t="shared" si="3"/>
        <v>12</v>
      </c>
      <c r="K12" s="1"/>
      <c r="L12" s="1"/>
      <c r="M12" s="1"/>
      <c r="N12" s="1">
        <v>306001</v>
      </c>
      <c r="O12" s="3" t="s">
        <v>18</v>
      </c>
      <c r="P12" s="1">
        <f t="shared" si="0"/>
        <v>7500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3" x14ac:dyDescent="0.15">
      <c r="A13" s="1">
        <v>108002</v>
      </c>
      <c r="B13" s="3" t="s">
        <v>53</v>
      </c>
      <c r="C13" s="1">
        <v>11</v>
      </c>
      <c r="D13" s="1">
        <f t="shared" si="1"/>
        <v>4</v>
      </c>
      <c r="E13" s="1">
        <v>203016</v>
      </c>
      <c r="F13" s="1" t="s">
        <v>42</v>
      </c>
      <c r="G13" s="1">
        <f t="shared" si="2"/>
        <v>25</v>
      </c>
      <c r="H13" s="1">
        <v>203017</v>
      </c>
      <c r="I13" s="1" t="s">
        <v>43</v>
      </c>
      <c r="J13" s="1">
        <f t="shared" si="3"/>
        <v>15</v>
      </c>
      <c r="K13" s="1"/>
      <c r="L13" s="1"/>
      <c r="M13" s="1"/>
      <c r="N13" s="1">
        <v>306001</v>
      </c>
      <c r="O13" s="3" t="s">
        <v>18</v>
      </c>
      <c r="P13" s="1">
        <f t="shared" si="0"/>
        <v>8000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3" x14ac:dyDescent="0.15">
      <c r="A14" s="1">
        <v>108002</v>
      </c>
      <c r="B14" s="3" t="s">
        <v>53</v>
      </c>
      <c r="C14" s="1">
        <v>12</v>
      </c>
      <c r="D14" s="1">
        <f t="shared" si="1"/>
        <v>4</v>
      </c>
      <c r="E14" s="1">
        <v>203016</v>
      </c>
      <c r="F14" s="1" t="s">
        <v>42</v>
      </c>
      <c r="G14" s="1">
        <f t="shared" si="2"/>
        <v>30</v>
      </c>
      <c r="H14" s="1">
        <v>203017</v>
      </c>
      <c r="I14" s="1" t="s">
        <v>43</v>
      </c>
      <c r="J14" s="1">
        <f t="shared" si="3"/>
        <v>18</v>
      </c>
      <c r="K14" s="1"/>
      <c r="L14" s="1"/>
      <c r="M14" s="1"/>
      <c r="N14" s="1">
        <v>306001</v>
      </c>
      <c r="O14" s="3" t="s">
        <v>18</v>
      </c>
      <c r="P14" s="1">
        <f t="shared" si="0"/>
        <v>8500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3" x14ac:dyDescent="0.15">
      <c r="A15" s="1">
        <v>108002</v>
      </c>
      <c r="B15" s="3" t="s">
        <v>53</v>
      </c>
      <c r="C15" s="1">
        <v>13</v>
      </c>
      <c r="D15" s="1">
        <f t="shared" si="1"/>
        <v>5</v>
      </c>
      <c r="E15" s="1">
        <v>203016</v>
      </c>
      <c r="F15" s="1" t="s">
        <v>42</v>
      </c>
      <c r="G15" s="1">
        <f t="shared" si="2"/>
        <v>25</v>
      </c>
      <c r="H15" s="1">
        <v>203017</v>
      </c>
      <c r="I15" s="1" t="s">
        <v>43</v>
      </c>
      <c r="J15" s="1">
        <f t="shared" si="3"/>
        <v>15</v>
      </c>
      <c r="K15" s="1"/>
      <c r="L15" s="1"/>
      <c r="M15" s="1"/>
      <c r="N15" s="1">
        <v>306001</v>
      </c>
      <c r="O15" s="3" t="s">
        <v>18</v>
      </c>
      <c r="P15" s="1">
        <f t="shared" si="0"/>
        <v>9000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3" x14ac:dyDescent="0.15">
      <c r="A16" s="1">
        <v>108002</v>
      </c>
      <c r="B16" s="3" t="s">
        <v>53</v>
      </c>
      <c r="C16" s="1">
        <v>14</v>
      </c>
      <c r="D16" s="1">
        <f t="shared" si="1"/>
        <v>5</v>
      </c>
      <c r="E16" s="1">
        <v>203016</v>
      </c>
      <c r="F16" s="1" t="s">
        <v>42</v>
      </c>
      <c r="G16" s="1">
        <f t="shared" si="2"/>
        <v>30</v>
      </c>
      <c r="H16" s="1">
        <v>203017</v>
      </c>
      <c r="I16" s="1" t="s">
        <v>43</v>
      </c>
      <c r="J16" s="1">
        <f t="shared" si="3"/>
        <v>18</v>
      </c>
      <c r="K16" s="1"/>
      <c r="L16" s="1"/>
      <c r="M16" s="1"/>
      <c r="N16" s="1">
        <v>306001</v>
      </c>
      <c r="O16" s="3" t="s">
        <v>18</v>
      </c>
      <c r="P16" s="1">
        <f t="shared" si="0"/>
        <v>9500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x14ac:dyDescent="0.15">
      <c r="A17" s="1">
        <v>108002</v>
      </c>
      <c r="B17" s="3" t="s">
        <v>53</v>
      </c>
      <c r="C17" s="1">
        <v>15</v>
      </c>
      <c r="D17" s="1">
        <f t="shared" si="1"/>
        <v>5</v>
      </c>
      <c r="E17" s="1">
        <v>203016</v>
      </c>
      <c r="F17" s="1" t="s">
        <v>42</v>
      </c>
      <c r="G17" s="1">
        <f t="shared" si="2"/>
        <v>35</v>
      </c>
      <c r="H17" s="1">
        <v>203017</v>
      </c>
      <c r="I17" s="1" t="s">
        <v>43</v>
      </c>
      <c r="J17" s="1">
        <f t="shared" si="3"/>
        <v>21</v>
      </c>
      <c r="K17" s="1"/>
      <c r="L17" s="1"/>
      <c r="M17" s="1"/>
      <c r="N17" s="1">
        <v>306001</v>
      </c>
      <c r="O17" s="3" t="s">
        <v>18</v>
      </c>
      <c r="P17" s="1">
        <f t="shared" si="0"/>
        <v>10000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x14ac:dyDescent="0.15">
      <c r="A18" s="1">
        <v>108002</v>
      </c>
      <c r="B18" s="3" t="s">
        <v>53</v>
      </c>
      <c r="C18" s="1">
        <v>16</v>
      </c>
      <c r="D18" s="1">
        <f t="shared" si="1"/>
        <v>6</v>
      </c>
      <c r="E18" s="1">
        <v>203016</v>
      </c>
      <c r="F18" s="1" t="s">
        <v>42</v>
      </c>
      <c r="G18" s="1">
        <f t="shared" si="2"/>
        <v>30</v>
      </c>
      <c r="H18" s="1">
        <v>203017</v>
      </c>
      <c r="I18" s="1" t="s">
        <v>43</v>
      </c>
      <c r="J18" s="1">
        <f t="shared" si="3"/>
        <v>18</v>
      </c>
      <c r="K18" s="1"/>
      <c r="L18" s="1"/>
      <c r="M18" s="1"/>
      <c r="N18" s="1">
        <v>306001</v>
      </c>
      <c r="O18" s="3" t="s">
        <v>18</v>
      </c>
      <c r="P18" s="1">
        <f t="shared" si="0"/>
        <v>10500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x14ac:dyDescent="0.15">
      <c r="A19" s="1">
        <v>108002</v>
      </c>
      <c r="B19" s="3" t="s">
        <v>53</v>
      </c>
      <c r="C19" s="1">
        <v>17</v>
      </c>
      <c r="D19" s="1">
        <f t="shared" si="1"/>
        <v>6</v>
      </c>
      <c r="E19" s="1">
        <v>203016</v>
      </c>
      <c r="F19" s="1" t="s">
        <v>42</v>
      </c>
      <c r="G19" s="1">
        <f t="shared" si="2"/>
        <v>35</v>
      </c>
      <c r="H19" s="1">
        <v>203017</v>
      </c>
      <c r="I19" s="1" t="s">
        <v>43</v>
      </c>
      <c r="J19" s="1">
        <f t="shared" si="3"/>
        <v>21</v>
      </c>
      <c r="K19" s="1"/>
      <c r="L19" s="1"/>
      <c r="M19" s="1"/>
      <c r="N19" s="1">
        <v>306001</v>
      </c>
      <c r="O19" s="3" t="s">
        <v>18</v>
      </c>
      <c r="P19" s="1">
        <f t="shared" si="0"/>
        <v>11000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x14ac:dyDescent="0.15">
      <c r="A20" s="1">
        <v>108002</v>
      </c>
      <c r="B20" s="3" t="s">
        <v>53</v>
      </c>
      <c r="C20" s="1">
        <v>18</v>
      </c>
      <c r="D20" s="1">
        <f t="shared" si="1"/>
        <v>6</v>
      </c>
      <c r="E20" s="1">
        <v>203016</v>
      </c>
      <c r="F20" s="1" t="s">
        <v>42</v>
      </c>
      <c r="G20" s="1">
        <f t="shared" si="2"/>
        <v>40</v>
      </c>
      <c r="H20" s="1">
        <v>203017</v>
      </c>
      <c r="I20" s="1" t="s">
        <v>43</v>
      </c>
      <c r="J20" s="1">
        <f t="shared" si="3"/>
        <v>24</v>
      </c>
      <c r="K20" s="1"/>
      <c r="L20" s="1"/>
      <c r="M20" s="1"/>
      <c r="N20" s="1">
        <v>306001</v>
      </c>
      <c r="O20" s="3" t="s">
        <v>18</v>
      </c>
      <c r="P20" s="1">
        <f t="shared" si="0"/>
        <v>11500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x14ac:dyDescent="0.15">
      <c r="A21" s="1">
        <v>108002</v>
      </c>
      <c r="B21" s="3" t="s">
        <v>53</v>
      </c>
      <c r="C21" s="1">
        <v>19</v>
      </c>
      <c r="D21" s="1">
        <f t="shared" si="1"/>
        <v>7</v>
      </c>
      <c r="E21" s="1">
        <v>203016</v>
      </c>
      <c r="F21" s="1" t="s">
        <v>42</v>
      </c>
      <c r="G21" s="1">
        <f t="shared" si="2"/>
        <v>35</v>
      </c>
      <c r="H21" s="1">
        <v>203017</v>
      </c>
      <c r="I21" s="1" t="s">
        <v>43</v>
      </c>
      <c r="J21" s="1">
        <f t="shared" si="3"/>
        <v>21</v>
      </c>
      <c r="K21" s="1"/>
      <c r="L21" s="1"/>
      <c r="M21" s="1"/>
      <c r="N21" s="1">
        <v>306001</v>
      </c>
      <c r="O21" s="3" t="s">
        <v>18</v>
      </c>
      <c r="P21" s="1">
        <f t="shared" si="0"/>
        <v>12000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x14ac:dyDescent="0.15">
      <c r="A22" s="1">
        <v>108002</v>
      </c>
      <c r="B22" s="3" t="s">
        <v>53</v>
      </c>
      <c r="C22" s="1">
        <v>20</v>
      </c>
      <c r="D22" s="1">
        <f t="shared" si="1"/>
        <v>7</v>
      </c>
      <c r="E22" s="1">
        <v>203016</v>
      </c>
      <c r="F22" s="1" t="s">
        <v>42</v>
      </c>
      <c r="G22" s="1">
        <f t="shared" si="2"/>
        <v>40</v>
      </c>
      <c r="H22" s="1">
        <v>203017</v>
      </c>
      <c r="I22" s="1" t="s">
        <v>43</v>
      </c>
      <c r="J22" s="1">
        <f t="shared" si="3"/>
        <v>24</v>
      </c>
      <c r="K22" s="1"/>
      <c r="L22" s="1"/>
      <c r="M22" s="1"/>
      <c r="N22" s="1">
        <v>306001</v>
      </c>
      <c r="O22" s="3" t="s">
        <v>18</v>
      </c>
      <c r="P22" s="1">
        <f t="shared" si="0"/>
        <v>12500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15">
      <c r="A23" s="1">
        <v>108002</v>
      </c>
      <c r="B23" s="3" t="s">
        <v>53</v>
      </c>
      <c r="C23" s="1">
        <v>21</v>
      </c>
      <c r="D23" s="1">
        <f t="shared" si="1"/>
        <v>7</v>
      </c>
      <c r="E23" s="1">
        <v>203016</v>
      </c>
      <c r="F23" s="1" t="s">
        <v>42</v>
      </c>
      <c r="G23" s="1">
        <f t="shared" si="2"/>
        <v>45</v>
      </c>
      <c r="H23" s="1">
        <v>203017</v>
      </c>
      <c r="I23" s="1" t="s">
        <v>43</v>
      </c>
      <c r="J23" s="1">
        <f t="shared" si="3"/>
        <v>27</v>
      </c>
      <c r="K23" s="1"/>
      <c r="L23" s="1"/>
      <c r="M23" s="1"/>
      <c r="N23" s="1">
        <v>306001</v>
      </c>
      <c r="O23" s="3" t="s">
        <v>18</v>
      </c>
      <c r="P23" s="1">
        <f t="shared" si="0"/>
        <v>13000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x14ac:dyDescent="0.15">
      <c r="A24" s="1">
        <v>108002</v>
      </c>
      <c r="B24" s="3" t="s">
        <v>53</v>
      </c>
      <c r="C24" s="1">
        <v>22</v>
      </c>
      <c r="D24" s="1">
        <f t="shared" si="1"/>
        <v>8</v>
      </c>
      <c r="E24" s="1">
        <v>203016</v>
      </c>
      <c r="F24" s="1" t="s">
        <v>42</v>
      </c>
      <c r="G24" s="1">
        <f t="shared" si="2"/>
        <v>40</v>
      </c>
      <c r="H24" s="1">
        <v>203017</v>
      </c>
      <c r="I24" s="1" t="s">
        <v>43</v>
      </c>
      <c r="J24" s="1">
        <f t="shared" si="3"/>
        <v>24</v>
      </c>
      <c r="K24" s="1"/>
      <c r="L24" s="1"/>
      <c r="M24" s="1"/>
      <c r="N24" s="1">
        <v>306001</v>
      </c>
      <c r="O24" s="3" t="s">
        <v>18</v>
      </c>
      <c r="P24" s="1">
        <f t="shared" si="0"/>
        <v>13500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15">
      <c r="A25" s="1">
        <v>108002</v>
      </c>
      <c r="B25" s="3" t="s">
        <v>53</v>
      </c>
      <c r="C25" s="1">
        <v>23</v>
      </c>
      <c r="D25" s="1">
        <f t="shared" si="1"/>
        <v>8</v>
      </c>
      <c r="E25" s="1">
        <v>203016</v>
      </c>
      <c r="F25" s="1" t="s">
        <v>42</v>
      </c>
      <c r="G25" s="1">
        <f t="shared" si="2"/>
        <v>45</v>
      </c>
      <c r="H25" s="1">
        <v>203017</v>
      </c>
      <c r="I25" s="1" t="s">
        <v>43</v>
      </c>
      <c r="J25" s="1">
        <f t="shared" si="3"/>
        <v>27</v>
      </c>
      <c r="K25" s="1"/>
      <c r="L25" s="1"/>
      <c r="M25" s="1"/>
      <c r="N25" s="1">
        <v>306001</v>
      </c>
      <c r="O25" s="3" t="s">
        <v>18</v>
      </c>
      <c r="P25" s="1">
        <f t="shared" si="0"/>
        <v>14000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x14ac:dyDescent="0.15">
      <c r="A26" s="1">
        <v>108002</v>
      </c>
      <c r="B26" s="3" t="s">
        <v>53</v>
      </c>
      <c r="C26" s="1">
        <v>24</v>
      </c>
      <c r="D26" s="1">
        <f t="shared" si="1"/>
        <v>8</v>
      </c>
      <c r="E26" s="1">
        <v>203016</v>
      </c>
      <c r="F26" s="1" t="s">
        <v>42</v>
      </c>
      <c r="G26" s="1">
        <f t="shared" si="2"/>
        <v>50</v>
      </c>
      <c r="H26" s="1">
        <v>203017</v>
      </c>
      <c r="I26" s="1" t="s">
        <v>43</v>
      </c>
      <c r="J26" s="1">
        <f t="shared" si="3"/>
        <v>30</v>
      </c>
      <c r="K26" s="1"/>
      <c r="L26" s="1"/>
      <c r="M26" s="1"/>
      <c r="N26" s="1">
        <v>306001</v>
      </c>
      <c r="O26" s="3" t="s">
        <v>18</v>
      </c>
      <c r="P26" s="1">
        <f t="shared" si="0"/>
        <v>14500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15">
      <c r="A27" s="1">
        <v>108002</v>
      </c>
      <c r="B27" s="3" t="s">
        <v>53</v>
      </c>
      <c r="C27" s="1">
        <v>25</v>
      </c>
      <c r="D27" s="1">
        <f t="shared" si="1"/>
        <v>9</v>
      </c>
      <c r="E27" s="1">
        <v>203016</v>
      </c>
      <c r="F27" s="1" t="s">
        <v>42</v>
      </c>
      <c r="G27" s="1">
        <f t="shared" si="2"/>
        <v>45</v>
      </c>
      <c r="H27" s="1">
        <v>203017</v>
      </c>
      <c r="I27" s="1" t="s">
        <v>43</v>
      </c>
      <c r="J27" s="1">
        <f t="shared" si="3"/>
        <v>27</v>
      </c>
      <c r="K27" s="1"/>
      <c r="L27" s="1"/>
      <c r="M27" s="1"/>
      <c r="N27" s="1">
        <v>306001</v>
      </c>
      <c r="O27" s="3" t="s">
        <v>18</v>
      </c>
      <c r="P27" s="1">
        <f t="shared" si="0"/>
        <v>15000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15">
      <c r="A28" s="1">
        <v>108002</v>
      </c>
      <c r="B28" s="3" t="s">
        <v>53</v>
      </c>
      <c r="C28" s="1">
        <v>26</v>
      </c>
      <c r="D28" s="1">
        <f t="shared" si="1"/>
        <v>9</v>
      </c>
      <c r="E28" s="1">
        <v>203016</v>
      </c>
      <c r="F28" s="1" t="s">
        <v>42</v>
      </c>
      <c r="G28" s="1">
        <f t="shared" si="2"/>
        <v>50</v>
      </c>
      <c r="H28" s="1">
        <v>203017</v>
      </c>
      <c r="I28" s="1" t="s">
        <v>43</v>
      </c>
      <c r="J28" s="1">
        <f t="shared" si="3"/>
        <v>30</v>
      </c>
      <c r="K28" s="1"/>
      <c r="L28" s="1"/>
      <c r="M28" s="1"/>
      <c r="N28" s="1">
        <v>306001</v>
      </c>
      <c r="O28" s="3" t="s">
        <v>18</v>
      </c>
      <c r="P28" s="1">
        <f t="shared" si="0"/>
        <v>15500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x14ac:dyDescent="0.15">
      <c r="A29" s="1">
        <v>108002</v>
      </c>
      <c r="B29" s="3" t="s">
        <v>53</v>
      </c>
      <c r="C29" s="1">
        <v>27</v>
      </c>
      <c r="D29" s="1">
        <f t="shared" si="1"/>
        <v>9</v>
      </c>
      <c r="E29" s="1">
        <v>203016</v>
      </c>
      <c r="F29" s="1" t="s">
        <v>42</v>
      </c>
      <c r="G29" s="1">
        <f t="shared" si="2"/>
        <v>55</v>
      </c>
      <c r="H29" s="1">
        <v>203017</v>
      </c>
      <c r="I29" s="1" t="s">
        <v>43</v>
      </c>
      <c r="J29" s="1">
        <f t="shared" si="3"/>
        <v>33</v>
      </c>
      <c r="K29" s="1"/>
      <c r="L29" s="1"/>
      <c r="M29" s="1"/>
      <c r="N29" s="1">
        <v>306001</v>
      </c>
      <c r="O29" s="3" t="s">
        <v>18</v>
      </c>
      <c r="P29" s="1">
        <f t="shared" si="0"/>
        <v>16000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15">
      <c r="A30" s="1">
        <v>108002</v>
      </c>
      <c r="B30" s="3" t="s">
        <v>53</v>
      </c>
      <c r="C30" s="1">
        <v>28</v>
      </c>
      <c r="D30" s="1">
        <f t="shared" si="1"/>
        <v>10</v>
      </c>
      <c r="E30" s="1">
        <v>203016</v>
      </c>
      <c r="F30" s="1" t="s">
        <v>42</v>
      </c>
      <c r="G30" s="1">
        <f t="shared" si="2"/>
        <v>50</v>
      </c>
      <c r="H30" s="1">
        <v>203017</v>
      </c>
      <c r="I30" s="1" t="s">
        <v>43</v>
      </c>
      <c r="J30" s="1">
        <f t="shared" si="3"/>
        <v>30</v>
      </c>
      <c r="K30" s="1"/>
      <c r="L30" s="1"/>
      <c r="M30" s="1"/>
      <c r="N30" s="1">
        <v>306001</v>
      </c>
      <c r="O30" s="3" t="s">
        <v>18</v>
      </c>
      <c r="P30" s="1">
        <f t="shared" si="0"/>
        <v>16500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x14ac:dyDescent="0.15">
      <c r="A31" s="1">
        <v>108002</v>
      </c>
      <c r="B31" s="3" t="s">
        <v>53</v>
      </c>
      <c r="C31" s="1">
        <v>29</v>
      </c>
      <c r="D31" s="1">
        <f t="shared" si="1"/>
        <v>10</v>
      </c>
      <c r="E31" s="1">
        <v>203016</v>
      </c>
      <c r="F31" s="1" t="s">
        <v>42</v>
      </c>
      <c r="G31" s="1">
        <f t="shared" si="2"/>
        <v>55</v>
      </c>
      <c r="H31" s="1">
        <v>203017</v>
      </c>
      <c r="I31" s="1" t="s">
        <v>43</v>
      </c>
      <c r="J31" s="1">
        <f t="shared" si="3"/>
        <v>33</v>
      </c>
      <c r="K31" s="1"/>
      <c r="L31" s="1"/>
      <c r="M31" s="1"/>
      <c r="N31" s="1">
        <v>306001</v>
      </c>
      <c r="O31" s="3" t="s">
        <v>18</v>
      </c>
      <c r="P31" s="1">
        <f t="shared" si="0"/>
        <v>17000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15">
      <c r="A32" s="1">
        <v>108002</v>
      </c>
      <c r="B32" s="3" t="s">
        <v>53</v>
      </c>
      <c r="C32" s="1">
        <v>30</v>
      </c>
      <c r="D32" s="1">
        <f t="shared" si="1"/>
        <v>10</v>
      </c>
      <c r="E32" s="1">
        <v>203016</v>
      </c>
      <c r="F32" s="1" t="s">
        <v>42</v>
      </c>
      <c r="G32" s="1">
        <f t="shared" si="2"/>
        <v>60</v>
      </c>
      <c r="H32" s="1">
        <v>203017</v>
      </c>
      <c r="I32" s="1" t="s">
        <v>43</v>
      </c>
      <c r="J32" s="1">
        <f t="shared" si="3"/>
        <v>36</v>
      </c>
      <c r="K32" s="1"/>
      <c r="L32" s="1"/>
      <c r="M32" s="1"/>
      <c r="N32" s="1">
        <v>306001</v>
      </c>
      <c r="O32" s="3" t="s">
        <v>18</v>
      </c>
      <c r="P32" s="1">
        <f t="shared" si="0"/>
        <v>17500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4.25" x14ac:dyDescent="0.15">
      <c r="A33" s="1">
        <v>108003</v>
      </c>
      <c r="B33" s="3" t="s">
        <v>28</v>
      </c>
      <c r="C33" s="1">
        <v>1</v>
      </c>
      <c r="D33" s="1">
        <v>2</v>
      </c>
      <c r="E33" s="1">
        <v>203006</v>
      </c>
      <c r="F33" s="5" t="s">
        <v>44</v>
      </c>
      <c r="G33" s="1">
        <v>100</v>
      </c>
      <c r="H33" s="1">
        <v>203020</v>
      </c>
      <c r="I33" s="1" t="s">
        <v>54</v>
      </c>
      <c r="J33" s="1">
        <v>10</v>
      </c>
      <c r="K33" s="1"/>
      <c r="L33" s="1"/>
      <c r="M33" s="1"/>
      <c r="N33" s="1">
        <v>607001</v>
      </c>
      <c r="O33" s="1" t="s">
        <v>82</v>
      </c>
      <c r="P33" s="1">
        <v>1000</v>
      </c>
      <c r="Q33" s="1"/>
      <c r="R33" s="1"/>
      <c r="S33" s="1"/>
      <c r="T33" s="1"/>
      <c r="U33" s="1"/>
      <c r="V33" s="1"/>
      <c r="W33" s="1">
        <v>612001</v>
      </c>
      <c r="X33" s="6" t="s">
        <v>37</v>
      </c>
      <c r="Y33" s="1">
        <v>100</v>
      </c>
      <c r="Z33" s="1">
        <v>612002</v>
      </c>
      <c r="AA33" s="6" t="s">
        <v>38</v>
      </c>
      <c r="AB33" s="1">
        <v>100</v>
      </c>
      <c r="AC33" s="1">
        <v>612003</v>
      </c>
      <c r="AD33" s="6" t="s">
        <v>39</v>
      </c>
      <c r="AE33" s="1">
        <v>100</v>
      </c>
    </row>
    <row r="34" spans="1:31" ht="14.25" x14ac:dyDescent="0.15">
      <c r="A34" s="1">
        <v>108003</v>
      </c>
      <c r="B34" s="3" t="s">
        <v>28</v>
      </c>
      <c r="C34" s="1">
        <v>2</v>
      </c>
      <c r="D34" s="1">
        <v>3</v>
      </c>
      <c r="E34" s="1">
        <v>203006</v>
      </c>
      <c r="F34" s="5" t="s">
        <v>44</v>
      </c>
      <c r="G34" s="1">
        <v>50</v>
      </c>
      <c r="H34" s="1">
        <v>203028</v>
      </c>
      <c r="I34" s="1" t="s">
        <v>76</v>
      </c>
      <c r="J34" s="1">
        <v>2</v>
      </c>
      <c r="N34" s="1">
        <v>608001</v>
      </c>
      <c r="O34" s="1" t="s">
        <v>62</v>
      </c>
      <c r="P34" s="1">
        <v>500</v>
      </c>
      <c r="Q34" s="1"/>
      <c r="R34" s="1"/>
      <c r="S34" s="1"/>
      <c r="T34" s="1"/>
      <c r="U34" s="1"/>
      <c r="V34" s="1"/>
      <c r="W34" s="1">
        <v>612001</v>
      </c>
      <c r="X34" s="6" t="s">
        <v>37</v>
      </c>
      <c r="Y34" s="1">
        <v>200</v>
      </c>
      <c r="Z34" s="1">
        <v>612002</v>
      </c>
      <c r="AA34" s="6" t="s">
        <v>38</v>
      </c>
      <c r="AB34" s="1">
        <v>200</v>
      </c>
      <c r="AC34" s="1">
        <v>612003</v>
      </c>
      <c r="AD34" s="6" t="s">
        <v>39</v>
      </c>
      <c r="AE34" s="1">
        <v>200</v>
      </c>
    </row>
    <row r="35" spans="1:31" x14ac:dyDescent="0.15">
      <c r="A35" s="1">
        <v>108003</v>
      </c>
      <c r="B35" s="3" t="s">
        <v>28</v>
      </c>
      <c r="C35" s="1">
        <v>3</v>
      </c>
      <c r="D35" s="1">
        <v>4</v>
      </c>
      <c r="E35" s="1">
        <v>203005</v>
      </c>
      <c r="F35" s="1" t="s">
        <v>47</v>
      </c>
      <c r="G35" s="1">
        <v>50</v>
      </c>
      <c r="H35" s="1">
        <v>203021</v>
      </c>
      <c r="I35" s="1" t="s">
        <v>49</v>
      </c>
      <c r="J35" s="1">
        <v>100</v>
      </c>
      <c r="K35" s="1">
        <v>203028</v>
      </c>
      <c r="L35" s="1" t="s">
        <v>76</v>
      </c>
      <c r="M35" s="1">
        <v>5</v>
      </c>
      <c r="N35" s="1">
        <v>413008</v>
      </c>
      <c r="O35" s="4" t="s">
        <v>25</v>
      </c>
      <c r="P35" s="1">
        <v>3</v>
      </c>
      <c r="Q35" s="1">
        <v>414008</v>
      </c>
      <c r="R35" s="4" t="s">
        <v>26</v>
      </c>
      <c r="S35" s="1">
        <v>3</v>
      </c>
      <c r="T35" s="1">
        <v>415008</v>
      </c>
      <c r="U35" s="4" t="s">
        <v>27</v>
      </c>
      <c r="V35" s="7">
        <v>3</v>
      </c>
      <c r="W35" s="1">
        <v>612001</v>
      </c>
      <c r="X35" s="6" t="s">
        <v>37</v>
      </c>
      <c r="Y35" s="1">
        <v>300</v>
      </c>
      <c r="Z35" s="1">
        <v>612002</v>
      </c>
      <c r="AA35" s="6" t="s">
        <v>38</v>
      </c>
      <c r="AB35" s="1">
        <v>300</v>
      </c>
      <c r="AC35" s="1">
        <v>612003</v>
      </c>
      <c r="AD35" s="6" t="s">
        <v>39</v>
      </c>
      <c r="AE35" s="1">
        <v>300</v>
      </c>
    </row>
    <row r="36" spans="1:31" ht="14.25" x14ac:dyDescent="0.15">
      <c r="A36" s="1">
        <v>108003</v>
      </c>
      <c r="B36" s="3" t="s">
        <v>28</v>
      </c>
      <c r="C36" s="1">
        <v>4</v>
      </c>
      <c r="D36" s="1">
        <v>5</v>
      </c>
      <c r="E36" s="1">
        <v>203006</v>
      </c>
      <c r="F36" s="5" t="s">
        <v>44</v>
      </c>
      <c r="G36" s="1">
        <v>100</v>
      </c>
      <c r="H36" s="1">
        <v>203022</v>
      </c>
      <c r="I36" s="1" t="s">
        <v>77</v>
      </c>
      <c r="J36" s="1">
        <v>50</v>
      </c>
      <c r="K36" s="1">
        <v>203028</v>
      </c>
      <c r="L36" s="1" t="s">
        <v>76</v>
      </c>
      <c r="M36" s="1">
        <v>10</v>
      </c>
      <c r="N36" s="1">
        <v>902068</v>
      </c>
      <c r="O36" s="9" t="s">
        <v>63</v>
      </c>
      <c r="P36" s="1">
        <v>1</v>
      </c>
      <c r="Q36" s="1">
        <v>902070</v>
      </c>
      <c r="R36" s="9" t="s">
        <v>65</v>
      </c>
      <c r="S36" s="1">
        <v>1</v>
      </c>
      <c r="T36" s="1">
        <v>902069</v>
      </c>
      <c r="U36" s="9" t="s">
        <v>64</v>
      </c>
      <c r="V36" s="7">
        <v>1</v>
      </c>
      <c r="W36" s="1">
        <v>612001</v>
      </c>
      <c r="X36" s="6" t="s">
        <v>37</v>
      </c>
      <c r="Y36" s="1">
        <v>400</v>
      </c>
      <c r="Z36" s="1">
        <v>612002</v>
      </c>
      <c r="AA36" s="6" t="s">
        <v>38</v>
      </c>
      <c r="AB36" s="1">
        <v>400</v>
      </c>
      <c r="AC36" s="1">
        <v>612003</v>
      </c>
      <c r="AD36" s="6" t="s">
        <v>39</v>
      </c>
      <c r="AE36" s="1">
        <v>400</v>
      </c>
    </row>
    <row r="37" spans="1:31" x14ac:dyDescent="0.15">
      <c r="A37" s="1">
        <v>108003</v>
      </c>
      <c r="B37" s="3" t="s">
        <v>28</v>
      </c>
      <c r="C37" s="1">
        <v>5</v>
      </c>
      <c r="D37" s="1">
        <v>6</v>
      </c>
      <c r="E37" s="1">
        <v>203020</v>
      </c>
      <c r="F37" s="1" t="s">
        <v>54</v>
      </c>
      <c r="G37" s="1">
        <v>100</v>
      </c>
      <c r="H37" s="1">
        <v>203003</v>
      </c>
      <c r="I37" s="1" t="s">
        <v>78</v>
      </c>
      <c r="J37" s="1">
        <v>100</v>
      </c>
      <c r="K37" s="1"/>
      <c r="L37" s="1"/>
      <c r="M37" s="1"/>
      <c r="N37" s="10">
        <v>804001</v>
      </c>
      <c r="O37" s="1" t="s">
        <v>66</v>
      </c>
      <c r="P37" s="1">
        <v>1000</v>
      </c>
      <c r="Q37" s="1"/>
      <c r="R37" s="1"/>
      <c r="S37" s="1"/>
      <c r="T37" s="1"/>
      <c r="U37" s="1"/>
      <c r="V37" s="7"/>
      <c r="W37" s="1">
        <v>612001</v>
      </c>
      <c r="X37" s="6" t="s">
        <v>37</v>
      </c>
      <c r="Y37" s="1">
        <v>500</v>
      </c>
      <c r="Z37" s="1">
        <v>612002</v>
      </c>
      <c r="AA37" s="6" t="s">
        <v>38</v>
      </c>
      <c r="AB37" s="1">
        <v>500</v>
      </c>
      <c r="AC37" s="1">
        <v>612003</v>
      </c>
      <c r="AD37" s="6" t="s">
        <v>39</v>
      </c>
      <c r="AE37" s="1">
        <v>500</v>
      </c>
    </row>
    <row r="38" spans="1:31" x14ac:dyDescent="0.15">
      <c r="A38" s="1">
        <v>108003</v>
      </c>
      <c r="B38" s="3" t="s">
        <v>28</v>
      </c>
      <c r="C38" s="1">
        <v>6</v>
      </c>
      <c r="D38" s="1">
        <v>7</v>
      </c>
      <c r="E38" s="1">
        <v>203004</v>
      </c>
      <c r="F38" s="1" t="s">
        <v>75</v>
      </c>
      <c r="G38" s="1">
        <v>1</v>
      </c>
      <c r="H38" s="1">
        <v>203022</v>
      </c>
      <c r="I38" s="1" t="s">
        <v>77</v>
      </c>
      <c r="J38" s="1">
        <v>100</v>
      </c>
      <c r="K38" s="1">
        <v>203028</v>
      </c>
      <c r="L38" s="1" t="s">
        <v>76</v>
      </c>
      <c r="M38" s="1">
        <v>1</v>
      </c>
      <c r="N38" s="1">
        <v>410003</v>
      </c>
      <c r="O38" s="1" t="s">
        <v>73</v>
      </c>
      <c r="P38" s="1">
        <v>1</v>
      </c>
      <c r="Q38" s="1"/>
      <c r="R38" s="1"/>
      <c r="S38" s="1"/>
      <c r="T38" s="1"/>
      <c r="U38" s="1"/>
      <c r="W38" s="1">
        <v>612001</v>
      </c>
      <c r="X38" s="6" t="s">
        <v>37</v>
      </c>
      <c r="Y38" s="1">
        <v>600</v>
      </c>
      <c r="Z38" s="1">
        <v>612002</v>
      </c>
      <c r="AA38" s="6" t="s">
        <v>38</v>
      </c>
      <c r="AB38" s="1">
        <v>600</v>
      </c>
      <c r="AC38" s="1">
        <v>612003</v>
      </c>
      <c r="AD38" s="6" t="s">
        <v>39</v>
      </c>
      <c r="AE38" s="1">
        <v>600</v>
      </c>
    </row>
    <row r="39" spans="1:31" ht="14.25" x14ac:dyDescent="0.15">
      <c r="A39" s="1">
        <v>108003</v>
      </c>
      <c r="B39" s="3" t="s">
        <v>28</v>
      </c>
      <c r="C39" s="1">
        <v>7</v>
      </c>
      <c r="D39" s="1">
        <v>8</v>
      </c>
      <c r="E39" s="1">
        <v>203031</v>
      </c>
      <c r="F39" s="1" t="s">
        <v>75</v>
      </c>
      <c r="G39" s="1">
        <v>5</v>
      </c>
      <c r="H39" s="1">
        <v>203006</v>
      </c>
      <c r="I39" s="5" t="s">
        <v>44</v>
      </c>
      <c r="J39" s="1">
        <v>100</v>
      </c>
      <c r="K39" s="1">
        <v>203034</v>
      </c>
      <c r="L39" s="1" t="s">
        <v>80</v>
      </c>
      <c r="M39" s="1">
        <v>50</v>
      </c>
      <c r="N39" s="1">
        <v>413009</v>
      </c>
      <c r="O39" s="9" t="s">
        <v>67</v>
      </c>
      <c r="P39" s="1">
        <v>3</v>
      </c>
      <c r="Q39" s="1">
        <v>414009</v>
      </c>
      <c r="R39" s="9" t="s">
        <v>68</v>
      </c>
      <c r="S39" s="1">
        <v>3</v>
      </c>
      <c r="T39" s="1">
        <v>415009</v>
      </c>
      <c r="U39" s="9" t="s">
        <v>69</v>
      </c>
      <c r="V39" s="7">
        <v>3</v>
      </c>
      <c r="W39" s="1">
        <v>612001</v>
      </c>
      <c r="X39" s="6" t="s">
        <v>37</v>
      </c>
      <c r="Y39" s="1">
        <v>700</v>
      </c>
      <c r="Z39" s="1">
        <v>612002</v>
      </c>
      <c r="AA39" s="6" t="s">
        <v>38</v>
      </c>
      <c r="AB39" s="1">
        <v>700</v>
      </c>
      <c r="AC39" s="1">
        <v>612003</v>
      </c>
      <c r="AD39" s="6" t="s">
        <v>39</v>
      </c>
      <c r="AE39" s="1">
        <v>700</v>
      </c>
    </row>
    <row r="40" spans="1:31" x14ac:dyDescent="0.15">
      <c r="A40" s="1">
        <v>108003</v>
      </c>
      <c r="B40" s="3" t="s">
        <v>28</v>
      </c>
      <c r="C40" s="1">
        <v>8</v>
      </c>
      <c r="D40" s="1">
        <v>9</v>
      </c>
      <c r="E40" s="1">
        <v>203031</v>
      </c>
      <c r="F40" s="1" t="s">
        <v>75</v>
      </c>
      <c r="G40" s="1">
        <v>10</v>
      </c>
      <c r="H40" s="1">
        <v>203018</v>
      </c>
      <c r="I40" s="1" t="s">
        <v>79</v>
      </c>
      <c r="J40" s="1">
        <v>100</v>
      </c>
      <c r="K40" s="1">
        <v>203035</v>
      </c>
      <c r="L40" s="1" t="s">
        <v>81</v>
      </c>
      <c r="M40" s="8">
        <v>50</v>
      </c>
      <c r="N40" s="1">
        <v>902071</v>
      </c>
      <c r="O40" s="9" t="s">
        <v>72</v>
      </c>
      <c r="P40" s="1">
        <v>1</v>
      </c>
      <c r="Q40" s="1">
        <v>902073</v>
      </c>
      <c r="R40" s="9" t="s">
        <v>70</v>
      </c>
      <c r="S40" s="1">
        <v>1</v>
      </c>
      <c r="T40" s="1">
        <v>902072</v>
      </c>
      <c r="U40" s="9" t="s">
        <v>71</v>
      </c>
      <c r="V40" s="7">
        <v>1</v>
      </c>
      <c r="W40" s="1">
        <v>612001</v>
      </c>
      <c r="X40" s="6" t="s">
        <v>37</v>
      </c>
      <c r="Y40" s="1">
        <v>800</v>
      </c>
      <c r="Z40" s="1">
        <v>612002</v>
      </c>
      <c r="AA40" s="6" t="s">
        <v>38</v>
      </c>
      <c r="AB40" s="1">
        <v>800</v>
      </c>
      <c r="AC40" s="1">
        <v>612003</v>
      </c>
      <c r="AD40" s="6" t="s">
        <v>39</v>
      </c>
      <c r="AE40" s="1">
        <v>800</v>
      </c>
    </row>
    <row r="41" spans="1:31" x14ac:dyDescent="0.15">
      <c r="A41" s="1">
        <v>108003</v>
      </c>
      <c r="B41" s="3" t="s">
        <v>28</v>
      </c>
      <c r="C41" s="1">
        <v>9</v>
      </c>
      <c r="D41" s="1">
        <v>10</v>
      </c>
      <c r="E41" s="1">
        <v>203031</v>
      </c>
      <c r="F41" s="1" t="s">
        <v>75</v>
      </c>
      <c r="G41" s="1">
        <v>10</v>
      </c>
      <c r="H41" s="1">
        <v>203001</v>
      </c>
      <c r="I41" s="1" t="s">
        <v>74</v>
      </c>
      <c r="J41" s="1">
        <v>50</v>
      </c>
      <c r="K41" s="1">
        <v>203020</v>
      </c>
      <c r="L41" s="1" t="s">
        <v>54</v>
      </c>
      <c r="M41" s="1">
        <v>50</v>
      </c>
      <c r="N41" s="1">
        <v>410004</v>
      </c>
      <c r="O41" s="1" t="s">
        <v>94</v>
      </c>
      <c r="P41" s="1">
        <v>1</v>
      </c>
      <c r="W41" s="1">
        <v>612001</v>
      </c>
      <c r="X41" s="6" t="s">
        <v>37</v>
      </c>
      <c r="Y41" s="1">
        <v>900</v>
      </c>
      <c r="Z41" s="1">
        <v>612002</v>
      </c>
      <c r="AA41" s="6" t="s">
        <v>38</v>
      </c>
      <c r="AB41" s="1">
        <v>900</v>
      </c>
      <c r="AC41" s="1">
        <v>612003</v>
      </c>
      <c r="AD41" s="6" t="s">
        <v>39</v>
      </c>
      <c r="AE41" s="1">
        <v>900</v>
      </c>
    </row>
    <row r="42" spans="1:31" x14ac:dyDescent="0.15">
      <c r="A42" s="1">
        <v>108003</v>
      </c>
      <c r="B42" s="3" t="s">
        <v>28</v>
      </c>
      <c r="C42" s="1">
        <v>10</v>
      </c>
      <c r="D42" s="1">
        <v>10</v>
      </c>
      <c r="E42" s="1">
        <v>203031</v>
      </c>
      <c r="F42" s="1" t="s">
        <v>75</v>
      </c>
      <c r="G42" s="1">
        <v>5</v>
      </c>
      <c r="H42" s="1">
        <v>203029</v>
      </c>
      <c r="I42" s="1" t="s">
        <v>86</v>
      </c>
      <c r="J42" s="1">
        <v>5</v>
      </c>
      <c r="K42" s="1">
        <v>203020</v>
      </c>
      <c r="L42" s="1" t="s">
        <v>54</v>
      </c>
      <c r="M42" s="1">
        <v>50</v>
      </c>
      <c r="N42" s="1"/>
      <c r="O42" s="9"/>
      <c r="P42" s="1"/>
      <c r="Q42" s="1"/>
      <c r="R42" s="9"/>
      <c r="S42" s="1"/>
      <c r="T42" s="1"/>
      <c r="U42" s="9"/>
      <c r="V42" s="7"/>
      <c r="W42" s="1">
        <v>612001</v>
      </c>
      <c r="X42" s="6" t="s">
        <v>37</v>
      </c>
      <c r="Y42" s="1">
        <v>1000</v>
      </c>
      <c r="Z42" s="1">
        <v>612002</v>
      </c>
      <c r="AA42" s="6" t="s">
        <v>38</v>
      </c>
      <c r="AB42" s="1">
        <v>1000</v>
      </c>
      <c r="AC42" s="1">
        <v>612003</v>
      </c>
      <c r="AD42" s="6" t="s">
        <v>39</v>
      </c>
      <c r="AE42" s="1">
        <v>1000</v>
      </c>
    </row>
    <row r="43" spans="1:31" x14ac:dyDescent="0.15">
      <c r="A43" s="1">
        <v>108004</v>
      </c>
      <c r="B43" s="2" t="s">
        <v>19</v>
      </c>
      <c r="C43" s="1">
        <v>1</v>
      </c>
      <c r="D43" s="1">
        <v>1</v>
      </c>
      <c r="E43" s="1">
        <v>203007</v>
      </c>
      <c r="F43" s="1" t="s">
        <v>46</v>
      </c>
      <c r="G43" s="1">
        <v>8</v>
      </c>
      <c r="H43" s="7">
        <v>203005</v>
      </c>
      <c r="I43" s="1" t="s">
        <v>51</v>
      </c>
      <c r="J43" s="1">
        <v>2</v>
      </c>
      <c r="K43" s="7"/>
      <c r="L43" s="1"/>
      <c r="M43" s="1"/>
      <c r="N43" s="1">
        <v>301006</v>
      </c>
      <c r="O43" s="1" t="s">
        <v>20</v>
      </c>
      <c r="P43" s="1">
        <v>3000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x14ac:dyDescent="0.15">
      <c r="A44" s="1">
        <v>108004</v>
      </c>
      <c r="B44" s="2" t="s">
        <v>19</v>
      </c>
      <c r="C44" s="8">
        <v>2</v>
      </c>
      <c r="D44" s="1">
        <v>1</v>
      </c>
      <c r="E44" s="1">
        <v>203007</v>
      </c>
      <c r="F44" s="1" t="s">
        <v>46</v>
      </c>
      <c r="G44" s="1">
        <v>8</v>
      </c>
      <c r="H44" s="7">
        <v>203005</v>
      </c>
      <c r="I44" s="1" t="s">
        <v>47</v>
      </c>
      <c r="J44" s="1">
        <v>2</v>
      </c>
      <c r="K44" s="7"/>
      <c r="L44" s="1"/>
      <c r="M44" s="1"/>
      <c r="N44" s="1">
        <v>301006</v>
      </c>
      <c r="O44" s="1" t="s">
        <v>20</v>
      </c>
      <c r="P44" s="1">
        <v>3500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x14ac:dyDescent="0.15">
      <c r="A45" s="1">
        <v>108004</v>
      </c>
      <c r="B45" s="2" t="s">
        <v>19</v>
      </c>
      <c r="C45" s="1">
        <v>3</v>
      </c>
      <c r="D45" s="1">
        <v>1</v>
      </c>
      <c r="E45" s="1">
        <v>203007</v>
      </c>
      <c r="F45" s="1" t="s">
        <v>46</v>
      </c>
      <c r="G45" s="1">
        <v>8</v>
      </c>
      <c r="H45" s="7">
        <v>203005</v>
      </c>
      <c r="I45" s="1" t="s">
        <v>47</v>
      </c>
      <c r="J45" s="1">
        <v>2</v>
      </c>
      <c r="K45" s="7"/>
      <c r="L45" s="1"/>
      <c r="M45" s="1"/>
      <c r="N45" s="1">
        <v>301006</v>
      </c>
      <c r="O45" s="1" t="s">
        <v>20</v>
      </c>
      <c r="P45" s="1">
        <v>4000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x14ac:dyDescent="0.15">
      <c r="A46" s="1">
        <v>108004</v>
      </c>
      <c r="B46" s="2" t="s">
        <v>19</v>
      </c>
      <c r="C46" s="8">
        <v>4</v>
      </c>
      <c r="D46" s="1">
        <f>D43+1</f>
        <v>2</v>
      </c>
      <c r="E46" s="1">
        <v>203007</v>
      </c>
      <c r="F46" s="1" t="s">
        <v>46</v>
      </c>
      <c r="G46" s="1">
        <f>G43+5</f>
        <v>13</v>
      </c>
      <c r="H46" s="7">
        <v>203005</v>
      </c>
      <c r="I46" s="1" t="s">
        <v>47</v>
      </c>
      <c r="J46" s="1">
        <v>3</v>
      </c>
      <c r="K46" s="7"/>
      <c r="L46" s="1"/>
      <c r="M46" s="1"/>
      <c r="N46" s="1">
        <v>301006</v>
      </c>
      <c r="O46" s="1" t="s">
        <v>20</v>
      </c>
      <c r="P46" s="1">
        <v>4500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15">
      <c r="A47" s="1">
        <v>108004</v>
      </c>
      <c r="B47" s="2" t="s">
        <v>19</v>
      </c>
      <c r="C47" s="1">
        <v>5</v>
      </c>
      <c r="D47" s="1">
        <f t="shared" ref="D47:D72" si="4">D44+1</f>
        <v>2</v>
      </c>
      <c r="E47" s="1">
        <v>203007</v>
      </c>
      <c r="F47" s="1" t="s">
        <v>46</v>
      </c>
      <c r="G47" s="1">
        <f t="shared" ref="G47:G72" si="5">G44+5</f>
        <v>13</v>
      </c>
      <c r="H47" s="7">
        <v>203005</v>
      </c>
      <c r="I47" s="1" t="s">
        <v>47</v>
      </c>
      <c r="J47" s="1">
        <v>3</v>
      </c>
      <c r="K47" s="7"/>
      <c r="L47" s="1"/>
      <c r="M47" s="1"/>
      <c r="N47" s="1">
        <v>301006</v>
      </c>
      <c r="O47" s="1" t="s">
        <v>20</v>
      </c>
      <c r="P47" s="1">
        <v>5000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x14ac:dyDescent="0.15">
      <c r="A48" s="1">
        <v>108004</v>
      </c>
      <c r="B48" s="2" t="s">
        <v>19</v>
      </c>
      <c r="C48" s="8">
        <v>6</v>
      </c>
      <c r="D48" s="1">
        <f t="shared" si="4"/>
        <v>2</v>
      </c>
      <c r="E48" s="1">
        <v>203007</v>
      </c>
      <c r="F48" s="1" t="s">
        <v>46</v>
      </c>
      <c r="G48" s="1">
        <f t="shared" si="5"/>
        <v>13</v>
      </c>
      <c r="H48" s="7">
        <v>203005</v>
      </c>
      <c r="I48" s="1" t="s">
        <v>47</v>
      </c>
      <c r="J48" s="1">
        <v>3</v>
      </c>
      <c r="K48" s="7"/>
      <c r="L48" s="1"/>
      <c r="M48" s="1"/>
      <c r="N48" s="1">
        <v>301006</v>
      </c>
      <c r="O48" s="1" t="s">
        <v>20</v>
      </c>
      <c r="P48" s="1">
        <v>5500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15">
      <c r="A49" s="1">
        <v>108004</v>
      </c>
      <c r="B49" s="2" t="s">
        <v>19</v>
      </c>
      <c r="C49" s="1">
        <v>7</v>
      </c>
      <c r="D49" s="1">
        <f t="shared" si="4"/>
        <v>3</v>
      </c>
      <c r="E49" s="1">
        <v>203007</v>
      </c>
      <c r="F49" s="1" t="s">
        <v>46</v>
      </c>
      <c r="G49" s="1">
        <f t="shared" si="5"/>
        <v>18</v>
      </c>
      <c r="H49" s="7">
        <v>203005</v>
      </c>
      <c r="I49" s="1" t="s">
        <v>47</v>
      </c>
      <c r="J49" s="1">
        <f>J46+3</f>
        <v>6</v>
      </c>
      <c r="K49" s="7"/>
      <c r="L49" s="1"/>
      <c r="M49" s="1"/>
      <c r="N49" s="1">
        <v>301006</v>
      </c>
      <c r="O49" s="1" t="s">
        <v>20</v>
      </c>
      <c r="P49" s="1">
        <v>6000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x14ac:dyDescent="0.15">
      <c r="A50" s="1">
        <v>108004</v>
      </c>
      <c r="B50" s="2" t="s">
        <v>19</v>
      </c>
      <c r="C50" s="8">
        <v>8</v>
      </c>
      <c r="D50" s="1">
        <f t="shared" si="4"/>
        <v>3</v>
      </c>
      <c r="E50" s="1">
        <v>203007</v>
      </c>
      <c r="F50" s="1" t="s">
        <v>46</v>
      </c>
      <c r="G50" s="1">
        <f t="shared" si="5"/>
        <v>18</v>
      </c>
      <c r="H50" s="7">
        <v>203005</v>
      </c>
      <c r="I50" s="1" t="s">
        <v>47</v>
      </c>
      <c r="J50" s="1">
        <f t="shared" ref="J50:J72" si="6">J47+3</f>
        <v>6</v>
      </c>
      <c r="K50" s="7"/>
      <c r="L50" s="1"/>
      <c r="M50" s="1"/>
      <c r="N50" s="1">
        <v>301006</v>
      </c>
      <c r="O50" s="1" t="s">
        <v>20</v>
      </c>
      <c r="P50" s="1">
        <v>6500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x14ac:dyDescent="0.15">
      <c r="A51" s="1">
        <v>108004</v>
      </c>
      <c r="B51" s="2" t="s">
        <v>19</v>
      </c>
      <c r="C51" s="1">
        <v>9</v>
      </c>
      <c r="D51" s="1">
        <f t="shared" si="4"/>
        <v>3</v>
      </c>
      <c r="E51" s="1">
        <v>203007</v>
      </c>
      <c r="F51" s="1" t="s">
        <v>46</v>
      </c>
      <c r="G51" s="1">
        <f t="shared" si="5"/>
        <v>18</v>
      </c>
      <c r="H51" s="7">
        <v>203005</v>
      </c>
      <c r="I51" s="1" t="s">
        <v>47</v>
      </c>
      <c r="J51" s="1">
        <f t="shared" si="6"/>
        <v>6</v>
      </c>
      <c r="K51" s="7"/>
      <c r="L51" s="1"/>
      <c r="M51" s="1"/>
      <c r="N51" s="1">
        <v>301006</v>
      </c>
      <c r="O51" s="1" t="s">
        <v>20</v>
      </c>
      <c r="P51" s="1">
        <v>7000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x14ac:dyDescent="0.15">
      <c r="A52" s="1">
        <v>108004</v>
      </c>
      <c r="B52" s="2" t="s">
        <v>19</v>
      </c>
      <c r="C52" s="8">
        <v>10</v>
      </c>
      <c r="D52" s="1">
        <f t="shared" si="4"/>
        <v>4</v>
      </c>
      <c r="E52" s="1">
        <v>203007</v>
      </c>
      <c r="F52" s="1" t="s">
        <v>46</v>
      </c>
      <c r="G52" s="1">
        <f t="shared" si="5"/>
        <v>23</v>
      </c>
      <c r="H52" s="7">
        <v>203005</v>
      </c>
      <c r="I52" s="1" t="s">
        <v>47</v>
      </c>
      <c r="J52" s="1">
        <f t="shared" si="6"/>
        <v>9</v>
      </c>
      <c r="K52" s="7"/>
      <c r="L52" s="1"/>
      <c r="M52" s="1"/>
      <c r="N52" s="1">
        <v>301006</v>
      </c>
      <c r="O52" s="1" t="s">
        <v>20</v>
      </c>
      <c r="P52" s="1">
        <v>7500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x14ac:dyDescent="0.15">
      <c r="A53" s="1">
        <v>108004</v>
      </c>
      <c r="B53" s="2" t="s">
        <v>19</v>
      </c>
      <c r="C53" s="1">
        <v>11</v>
      </c>
      <c r="D53" s="1">
        <f t="shared" si="4"/>
        <v>4</v>
      </c>
      <c r="E53" s="1">
        <v>203007</v>
      </c>
      <c r="F53" s="1" t="s">
        <v>46</v>
      </c>
      <c r="G53" s="1">
        <f t="shared" si="5"/>
        <v>23</v>
      </c>
      <c r="H53" s="7">
        <v>203005</v>
      </c>
      <c r="I53" s="1" t="s">
        <v>47</v>
      </c>
      <c r="J53" s="1">
        <f t="shared" si="6"/>
        <v>9</v>
      </c>
      <c r="K53" s="7"/>
      <c r="L53" s="1"/>
      <c r="M53" s="1"/>
      <c r="N53" s="1">
        <v>301006</v>
      </c>
      <c r="O53" s="1" t="s">
        <v>20</v>
      </c>
      <c r="P53" s="1">
        <v>8000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15">
      <c r="A54" s="1">
        <v>108004</v>
      </c>
      <c r="B54" s="2" t="s">
        <v>19</v>
      </c>
      <c r="C54" s="8">
        <v>12</v>
      </c>
      <c r="D54" s="1">
        <f t="shared" si="4"/>
        <v>4</v>
      </c>
      <c r="E54" s="1">
        <v>203007</v>
      </c>
      <c r="F54" s="1" t="s">
        <v>46</v>
      </c>
      <c r="G54" s="1">
        <f t="shared" si="5"/>
        <v>23</v>
      </c>
      <c r="H54" s="7">
        <v>203005</v>
      </c>
      <c r="I54" s="1" t="s">
        <v>47</v>
      </c>
      <c r="J54" s="1">
        <f t="shared" si="6"/>
        <v>9</v>
      </c>
      <c r="K54" s="7"/>
      <c r="L54" s="1"/>
      <c r="M54" s="1"/>
      <c r="N54" s="1">
        <v>301006</v>
      </c>
      <c r="O54" s="1" t="s">
        <v>20</v>
      </c>
      <c r="P54" s="1">
        <v>8500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x14ac:dyDescent="0.15">
      <c r="A55" s="1">
        <v>108004</v>
      </c>
      <c r="B55" s="2" t="s">
        <v>19</v>
      </c>
      <c r="C55" s="1">
        <v>13</v>
      </c>
      <c r="D55" s="1">
        <f t="shared" si="4"/>
        <v>5</v>
      </c>
      <c r="E55" s="1">
        <v>203007</v>
      </c>
      <c r="F55" s="1" t="s">
        <v>46</v>
      </c>
      <c r="G55" s="1">
        <f t="shared" si="5"/>
        <v>28</v>
      </c>
      <c r="H55" s="7">
        <v>203005</v>
      </c>
      <c r="I55" s="1" t="s">
        <v>47</v>
      </c>
      <c r="J55" s="1">
        <f t="shared" si="6"/>
        <v>12</v>
      </c>
      <c r="K55" s="7"/>
      <c r="L55" s="1"/>
      <c r="M55" s="1"/>
      <c r="N55" s="1">
        <v>301006</v>
      </c>
      <c r="O55" s="1" t="s">
        <v>20</v>
      </c>
      <c r="P55" s="1">
        <v>9000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x14ac:dyDescent="0.15">
      <c r="A56" s="1">
        <v>108004</v>
      </c>
      <c r="B56" s="2" t="s">
        <v>19</v>
      </c>
      <c r="C56" s="8">
        <v>14</v>
      </c>
      <c r="D56" s="1">
        <f t="shared" si="4"/>
        <v>5</v>
      </c>
      <c r="E56" s="1">
        <v>203007</v>
      </c>
      <c r="F56" s="1" t="s">
        <v>46</v>
      </c>
      <c r="G56" s="1">
        <f t="shared" si="5"/>
        <v>28</v>
      </c>
      <c r="H56" s="7">
        <v>203005</v>
      </c>
      <c r="I56" s="1" t="s">
        <v>47</v>
      </c>
      <c r="J56" s="1">
        <f t="shared" si="6"/>
        <v>12</v>
      </c>
      <c r="K56" s="7"/>
      <c r="L56" s="1"/>
      <c r="M56" s="1"/>
      <c r="N56" s="1">
        <v>301006</v>
      </c>
      <c r="O56" s="1" t="s">
        <v>20</v>
      </c>
      <c r="P56" s="1">
        <v>9500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x14ac:dyDescent="0.15">
      <c r="A57" s="1">
        <v>108004</v>
      </c>
      <c r="B57" s="2" t="s">
        <v>19</v>
      </c>
      <c r="C57" s="1">
        <v>15</v>
      </c>
      <c r="D57" s="1">
        <f t="shared" si="4"/>
        <v>5</v>
      </c>
      <c r="E57" s="1">
        <v>203007</v>
      </c>
      <c r="F57" s="1" t="s">
        <v>46</v>
      </c>
      <c r="G57" s="1">
        <f t="shared" si="5"/>
        <v>28</v>
      </c>
      <c r="H57" s="7">
        <v>203005</v>
      </c>
      <c r="I57" s="1" t="s">
        <v>47</v>
      </c>
      <c r="J57" s="1">
        <f t="shared" si="6"/>
        <v>12</v>
      </c>
      <c r="K57" s="7"/>
      <c r="L57" s="1"/>
      <c r="M57" s="1"/>
      <c r="N57" s="1">
        <v>301006</v>
      </c>
      <c r="O57" s="1" t="s">
        <v>20</v>
      </c>
      <c r="P57" s="1">
        <v>10000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x14ac:dyDescent="0.15">
      <c r="A58" s="1">
        <v>108004</v>
      </c>
      <c r="B58" s="2" t="s">
        <v>19</v>
      </c>
      <c r="C58" s="8">
        <v>16</v>
      </c>
      <c r="D58" s="1">
        <f t="shared" si="4"/>
        <v>6</v>
      </c>
      <c r="E58" s="1">
        <v>203007</v>
      </c>
      <c r="F58" s="1" t="s">
        <v>46</v>
      </c>
      <c r="G58" s="1">
        <f t="shared" si="5"/>
        <v>33</v>
      </c>
      <c r="H58" s="7">
        <v>203005</v>
      </c>
      <c r="I58" s="1" t="s">
        <v>47</v>
      </c>
      <c r="J58" s="1">
        <f t="shared" si="6"/>
        <v>15</v>
      </c>
      <c r="K58" s="7"/>
      <c r="L58" s="1"/>
      <c r="M58" s="1"/>
      <c r="N58" s="1">
        <v>301006</v>
      </c>
      <c r="O58" s="1" t="s">
        <v>20</v>
      </c>
      <c r="P58" s="1">
        <v>10500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x14ac:dyDescent="0.15">
      <c r="A59" s="1">
        <v>108004</v>
      </c>
      <c r="B59" s="2" t="s">
        <v>19</v>
      </c>
      <c r="C59" s="1">
        <v>17</v>
      </c>
      <c r="D59" s="1">
        <f t="shared" si="4"/>
        <v>6</v>
      </c>
      <c r="E59" s="1">
        <v>203007</v>
      </c>
      <c r="F59" s="1" t="s">
        <v>46</v>
      </c>
      <c r="G59" s="1">
        <f t="shared" si="5"/>
        <v>33</v>
      </c>
      <c r="H59" s="7">
        <v>203005</v>
      </c>
      <c r="I59" s="1" t="s">
        <v>47</v>
      </c>
      <c r="J59" s="1">
        <f t="shared" si="6"/>
        <v>15</v>
      </c>
      <c r="K59" s="7"/>
      <c r="L59" s="1"/>
      <c r="M59" s="1"/>
      <c r="N59" s="1">
        <v>301006</v>
      </c>
      <c r="O59" s="1" t="s">
        <v>20</v>
      </c>
      <c r="P59" s="1">
        <v>11000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15">
      <c r="A60" s="1">
        <v>108004</v>
      </c>
      <c r="B60" s="2" t="s">
        <v>19</v>
      </c>
      <c r="C60" s="8">
        <v>18</v>
      </c>
      <c r="D60" s="1">
        <f t="shared" si="4"/>
        <v>6</v>
      </c>
      <c r="E60" s="1">
        <v>203007</v>
      </c>
      <c r="F60" s="1" t="s">
        <v>46</v>
      </c>
      <c r="G60" s="1">
        <f t="shared" si="5"/>
        <v>33</v>
      </c>
      <c r="H60" s="7">
        <v>203005</v>
      </c>
      <c r="I60" s="1" t="s">
        <v>47</v>
      </c>
      <c r="J60" s="1">
        <f t="shared" si="6"/>
        <v>15</v>
      </c>
      <c r="K60" s="7"/>
      <c r="L60" s="1"/>
      <c r="M60" s="1"/>
      <c r="N60" s="1">
        <v>301006</v>
      </c>
      <c r="O60" s="1" t="s">
        <v>20</v>
      </c>
      <c r="P60" s="1">
        <v>11500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x14ac:dyDescent="0.15">
      <c r="A61" s="1">
        <v>108004</v>
      </c>
      <c r="B61" s="2" t="s">
        <v>19</v>
      </c>
      <c r="C61" s="1">
        <v>19</v>
      </c>
      <c r="D61" s="1">
        <f t="shared" si="4"/>
        <v>7</v>
      </c>
      <c r="E61" s="1">
        <v>203007</v>
      </c>
      <c r="F61" s="1" t="s">
        <v>46</v>
      </c>
      <c r="G61" s="1">
        <f t="shared" si="5"/>
        <v>38</v>
      </c>
      <c r="H61" s="7">
        <v>203005</v>
      </c>
      <c r="I61" s="1" t="s">
        <v>47</v>
      </c>
      <c r="J61" s="1">
        <f t="shared" si="6"/>
        <v>18</v>
      </c>
      <c r="K61" s="7"/>
      <c r="L61" s="1"/>
      <c r="M61" s="1"/>
      <c r="N61" s="1">
        <v>301006</v>
      </c>
      <c r="O61" s="1" t="s">
        <v>20</v>
      </c>
      <c r="P61" s="1">
        <v>12000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x14ac:dyDescent="0.15">
      <c r="A62" s="1">
        <v>108004</v>
      </c>
      <c r="B62" s="2" t="s">
        <v>19</v>
      </c>
      <c r="C62" s="8">
        <v>20</v>
      </c>
      <c r="D62" s="1">
        <f t="shared" si="4"/>
        <v>7</v>
      </c>
      <c r="E62" s="1">
        <v>203007</v>
      </c>
      <c r="F62" s="1" t="s">
        <v>46</v>
      </c>
      <c r="G62" s="1">
        <f t="shared" si="5"/>
        <v>38</v>
      </c>
      <c r="H62" s="7">
        <v>203005</v>
      </c>
      <c r="I62" s="1" t="s">
        <v>47</v>
      </c>
      <c r="J62" s="1">
        <f t="shared" si="6"/>
        <v>18</v>
      </c>
      <c r="K62" s="7"/>
      <c r="L62" s="1"/>
      <c r="M62" s="1"/>
      <c r="N62" s="1">
        <v>301006</v>
      </c>
      <c r="O62" s="1" t="s">
        <v>20</v>
      </c>
      <c r="P62" s="1">
        <v>12500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x14ac:dyDescent="0.15">
      <c r="A63" s="1">
        <v>108004</v>
      </c>
      <c r="B63" s="2" t="s">
        <v>19</v>
      </c>
      <c r="C63" s="1">
        <v>21</v>
      </c>
      <c r="D63" s="1">
        <f t="shared" si="4"/>
        <v>7</v>
      </c>
      <c r="E63" s="1">
        <v>203007</v>
      </c>
      <c r="F63" s="1" t="s">
        <v>46</v>
      </c>
      <c r="G63" s="1">
        <f t="shared" si="5"/>
        <v>38</v>
      </c>
      <c r="H63" s="7">
        <v>203005</v>
      </c>
      <c r="I63" s="1" t="s">
        <v>47</v>
      </c>
      <c r="J63" s="1">
        <f t="shared" si="6"/>
        <v>18</v>
      </c>
      <c r="K63" s="7"/>
      <c r="L63" s="1"/>
      <c r="M63" s="1"/>
      <c r="N63" s="1">
        <v>301006</v>
      </c>
      <c r="O63" s="1" t="s">
        <v>20</v>
      </c>
      <c r="P63" s="1">
        <v>13000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x14ac:dyDescent="0.15">
      <c r="A64" s="1">
        <v>108004</v>
      </c>
      <c r="B64" s="2" t="s">
        <v>19</v>
      </c>
      <c r="C64" s="8">
        <v>22</v>
      </c>
      <c r="D64" s="1">
        <f t="shared" si="4"/>
        <v>8</v>
      </c>
      <c r="E64" s="1">
        <v>203007</v>
      </c>
      <c r="F64" s="1" t="s">
        <v>46</v>
      </c>
      <c r="G64" s="1">
        <f t="shared" si="5"/>
        <v>43</v>
      </c>
      <c r="H64" s="7">
        <v>203005</v>
      </c>
      <c r="I64" s="1" t="s">
        <v>47</v>
      </c>
      <c r="J64" s="1">
        <f t="shared" si="6"/>
        <v>21</v>
      </c>
      <c r="K64" s="7"/>
      <c r="L64" s="1"/>
      <c r="M64" s="1"/>
      <c r="N64" s="1">
        <v>301006</v>
      </c>
      <c r="O64" s="1" t="s">
        <v>20</v>
      </c>
      <c r="P64" s="1">
        <v>13500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x14ac:dyDescent="0.15">
      <c r="A65" s="1">
        <v>108004</v>
      </c>
      <c r="B65" s="2" t="s">
        <v>19</v>
      </c>
      <c r="C65" s="1">
        <v>23</v>
      </c>
      <c r="D65" s="1">
        <f t="shared" si="4"/>
        <v>8</v>
      </c>
      <c r="E65" s="1">
        <v>203007</v>
      </c>
      <c r="F65" s="1" t="s">
        <v>46</v>
      </c>
      <c r="G65" s="1">
        <f t="shared" si="5"/>
        <v>43</v>
      </c>
      <c r="H65" s="7">
        <v>203005</v>
      </c>
      <c r="I65" s="1" t="s">
        <v>47</v>
      </c>
      <c r="J65" s="1">
        <f t="shared" si="6"/>
        <v>21</v>
      </c>
      <c r="K65" s="7"/>
      <c r="L65" s="1"/>
      <c r="M65" s="1"/>
      <c r="N65" s="1">
        <v>301006</v>
      </c>
      <c r="O65" s="1" t="s">
        <v>20</v>
      </c>
      <c r="P65" s="1">
        <v>14000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x14ac:dyDescent="0.15">
      <c r="A66" s="1">
        <v>108004</v>
      </c>
      <c r="B66" s="2" t="s">
        <v>19</v>
      </c>
      <c r="C66" s="8">
        <v>24</v>
      </c>
      <c r="D66" s="1">
        <f t="shared" si="4"/>
        <v>8</v>
      </c>
      <c r="E66" s="1">
        <v>203007</v>
      </c>
      <c r="F66" s="1" t="s">
        <v>46</v>
      </c>
      <c r="G66" s="1">
        <f t="shared" si="5"/>
        <v>43</v>
      </c>
      <c r="H66" s="7">
        <v>203005</v>
      </c>
      <c r="I66" s="1" t="s">
        <v>47</v>
      </c>
      <c r="J66" s="1">
        <f t="shared" si="6"/>
        <v>21</v>
      </c>
      <c r="K66" s="7"/>
      <c r="L66" s="1"/>
      <c r="M66" s="1"/>
      <c r="N66" s="1">
        <v>301006</v>
      </c>
      <c r="O66" s="1" t="s">
        <v>20</v>
      </c>
      <c r="P66" s="1">
        <v>14500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x14ac:dyDescent="0.15">
      <c r="A67" s="1">
        <v>108004</v>
      </c>
      <c r="B67" s="2" t="s">
        <v>19</v>
      </c>
      <c r="C67" s="1">
        <v>25</v>
      </c>
      <c r="D67" s="1">
        <f t="shared" si="4"/>
        <v>9</v>
      </c>
      <c r="E67" s="1">
        <v>203007</v>
      </c>
      <c r="F67" s="1" t="s">
        <v>46</v>
      </c>
      <c r="G67" s="1">
        <f t="shared" si="5"/>
        <v>48</v>
      </c>
      <c r="H67" s="7">
        <v>203005</v>
      </c>
      <c r="I67" s="1" t="s">
        <v>47</v>
      </c>
      <c r="J67" s="1">
        <f t="shared" si="6"/>
        <v>24</v>
      </c>
      <c r="K67" s="7"/>
      <c r="L67" s="1"/>
      <c r="M67" s="1"/>
      <c r="N67" s="1">
        <v>301006</v>
      </c>
      <c r="O67" s="1" t="s">
        <v>20</v>
      </c>
      <c r="P67" s="1">
        <v>15000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x14ac:dyDescent="0.15">
      <c r="A68" s="1">
        <v>108004</v>
      </c>
      <c r="B68" s="2" t="s">
        <v>19</v>
      </c>
      <c r="C68" s="8">
        <v>26</v>
      </c>
      <c r="D68" s="1">
        <f t="shared" si="4"/>
        <v>9</v>
      </c>
      <c r="E68" s="1">
        <v>203007</v>
      </c>
      <c r="F68" s="1" t="s">
        <v>46</v>
      </c>
      <c r="G68" s="1">
        <f t="shared" si="5"/>
        <v>48</v>
      </c>
      <c r="H68" s="7">
        <v>203005</v>
      </c>
      <c r="I68" s="1" t="s">
        <v>47</v>
      </c>
      <c r="J68" s="1">
        <f t="shared" si="6"/>
        <v>24</v>
      </c>
      <c r="K68" s="7"/>
      <c r="L68" s="1"/>
      <c r="M68" s="1"/>
      <c r="N68" s="1">
        <v>301006</v>
      </c>
      <c r="O68" s="1" t="s">
        <v>20</v>
      </c>
      <c r="P68" s="1">
        <v>15500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x14ac:dyDescent="0.15">
      <c r="A69" s="1">
        <v>108004</v>
      </c>
      <c r="B69" s="2" t="s">
        <v>19</v>
      </c>
      <c r="C69" s="1">
        <v>27</v>
      </c>
      <c r="D69" s="1">
        <f t="shared" si="4"/>
        <v>9</v>
      </c>
      <c r="E69" s="1">
        <v>203007</v>
      </c>
      <c r="F69" s="1" t="s">
        <v>46</v>
      </c>
      <c r="G69" s="1">
        <f t="shared" si="5"/>
        <v>48</v>
      </c>
      <c r="H69" s="7">
        <v>203005</v>
      </c>
      <c r="I69" s="1" t="s">
        <v>47</v>
      </c>
      <c r="J69" s="1">
        <f t="shared" si="6"/>
        <v>24</v>
      </c>
      <c r="K69" s="7"/>
      <c r="L69" s="1"/>
      <c r="M69" s="1"/>
      <c r="N69" s="1">
        <v>301006</v>
      </c>
      <c r="O69" s="1" t="s">
        <v>20</v>
      </c>
      <c r="P69" s="1">
        <v>16000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x14ac:dyDescent="0.15">
      <c r="A70" s="1">
        <v>108004</v>
      </c>
      <c r="B70" s="2" t="s">
        <v>19</v>
      </c>
      <c r="C70" s="8">
        <v>28</v>
      </c>
      <c r="D70" s="1">
        <f t="shared" si="4"/>
        <v>10</v>
      </c>
      <c r="E70" s="1">
        <v>203007</v>
      </c>
      <c r="F70" s="1" t="s">
        <v>46</v>
      </c>
      <c r="G70" s="1">
        <f t="shared" si="5"/>
        <v>53</v>
      </c>
      <c r="H70" s="7">
        <v>203005</v>
      </c>
      <c r="I70" s="1" t="s">
        <v>47</v>
      </c>
      <c r="J70" s="1">
        <f t="shared" si="6"/>
        <v>27</v>
      </c>
      <c r="K70" s="7"/>
      <c r="L70" s="1"/>
      <c r="M70" s="1"/>
      <c r="N70" s="1">
        <v>301006</v>
      </c>
      <c r="O70" s="1" t="s">
        <v>20</v>
      </c>
      <c r="P70" s="1">
        <v>16500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15">
      <c r="A71" s="1">
        <v>108004</v>
      </c>
      <c r="B71" s="2" t="s">
        <v>19</v>
      </c>
      <c r="C71" s="1">
        <v>29</v>
      </c>
      <c r="D71" s="1">
        <f t="shared" si="4"/>
        <v>10</v>
      </c>
      <c r="E71" s="1">
        <v>203007</v>
      </c>
      <c r="F71" s="1" t="s">
        <v>46</v>
      </c>
      <c r="G71" s="1">
        <f t="shared" si="5"/>
        <v>53</v>
      </c>
      <c r="H71" s="7">
        <v>203005</v>
      </c>
      <c r="I71" s="1" t="s">
        <v>47</v>
      </c>
      <c r="J71" s="1">
        <f t="shared" si="6"/>
        <v>27</v>
      </c>
      <c r="K71" s="7"/>
      <c r="L71" s="1"/>
      <c r="M71" s="1"/>
      <c r="N71" s="1">
        <v>301006</v>
      </c>
      <c r="O71" s="1" t="s">
        <v>20</v>
      </c>
      <c r="P71" s="1">
        <v>17000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15">
      <c r="A72" s="1">
        <v>108004</v>
      </c>
      <c r="B72" s="2" t="s">
        <v>19</v>
      </c>
      <c r="C72" s="8">
        <v>30</v>
      </c>
      <c r="D72" s="1">
        <f t="shared" si="4"/>
        <v>10</v>
      </c>
      <c r="E72" s="1">
        <v>203007</v>
      </c>
      <c r="F72" s="1" t="s">
        <v>46</v>
      </c>
      <c r="G72" s="1">
        <f t="shared" si="5"/>
        <v>53</v>
      </c>
      <c r="H72" s="7">
        <v>203005</v>
      </c>
      <c r="I72" s="1" t="s">
        <v>47</v>
      </c>
      <c r="J72" s="1">
        <f t="shared" si="6"/>
        <v>27</v>
      </c>
      <c r="K72" s="7"/>
      <c r="L72" s="1"/>
      <c r="M72" s="1"/>
      <c r="N72" s="1">
        <v>301006</v>
      </c>
      <c r="O72" s="1" t="s">
        <v>20</v>
      </c>
      <c r="P72" s="1">
        <v>17500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15">
      <c r="A73" s="1">
        <v>108005</v>
      </c>
      <c r="B73" s="2" t="s">
        <v>21</v>
      </c>
      <c r="C73" s="1">
        <v>1</v>
      </c>
      <c r="D73" s="1">
        <v>1</v>
      </c>
      <c r="E73" s="1">
        <v>203018</v>
      </c>
      <c r="F73" s="1" t="s">
        <v>45</v>
      </c>
      <c r="G73" s="1">
        <v>10</v>
      </c>
      <c r="H73" s="1">
        <v>203021</v>
      </c>
      <c r="I73" s="1" t="s">
        <v>49</v>
      </c>
      <c r="J73" s="1">
        <v>10</v>
      </c>
      <c r="K73" s="1"/>
      <c r="L73" s="1"/>
      <c r="M73" s="1"/>
      <c r="N73" s="1">
        <v>604001</v>
      </c>
      <c r="O73" s="3" t="s">
        <v>22</v>
      </c>
      <c r="P73" s="1">
        <v>3000</v>
      </c>
      <c r="Q73" s="1"/>
      <c r="R73" s="1"/>
      <c r="S73" s="1"/>
      <c r="T73" s="1"/>
      <c r="U73" s="1"/>
      <c r="V73" s="1"/>
      <c r="W73" s="1"/>
      <c r="X73" s="3"/>
      <c r="Y73" s="1"/>
      <c r="Z73" s="1"/>
      <c r="AA73" s="1"/>
      <c r="AB73" s="1"/>
      <c r="AC73" s="1"/>
      <c r="AD73" s="1"/>
      <c r="AE73" s="1"/>
    </row>
    <row r="74" spans="1:31" x14ac:dyDescent="0.15">
      <c r="A74" s="1">
        <v>108005</v>
      </c>
      <c r="B74" s="2" t="s">
        <v>21</v>
      </c>
      <c r="C74" s="8">
        <v>2</v>
      </c>
      <c r="D74" s="1">
        <v>1</v>
      </c>
      <c r="E74" s="1">
        <v>203018</v>
      </c>
      <c r="F74" s="1" t="s">
        <v>45</v>
      </c>
      <c r="G74" s="1">
        <v>10</v>
      </c>
      <c r="H74" s="1">
        <v>203021</v>
      </c>
      <c r="I74" s="1" t="s">
        <v>49</v>
      </c>
      <c r="J74" s="1">
        <v>10</v>
      </c>
      <c r="K74" s="1"/>
      <c r="L74" s="1"/>
      <c r="M74" s="1"/>
      <c r="N74" s="1">
        <v>604001</v>
      </c>
      <c r="O74" s="3" t="s">
        <v>22</v>
      </c>
      <c r="P74" s="1">
        <v>3100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15">
      <c r="A75" s="1">
        <v>108005</v>
      </c>
      <c r="B75" s="2" t="s">
        <v>21</v>
      </c>
      <c r="C75" s="1">
        <v>3</v>
      </c>
      <c r="D75" s="1">
        <v>1</v>
      </c>
      <c r="E75" s="1">
        <v>203018</v>
      </c>
      <c r="F75" s="1" t="s">
        <v>45</v>
      </c>
      <c r="G75" s="1">
        <v>10</v>
      </c>
      <c r="H75" s="1">
        <v>203021</v>
      </c>
      <c r="I75" s="1" t="s">
        <v>49</v>
      </c>
      <c r="J75" s="1">
        <v>10</v>
      </c>
      <c r="K75" s="1"/>
      <c r="L75" s="1"/>
      <c r="M75" s="1"/>
      <c r="N75" s="1">
        <v>604001</v>
      </c>
      <c r="O75" s="3" t="s">
        <v>22</v>
      </c>
      <c r="P75" s="1">
        <v>3200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15">
      <c r="A76" s="1">
        <v>108005</v>
      </c>
      <c r="B76" s="2" t="s">
        <v>21</v>
      </c>
      <c r="C76" s="8">
        <v>4</v>
      </c>
      <c r="D76" s="1">
        <f>D73+1</f>
        <v>2</v>
      </c>
      <c r="E76" s="1">
        <v>203018</v>
      </c>
      <c r="F76" s="1" t="s">
        <v>45</v>
      </c>
      <c r="G76" s="1">
        <f>G73+5</f>
        <v>15</v>
      </c>
      <c r="H76" s="1">
        <v>203021</v>
      </c>
      <c r="I76" s="1" t="s">
        <v>49</v>
      </c>
      <c r="J76" s="1">
        <f>J73+5</f>
        <v>15</v>
      </c>
      <c r="K76" s="1"/>
      <c r="L76" s="1"/>
      <c r="M76" s="1"/>
      <c r="N76" s="1">
        <v>604001</v>
      </c>
      <c r="O76" s="3" t="s">
        <v>22</v>
      </c>
      <c r="P76" s="1">
        <v>3300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15">
      <c r="A77" s="1">
        <v>108005</v>
      </c>
      <c r="B77" s="2" t="s">
        <v>21</v>
      </c>
      <c r="C77" s="1">
        <v>5</v>
      </c>
      <c r="D77" s="1">
        <f t="shared" ref="D77:D102" si="7">D74+1</f>
        <v>2</v>
      </c>
      <c r="E77" s="1">
        <v>203018</v>
      </c>
      <c r="F77" s="1" t="s">
        <v>45</v>
      </c>
      <c r="G77" s="1">
        <f t="shared" ref="G77:G102" si="8">G74+5</f>
        <v>15</v>
      </c>
      <c r="H77" s="1">
        <v>203021</v>
      </c>
      <c r="I77" s="1" t="s">
        <v>49</v>
      </c>
      <c r="J77" s="1">
        <f t="shared" ref="J77:J102" si="9">J74+5</f>
        <v>15</v>
      </c>
      <c r="K77" s="1"/>
      <c r="L77" s="1"/>
      <c r="M77" s="1"/>
      <c r="N77" s="1">
        <v>604001</v>
      </c>
      <c r="O77" s="3" t="s">
        <v>22</v>
      </c>
      <c r="P77" s="1">
        <v>3400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15">
      <c r="A78" s="1">
        <v>108005</v>
      </c>
      <c r="B78" s="2" t="s">
        <v>21</v>
      </c>
      <c r="C78" s="8">
        <v>6</v>
      </c>
      <c r="D78" s="1">
        <f t="shared" si="7"/>
        <v>2</v>
      </c>
      <c r="E78" s="1">
        <v>203018</v>
      </c>
      <c r="F78" s="1" t="s">
        <v>45</v>
      </c>
      <c r="G78" s="1">
        <f t="shared" si="8"/>
        <v>15</v>
      </c>
      <c r="H78" s="1">
        <v>203021</v>
      </c>
      <c r="I78" s="1" t="s">
        <v>49</v>
      </c>
      <c r="J78" s="1">
        <f t="shared" si="9"/>
        <v>15</v>
      </c>
      <c r="K78" s="1"/>
      <c r="L78" s="1"/>
      <c r="M78" s="1"/>
      <c r="N78" s="1">
        <v>604001</v>
      </c>
      <c r="O78" s="3" t="s">
        <v>22</v>
      </c>
      <c r="P78" s="1">
        <v>3500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15">
      <c r="A79" s="1">
        <v>108005</v>
      </c>
      <c r="B79" s="2" t="s">
        <v>21</v>
      </c>
      <c r="C79" s="1">
        <v>7</v>
      </c>
      <c r="D79" s="1">
        <f t="shared" si="7"/>
        <v>3</v>
      </c>
      <c r="E79" s="1">
        <v>203018</v>
      </c>
      <c r="F79" s="1" t="s">
        <v>45</v>
      </c>
      <c r="G79" s="1">
        <f t="shared" si="8"/>
        <v>20</v>
      </c>
      <c r="H79" s="1">
        <v>203021</v>
      </c>
      <c r="I79" s="1" t="s">
        <v>49</v>
      </c>
      <c r="J79" s="1">
        <f t="shared" si="9"/>
        <v>20</v>
      </c>
      <c r="K79" s="1"/>
      <c r="L79" s="1"/>
      <c r="M79" s="1"/>
      <c r="N79" s="1">
        <v>604001</v>
      </c>
      <c r="O79" s="3" t="s">
        <v>22</v>
      </c>
      <c r="P79" s="1">
        <v>3600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15">
      <c r="A80" s="1">
        <v>108005</v>
      </c>
      <c r="B80" s="2" t="s">
        <v>21</v>
      </c>
      <c r="C80" s="8">
        <v>8</v>
      </c>
      <c r="D80" s="1">
        <f t="shared" si="7"/>
        <v>3</v>
      </c>
      <c r="E80" s="1">
        <v>203018</v>
      </c>
      <c r="F80" s="1" t="s">
        <v>45</v>
      </c>
      <c r="G80" s="1">
        <f t="shared" si="8"/>
        <v>20</v>
      </c>
      <c r="H80" s="1">
        <v>203021</v>
      </c>
      <c r="I80" s="1" t="s">
        <v>49</v>
      </c>
      <c r="J80" s="1">
        <f t="shared" si="9"/>
        <v>20</v>
      </c>
      <c r="K80" s="1"/>
      <c r="L80" s="1"/>
      <c r="M80" s="1"/>
      <c r="N80" s="1">
        <v>604001</v>
      </c>
      <c r="O80" s="3" t="s">
        <v>22</v>
      </c>
      <c r="P80" s="1">
        <v>3700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15">
      <c r="A81" s="1">
        <v>108005</v>
      </c>
      <c r="B81" s="2" t="s">
        <v>21</v>
      </c>
      <c r="C81" s="1">
        <v>9</v>
      </c>
      <c r="D81" s="1">
        <f t="shared" si="7"/>
        <v>3</v>
      </c>
      <c r="E81" s="1">
        <v>203018</v>
      </c>
      <c r="F81" s="1" t="s">
        <v>45</v>
      </c>
      <c r="G81" s="1">
        <f t="shared" si="8"/>
        <v>20</v>
      </c>
      <c r="H81" s="1">
        <v>203021</v>
      </c>
      <c r="I81" s="1" t="s">
        <v>49</v>
      </c>
      <c r="J81" s="1">
        <f t="shared" si="9"/>
        <v>20</v>
      </c>
      <c r="K81" s="1"/>
      <c r="L81" s="1"/>
      <c r="M81" s="1"/>
      <c r="N81" s="1">
        <v>604001</v>
      </c>
      <c r="O81" s="3" t="s">
        <v>22</v>
      </c>
      <c r="P81" s="1">
        <v>3800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15">
      <c r="A82" s="1">
        <v>108005</v>
      </c>
      <c r="B82" s="2" t="s">
        <v>21</v>
      </c>
      <c r="C82" s="8">
        <v>10</v>
      </c>
      <c r="D82" s="1">
        <f t="shared" si="7"/>
        <v>4</v>
      </c>
      <c r="E82" s="1">
        <v>203018</v>
      </c>
      <c r="F82" s="1" t="s">
        <v>45</v>
      </c>
      <c r="G82" s="1">
        <f t="shared" si="8"/>
        <v>25</v>
      </c>
      <c r="H82" s="1">
        <v>203021</v>
      </c>
      <c r="I82" s="1" t="s">
        <v>49</v>
      </c>
      <c r="J82" s="1">
        <f t="shared" si="9"/>
        <v>25</v>
      </c>
      <c r="K82" s="1"/>
      <c r="L82" s="1"/>
      <c r="M82" s="1"/>
      <c r="N82" s="1">
        <v>604001</v>
      </c>
      <c r="O82" s="3" t="s">
        <v>22</v>
      </c>
      <c r="P82" s="1">
        <v>3900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15">
      <c r="A83" s="1">
        <v>108005</v>
      </c>
      <c r="B83" s="2" t="s">
        <v>21</v>
      </c>
      <c r="C83" s="1">
        <v>11</v>
      </c>
      <c r="D83" s="1">
        <f t="shared" si="7"/>
        <v>4</v>
      </c>
      <c r="E83" s="1">
        <v>203018</v>
      </c>
      <c r="F83" s="1" t="s">
        <v>45</v>
      </c>
      <c r="G83" s="1">
        <f t="shared" si="8"/>
        <v>25</v>
      </c>
      <c r="H83" s="1">
        <v>203021</v>
      </c>
      <c r="I83" s="1" t="s">
        <v>49</v>
      </c>
      <c r="J83" s="1">
        <f t="shared" si="9"/>
        <v>25</v>
      </c>
      <c r="K83" s="1"/>
      <c r="L83" s="1"/>
      <c r="M83" s="1"/>
      <c r="N83" s="1">
        <v>604001</v>
      </c>
      <c r="O83" s="3" t="s">
        <v>22</v>
      </c>
      <c r="P83" s="1">
        <v>4000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15">
      <c r="A84" s="1">
        <v>108005</v>
      </c>
      <c r="B84" s="2" t="s">
        <v>21</v>
      </c>
      <c r="C84" s="8">
        <v>12</v>
      </c>
      <c r="D84" s="1">
        <f t="shared" si="7"/>
        <v>4</v>
      </c>
      <c r="E84" s="1">
        <v>203018</v>
      </c>
      <c r="F84" s="1" t="s">
        <v>45</v>
      </c>
      <c r="G84" s="1">
        <f t="shared" si="8"/>
        <v>25</v>
      </c>
      <c r="H84" s="1">
        <v>203021</v>
      </c>
      <c r="I84" s="1" t="s">
        <v>49</v>
      </c>
      <c r="J84" s="1">
        <f t="shared" si="9"/>
        <v>25</v>
      </c>
      <c r="K84" s="1"/>
      <c r="L84" s="1"/>
      <c r="M84" s="1"/>
      <c r="N84" s="1">
        <v>604001</v>
      </c>
      <c r="O84" s="3" t="s">
        <v>22</v>
      </c>
      <c r="P84" s="1">
        <v>4100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15">
      <c r="A85" s="1">
        <v>108005</v>
      </c>
      <c r="B85" s="2" t="s">
        <v>21</v>
      </c>
      <c r="C85" s="1">
        <v>13</v>
      </c>
      <c r="D85" s="1">
        <f t="shared" si="7"/>
        <v>5</v>
      </c>
      <c r="E85" s="1">
        <v>203018</v>
      </c>
      <c r="F85" s="1" t="s">
        <v>45</v>
      </c>
      <c r="G85" s="1">
        <f t="shared" si="8"/>
        <v>30</v>
      </c>
      <c r="H85" s="1">
        <v>203021</v>
      </c>
      <c r="I85" s="1" t="s">
        <v>49</v>
      </c>
      <c r="J85" s="1">
        <f t="shared" si="9"/>
        <v>30</v>
      </c>
      <c r="K85" s="1"/>
      <c r="L85" s="1"/>
      <c r="M85" s="1"/>
      <c r="N85" s="1">
        <v>604001</v>
      </c>
      <c r="O85" s="3" t="s">
        <v>22</v>
      </c>
      <c r="P85" s="1">
        <v>4200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15">
      <c r="A86" s="1">
        <v>108005</v>
      </c>
      <c r="B86" s="2" t="s">
        <v>21</v>
      </c>
      <c r="C86" s="8">
        <v>14</v>
      </c>
      <c r="D86" s="1">
        <f t="shared" si="7"/>
        <v>5</v>
      </c>
      <c r="E86" s="1">
        <v>203018</v>
      </c>
      <c r="F86" s="1" t="s">
        <v>45</v>
      </c>
      <c r="G86" s="1">
        <f t="shared" si="8"/>
        <v>30</v>
      </c>
      <c r="H86" s="1">
        <v>203021</v>
      </c>
      <c r="I86" s="1" t="s">
        <v>49</v>
      </c>
      <c r="J86" s="1">
        <f t="shared" si="9"/>
        <v>30</v>
      </c>
      <c r="K86" s="1"/>
      <c r="L86" s="1"/>
      <c r="M86" s="1"/>
      <c r="N86" s="1">
        <v>604001</v>
      </c>
      <c r="O86" s="3" t="s">
        <v>22</v>
      </c>
      <c r="P86" s="1">
        <v>4300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15">
      <c r="A87" s="1">
        <v>108005</v>
      </c>
      <c r="B87" s="2" t="s">
        <v>21</v>
      </c>
      <c r="C87" s="1">
        <v>15</v>
      </c>
      <c r="D87" s="1">
        <f t="shared" si="7"/>
        <v>5</v>
      </c>
      <c r="E87" s="1">
        <v>203018</v>
      </c>
      <c r="F87" s="1" t="s">
        <v>45</v>
      </c>
      <c r="G87" s="1">
        <f t="shared" si="8"/>
        <v>30</v>
      </c>
      <c r="H87" s="1">
        <v>203021</v>
      </c>
      <c r="I87" s="1" t="s">
        <v>49</v>
      </c>
      <c r="J87" s="1">
        <f t="shared" si="9"/>
        <v>30</v>
      </c>
      <c r="K87" s="1"/>
      <c r="L87" s="1"/>
      <c r="M87" s="1"/>
      <c r="N87" s="1">
        <v>604001</v>
      </c>
      <c r="O87" s="3" t="s">
        <v>22</v>
      </c>
      <c r="P87" s="1">
        <v>4400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15">
      <c r="A88" s="1">
        <v>108005</v>
      </c>
      <c r="B88" s="2" t="s">
        <v>21</v>
      </c>
      <c r="C88" s="8">
        <v>16</v>
      </c>
      <c r="D88" s="1">
        <f t="shared" si="7"/>
        <v>6</v>
      </c>
      <c r="E88" s="1">
        <v>203018</v>
      </c>
      <c r="F88" s="1" t="s">
        <v>45</v>
      </c>
      <c r="G88" s="1">
        <f t="shared" si="8"/>
        <v>35</v>
      </c>
      <c r="H88" s="1">
        <v>203021</v>
      </c>
      <c r="I88" s="1" t="s">
        <v>49</v>
      </c>
      <c r="J88" s="1">
        <f t="shared" si="9"/>
        <v>35</v>
      </c>
      <c r="K88" s="1"/>
      <c r="L88" s="1"/>
      <c r="M88" s="1"/>
      <c r="N88" s="1">
        <v>604001</v>
      </c>
      <c r="O88" s="3" t="s">
        <v>22</v>
      </c>
      <c r="P88" s="1">
        <v>4500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15">
      <c r="A89" s="1">
        <v>108005</v>
      </c>
      <c r="B89" s="2" t="s">
        <v>21</v>
      </c>
      <c r="C89" s="1">
        <v>17</v>
      </c>
      <c r="D89" s="1">
        <f t="shared" si="7"/>
        <v>6</v>
      </c>
      <c r="E89" s="1">
        <v>203018</v>
      </c>
      <c r="F89" s="1" t="s">
        <v>45</v>
      </c>
      <c r="G89" s="1">
        <f t="shared" si="8"/>
        <v>35</v>
      </c>
      <c r="H89" s="1">
        <v>203021</v>
      </c>
      <c r="I89" s="1" t="s">
        <v>49</v>
      </c>
      <c r="J89" s="1">
        <f t="shared" si="9"/>
        <v>35</v>
      </c>
      <c r="K89" s="1"/>
      <c r="L89" s="1"/>
      <c r="M89" s="1"/>
      <c r="N89" s="1">
        <v>604001</v>
      </c>
      <c r="O89" s="3" t="s">
        <v>22</v>
      </c>
      <c r="P89" s="1">
        <v>4600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15">
      <c r="A90" s="1">
        <v>108005</v>
      </c>
      <c r="B90" s="2" t="s">
        <v>21</v>
      </c>
      <c r="C90" s="8">
        <v>18</v>
      </c>
      <c r="D90" s="1">
        <f t="shared" si="7"/>
        <v>6</v>
      </c>
      <c r="E90" s="1">
        <v>203018</v>
      </c>
      <c r="F90" s="1" t="s">
        <v>45</v>
      </c>
      <c r="G90" s="1">
        <f t="shared" si="8"/>
        <v>35</v>
      </c>
      <c r="H90" s="1">
        <v>203021</v>
      </c>
      <c r="I90" s="1" t="s">
        <v>49</v>
      </c>
      <c r="J90" s="1">
        <f t="shared" si="9"/>
        <v>35</v>
      </c>
      <c r="K90" s="1"/>
      <c r="L90" s="1"/>
      <c r="M90" s="1"/>
      <c r="N90" s="1">
        <v>604001</v>
      </c>
      <c r="O90" s="3" t="s">
        <v>22</v>
      </c>
      <c r="P90" s="1">
        <v>4700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15">
      <c r="A91" s="1">
        <v>108005</v>
      </c>
      <c r="B91" s="2" t="s">
        <v>21</v>
      </c>
      <c r="C91" s="1">
        <v>19</v>
      </c>
      <c r="D91" s="1">
        <f t="shared" si="7"/>
        <v>7</v>
      </c>
      <c r="E91" s="1">
        <v>203018</v>
      </c>
      <c r="F91" s="1" t="s">
        <v>45</v>
      </c>
      <c r="G91" s="1">
        <f t="shared" si="8"/>
        <v>40</v>
      </c>
      <c r="H91" s="1">
        <v>203021</v>
      </c>
      <c r="I91" s="1" t="s">
        <v>49</v>
      </c>
      <c r="J91" s="1">
        <f t="shared" si="9"/>
        <v>40</v>
      </c>
      <c r="K91" s="1"/>
      <c r="L91" s="1"/>
      <c r="M91" s="1"/>
      <c r="N91" s="1">
        <v>604001</v>
      </c>
      <c r="O91" s="3" t="s">
        <v>22</v>
      </c>
      <c r="P91" s="1">
        <v>4800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15">
      <c r="A92" s="1">
        <v>108005</v>
      </c>
      <c r="B92" s="2" t="s">
        <v>21</v>
      </c>
      <c r="C92" s="8">
        <v>20</v>
      </c>
      <c r="D92" s="1">
        <f t="shared" si="7"/>
        <v>7</v>
      </c>
      <c r="E92" s="1">
        <v>203018</v>
      </c>
      <c r="F92" s="1" t="s">
        <v>45</v>
      </c>
      <c r="G92" s="1">
        <f t="shared" si="8"/>
        <v>40</v>
      </c>
      <c r="H92" s="1">
        <v>203021</v>
      </c>
      <c r="I92" s="1" t="s">
        <v>49</v>
      </c>
      <c r="J92" s="1">
        <f t="shared" si="9"/>
        <v>40</v>
      </c>
      <c r="K92" s="1"/>
      <c r="L92" s="1"/>
      <c r="M92" s="1"/>
      <c r="N92" s="1">
        <v>604001</v>
      </c>
      <c r="O92" s="3" t="s">
        <v>22</v>
      </c>
      <c r="P92" s="1">
        <v>4900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15">
      <c r="A93" s="1">
        <v>108005</v>
      </c>
      <c r="B93" s="2" t="s">
        <v>21</v>
      </c>
      <c r="C93" s="1">
        <v>21</v>
      </c>
      <c r="D93" s="1">
        <f t="shared" si="7"/>
        <v>7</v>
      </c>
      <c r="E93" s="1">
        <v>203018</v>
      </c>
      <c r="F93" s="1" t="s">
        <v>45</v>
      </c>
      <c r="G93" s="1">
        <f t="shared" si="8"/>
        <v>40</v>
      </c>
      <c r="H93" s="1">
        <v>203021</v>
      </c>
      <c r="I93" s="1" t="s">
        <v>49</v>
      </c>
      <c r="J93" s="1">
        <f t="shared" si="9"/>
        <v>40</v>
      </c>
      <c r="K93" s="1"/>
      <c r="L93" s="1"/>
      <c r="M93" s="1"/>
      <c r="N93" s="1">
        <v>604001</v>
      </c>
      <c r="O93" s="3" t="s">
        <v>22</v>
      </c>
      <c r="P93" s="1">
        <v>5000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15">
      <c r="A94" s="1">
        <v>108005</v>
      </c>
      <c r="B94" s="2" t="s">
        <v>21</v>
      </c>
      <c r="C94" s="8">
        <v>22</v>
      </c>
      <c r="D94" s="1">
        <f t="shared" si="7"/>
        <v>8</v>
      </c>
      <c r="E94" s="1">
        <v>203018</v>
      </c>
      <c r="F94" s="1" t="s">
        <v>45</v>
      </c>
      <c r="G94" s="1">
        <f t="shared" si="8"/>
        <v>45</v>
      </c>
      <c r="H94" s="1">
        <v>203021</v>
      </c>
      <c r="I94" s="1" t="s">
        <v>49</v>
      </c>
      <c r="J94" s="1">
        <f t="shared" si="9"/>
        <v>45</v>
      </c>
      <c r="K94" s="1"/>
      <c r="L94" s="1"/>
      <c r="M94" s="1"/>
      <c r="N94" s="1">
        <v>604001</v>
      </c>
      <c r="O94" s="3" t="s">
        <v>22</v>
      </c>
      <c r="P94" s="1">
        <v>5100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15">
      <c r="A95" s="1">
        <v>108005</v>
      </c>
      <c r="B95" s="2" t="s">
        <v>21</v>
      </c>
      <c r="C95" s="1">
        <v>23</v>
      </c>
      <c r="D95" s="1">
        <f t="shared" si="7"/>
        <v>8</v>
      </c>
      <c r="E95" s="1">
        <v>203018</v>
      </c>
      <c r="F95" s="1" t="s">
        <v>45</v>
      </c>
      <c r="G95" s="1">
        <f t="shared" si="8"/>
        <v>45</v>
      </c>
      <c r="H95" s="1">
        <v>203021</v>
      </c>
      <c r="I95" s="1" t="s">
        <v>49</v>
      </c>
      <c r="J95" s="1">
        <f t="shared" si="9"/>
        <v>45</v>
      </c>
      <c r="K95" s="1"/>
      <c r="L95" s="1"/>
      <c r="M95" s="1"/>
      <c r="N95" s="1">
        <v>604001</v>
      </c>
      <c r="O95" s="3" t="s">
        <v>22</v>
      </c>
      <c r="P95" s="1">
        <v>5200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15">
      <c r="A96" s="1">
        <v>108005</v>
      </c>
      <c r="B96" s="2" t="s">
        <v>21</v>
      </c>
      <c r="C96" s="8">
        <v>24</v>
      </c>
      <c r="D96" s="1">
        <f t="shared" si="7"/>
        <v>8</v>
      </c>
      <c r="E96" s="1">
        <v>203018</v>
      </c>
      <c r="F96" s="1" t="s">
        <v>45</v>
      </c>
      <c r="G96" s="1">
        <f t="shared" si="8"/>
        <v>45</v>
      </c>
      <c r="H96" s="1">
        <v>203021</v>
      </c>
      <c r="I96" s="1" t="s">
        <v>49</v>
      </c>
      <c r="J96" s="1">
        <f t="shared" si="9"/>
        <v>45</v>
      </c>
      <c r="K96" s="1"/>
      <c r="L96" s="1"/>
      <c r="M96" s="1"/>
      <c r="N96" s="1">
        <v>604001</v>
      </c>
      <c r="O96" s="3" t="s">
        <v>22</v>
      </c>
      <c r="P96" s="1">
        <v>5300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15">
      <c r="A97" s="1">
        <v>108005</v>
      </c>
      <c r="B97" s="2" t="s">
        <v>21</v>
      </c>
      <c r="C97" s="1">
        <v>25</v>
      </c>
      <c r="D97" s="1">
        <f t="shared" si="7"/>
        <v>9</v>
      </c>
      <c r="E97" s="1">
        <v>203018</v>
      </c>
      <c r="F97" s="1" t="s">
        <v>45</v>
      </c>
      <c r="G97" s="1">
        <f t="shared" si="8"/>
        <v>50</v>
      </c>
      <c r="H97" s="1">
        <v>203021</v>
      </c>
      <c r="I97" s="1" t="s">
        <v>49</v>
      </c>
      <c r="J97" s="1">
        <f t="shared" si="9"/>
        <v>50</v>
      </c>
      <c r="K97" s="1"/>
      <c r="L97" s="1"/>
      <c r="M97" s="1"/>
      <c r="N97" s="1">
        <v>604001</v>
      </c>
      <c r="O97" s="3" t="s">
        <v>22</v>
      </c>
      <c r="P97" s="1">
        <v>5400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15">
      <c r="A98" s="1">
        <v>108005</v>
      </c>
      <c r="B98" s="2" t="s">
        <v>21</v>
      </c>
      <c r="C98" s="8">
        <v>26</v>
      </c>
      <c r="D98" s="1">
        <f t="shared" si="7"/>
        <v>9</v>
      </c>
      <c r="E98" s="1">
        <v>203018</v>
      </c>
      <c r="F98" s="1" t="s">
        <v>45</v>
      </c>
      <c r="G98" s="1">
        <f t="shared" si="8"/>
        <v>50</v>
      </c>
      <c r="H98" s="1">
        <v>203021</v>
      </c>
      <c r="I98" s="1" t="s">
        <v>49</v>
      </c>
      <c r="J98" s="1">
        <f t="shared" si="9"/>
        <v>50</v>
      </c>
      <c r="K98" s="1"/>
      <c r="L98" s="1"/>
      <c r="M98" s="1"/>
      <c r="N98" s="1">
        <v>604001</v>
      </c>
      <c r="O98" s="3" t="s">
        <v>22</v>
      </c>
      <c r="P98" s="1">
        <v>5500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15">
      <c r="A99" s="1">
        <v>108005</v>
      </c>
      <c r="B99" s="2" t="s">
        <v>21</v>
      </c>
      <c r="C99" s="1">
        <v>27</v>
      </c>
      <c r="D99" s="1">
        <f t="shared" si="7"/>
        <v>9</v>
      </c>
      <c r="E99" s="1">
        <v>203018</v>
      </c>
      <c r="F99" s="1" t="s">
        <v>45</v>
      </c>
      <c r="G99" s="1">
        <f t="shared" si="8"/>
        <v>50</v>
      </c>
      <c r="H99" s="1">
        <v>203021</v>
      </c>
      <c r="I99" s="1" t="s">
        <v>49</v>
      </c>
      <c r="J99" s="1">
        <f t="shared" si="9"/>
        <v>50</v>
      </c>
      <c r="K99" s="1"/>
      <c r="L99" s="1"/>
      <c r="M99" s="1"/>
      <c r="N99" s="1">
        <v>604001</v>
      </c>
      <c r="O99" s="3" t="s">
        <v>22</v>
      </c>
      <c r="P99" s="1">
        <v>5600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15">
      <c r="A100" s="1">
        <v>108005</v>
      </c>
      <c r="B100" s="2" t="s">
        <v>21</v>
      </c>
      <c r="C100" s="8">
        <v>28</v>
      </c>
      <c r="D100" s="1">
        <f t="shared" si="7"/>
        <v>10</v>
      </c>
      <c r="E100" s="1">
        <v>203018</v>
      </c>
      <c r="F100" s="1" t="s">
        <v>45</v>
      </c>
      <c r="G100" s="1">
        <f t="shared" si="8"/>
        <v>55</v>
      </c>
      <c r="H100" s="1">
        <v>203021</v>
      </c>
      <c r="I100" s="1" t="s">
        <v>49</v>
      </c>
      <c r="J100" s="1">
        <f t="shared" si="9"/>
        <v>55</v>
      </c>
      <c r="K100" s="1"/>
      <c r="L100" s="1"/>
      <c r="M100" s="1"/>
      <c r="N100" s="1">
        <v>604001</v>
      </c>
      <c r="O100" s="3" t="s">
        <v>22</v>
      </c>
      <c r="P100" s="1">
        <v>5700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15">
      <c r="A101" s="1">
        <v>108005</v>
      </c>
      <c r="B101" s="3" t="s">
        <v>21</v>
      </c>
      <c r="C101" s="1">
        <v>29</v>
      </c>
      <c r="D101" s="1">
        <f t="shared" si="7"/>
        <v>10</v>
      </c>
      <c r="E101" s="1">
        <v>203018</v>
      </c>
      <c r="F101" s="1" t="s">
        <v>45</v>
      </c>
      <c r="G101" s="1">
        <f t="shared" si="8"/>
        <v>55</v>
      </c>
      <c r="H101" s="1">
        <v>203021</v>
      </c>
      <c r="I101" s="1" t="s">
        <v>49</v>
      </c>
      <c r="J101" s="1">
        <f t="shared" si="9"/>
        <v>55</v>
      </c>
      <c r="K101" s="1"/>
      <c r="L101" s="1"/>
      <c r="M101" s="1"/>
      <c r="N101" s="1">
        <v>604001</v>
      </c>
      <c r="O101" s="3" t="s">
        <v>22</v>
      </c>
      <c r="P101" s="1">
        <v>5800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15">
      <c r="A102" s="1">
        <v>108005</v>
      </c>
      <c r="B102" s="3" t="s">
        <v>21</v>
      </c>
      <c r="C102" s="1">
        <v>30</v>
      </c>
      <c r="D102" s="1">
        <f t="shared" si="7"/>
        <v>10</v>
      </c>
      <c r="E102" s="1">
        <v>203018</v>
      </c>
      <c r="F102" s="1" t="s">
        <v>45</v>
      </c>
      <c r="G102" s="1">
        <f t="shared" si="8"/>
        <v>55</v>
      </c>
      <c r="H102" s="1">
        <v>203021</v>
      </c>
      <c r="I102" s="1" t="s">
        <v>49</v>
      </c>
      <c r="J102" s="1">
        <f t="shared" si="9"/>
        <v>55</v>
      </c>
      <c r="K102" s="1"/>
      <c r="L102" s="1"/>
      <c r="M102" s="1"/>
      <c r="N102" s="1">
        <v>604001</v>
      </c>
      <c r="O102" s="3" t="s">
        <v>22</v>
      </c>
      <c r="P102" s="1">
        <v>5900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15">
      <c r="A103" s="1">
        <v>108008</v>
      </c>
      <c r="B103" s="3" t="s">
        <v>83</v>
      </c>
      <c r="C103" s="1">
        <v>1</v>
      </c>
      <c r="D103" s="1">
        <v>1</v>
      </c>
      <c r="E103" s="1">
        <v>203040</v>
      </c>
      <c r="F103" s="3" t="s">
        <v>84</v>
      </c>
      <c r="G103" s="1">
        <v>10</v>
      </c>
      <c r="H103" s="1">
        <v>203041</v>
      </c>
      <c r="I103" s="3" t="s">
        <v>85</v>
      </c>
      <c r="J103" s="1">
        <v>10</v>
      </c>
      <c r="K103" s="1"/>
      <c r="L103" s="1"/>
      <c r="M103" s="1"/>
      <c r="N103" s="1"/>
      <c r="O103" s="3"/>
      <c r="P103" s="1"/>
      <c r="Q103" s="1"/>
      <c r="R103" s="1"/>
      <c r="S103" s="1"/>
      <c r="T103" s="1"/>
      <c r="U103" s="1"/>
      <c r="V103" s="1"/>
      <c r="W103" s="1">
        <v>604001</v>
      </c>
      <c r="X103" s="3" t="s">
        <v>22</v>
      </c>
      <c r="Y103" s="1">
        <v>100</v>
      </c>
      <c r="Z103" s="1"/>
      <c r="AA103" s="1"/>
      <c r="AB103" s="1"/>
      <c r="AC103" s="1"/>
      <c r="AD103" s="1"/>
      <c r="AE103" s="1"/>
    </row>
    <row r="104" spans="1:31" x14ac:dyDescent="0.15">
      <c r="A104" s="1">
        <v>108008</v>
      </c>
      <c r="B104" s="3" t="s">
        <v>83</v>
      </c>
      <c r="C104" s="8">
        <v>2</v>
      </c>
      <c r="D104" s="1">
        <v>2</v>
      </c>
      <c r="E104" s="1">
        <v>203040</v>
      </c>
      <c r="F104" s="3" t="s">
        <v>84</v>
      </c>
      <c r="G104" s="1">
        <v>20</v>
      </c>
      <c r="H104" s="1">
        <v>203041</v>
      </c>
      <c r="I104" s="3" t="s">
        <v>85</v>
      </c>
      <c r="J104" s="1">
        <v>15</v>
      </c>
      <c r="K104" s="1"/>
      <c r="L104" s="1"/>
      <c r="M104" s="1"/>
      <c r="N104" s="1"/>
      <c r="O104" s="3"/>
      <c r="P104" s="1"/>
      <c r="Q104" s="1"/>
      <c r="R104" s="1"/>
      <c r="S104" s="1"/>
      <c r="T104" s="1"/>
      <c r="U104" s="1"/>
      <c r="V104" s="1"/>
      <c r="W104" s="1">
        <v>604001</v>
      </c>
      <c r="X104" s="3" t="s">
        <v>22</v>
      </c>
      <c r="Y104" s="1">
        <v>200</v>
      </c>
      <c r="Z104" s="1"/>
      <c r="AA104" s="1"/>
      <c r="AB104" s="1"/>
      <c r="AC104" s="1"/>
      <c r="AD104" s="1"/>
      <c r="AE104" s="1"/>
    </row>
    <row r="105" spans="1:31" x14ac:dyDescent="0.15">
      <c r="A105" s="1">
        <v>108008</v>
      </c>
      <c r="B105" s="3" t="s">
        <v>83</v>
      </c>
      <c r="C105" s="1">
        <v>3</v>
      </c>
      <c r="D105" s="1">
        <v>3</v>
      </c>
      <c r="E105" s="1">
        <v>203040</v>
      </c>
      <c r="F105" s="3" t="s">
        <v>84</v>
      </c>
      <c r="G105" s="1">
        <v>30</v>
      </c>
      <c r="H105" s="1">
        <v>203041</v>
      </c>
      <c r="I105" s="3" t="s">
        <v>85</v>
      </c>
      <c r="J105" s="1">
        <v>20</v>
      </c>
      <c r="K105" s="1"/>
      <c r="L105" s="1"/>
      <c r="M105" s="1"/>
      <c r="N105" s="1"/>
      <c r="O105" s="3"/>
      <c r="P105" s="1"/>
      <c r="Q105" s="1"/>
      <c r="R105" s="1"/>
      <c r="S105" s="1"/>
      <c r="T105" s="1"/>
      <c r="U105" s="1"/>
      <c r="V105" s="1"/>
      <c r="W105" s="1">
        <v>604001</v>
      </c>
      <c r="X105" s="3" t="s">
        <v>22</v>
      </c>
      <c r="Y105" s="1">
        <v>300</v>
      </c>
      <c r="Z105" s="1"/>
      <c r="AA105" s="1"/>
      <c r="AB105" s="1"/>
      <c r="AC105" s="1"/>
      <c r="AD105" s="1"/>
      <c r="AE105" s="1"/>
    </row>
    <row r="106" spans="1:31" x14ac:dyDescent="0.15">
      <c r="A106" s="1">
        <v>108008</v>
      </c>
      <c r="B106" s="3" t="s">
        <v>83</v>
      </c>
      <c r="C106" s="8">
        <v>4</v>
      </c>
      <c r="D106" s="1">
        <v>4</v>
      </c>
      <c r="E106" s="1">
        <v>203040</v>
      </c>
      <c r="F106" s="3" t="s">
        <v>84</v>
      </c>
      <c r="G106" s="1">
        <v>40</v>
      </c>
      <c r="H106" s="1">
        <v>203041</v>
      </c>
      <c r="I106" s="3" t="s">
        <v>85</v>
      </c>
      <c r="J106" s="1">
        <v>25</v>
      </c>
      <c r="K106" s="1"/>
      <c r="L106" s="1"/>
      <c r="M106" s="1"/>
      <c r="N106" s="1"/>
      <c r="O106" s="3"/>
      <c r="P106" s="1"/>
      <c r="Q106" s="1"/>
      <c r="R106" s="1"/>
      <c r="S106" s="1"/>
      <c r="T106" s="1"/>
      <c r="U106" s="1"/>
      <c r="V106" s="1"/>
      <c r="W106" s="1">
        <v>604001</v>
      </c>
      <c r="X106" s="3" t="s">
        <v>22</v>
      </c>
      <c r="Y106" s="1">
        <v>400</v>
      </c>
      <c r="Z106" s="1"/>
      <c r="AA106" s="1"/>
      <c r="AB106" s="1"/>
      <c r="AC106" s="1"/>
      <c r="AD106" s="1"/>
      <c r="AE106" s="1"/>
    </row>
    <row r="107" spans="1:31" x14ac:dyDescent="0.15">
      <c r="A107" s="1">
        <v>108008</v>
      </c>
      <c r="B107" s="3" t="s">
        <v>83</v>
      </c>
      <c r="C107" s="1">
        <v>5</v>
      </c>
      <c r="D107" s="1">
        <v>5</v>
      </c>
      <c r="E107" s="1">
        <v>203040</v>
      </c>
      <c r="F107" s="3" t="s">
        <v>84</v>
      </c>
      <c r="G107" s="1">
        <v>50</v>
      </c>
      <c r="H107" s="1">
        <v>203041</v>
      </c>
      <c r="I107" s="3" t="s">
        <v>85</v>
      </c>
      <c r="J107" s="1">
        <v>30</v>
      </c>
      <c r="K107" s="1"/>
      <c r="L107" s="1"/>
      <c r="M107" s="1"/>
      <c r="N107" s="1"/>
      <c r="O107" s="3"/>
      <c r="P107" s="1"/>
      <c r="Q107" s="1"/>
      <c r="R107" s="1"/>
      <c r="S107" s="1"/>
      <c r="T107" s="1"/>
      <c r="U107" s="1"/>
      <c r="V107" s="1"/>
      <c r="W107" s="1">
        <v>604001</v>
      </c>
      <c r="X107" s="3" t="s">
        <v>22</v>
      </c>
      <c r="Y107" s="1">
        <v>500</v>
      </c>
      <c r="Z107" s="1"/>
      <c r="AA107" s="1"/>
      <c r="AB107" s="1"/>
      <c r="AC107" s="1"/>
      <c r="AD107" s="1"/>
      <c r="AE107" s="1"/>
    </row>
    <row r="108" spans="1:31" x14ac:dyDescent="0.15">
      <c r="A108" s="1">
        <v>108008</v>
      </c>
      <c r="B108" s="3" t="s">
        <v>83</v>
      </c>
      <c r="C108" s="8">
        <v>6</v>
      </c>
      <c r="D108" s="1">
        <v>6</v>
      </c>
      <c r="E108" s="1">
        <v>203040</v>
      </c>
      <c r="F108" s="3" t="s">
        <v>84</v>
      </c>
      <c r="G108" s="1">
        <v>60</v>
      </c>
      <c r="H108" s="1">
        <v>203041</v>
      </c>
      <c r="I108" s="3" t="s">
        <v>85</v>
      </c>
      <c r="J108" s="1">
        <v>35</v>
      </c>
      <c r="K108" s="1"/>
      <c r="L108" s="1"/>
      <c r="M108" s="1"/>
      <c r="N108" s="1"/>
      <c r="O108" s="3"/>
      <c r="P108" s="1"/>
      <c r="Q108" s="1"/>
      <c r="R108" s="1"/>
      <c r="S108" s="1"/>
      <c r="T108" s="1"/>
      <c r="U108" s="1"/>
      <c r="V108" s="1"/>
      <c r="W108" s="1">
        <v>604001</v>
      </c>
      <c r="X108" s="3" t="s">
        <v>22</v>
      </c>
      <c r="Y108" s="1">
        <v>600</v>
      </c>
      <c r="Z108" s="1"/>
      <c r="AA108" s="1"/>
      <c r="AB108" s="1"/>
      <c r="AC108" s="1"/>
      <c r="AD108" s="1"/>
      <c r="AE108" s="1"/>
    </row>
    <row r="109" spans="1:31" x14ac:dyDescent="0.15">
      <c r="A109" s="1">
        <v>108008</v>
      </c>
      <c r="B109" s="3" t="s">
        <v>83</v>
      </c>
      <c r="C109" s="1">
        <v>7</v>
      </c>
      <c r="D109" s="1">
        <v>7</v>
      </c>
      <c r="E109" s="1">
        <v>203040</v>
      </c>
      <c r="F109" s="3" t="s">
        <v>84</v>
      </c>
      <c r="G109" s="1">
        <v>70</v>
      </c>
      <c r="H109" s="1">
        <v>203041</v>
      </c>
      <c r="I109" s="3" t="s">
        <v>85</v>
      </c>
      <c r="J109" s="1">
        <v>40</v>
      </c>
      <c r="K109" s="1"/>
      <c r="L109" s="1"/>
      <c r="M109" s="1"/>
      <c r="N109" s="1"/>
      <c r="O109" s="3"/>
      <c r="P109" s="1"/>
      <c r="Q109" s="1"/>
      <c r="R109" s="1"/>
      <c r="S109" s="1"/>
      <c r="T109" s="1"/>
      <c r="U109" s="1"/>
      <c r="V109" s="1"/>
      <c r="W109" s="1">
        <v>604001</v>
      </c>
      <c r="X109" s="3" t="s">
        <v>22</v>
      </c>
      <c r="Y109" s="1">
        <v>700</v>
      </c>
      <c r="Z109" s="1"/>
      <c r="AA109" s="1"/>
      <c r="AB109" s="1"/>
      <c r="AC109" s="1"/>
      <c r="AD109" s="1"/>
      <c r="AE109" s="1"/>
    </row>
    <row r="110" spans="1:31" x14ac:dyDescent="0.15">
      <c r="A110" s="1">
        <v>108008</v>
      </c>
      <c r="B110" s="3" t="s">
        <v>83</v>
      </c>
      <c r="C110" s="8">
        <v>8</v>
      </c>
      <c r="D110" s="1">
        <v>8</v>
      </c>
      <c r="E110" s="1">
        <v>203040</v>
      </c>
      <c r="F110" s="3" t="s">
        <v>84</v>
      </c>
      <c r="G110" s="1">
        <v>80</v>
      </c>
      <c r="H110" s="1">
        <v>203041</v>
      </c>
      <c r="I110" s="3" t="s">
        <v>85</v>
      </c>
      <c r="J110" s="1">
        <v>45</v>
      </c>
      <c r="K110" s="1"/>
      <c r="L110" s="1"/>
      <c r="M110" s="1"/>
      <c r="N110" s="1"/>
      <c r="O110" s="3"/>
      <c r="P110" s="1"/>
      <c r="Q110" s="1"/>
      <c r="R110" s="1"/>
      <c r="S110" s="1"/>
      <c r="T110" s="1"/>
      <c r="U110" s="1"/>
      <c r="V110" s="1"/>
      <c r="W110" s="1">
        <v>604001</v>
      </c>
      <c r="X110" s="3" t="s">
        <v>22</v>
      </c>
      <c r="Y110" s="1">
        <v>800</v>
      </c>
      <c r="Z110" s="1"/>
      <c r="AA110" s="1"/>
      <c r="AB110" s="1"/>
      <c r="AC110" s="1"/>
      <c r="AD110" s="1"/>
      <c r="AE110" s="1"/>
    </row>
    <row r="111" spans="1:31" x14ac:dyDescent="0.15">
      <c r="A111" s="1">
        <v>108008</v>
      </c>
      <c r="B111" s="3" t="s">
        <v>83</v>
      </c>
      <c r="C111" s="1">
        <v>9</v>
      </c>
      <c r="D111" s="1">
        <v>9</v>
      </c>
      <c r="E111" s="1">
        <v>203040</v>
      </c>
      <c r="F111" s="3" t="s">
        <v>84</v>
      </c>
      <c r="G111" s="1">
        <v>90</v>
      </c>
      <c r="H111" s="1">
        <v>203041</v>
      </c>
      <c r="I111" s="3" t="s">
        <v>85</v>
      </c>
      <c r="J111" s="1">
        <v>50</v>
      </c>
      <c r="K111" s="1"/>
      <c r="L111" s="1"/>
      <c r="M111" s="1"/>
      <c r="N111" s="1"/>
      <c r="O111" s="3"/>
      <c r="P111" s="1"/>
      <c r="Q111" s="1"/>
      <c r="R111" s="1"/>
      <c r="S111" s="1"/>
      <c r="T111" s="1"/>
      <c r="U111" s="1"/>
      <c r="V111" s="1"/>
      <c r="W111" s="1">
        <v>604001</v>
      </c>
      <c r="X111" s="3" t="s">
        <v>22</v>
      </c>
      <c r="Y111" s="1">
        <v>900</v>
      </c>
      <c r="Z111" s="1"/>
      <c r="AA111" s="1"/>
      <c r="AB111" s="1"/>
      <c r="AC111" s="1"/>
      <c r="AD111" s="1"/>
      <c r="AE111" s="1"/>
    </row>
    <row r="112" spans="1:31" x14ac:dyDescent="0.15">
      <c r="A112" s="1">
        <v>108008</v>
      </c>
      <c r="B112" s="3" t="s">
        <v>83</v>
      </c>
      <c r="C112" s="1">
        <v>10</v>
      </c>
      <c r="D112" s="1">
        <v>10</v>
      </c>
      <c r="E112" s="1">
        <v>203040</v>
      </c>
      <c r="F112" s="3" t="s">
        <v>84</v>
      </c>
      <c r="G112" s="1">
        <v>100</v>
      </c>
      <c r="H112" s="1">
        <v>203041</v>
      </c>
      <c r="I112" s="3" t="s">
        <v>85</v>
      </c>
      <c r="J112" s="1">
        <v>60</v>
      </c>
      <c r="K112" s="1"/>
      <c r="L112" s="1"/>
      <c r="M112" s="1"/>
      <c r="N112" s="1"/>
      <c r="O112" s="3"/>
      <c r="P112" s="1"/>
      <c r="Q112" s="1"/>
      <c r="R112" s="1"/>
      <c r="S112" s="1"/>
      <c r="T112" s="1"/>
      <c r="U112" s="1"/>
      <c r="V112" s="1"/>
      <c r="W112" s="1">
        <v>604001</v>
      </c>
      <c r="X112" s="3" t="s">
        <v>22</v>
      </c>
      <c r="Y112" s="1">
        <v>1000</v>
      </c>
      <c r="Z112" s="1"/>
      <c r="AA112" s="1"/>
      <c r="AB112" s="1"/>
      <c r="AC112" s="1"/>
      <c r="AD112" s="1"/>
      <c r="AE112" s="1"/>
    </row>
    <row r="113" spans="1:33" x14ac:dyDescent="0.15">
      <c r="A113" s="1">
        <v>108011</v>
      </c>
      <c r="B113" s="3" t="s">
        <v>95</v>
      </c>
      <c r="C113" s="1">
        <v>1</v>
      </c>
      <c r="D113" s="1">
        <v>1</v>
      </c>
      <c r="E113" s="1">
        <v>203058</v>
      </c>
      <c r="F113" s="3" t="s">
        <v>84</v>
      </c>
      <c r="G113" s="1">
        <v>10</v>
      </c>
      <c r="H113" s="1">
        <v>203059</v>
      </c>
      <c r="I113" s="3" t="s">
        <v>85</v>
      </c>
      <c r="J113" s="1">
        <v>10</v>
      </c>
      <c r="K113" s="1"/>
      <c r="L113" s="1"/>
      <c r="M113" s="1"/>
      <c r="N113" s="1"/>
      <c r="O113" s="3"/>
      <c r="P113" s="1"/>
      <c r="Q113" s="1"/>
      <c r="R113" s="1"/>
      <c r="S113" s="1"/>
      <c r="T113" s="1"/>
      <c r="U113" s="1"/>
      <c r="V113" s="1"/>
      <c r="W113" s="1">
        <v>604001</v>
      </c>
      <c r="X113" s="3" t="s">
        <v>22</v>
      </c>
      <c r="Y113" s="1">
        <v>100</v>
      </c>
      <c r="Z113" s="1"/>
      <c r="AA113" s="1"/>
      <c r="AB113" s="1"/>
      <c r="AC113" s="1"/>
      <c r="AD113" s="1"/>
      <c r="AE113" s="1"/>
    </row>
    <row r="114" spans="1:33" x14ac:dyDescent="0.15">
      <c r="A114" s="1">
        <v>108011</v>
      </c>
      <c r="B114" s="3" t="s">
        <v>95</v>
      </c>
      <c r="C114" s="8">
        <v>2</v>
      </c>
      <c r="D114" s="1">
        <v>2</v>
      </c>
      <c r="E114" s="1">
        <v>203058</v>
      </c>
      <c r="F114" s="3" t="s">
        <v>84</v>
      </c>
      <c r="G114" s="1">
        <v>20</v>
      </c>
      <c r="H114" s="1">
        <v>203059</v>
      </c>
      <c r="I114" s="3" t="s">
        <v>85</v>
      </c>
      <c r="J114" s="1">
        <v>15</v>
      </c>
      <c r="K114" s="1"/>
      <c r="L114" s="1"/>
      <c r="M114" s="1"/>
      <c r="N114" s="1"/>
      <c r="O114" s="3"/>
      <c r="P114" s="1"/>
      <c r="Q114" s="1"/>
      <c r="R114" s="1"/>
      <c r="S114" s="1"/>
      <c r="T114" s="1"/>
      <c r="U114" s="1"/>
      <c r="V114" s="1"/>
      <c r="W114" s="1">
        <v>604001</v>
      </c>
      <c r="X114" s="3" t="s">
        <v>22</v>
      </c>
      <c r="Y114" s="1">
        <v>200</v>
      </c>
      <c r="Z114" s="1"/>
      <c r="AA114" s="1"/>
      <c r="AB114" s="1"/>
      <c r="AC114" s="1"/>
      <c r="AD114" s="1"/>
      <c r="AE114" s="1"/>
    </row>
    <row r="115" spans="1:33" x14ac:dyDescent="0.15">
      <c r="A115" s="1">
        <v>108011</v>
      </c>
      <c r="B115" s="3" t="s">
        <v>95</v>
      </c>
      <c r="C115" s="1">
        <v>3</v>
      </c>
      <c r="D115" s="1">
        <v>3</v>
      </c>
      <c r="E115" s="1">
        <v>203058</v>
      </c>
      <c r="F115" s="3" t="s">
        <v>84</v>
      </c>
      <c r="G115" s="1">
        <v>30</v>
      </c>
      <c r="H115" s="1">
        <v>203059</v>
      </c>
      <c r="I115" s="3" t="s">
        <v>85</v>
      </c>
      <c r="J115" s="1">
        <v>20</v>
      </c>
      <c r="K115" s="1"/>
      <c r="L115" s="1"/>
      <c r="M115" s="1"/>
      <c r="N115" s="1"/>
      <c r="O115" s="3"/>
      <c r="P115" s="1"/>
      <c r="Q115" s="1"/>
      <c r="R115" s="1"/>
      <c r="S115" s="1"/>
      <c r="T115" s="1"/>
      <c r="U115" s="1"/>
      <c r="V115" s="1"/>
      <c r="W115" s="1">
        <v>604001</v>
      </c>
      <c r="X115" s="3" t="s">
        <v>22</v>
      </c>
      <c r="Y115" s="1">
        <v>300</v>
      </c>
      <c r="Z115" s="1"/>
      <c r="AA115" s="1"/>
      <c r="AB115" s="1"/>
      <c r="AC115" s="1"/>
      <c r="AD115" s="1"/>
      <c r="AE115" s="1"/>
    </row>
    <row r="116" spans="1:33" x14ac:dyDescent="0.15">
      <c r="A116" s="1">
        <v>108011</v>
      </c>
      <c r="B116" s="3" t="s">
        <v>95</v>
      </c>
      <c r="C116" s="8">
        <v>4</v>
      </c>
      <c r="D116" s="1">
        <v>4</v>
      </c>
      <c r="E116" s="1">
        <v>203058</v>
      </c>
      <c r="F116" s="3" t="s">
        <v>84</v>
      </c>
      <c r="G116" s="1">
        <v>40</v>
      </c>
      <c r="H116" s="1">
        <v>203059</v>
      </c>
      <c r="I116" s="3" t="s">
        <v>85</v>
      </c>
      <c r="J116" s="1">
        <v>25</v>
      </c>
      <c r="K116" s="1"/>
      <c r="L116" s="1"/>
      <c r="M116" s="1"/>
      <c r="N116" s="1"/>
      <c r="O116" s="3"/>
      <c r="P116" s="1"/>
      <c r="Q116" s="1"/>
      <c r="R116" s="1"/>
      <c r="S116" s="1"/>
      <c r="T116" s="1"/>
      <c r="U116" s="1"/>
      <c r="V116" s="1"/>
      <c r="W116" s="1">
        <v>604001</v>
      </c>
      <c r="X116" s="3" t="s">
        <v>22</v>
      </c>
      <c r="Y116" s="1">
        <v>400</v>
      </c>
      <c r="Z116" s="1"/>
      <c r="AA116" s="1"/>
      <c r="AB116" s="1"/>
      <c r="AC116" s="1"/>
      <c r="AD116" s="1"/>
      <c r="AE116" s="1"/>
    </row>
    <row r="117" spans="1:33" x14ac:dyDescent="0.15">
      <c r="A117" s="1">
        <v>108011</v>
      </c>
      <c r="B117" s="3" t="s">
        <v>95</v>
      </c>
      <c r="C117" s="1">
        <v>5</v>
      </c>
      <c r="D117" s="1">
        <v>5</v>
      </c>
      <c r="E117" s="1">
        <v>203058</v>
      </c>
      <c r="F117" s="3" t="s">
        <v>84</v>
      </c>
      <c r="G117" s="1">
        <v>50</v>
      </c>
      <c r="H117" s="1">
        <v>203059</v>
      </c>
      <c r="I117" s="3" t="s">
        <v>85</v>
      </c>
      <c r="J117" s="1">
        <v>30</v>
      </c>
      <c r="K117" s="1"/>
      <c r="L117" s="1"/>
      <c r="M117" s="1"/>
      <c r="N117" s="1"/>
      <c r="O117" s="3"/>
      <c r="P117" s="1"/>
      <c r="Q117" s="1"/>
      <c r="R117" s="1"/>
      <c r="S117" s="1"/>
      <c r="T117" s="1"/>
      <c r="U117" s="1"/>
      <c r="V117" s="1"/>
      <c r="W117" s="1">
        <v>604001</v>
      </c>
      <c r="X117" s="3" t="s">
        <v>22</v>
      </c>
      <c r="Y117" s="1">
        <v>500</v>
      </c>
      <c r="Z117" s="1"/>
      <c r="AA117" s="1"/>
      <c r="AB117" s="1"/>
      <c r="AC117" s="1"/>
      <c r="AD117" s="1"/>
      <c r="AE117" s="1"/>
    </row>
    <row r="118" spans="1:33" x14ac:dyDescent="0.15">
      <c r="A118" s="1">
        <v>108011</v>
      </c>
      <c r="B118" s="3" t="s">
        <v>95</v>
      </c>
      <c r="C118" s="8">
        <v>6</v>
      </c>
      <c r="D118" s="1">
        <v>6</v>
      </c>
      <c r="E118" s="1">
        <v>203058</v>
      </c>
      <c r="F118" s="3" t="s">
        <v>84</v>
      </c>
      <c r="G118" s="1">
        <v>60</v>
      </c>
      <c r="H118" s="1">
        <v>203059</v>
      </c>
      <c r="I118" s="3" t="s">
        <v>85</v>
      </c>
      <c r="J118" s="1">
        <v>35</v>
      </c>
      <c r="K118" s="1"/>
      <c r="L118" s="1"/>
      <c r="M118" s="1"/>
      <c r="N118" s="1"/>
      <c r="O118" s="3"/>
      <c r="P118" s="1"/>
      <c r="Q118" s="1"/>
      <c r="R118" s="1"/>
      <c r="S118" s="1"/>
      <c r="T118" s="1"/>
      <c r="U118" s="1"/>
      <c r="V118" s="1"/>
      <c r="W118" s="1">
        <v>604001</v>
      </c>
      <c r="X118" s="3" t="s">
        <v>22</v>
      </c>
      <c r="Y118" s="1">
        <v>600</v>
      </c>
      <c r="Z118" s="1"/>
      <c r="AA118" s="1"/>
      <c r="AB118" s="1"/>
      <c r="AC118" s="1"/>
      <c r="AD118" s="1"/>
      <c r="AE118" s="1"/>
    </row>
    <row r="119" spans="1:33" x14ac:dyDescent="0.15">
      <c r="A119" s="1">
        <v>108011</v>
      </c>
      <c r="B119" s="3" t="s">
        <v>95</v>
      </c>
      <c r="C119" s="1">
        <v>7</v>
      </c>
      <c r="D119" s="1">
        <v>7</v>
      </c>
      <c r="E119" s="1">
        <v>203058</v>
      </c>
      <c r="F119" s="3" t="s">
        <v>84</v>
      </c>
      <c r="G119" s="1">
        <v>70</v>
      </c>
      <c r="H119" s="1">
        <v>203059</v>
      </c>
      <c r="I119" s="3" t="s">
        <v>85</v>
      </c>
      <c r="J119" s="1">
        <v>40</v>
      </c>
      <c r="K119" s="1"/>
      <c r="L119" s="1"/>
      <c r="M119" s="1"/>
      <c r="N119" s="1"/>
      <c r="O119" s="3"/>
      <c r="P119" s="1"/>
      <c r="Q119" s="1"/>
      <c r="R119" s="1"/>
      <c r="S119" s="1"/>
      <c r="T119" s="1"/>
      <c r="U119" s="1"/>
      <c r="V119" s="1"/>
      <c r="W119" s="1">
        <v>604001</v>
      </c>
      <c r="X119" s="3" t="s">
        <v>22</v>
      </c>
      <c r="Y119" s="1">
        <v>700</v>
      </c>
      <c r="Z119" s="1"/>
      <c r="AA119" s="1"/>
      <c r="AB119" s="1"/>
      <c r="AC119" s="1"/>
      <c r="AD119" s="1"/>
      <c r="AE119" s="1"/>
    </row>
    <row r="120" spans="1:33" x14ac:dyDescent="0.15">
      <c r="A120" s="1">
        <v>108011</v>
      </c>
      <c r="B120" s="3" t="s">
        <v>95</v>
      </c>
      <c r="C120" s="8">
        <v>8</v>
      </c>
      <c r="D120" s="1">
        <v>8</v>
      </c>
      <c r="E120" s="1">
        <v>203058</v>
      </c>
      <c r="F120" s="3" t="s">
        <v>84</v>
      </c>
      <c r="G120" s="1">
        <v>80</v>
      </c>
      <c r="H120" s="1">
        <v>203059</v>
      </c>
      <c r="I120" s="3" t="s">
        <v>85</v>
      </c>
      <c r="J120" s="1">
        <v>45</v>
      </c>
      <c r="K120" s="1"/>
      <c r="L120" s="1"/>
      <c r="M120" s="1"/>
      <c r="N120" s="1"/>
      <c r="O120" s="3"/>
      <c r="P120" s="1"/>
      <c r="Q120" s="1"/>
      <c r="R120" s="1"/>
      <c r="S120" s="1"/>
      <c r="T120" s="1"/>
      <c r="U120" s="1"/>
      <c r="V120" s="1"/>
      <c r="W120" s="1">
        <v>604001</v>
      </c>
      <c r="X120" s="3" t="s">
        <v>22</v>
      </c>
      <c r="Y120" s="1">
        <v>800</v>
      </c>
      <c r="Z120" s="1"/>
      <c r="AA120" s="1"/>
      <c r="AB120" s="1"/>
      <c r="AC120" s="1"/>
      <c r="AD120" s="1"/>
      <c r="AE120" s="1"/>
    </row>
    <row r="121" spans="1:33" x14ac:dyDescent="0.15">
      <c r="A121" s="1">
        <v>108011</v>
      </c>
      <c r="B121" s="3" t="s">
        <v>95</v>
      </c>
      <c r="C121" s="1">
        <v>9</v>
      </c>
      <c r="D121" s="1">
        <v>9</v>
      </c>
      <c r="E121" s="1">
        <v>203058</v>
      </c>
      <c r="F121" s="3" t="s">
        <v>84</v>
      </c>
      <c r="G121" s="1">
        <v>90</v>
      </c>
      <c r="H121" s="1">
        <v>203059</v>
      </c>
      <c r="I121" s="3" t="s">
        <v>85</v>
      </c>
      <c r="J121" s="1">
        <v>50</v>
      </c>
      <c r="K121" s="1"/>
      <c r="L121" s="1"/>
      <c r="M121" s="1"/>
      <c r="N121" s="1"/>
      <c r="O121" s="3"/>
      <c r="P121" s="1"/>
      <c r="Q121" s="1"/>
      <c r="R121" s="1"/>
      <c r="S121" s="1"/>
      <c r="T121" s="1"/>
      <c r="U121" s="1"/>
      <c r="V121" s="1"/>
      <c r="W121" s="1">
        <v>604001</v>
      </c>
      <c r="X121" s="3" t="s">
        <v>22</v>
      </c>
      <c r="Y121" s="1">
        <v>900</v>
      </c>
      <c r="Z121" s="1"/>
      <c r="AA121" s="1"/>
      <c r="AB121" s="1"/>
      <c r="AC121" s="1"/>
      <c r="AD121" s="1"/>
      <c r="AE121" s="1"/>
    </row>
    <row r="122" spans="1:33" x14ac:dyDescent="0.15">
      <c r="A122" s="1">
        <v>108011</v>
      </c>
      <c r="B122" s="3" t="s">
        <v>95</v>
      </c>
      <c r="C122" s="1">
        <v>10</v>
      </c>
      <c r="D122" s="1">
        <v>10</v>
      </c>
      <c r="E122" s="1">
        <v>203058</v>
      </c>
      <c r="F122" s="3" t="s">
        <v>84</v>
      </c>
      <c r="G122" s="1">
        <v>100</v>
      </c>
      <c r="H122" s="1">
        <v>203059</v>
      </c>
      <c r="I122" s="3" t="s">
        <v>85</v>
      </c>
      <c r="J122" s="1">
        <v>60</v>
      </c>
      <c r="K122" s="1"/>
      <c r="L122" s="1"/>
      <c r="M122" s="1"/>
      <c r="N122" s="1"/>
      <c r="O122" s="3"/>
      <c r="P122" s="1"/>
      <c r="Q122" s="1"/>
      <c r="R122" s="1"/>
      <c r="S122" s="1"/>
      <c r="T122" s="1"/>
      <c r="U122" s="1"/>
      <c r="V122" s="1"/>
      <c r="W122" s="1">
        <v>604001</v>
      </c>
      <c r="X122" s="3" t="s">
        <v>22</v>
      </c>
      <c r="Y122" s="1">
        <v>1000</v>
      </c>
      <c r="Z122" s="1"/>
      <c r="AA122" s="1"/>
      <c r="AB122" s="1"/>
      <c r="AC122" s="1"/>
      <c r="AD122" s="1"/>
      <c r="AE122" s="1"/>
    </row>
    <row r="123" spans="1:33" x14ac:dyDescent="0.15">
      <c r="A123" s="11" t="s">
        <v>87</v>
      </c>
      <c r="B123" s="3" t="s">
        <v>88</v>
      </c>
      <c r="C123" s="1">
        <v>1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>
        <v>909005</v>
      </c>
      <c r="O123" s="3" t="s">
        <v>89</v>
      </c>
      <c r="P123" s="1">
        <v>2</v>
      </c>
      <c r="Q123" s="1"/>
      <c r="R123" s="1"/>
      <c r="S123" s="1"/>
      <c r="T123" s="1"/>
      <c r="U123" s="1"/>
      <c r="V123" s="1"/>
      <c r="W123" s="1">
        <v>608001</v>
      </c>
      <c r="X123" s="1" t="s">
        <v>62</v>
      </c>
      <c r="Y123" s="1">
        <v>10</v>
      </c>
      <c r="Z123" s="1">
        <v>612001</v>
      </c>
      <c r="AA123" s="6" t="s">
        <v>37</v>
      </c>
      <c r="AB123" s="1">
        <v>10</v>
      </c>
      <c r="AC123" s="1">
        <v>605001</v>
      </c>
      <c r="AD123" s="1" t="s">
        <v>90</v>
      </c>
      <c r="AE123" s="1">
        <v>200</v>
      </c>
    </row>
    <row r="124" spans="1:33" x14ac:dyDescent="0.15">
      <c r="A124" s="11" t="s">
        <v>87</v>
      </c>
      <c r="B124" s="3" t="s">
        <v>88</v>
      </c>
      <c r="C124" s="1">
        <v>2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>
        <v>909005</v>
      </c>
      <c r="O124" s="3" t="s">
        <v>89</v>
      </c>
      <c r="P124" s="1">
        <v>2</v>
      </c>
      <c r="Q124" s="1"/>
      <c r="R124" s="1"/>
      <c r="S124" s="1"/>
      <c r="T124" s="1"/>
      <c r="U124" s="1"/>
      <c r="V124" s="1"/>
      <c r="W124" s="1">
        <v>608001</v>
      </c>
      <c r="X124" s="1" t="s">
        <v>62</v>
      </c>
      <c r="Y124" s="1">
        <v>20</v>
      </c>
      <c r="Z124" s="1">
        <v>612002</v>
      </c>
      <c r="AA124" s="6" t="s">
        <v>38</v>
      </c>
      <c r="AB124" s="1">
        <v>10</v>
      </c>
      <c r="AC124" s="1">
        <v>605001</v>
      </c>
      <c r="AD124" s="1" t="s">
        <v>90</v>
      </c>
      <c r="AE124" s="1">
        <v>200</v>
      </c>
    </row>
    <row r="125" spans="1:33" x14ac:dyDescent="0.15">
      <c r="A125" s="11" t="s">
        <v>87</v>
      </c>
      <c r="B125" s="3" t="s">
        <v>88</v>
      </c>
      <c r="C125" s="1">
        <v>3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>
        <v>909005</v>
      </c>
      <c r="O125" s="3" t="s">
        <v>89</v>
      </c>
      <c r="P125" s="1">
        <v>2</v>
      </c>
      <c r="Q125" s="1"/>
      <c r="R125" s="1"/>
      <c r="S125" s="1"/>
      <c r="T125" s="1"/>
      <c r="U125" s="1"/>
      <c r="V125" s="1"/>
      <c r="W125" s="1">
        <v>608001</v>
      </c>
      <c r="X125" s="1" t="s">
        <v>62</v>
      </c>
      <c r="Y125" s="1">
        <v>30</v>
      </c>
      <c r="Z125" s="1">
        <v>612003</v>
      </c>
      <c r="AA125" s="12" t="s">
        <v>39</v>
      </c>
      <c r="AB125" s="10">
        <v>10</v>
      </c>
      <c r="AC125" s="10">
        <v>605001</v>
      </c>
      <c r="AD125" s="10" t="s">
        <v>90</v>
      </c>
      <c r="AE125" s="10">
        <v>200</v>
      </c>
    </row>
    <row r="126" spans="1:33" x14ac:dyDescent="0.15">
      <c r="A126" s="11" t="s">
        <v>87</v>
      </c>
      <c r="B126" s="3" t="s">
        <v>88</v>
      </c>
      <c r="C126" s="1">
        <v>4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>
        <v>909005</v>
      </c>
      <c r="O126" s="3" t="s">
        <v>89</v>
      </c>
      <c r="P126" s="1">
        <f>P123+1</f>
        <v>3</v>
      </c>
      <c r="Q126" s="1"/>
      <c r="R126" s="1"/>
      <c r="S126" s="1"/>
      <c r="T126" s="1"/>
      <c r="U126" s="1"/>
      <c r="V126" s="1"/>
      <c r="W126" s="1">
        <v>608001</v>
      </c>
      <c r="X126" s="1" t="s">
        <v>62</v>
      </c>
      <c r="Y126" s="1">
        <v>40</v>
      </c>
      <c r="Z126" s="1">
        <v>612001</v>
      </c>
      <c r="AA126" s="1" t="s">
        <v>91</v>
      </c>
      <c r="AB126" s="1">
        <v>100</v>
      </c>
      <c r="AC126" s="1"/>
      <c r="AD126" s="1"/>
      <c r="AE126" s="1"/>
      <c r="AF126" s="1">
        <f>Y126*10 +AB126*5</f>
        <v>900</v>
      </c>
      <c r="AG126" s="1" t="s">
        <v>97</v>
      </c>
    </row>
    <row r="127" spans="1:33" x14ac:dyDescent="0.15">
      <c r="A127" s="11" t="s">
        <v>87</v>
      </c>
      <c r="B127" s="3" t="s">
        <v>88</v>
      </c>
      <c r="C127" s="1">
        <v>5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>
        <v>909005</v>
      </c>
      <c r="O127" s="3" t="s">
        <v>89</v>
      </c>
      <c r="P127" s="1">
        <f t="shared" ref="P127:P190" si="10">P124+1</f>
        <v>3</v>
      </c>
      <c r="Q127" s="1"/>
      <c r="R127" s="1"/>
      <c r="S127" s="1"/>
      <c r="T127" s="1"/>
      <c r="U127" s="1"/>
      <c r="V127" s="1"/>
      <c r="W127" s="1">
        <v>608001</v>
      </c>
      <c r="X127" s="1" t="s">
        <v>62</v>
      </c>
      <c r="Y127" s="1">
        <v>50</v>
      </c>
      <c r="Z127" s="1">
        <v>612002</v>
      </c>
      <c r="AA127" s="1" t="s">
        <v>92</v>
      </c>
      <c r="AB127" s="1">
        <v>150</v>
      </c>
      <c r="AC127" s="1"/>
      <c r="AD127" s="1"/>
      <c r="AE127" s="1"/>
      <c r="AF127" s="1">
        <f t="shared" ref="AF127:AF190" si="11">Y127*10 +AB127*5</f>
        <v>1250</v>
      </c>
      <c r="AG127" s="1" t="s">
        <v>97</v>
      </c>
    </row>
    <row r="128" spans="1:33" x14ac:dyDescent="0.15">
      <c r="A128" s="11" t="s">
        <v>87</v>
      </c>
      <c r="B128" s="3" t="s">
        <v>88</v>
      </c>
      <c r="C128" s="1">
        <v>6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>
        <v>909005</v>
      </c>
      <c r="O128" s="3" t="s">
        <v>89</v>
      </c>
      <c r="P128" s="1">
        <f t="shared" si="10"/>
        <v>3</v>
      </c>
      <c r="Q128" s="1"/>
      <c r="R128" s="1"/>
      <c r="S128" s="1"/>
      <c r="T128" s="1"/>
      <c r="U128" s="1"/>
      <c r="V128" s="1"/>
      <c r="W128" s="1">
        <v>608001</v>
      </c>
      <c r="X128" s="1" t="s">
        <v>62</v>
      </c>
      <c r="Y128" s="1">
        <v>60</v>
      </c>
      <c r="Z128" s="1">
        <v>612003</v>
      </c>
      <c r="AA128" s="1" t="s">
        <v>93</v>
      </c>
      <c r="AB128" s="1">
        <v>200</v>
      </c>
      <c r="AC128" s="1"/>
      <c r="AD128" s="1"/>
      <c r="AE128" s="1"/>
      <c r="AF128" s="1">
        <f t="shared" si="11"/>
        <v>1600</v>
      </c>
      <c r="AG128" s="1" t="s">
        <v>97</v>
      </c>
    </row>
    <row r="129" spans="1:33" x14ac:dyDescent="0.15">
      <c r="A129" s="11" t="s">
        <v>87</v>
      </c>
      <c r="B129" s="3" t="s">
        <v>88</v>
      </c>
      <c r="C129" s="1">
        <v>7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>
        <v>909005</v>
      </c>
      <c r="O129" s="3" t="s">
        <v>89</v>
      </c>
      <c r="P129" s="1">
        <f t="shared" si="10"/>
        <v>4</v>
      </c>
      <c r="Q129" s="1"/>
      <c r="R129" s="1"/>
      <c r="S129" s="1"/>
      <c r="T129" s="1"/>
      <c r="U129" s="1"/>
      <c r="V129" s="1"/>
      <c r="W129" s="1">
        <v>608001</v>
      </c>
      <c r="X129" s="1" t="s">
        <v>62</v>
      </c>
      <c r="Y129" s="1">
        <v>70</v>
      </c>
      <c r="Z129" s="1">
        <v>612001</v>
      </c>
      <c r="AA129" s="1" t="s">
        <v>91</v>
      </c>
      <c r="AB129" s="1">
        <v>250</v>
      </c>
      <c r="AC129" s="1"/>
      <c r="AD129" s="1"/>
      <c r="AE129" s="1"/>
      <c r="AF129" s="1">
        <f t="shared" si="11"/>
        <v>1950</v>
      </c>
      <c r="AG129" s="1" t="s">
        <v>97</v>
      </c>
    </row>
    <row r="130" spans="1:33" x14ac:dyDescent="0.15">
      <c r="A130" s="11" t="s">
        <v>87</v>
      </c>
      <c r="B130" s="3" t="s">
        <v>88</v>
      </c>
      <c r="C130" s="1">
        <v>8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>
        <v>909005</v>
      </c>
      <c r="O130" s="3" t="s">
        <v>89</v>
      </c>
      <c r="P130" s="1">
        <f t="shared" si="10"/>
        <v>4</v>
      </c>
      <c r="Q130" s="1"/>
      <c r="R130" s="1"/>
      <c r="S130" s="1"/>
      <c r="T130" s="1"/>
      <c r="U130" s="1"/>
      <c r="V130" s="1"/>
      <c r="W130" s="1">
        <v>608001</v>
      </c>
      <c r="X130" s="1" t="s">
        <v>62</v>
      </c>
      <c r="Y130" s="1">
        <v>80</v>
      </c>
      <c r="Z130" s="1">
        <v>612002</v>
      </c>
      <c r="AA130" s="1" t="s">
        <v>92</v>
      </c>
      <c r="AB130" s="1">
        <v>300</v>
      </c>
      <c r="AC130" s="1"/>
      <c r="AD130" s="1"/>
      <c r="AE130" s="1"/>
      <c r="AF130" s="1">
        <f t="shared" si="11"/>
        <v>2300</v>
      </c>
      <c r="AG130" s="1" t="s">
        <v>97</v>
      </c>
    </row>
    <row r="131" spans="1:33" x14ac:dyDescent="0.15">
      <c r="A131" s="11" t="s">
        <v>87</v>
      </c>
      <c r="B131" s="3" t="s">
        <v>88</v>
      </c>
      <c r="C131" s="1">
        <v>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>
        <v>909005</v>
      </c>
      <c r="O131" s="3" t="s">
        <v>89</v>
      </c>
      <c r="P131" s="1">
        <f t="shared" si="10"/>
        <v>4</v>
      </c>
      <c r="Q131" s="1"/>
      <c r="R131" s="1"/>
      <c r="S131" s="1"/>
      <c r="T131" s="1"/>
      <c r="U131" s="1"/>
      <c r="V131" s="1"/>
      <c r="W131" s="1">
        <v>608001</v>
      </c>
      <c r="X131" s="1" t="s">
        <v>62</v>
      </c>
      <c r="Y131" s="1">
        <v>90</v>
      </c>
      <c r="Z131" s="1">
        <v>612003</v>
      </c>
      <c r="AA131" s="1" t="s">
        <v>93</v>
      </c>
      <c r="AB131" s="1">
        <v>350</v>
      </c>
      <c r="AC131" s="1"/>
      <c r="AD131" s="1"/>
      <c r="AE131" s="1"/>
      <c r="AF131" s="1">
        <f t="shared" si="11"/>
        <v>2650</v>
      </c>
      <c r="AG131" s="1" t="s">
        <v>97</v>
      </c>
    </row>
    <row r="132" spans="1:33" x14ac:dyDescent="0.15">
      <c r="A132" s="11" t="s">
        <v>87</v>
      </c>
      <c r="B132" s="3" t="s">
        <v>88</v>
      </c>
      <c r="C132" s="1">
        <v>10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>
        <v>909005</v>
      </c>
      <c r="O132" s="3" t="s">
        <v>89</v>
      </c>
      <c r="P132" s="1">
        <f t="shared" si="10"/>
        <v>5</v>
      </c>
      <c r="Q132" s="1"/>
      <c r="R132" s="1"/>
      <c r="S132" s="1"/>
      <c r="T132" s="1"/>
      <c r="U132" s="1"/>
      <c r="V132" s="1"/>
      <c r="W132" s="1">
        <v>608001</v>
      </c>
      <c r="X132" s="1" t="s">
        <v>62</v>
      </c>
      <c r="Y132" s="1">
        <v>100</v>
      </c>
      <c r="Z132" s="1">
        <v>612001</v>
      </c>
      <c r="AA132" s="1" t="s">
        <v>91</v>
      </c>
      <c r="AB132" s="1">
        <v>400</v>
      </c>
      <c r="AC132" s="1"/>
      <c r="AD132" s="1"/>
      <c r="AE132" s="1"/>
      <c r="AF132" s="1">
        <f t="shared" si="11"/>
        <v>3000</v>
      </c>
      <c r="AG132" s="1" t="s">
        <v>97</v>
      </c>
    </row>
    <row r="133" spans="1:33" x14ac:dyDescent="0.15">
      <c r="A133" s="11" t="s">
        <v>87</v>
      </c>
      <c r="B133" s="3" t="s">
        <v>88</v>
      </c>
      <c r="C133" s="1">
        <v>11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>
        <v>909005</v>
      </c>
      <c r="O133" s="3" t="s">
        <v>89</v>
      </c>
      <c r="P133" s="1">
        <f t="shared" si="10"/>
        <v>5</v>
      </c>
      <c r="Q133" s="1"/>
      <c r="R133" s="1"/>
      <c r="S133" s="1"/>
      <c r="T133" s="1"/>
      <c r="U133" s="1"/>
      <c r="V133" s="1"/>
      <c r="W133" s="1">
        <v>608001</v>
      </c>
      <c r="X133" s="1" t="s">
        <v>62</v>
      </c>
      <c r="Y133" s="1">
        <v>110</v>
      </c>
      <c r="Z133" s="1">
        <v>612002</v>
      </c>
      <c r="AA133" s="1" t="s">
        <v>92</v>
      </c>
      <c r="AB133" s="1">
        <v>450</v>
      </c>
      <c r="AC133" s="1"/>
      <c r="AD133" s="1"/>
      <c r="AE133" s="1"/>
      <c r="AF133" s="1">
        <f t="shared" si="11"/>
        <v>3350</v>
      </c>
      <c r="AG133" s="1" t="s">
        <v>97</v>
      </c>
    </row>
    <row r="134" spans="1:33" x14ac:dyDescent="0.15">
      <c r="A134" s="11" t="s">
        <v>87</v>
      </c>
      <c r="B134" s="3" t="s">
        <v>88</v>
      </c>
      <c r="C134" s="1">
        <v>12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>
        <v>909005</v>
      </c>
      <c r="O134" s="3" t="s">
        <v>89</v>
      </c>
      <c r="P134" s="1">
        <f t="shared" si="10"/>
        <v>5</v>
      </c>
      <c r="Q134" s="1"/>
      <c r="R134" s="1"/>
      <c r="S134" s="1"/>
      <c r="T134" s="1"/>
      <c r="U134" s="1"/>
      <c r="V134" s="1"/>
      <c r="W134" s="1">
        <v>608001</v>
      </c>
      <c r="X134" s="1" t="s">
        <v>62</v>
      </c>
      <c r="Y134" s="1">
        <v>120</v>
      </c>
      <c r="Z134" s="1">
        <v>612003</v>
      </c>
      <c r="AA134" s="1" t="s">
        <v>93</v>
      </c>
      <c r="AB134" s="1">
        <v>500</v>
      </c>
      <c r="AC134" s="1"/>
      <c r="AD134" s="1"/>
      <c r="AE134" s="1"/>
      <c r="AF134" s="1">
        <f t="shared" si="11"/>
        <v>3700</v>
      </c>
      <c r="AG134" s="1" t="s">
        <v>97</v>
      </c>
    </row>
    <row r="135" spans="1:33" x14ac:dyDescent="0.15">
      <c r="A135" s="11" t="s">
        <v>87</v>
      </c>
      <c r="B135" s="3" t="s">
        <v>88</v>
      </c>
      <c r="C135" s="1">
        <v>13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>
        <v>909005</v>
      </c>
      <c r="O135" s="3" t="s">
        <v>89</v>
      </c>
      <c r="P135" s="1">
        <f t="shared" si="10"/>
        <v>6</v>
      </c>
      <c r="Q135" s="1"/>
      <c r="R135" s="1"/>
      <c r="S135" s="1"/>
      <c r="T135" s="1"/>
      <c r="U135" s="1"/>
      <c r="V135" s="1"/>
      <c r="W135" s="1">
        <v>608001</v>
      </c>
      <c r="X135" s="1" t="s">
        <v>62</v>
      </c>
      <c r="Y135" s="1">
        <v>130</v>
      </c>
      <c r="Z135" s="1">
        <v>612001</v>
      </c>
      <c r="AA135" s="1" t="s">
        <v>91</v>
      </c>
      <c r="AB135" s="1">
        <v>550</v>
      </c>
      <c r="AC135" s="1"/>
      <c r="AD135" s="1"/>
      <c r="AE135" s="1"/>
      <c r="AF135" s="1">
        <f t="shared" si="11"/>
        <v>4050</v>
      </c>
      <c r="AG135" s="1" t="s">
        <v>97</v>
      </c>
    </row>
    <row r="136" spans="1:33" x14ac:dyDescent="0.15">
      <c r="A136" s="11" t="s">
        <v>87</v>
      </c>
      <c r="B136" s="3" t="s">
        <v>88</v>
      </c>
      <c r="C136" s="1">
        <v>14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>
        <v>909005</v>
      </c>
      <c r="O136" s="3" t="s">
        <v>89</v>
      </c>
      <c r="P136" s="1">
        <f t="shared" si="10"/>
        <v>6</v>
      </c>
      <c r="Q136" s="1"/>
      <c r="R136" s="1"/>
      <c r="S136" s="1"/>
      <c r="T136" s="1"/>
      <c r="U136" s="1"/>
      <c r="V136" s="1"/>
      <c r="W136" s="1">
        <v>608001</v>
      </c>
      <c r="X136" s="1" t="s">
        <v>62</v>
      </c>
      <c r="Y136" s="1">
        <v>140</v>
      </c>
      <c r="Z136" s="1">
        <v>612002</v>
      </c>
      <c r="AA136" s="1" t="s">
        <v>92</v>
      </c>
      <c r="AB136" s="1">
        <v>600</v>
      </c>
      <c r="AC136" s="1"/>
      <c r="AD136" s="1"/>
      <c r="AE136" s="1"/>
      <c r="AF136" s="1">
        <f t="shared" si="11"/>
        <v>4400</v>
      </c>
      <c r="AG136" s="1" t="s">
        <v>97</v>
      </c>
    </row>
    <row r="137" spans="1:33" x14ac:dyDescent="0.15">
      <c r="A137" s="11" t="s">
        <v>87</v>
      </c>
      <c r="B137" s="3" t="s">
        <v>88</v>
      </c>
      <c r="C137" s="1">
        <v>15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>
        <v>909005</v>
      </c>
      <c r="O137" s="3" t="s">
        <v>89</v>
      </c>
      <c r="P137" s="1">
        <f t="shared" si="10"/>
        <v>6</v>
      </c>
      <c r="Q137" s="1"/>
      <c r="R137" s="1"/>
      <c r="S137" s="1"/>
      <c r="T137" s="1"/>
      <c r="U137" s="1"/>
      <c r="V137" s="1"/>
      <c r="W137" s="1">
        <v>608001</v>
      </c>
      <c r="X137" s="1" t="s">
        <v>62</v>
      </c>
      <c r="Y137" s="1">
        <v>150</v>
      </c>
      <c r="Z137" s="1">
        <v>612003</v>
      </c>
      <c r="AA137" s="1" t="s">
        <v>93</v>
      </c>
      <c r="AB137" s="1">
        <v>650</v>
      </c>
      <c r="AC137" s="1"/>
      <c r="AD137" s="1"/>
      <c r="AE137" s="1"/>
      <c r="AF137" s="1">
        <f t="shared" si="11"/>
        <v>4750</v>
      </c>
      <c r="AG137" s="1" t="s">
        <v>97</v>
      </c>
    </row>
    <row r="138" spans="1:33" x14ac:dyDescent="0.15">
      <c r="A138" s="11" t="s">
        <v>87</v>
      </c>
      <c r="B138" s="3" t="s">
        <v>88</v>
      </c>
      <c r="C138" s="1">
        <v>16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>
        <v>909005</v>
      </c>
      <c r="O138" s="3" t="s">
        <v>89</v>
      </c>
      <c r="P138" s="1">
        <f t="shared" si="10"/>
        <v>7</v>
      </c>
      <c r="Q138" s="1"/>
      <c r="R138" s="1"/>
      <c r="S138" s="1"/>
      <c r="T138" s="1"/>
      <c r="U138" s="1"/>
      <c r="V138" s="1"/>
      <c r="W138" s="1">
        <v>608001</v>
      </c>
      <c r="X138" s="1" t="s">
        <v>62</v>
      </c>
      <c r="Y138" s="1">
        <v>160</v>
      </c>
      <c r="Z138" s="1">
        <v>612001</v>
      </c>
      <c r="AA138" s="1" t="s">
        <v>91</v>
      </c>
      <c r="AB138" s="1">
        <v>700</v>
      </c>
      <c r="AC138" s="1"/>
      <c r="AD138" s="1"/>
      <c r="AE138" s="1"/>
      <c r="AF138" s="1">
        <f t="shared" si="11"/>
        <v>5100</v>
      </c>
      <c r="AG138" s="1" t="s">
        <v>97</v>
      </c>
    </row>
    <row r="139" spans="1:33" x14ac:dyDescent="0.15">
      <c r="A139" s="11" t="s">
        <v>87</v>
      </c>
      <c r="B139" s="3" t="s">
        <v>88</v>
      </c>
      <c r="C139" s="1">
        <v>17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>
        <v>909005</v>
      </c>
      <c r="O139" s="3" t="s">
        <v>89</v>
      </c>
      <c r="P139" s="1">
        <f t="shared" si="10"/>
        <v>7</v>
      </c>
      <c r="Q139" s="1"/>
      <c r="R139" s="1"/>
      <c r="S139" s="1"/>
      <c r="T139" s="1"/>
      <c r="U139" s="1"/>
      <c r="V139" s="1"/>
      <c r="W139" s="1">
        <v>608001</v>
      </c>
      <c r="X139" s="1" t="s">
        <v>62</v>
      </c>
      <c r="Y139" s="1">
        <v>170</v>
      </c>
      <c r="Z139" s="1">
        <v>612002</v>
      </c>
      <c r="AA139" s="1" t="s">
        <v>92</v>
      </c>
      <c r="AB139" s="1">
        <v>750</v>
      </c>
      <c r="AC139" s="1"/>
      <c r="AD139" s="1"/>
      <c r="AE139" s="1"/>
      <c r="AF139" s="1">
        <f t="shared" si="11"/>
        <v>5450</v>
      </c>
      <c r="AG139" s="1" t="s">
        <v>97</v>
      </c>
    </row>
    <row r="140" spans="1:33" x14ac:dyDescent="0.15">
      <c r="A140" s="11" t="s">
        <v>87</v>
      </c>
      <c r="B140" s="3" t="s">
        <v>88</v>
      </c>
      <c r="C140" s="1">
        <v>18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>
        <v>909005</v>
      </c>
      <c r="O140" s="3" t="s">
        <v>89</v>
      </c>
      <c r="P140" s="1">
        <f t="shared" si="10"/>
        <v>7</v>
      </c>
      <c r="Q140" s="1"/>
      <c r="R140" s="1"/>
      <c r="S140" s="1"/>
      <c r="T140" s="1"/>
      <c r="U140" s="1"/>
      <c r="V140" s="1"/>
      <c r="W140" s="1">
        <v>608001</v>
      </c>
      <c r="X140" s="1" t="s">
        <v>62</v>
      </c>
      <c r="Y140" s="1">
        <v>180</v>
      </c>
      <c r="Z140" s="1">
        <v>612003</v>
      </c>
      <c r="AA140" s="1" t="s">
        <v>93</v>
      </c>
      <c r="AB140" s="1">
        <v>800</v>
      </c>
      <c r="AC140" s="1"/>
      <c r="AD140" s="1"/>
      <c r="AE140" s="1"/>
      <c r="AF140" s="1">
        <f t="shared" si="11"/>
        <v>5800</v>
      </c>
      <c r="AG140" s="1" t="s">
        <v>97</v>
      </c>
    </row>
    <row r="141" spans="1:33" x14ac:dyDescent="0.15">
      <c r="A141" s="11" t="s">
        <v>87</v>
      </c>
      <c r="B141" s="3" t="s">
        <v>88</v>
      </c>
      <c r="C141" s="1">
        <v>19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>
        <v>909005</v>
      </c>
      <c r="O141" s="3" t="s">
        <v>89</v>
      </c>
      <c r="P141" s="1">
        <f t="shared" si="10"/>
        <v>8</v>
      </c>
      <c r="Q141" s="1"/>
      <c r="R141" s="1"/>
      <c r="S141" s="1"/>
      <c r="T141" s="1"/>
      <c r="U141" s="1"/>
      <c r="V141" s="1"/>
      <c r="W141" s="1">
        <v>608001</v>
      </c>
      <c r="X141" s="1" t="s">
        <v>62</v>
      </c>
      <c r="Y141" s="1">
        <v>190</v>
      </c>
      <c r="Z141" s="1">
        <v>612001</v>
      </c>
      <c r="AA141" s="1" t="s">
        <v>91</v>
      </c>
      <c r="AB141" s="1">
        <v>850</v>
      </c>
      <c r="AC141" s="1"/>
      <c r="AD141" s="1"/>
      <c r="AE141" s="1"/>
      <c r="AF141" s="1">
        <f t="shared" si="11"/>
        <v>6150</v>
      </c>
      <c r="AG141" s="1" t="s">
        <v>97</v>
      </c>
    </row>
    <row r="142" spans="1:33" x14ac:dyDescent="0.15">
      <c r="A142" s="11" t="s">
        <v>87</v>
      </c>
      <c r="B142" s="3" t="s">
        <v>88</v>
      </c>
      <c r="C142" s="1">
        <v>20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>
        <v>909005</v>
      </c>
      <c r="O142" s="3" t="s">
        <v>89</v>
      </c>
      <c r="P142" s="1">
        <f t="shared" si="10"/>
        <v>8</v>
      </c>
      <c r="Q142" s="1"/>
      <c r="R142" s="1"/>
      <c r="S142" s="1"/>
      <c r="T142" s="1"/>
      <c r="U142" s="1"/>
      <c r="V142" s="1"/>
      <c r="W142" s="1">
        <v>608001</v>
      </c>
      <c r="X142" s="1" t="s">
        <v>62</v>
      </c>
      <c r="Y142" s="1">
        <v>200</v>
      </c>
      <c r="Z142" s="1">
        <v>612002</v>
      </c>
      <c r="AA142" s="1" t="s">
        <v>92</v>
      </c>
      <c r="AB142" s="1">
        <v>900</v>
      </c>
      <c r="AC142" s="1"/>
      <c r="AD142" s="1"/>
      <c r="AE142" s="1"/>
      <c r="AF142" s="1">
        <f t="shared" si="11"/>
        <v>6500</v>
      </c>
      <c r="AG142" s="1" t="s">
        <v>97</v>
      </c>
    </row>
    <row r="143" spans="1:33" x14ac:dyDescent="0.15">
      <c r="A143" s="11" t="s">
        <v>87</v>
      </c>
      <c r="B143" s="3" t="s">
        <v>88</v>
      </c>
      <c r="C143" s="1">
        <v>21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>
        <v>909005</v>
      </c>
      <c r="O143" s="3" t="s">
        <v>89</v>
      </c>
      <c r="P143" s="1">
        <f t="shared" si="10"/>
        <v>8</v>
      </c>
      <c r="Q143" s="1"/>
      <c r="R143" s="1"/>
      <c r="S143" s="1"/>
      <c r="T143" s="1"/>
      <c r="U143" s="1"/>
      <c r="V143" s="1"/>
      <c r="W143" s="1">
        <v>608001</v>
      </c>
      <c r="X143" s="1" t="s">
        <v>62</v>
      </c>
      <c r="Y143" s="1">
        <v>210</v>
      </c>
      <c r="Z143" s="1">
        <v>612003</v>
      </c>
      <c r="AA143" s="1" t="s">
        <v>93</v>
      </c>
      <c r="AB143" s="1">
        <v>950</v>
      </c>
      <c r="AC143" s="1"/>
      <c r="AD143" s="1"/>
      <c r="AE143" s="1"/>
      <c r="AF143" s="1">
        <f t="shared" si="11"/>
        <v>6850</v>
      </c>
      <c r="AG143" s="1" t="s">
        <v>97</v>
      </c>
    </row>
    <row r="144" spans="1:33" x14ac:dyDescent="0.15">
      <c r="A144" s="11" t="s">
        <v>87</v>
      </c>
      <c r="B144" s="3" t="s">
        <v>88</v>
      </c>
      <c r="C144" s="1">
        <v>22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>
        <v>909005</v>
      </c>
      <c r="O144" s="3" t="s">
        <v>89</v>
      </c>
      <c r="P144" s="1">
        <f t="shared" si="10"/>
        <v>9</v>
      </c>
      <c r="Q144" s="1"/>
      <c r="R144" s="1"/>
      <c r="S144" s="1"/>
      <c r="T144" s="1"/>
      <c r="U144" s="1"/>
      <c r="V144" s="1"/>
      <c r="W144" s="1">
        <v>608001</v>
      </c>
      <c r="X144" s="1" t="s">
        <v>62</v>
      </c>
      <c r="Y144" s="1">
        <v>220</v>
      </c>
      <c r="Z144" s="1">
        <v>612001</v>
      </c>
      <c r="AA144" s="1" t="s">
        <v>91</v>
      </c>
      <c r="AB144" s="1">
        <v>1000</v>
      </c>
      <c r="AC144" s="1"/>
      <c r="AD144" s="1"/>
      <c r="AE144" s="1"/>
      <c r="AF144" s="1">
        <f t="shared" si="11"/>
        <v>7200</v>
      </c>
      <c r="AG144" s="1" t="s">
        <v>97</v>
      </c>
    </row>
    <row r="145" spans="1:33" x14ac:dyDescent="0.15">
      <c r="A145" s="11" t="s">
        <v>87</v>
      </c>
      <c r="B145" s="3" t="s">
        <v>88</v>
      </c>
      <c r="C145" s="1">
        <v>23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>
        <v>909005</v>
      </c>
      <c r="O145" s="3" t="s">
        <v>89</v>
      </c>
      <c r="P145" s="1">
        <f t="shared" si="10"/>
        <v>9</v>
      </c>
      <c r="Q145" s="1"/>
      <c r="R145" s="1"/>
      <c r="S145" s="1"/>
      <c r="T145" s="1"/>
      <c r="U145" s="1"/>
      <c r="V145" s="1"/>
      <c r="W145" s="1">
        <v>608001</v>
      </c>
      <c r="X145" s="1" t="s">
        <v>62</v>
      </c>
      <c r="Y145" s="1">
        <v>230</v>
      </c>
      <c r="Z145" s="1">
        <v>612002</v>
      </c>
      <c r="AA145" s="1" t="s">
        <v>92</v>
      </c>
      <c r="AB145" s="1">
        <v>1100</v>
      </c>
      <c r="AC145" s="1"/>
      <c r="AD145" s="1"/>
      <c r="AE145" s="1"/>
      <c r="AF145" s="1">
        <f t="shared" si="11"/>
        <v>7800</v>
      </c>
      <c r="AG145" s="1" t="s">
        <v>97</v>
      </c>
    </row>
    <row r="146" spans="1:33" x14ac:dyDescent="0.15">
      <c r="A146" s="11" t="s">
        <v>87</v>
      </c>
      <c r="B146" s="3" t="s">
        <v>88</v>
      </c>
      <c r="C146" s="1">
        <v>24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>
        <v>909005</v>
      </c>
      <c r="O146" s="3" t="s">
        <v>89</v>
      </c>
      <c r="P146" s="1">
        <f t="shared" si="10"/>
        <v>9</v>
      </c>
      <c r="Q146" s="1"/>
      <c r="R146" s="1"/>
      <c r="S146" s="1"/>
      <c r="T146" s="1"/>
      <c r="U146" s="1"/>
      <c r="V146" s="1"/>
      <c r="W146" s="1">
        <v>608001</v>
      </c>
      <c r="X146" s="1" t="s">
        <v>62</v>
      </c>
      <c r="Y146" s="1">
        <v>240</v>
      </c>
      <c r="Z146" s="1">
        <v>612003</v>
      </c>
      <c r="AA146" s="1" t="s">
        <v>93</v>
      </c>
      <c r="AB146" s="1">
        <v>1200</v>
      </c>
      <c r="AC146" s="1"/>
      <c r="AD146" s="1"/>
      <c r="AE146" s="1"/>
      <c r="AF146" s="1">
        <f t="shared" si="11"/>
        <v>8400</v>
      </c>
      <c r="AG146" s="1" t="s">
        <v>97</v>
      </c>
    </row>
    <row r="147" spans="1:33" x14ac:dyDescent="0.15">
      <c r="A147" s="11" t="s">
        <v>87</v>
      </c>
      <c r="B147" s="3" t="s">
        <v>88</v>
      </c>
      <c r="C147" s="1">
        <v>25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>
        <v>909005</v>
      </c>
      <c r="O147" s="3" t="s">
        <v>89</v>
      </c>
      <c r="P147" s="1">
        <f t="shared" si="10"/>
        <v>10</v>
      </c>
      <c r="Q147" s="1"/>
      <c r="R147" s="1"/>
      <c r="S147" s="1"/>
      <c r="T147" s="1"/>
      <c r="U147" s="1"/>
      <c r="V147" s="1"/>
      <c r="W147" s="1">
        <v>608001</v>
      </c>
      <c r="X147" s="1" t="s">
        <v>62</v>
      </c>
      <c r="Y147" s="1">
        <v>250</v>
      </c>
      <c r="Z147" s="1">
        <v>612001</v>
      </c>
      <c r="AA147" s="1" t="s">
        <v>91</v>
      </c>
      <c r="AB147" s="1">
        <v>1300</v>
      </c>
      <c r="AC147" s="1"/>
      <c r="AD147" s="1"/>
      <c r="AE147" s="1"/>
      <c r="AF147" s="1">
        <f t="shared" si="11"/>
        <v>9000</v>
      </c>
      <c r="AG147" s="1" t="s">
        <v>97</v>
      </c>
    </row>
    <row r="148" spans="1:33" x14ac:dyDescent="0.15">
      <c r="A148" s="11" t="s">
        <v>87</v>
      </c>
      <c r="B148" s="3" t="s">
        <v>88</v>
      </c>
      <c r="C148" s="1">
        <v>26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>
        <v>909005</v>
      </c>
      <c r="O148" s="3" t="s">
        <v>89</v>
      </c>
      <c r="P148" s="1">
        <f t="shared" si="10"/>
        <v>10</v>
      </c>
      <c r="Q148" s="1"/>
      <c r="R148" s="1"/>
      <c r="S148" s="1"/>
      <c r="T148" s="1"/>
      <c r="U148" s="1"/>
      <c r="V148" s="1"/>
      <c r="W148" s="1">
        <v>608001</v>
      </c>
      <c r="X148" s="1" t="s">
        <v>62</v>
      </c>
      <c r="Y148" s="1">
        <v>260</v>
      </c>
      <c r="Z148" s="1">
        <v>612002</v>
      </c>
      <c r="AA148" s="1" t="s">
        <v>92</v>
      </c>
      <c r="AB148" s="1">
        <v>1400</v>
      </c>
      <c r="AC148" s="1"/>
      <c r="AD148" s="1"/>
      <c r="AE148" s="1"/>
      <c r="AF148" s="1">
        <f t="shared" si="11"/>
        <v>9600</v>
      </c>
      <c r="AG148" s="1" t="s">
        <v>97</v>
      </c>
    </row>
    <row r="149" spans="1:33" x14ac:dyDescent="0.15">
      <c r="A149" s="11" t="s">
        <v>87</v>
      </c>
      <c r="B149" s="3" t="s">
        <v>88</v>
      </c>
      <c r="C149" s="1">
        <v>27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>
        <v>909005</v>
      </c>
      <c r="O149" s="3" t="s">
        <v>89</v>
      </c>
      <c r="P149" s="1">
        <f t="shared" si="10"/>
        <v>10</v>
      </c>
      <c r="Q149" s="1"/>
      <c r="R149" s="1"/>
      <c r="S149" s="1"/>
      <c r="T149" s="1"/>
      <c r="U149" s="1"/>
      <c r="V149" s="1"/>
      <c r="W149" s="1">
        <v>608001</v>
      </c>
      <c r="X149" s="1" t="s">
        <v>62</v>
      </c>
      <c r="Y149" s="1">
        <v>270</v>
      </c>
      <c r="Z149" s="1">
        <v>612003</v>
      </c>
      <c r="AA149" s="1" t="s">
        <v>93</v>
      </c>
      <c r="AB149" s="1">
        <v>1500</v>
      </c>
      <c r="AC149" s="1"/>
      <c r="AD149" s="1"/>
      <c r="AE149" s="1"/>
      <c r="AF149" s="1">
        <f t="shared" si="11"/>
        <v>10200</v>
      </c>
      <c r="AG149" s="1" t="s">
        <v>97</v>
      </c>
    </row>
    <row r="150" spans="1:33" x14ac:dyDescent="0.15">
      <c r="A150" s="11" t="s">
        <v>87</v>
      </c>
      <c r="B150" s="3" t="s">
        <v>88</v>
      </c>
      <c r="C150" s="1">
        <v>28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>
        <v>909005</v>
      </c>
      <c r="O150" s="3" t="s">
        <v>89</v>
      </c>
      <c r="P150" s="1">
        <f t="shared" si="10"/>
        <v>11</v>
      </c>
      <c r="Q150" s="1"/>
      <c r="R150" s="1"/>
      <c r="S150" s="1"/>
      <c r="T150" s="1"/>
      <c r="U150" s="1"/>
      <c r="V150" s="1"/>
      <c r="W150" s="1">
        <v>608001</v>
      </c>
      <c r="X150" s="1" t="s">
        <v>62</v>
      </c>
      <c r="Y150" s="1">
        <v>280</v>
      </c>
      <c r="Z150" s="1">
        <v>612001</v>
      </c>
      <c r="AA150" s="1" t="s">
        <v>91</v>
      </c>
      <c r="AB150" s="1">
        <v>1600</v>
      </c>
      <c r="AC150" s="1"/>
      <c r="AD150" s="1"/>
      <c r="AE150" s="1"/>
      <c r="AF150" s="1">
        <f t="shared" si="11"/>
        <v>10800</v>
      </c>
      <c r="AG150" s="1" t="s">
        <v>97</v>
      </c>
    </row>
    <row r="151" spans="1:33" x14ac:dyDescent="0.15">
      <c r="A151" s="11" t="s">
        <v>87</v>
      </c>
      <c r="B151" s="3" t="s">
        <v>88</v>
      </c>
      <c r="C151" s="1">
        <v>29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>
        <v>909005</v>
      </c>
      <c r="O151" s="3" t="s">
        <v>89</v>
      </c>
      <c r="P151" s="1">
        <f t="shared" si="10"/>
        <v>11</v>
      </c>
      <c r="Q151" s="1"/>
      <c r="R151" s="1"/>
      <c r="S151" s="1"/>
      <c r="T151" s="1"/>
      <c r="U151" s="1"/>
      <c r="V151" s="1"/>
      <c r="W151" s="1">
        <v>608001</v>
      </c>
      <c r="X151" s="1" t="s">
        <v>62</v>
      </c>
      <c r="Y151" s="1">
        <v>290</v>
      </c>
      <c r="Z151" s="1">
        <v>612002</v>
      </c>
      <c r="AA151" s="1" t="s">
        <v>92</v>
      </c>
      <c r="AB151" s="1">
        <v>1700</v>
      </c>
      <c r="AC151" s="1"/>
      <c r="AD151" s="1"/>
      <c r="AE151" s="1"/>
      <c r="AF151" s="1">
        <f t="shared" si="11"/>
        <v>11400</v>
      </c>
      <c r="AG151" s="1" t="s">
        <v>97</v>
      </c>
    </row>
    <row r="152" spans="1:33" x14ac:dyDescent="0.15">
      <c r="A152" s="11" t="s">
        <v>87</v>
      </c>
      <c r="B152" s="3" t="s">
        <v>88</v>
      </c>
      <c r="C152" s="1">
        <v>30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>
        <v>909005</v>
      </c>
      <c r="O152" s="3" t="s">
        <v>89</v>
      </c>
      <c r="P152" s="1">
        <f t="shared" si="10"/>
        <v>11</v>
      </c>
      <c r="Q152" s="1"/>
      <c r="R152" s="1"/>
      <c r="S152" s="1"/>
      <c r="T152" s="1"/>
      <c r="U152" s="1"/>
      <c r="V152" s="1"/>
      <c r="W152" s="1">
        <v>608001</v>
      </c>
      <c r="X152" s="1" t="s">
        <v>62</v>
      </c>
      <c r="Y152" s="1">
        <v>300</v>
      </c>
      <c r="Z152" s="1">
        <v>612003</v>
      </c>
      <c r="AA152" s="1" t="s">
        <v>93</v>
      </c>
      <c r="AB152" s="1">
        <v>1800</v>
      </c>
      <c r="AC152" s="1"/>
      <c r="AD152" s="1"/>
      <c r="AE152" s="1"/>
      <c r="AF152" s="1">
        <f t="shared" si="11"/>
        <v>12000</v>
      </c>
      <c r="AG152" s="1" t="s">
        <v>97</v>
      </c>
    </row>
    <row r="153" spans="1:33" x14ac:dyDescent="0.15">
      <c r="A153" s="11" t="s">
        <v>87</v>
      </c>
      <c r="B153" s="3" t="s">
        <v>88</v>
      </c>
      <c r="C153" s="1">
        <v>31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>
        <v>909005</v>
      </c>
      <c r="O153" s="3" t="s">
        <v>89</v>
      </c>
      <c r="P153" s="1">
        <f t="shared" si="10"/>
        <v>12</v>
      </c>
      <c r="Q153" s="1"/>
      <c r="R153" s="1"/>
      <c r="S153" s="1"/>
      <c r="T153" s="1"/>
      <c r="U153" s="1"/>
      <c r="V153" s="1"/>
      <c r="W153" s="1">
        <v>608001</v>
      </c>
      <c r="X153" s="1" t="s">
        <v>62</v>
      </c>
      <c r="Y153" s="1">
        <v>310</v>
      </c>
      <c r="Z153" s="1">
        <v>612001</v>
      </c>
      <c r="AA153" s="1" t="s">
        <v>91</v>
      </c>
      <c r="AB153" s="1">
        <v>1900</v>
      </c>
      <c r="AC153" s="1"/>
      <c r="AD153" s="1"/>
      <c r="AE153" s="1"/>
      <c r="AF153" s="1">
        <f t="shared" si="11"/>
        <v>12600</v>
      </c>
      <c r="AG153" s="1" t="s">
        <v>97</v>
      </c>
    </row>
    <row r="154" spans="1:33" x14ac:dyDescent="0.15">
      <c r="A154" s="11" t="s">
        <v>87</v>
      </c>
      <c r="B154" s="3" t="s">
        <v>88</v>
      </c>
      <c r="C154" s="1">
        <v>32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>
        <v>909005</v>
      </c>
      <c r="O154" s="3" t="s">
        <v>89</v>
      </c>
      <c r="P154" s="1">
        <f t="shared" si="10"/>
        <v>12</v>
      </c>
      <c r="Q154" s="1"/>
      <c r="R154" s="1"/>
      <c r="S154" s="1"/>
      <c r="T154" s="1"/>
      <c r="U154" s="1"/>
      <c r="V154" s="1"/>
      <c r="W154" s="1">
        <v>608001</v>
      </c>
      <c r="X154" s="1" t="s">
        <v>62</v>
      </c>
      <c r="Y154" s="1">
        <v>320</v>
      </c>
      <c r="Z154" s="1">
        <v>612002</v>
      </c>
      <c r="AA154" s="1" t="s">
        <v>92</v>
      </c>
      <c r="AB154" s="1">
        <v>2000</v>
      </c>
      <c r="AC154" s="1"/>
      <c r="AD154" s="1"/>
      <c r="AE154" s="1"/>
      <c r="AF154" s="1">
        <f t="shared" si="11"/>
        <v>13200</v>
      </c>
      <c r="AG154" s="1" t="s">
        <v>97</v>
      </c>
    </row>
    <row r="155" spans="1:33" x14ac:dyDescent="0.15">
      <c r="A155" s="11" t="s">
        <v>87</v>
      </c>
      <c r="B155" s="3" t="s">
        <v>88</v>
      </c>
      <c r="C155" s="1">
        <v>33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>
        <v>909005</v>
      </c>
      <c r="O155" s="3" t="s">
        <v>89</v>
      </c>
      <c r="P155" s="1">
        <f t="shared" si="10"/>
        <v>12</v>
      </c>
      <c r="Q155" s="1"/>
      <c r="R155" s="1"/>
      <c r="S155" s="1"/>
      <c r="T155" s="1"/>
      <c r="U155" s="1"/>
      <c r="V155" s="1"/>
      <c r="W155" s="1">
        <v>608001</v>
      </c>
      <c r="X155" s="1" t="s">
        <v>62</v>
      </c>
      <c r="Y155" s="1">
        <v>330</v>
      </c>
      <c r="Z155" s="1">
        <v>612003</v>
      </c>
      <c r="AA155" s="1" t="s">
        <v>93</v>
      </c>
      <c r="AB155" s="1">
        <v>2100</v>
      </c>
      <c r="AC155" s="1"/>
      <c r="AD155" s="1"/>
      <c r="AE155" s="1"/>
      <c r="AF155" s="1">
        <f t="shared" si="11"/>
        <v>13800</v>
      </c>
      <c r="AG155" s="1" t="s">
        <v>97</v>
      </c>
    </row>
    <row r="156" spans="1:33" x14ac:dyDescent="0.15">
      <c r="A156" s="11" t="s">
        <v>87</v>
      </c>
      <c r="B156" s="3" t="s">
        <v>88</v>
      </c>
      <c r="C156" s="1">
        <v>34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>
        <v>909005</v>
      </c>
      <c r="O156" s="3" t="s">
        <v>89</v>
      </c>
      <c r="P156" s="1">
        <f t="shared" si="10"/>
        <v>13</v>
      </c>
      <c r="Q156" s="1"/>
      <c r="R156" s="1"/>
      <c r="S156" s="1"/>
      <c r="T156" s="1"/>
      <c r="U156" s="1"/>
      <c r="V156" s="1"/>
      <c r="W156" s="1">
        <v>608001</v>
      </c>
      <c r="X156" s="1" t="s">
        <v>62</v>
      </c>
      <c r="Y156" s="1">
        <v>340</v>
      </c>
      <c r="Z156" s="1">
        <v>612001</v>
      </c>
      <c r="AA156" s="1" t="s">
        <v>91</v>
      </c>
      <c r="AB156" s="1">
        <v>2200</v>
      </c>
      <c r="AC156" s="1"/>
      <c r="AD156" s="1"/>
      <c r="AE156" s="1"/>
      <c r="AF156" s="1">
        <f t="shared" si="11"/>
        <v>14400</v>
      </c>
      <c r="AG156" s="1" t="s">
        <v>97</v>
      </c>
    </row>
    <row r="157" spans="1:33" x14ac:dyDescent="0.15">
      <c r="A157" s="11" t="s">
        <v>87</v>
      </c>
      <c r="B157" s="3" t="s">
        <v>88</v>
      </c>
      <c r="C157" s="1">
        <v>35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>
        <v>909005</v>
      </c>
      <c r="O157" s="3" t="s">
        <v>89</v>
      </c>
      <c r="P157" s="1">
        <f t="shared" si="10"/>
        <v>13</v>
      </c>
      <c r="Q157" s="1"/>
      <c r="R157" s="1"/>
      <c r="S157" s="1"/>
      <c r="T157" s="1"/>
      <c r="U157" s="1"/>
      <c r="V157" s="1"/>
      <c r="W157" s="1">
        <v>608001</v>
      </c>
      <c r="X157" s="1" t="s">
        <v>62</v>
      </c>
      <c r="Y157" s="1">
        <v>350</v>
      </c>
      <c r="Z157" s="1">
        <v>612002</v>
      </c>
      <c r="AA157" s="1" t="s">
        <v>92</v>
      </c>
      <c r="AB157" s="1">
        <v>2300</v>
      </c>
      <c r="AC157" s="1"/>
      <c r="AD157" s="1"/>
      <c r="AE157" s="1"/>
      <c r="AF157" s="1">
        <f t="shared" si="11"/>
        <v>15000</v>
      </c>
      <c r="AG157" s="1" t="s">
        <v>97</v>
      </c>
    </row>
    <row r="158" spans="1:33" x14ac:dyDescent="0.15">
      <c r="A158" s="11" t="s">
        <v>87</v>
      </c>
      <c r="B158" s="3" t="s">
        <v>88</v>
      </c>
      <c r="C158" s="1">
        <v>36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>
        <v>909005</v>
      </c>
      <c r="O158" s="3" t="s">
        <v>89</v>
      </c>
      <c r="P158" s="1">
        <f t="shared" si="10"/>
        <v>13</v>
      </c>
      <c r="Q158" s="1"/>
      <c r="R158" s="1"/>
      <c r="S158" s="1"/>
      <c r="T158" s="1"/>
      <c r="U158" s="1"/>
      <c r="V158" s="1"/>
      <c r="W158" s="1">
        <v>608001</v>
      </c>
      <c r="X158" s="1" t="s">
        <v>62</v>
      </c>
      <c r="Y158" s="1">
        <v>360</v>
      </c>
      <c r="Z158" s="1">
        <v>612003</v>
      </c>
      <c r="AA158" s="1" t="s">
        <v>93</v>
      </c>
      <c r="AB158" s="1">
        <v>2400</v>
      </c>
      <c r="AC158" s="1"/>
      <c r="AD158" s="1"/>
      <c r="AE158" s="1"/>
      <c r="AF158" s="1">
        <f t="shared" si="11"/>
        <v>15600</v>
      </c>
      <c r="AG158" s="1" t="s">
        <v>97</v>
      </c>
    </row>
    <row r="159" spans="1:33" x14ac:dyDescent="0.15">
      <c r="A159" s="11" t="s">
        <v>87</v>
      </c>
      <c r="B159" s="3" t="s">
        <v>88</v>
      </c>
      <c r="C159" s="1">
        <v>37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>
        <v>909005</v>
      </c>
      <c r="O159" s="3" t="s">
        <v>89</v>
      </c>
      <c r="P159" s="1">
        <f t="shared" si="10"/>
        <v>14</v>
      </c>
      <c r="Q159" s="1"/>
      <c r="R159" s="1"/>
      <c r="S159" s="1"/>
      <c r="T159" s="1"/>
      <c r="U159" s="1"/>
      <c r="V159" s="1"/>
      <c r="W159" s="1">
        <v>608001</v>
      </c>
      <c r="X159" s="1" t="s">
        <v>62</v>
      </c>
      <c r="Y159" s="1">
        <v>370</v>
      </c>
      <c r="Z159" s="1">
        <v>612001</v>
      </c>
      <c r="AA159" s="1" t="s">
        <v>91</v>
      </c>
      <c r="AB159" s="1">
        <v>2500</v>
      </c>
      <c r="AC159" s="1"/>
      <c r="AD159" s="1"/>
      <c r="AE159" s="1"/>
      <c r="AF159" s="1">
        <f t="shared" si="11"/>
        <v>16200</v>
      </c>
      <c r="AG159" s="1" t="s">
        <v>97</v>
      </c>
    </row>
    <row r="160" spans="1:33" x14ac:dyDescent="0.15">
      <c r="A160" s="11" t="s">
        <v>87</v>
      </c>
      <c r="B160" s="3" t="s">
        <v>88</v>
      </c>
      <c r="C160" s="1">
        <v>38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>
        <v>909005</v>
      </c>
      <c r="O160" s="3" t="s">
        <v>89</v>
      </c>
      <c r="P160" s="1">
        <f t="shared" si="10"/>
        <v>14</v>
      </c>
      <c r="Q160" s="1"/>
      <c r="R160" s="1"/>
      <c r="S160" s="1"/>
      <c r="T160" s="1"/>
      <c r="U160" s="1"/>
      <c r="V160" s="1"/>
      <c r="W160" s="1">
        <v>608001</v>
      </c>
      <c r="X160" s="1" t="s">
        <v>62</v>
      </c>
      <c r="Y160" s="1">
        <v>380</v>
      </c>
      <c r="Z160" s="1">
        <v>612002</v>
      </c>
      <c r="AA160" s="1" t="s">
        <v>92</v>
      </c>
      <c r="AB160" s="1">
        <v>2600</v>
      </c>
      <c r="AC160" s="1"/>
      <c r="AD160" s="1"/>
      <c r="AE160" s="1"/>
      <c r="AF160" s="1">
        <f t="shared" si="11"/>
        <v>16800</v>
      </c>
      <c r="AG160" s="1" t="s">
        <v>97</v>
      </c>
    </row>
    <row r="161" spans="1:33" x14ac:dyDescent="0.15">
      <c r="A161" s="11" t="s">
        <v>87</v>
      </c>
      <c r="B161" s="3" t="s">
        <v>88</v>
      </c>
      <c r="C161" s="1">
        <v>39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>
        <v>909005</v>
      </c>
      <c r="O161" s="3" t="s">
        <v>89</v>
      </c>
      <c r="P161" s="1">
        <f t="shared" si="10"/>
        <v>14</v>
      </c>
      <c r="Q161" s="1"/>
      <c r="R161" s="1"/>
      <c r="S161" s="1"/>
      <c r="T161" s="1"/>
      <c r="U161" s="1"/>
      <c r="V161" s="1"/>
      <c r="W161" s="1">
        <v>608001</v>
      </c>
      <c r="X161" s="1" t="s">
        <v>62</v>
      </c>
      <c r="Y161" s="1">
        <v>390</v>
      </c>
      <c r="Z161" s="1">
        <v>612003</v>
      </c>
      <c r="AA161" s="1" t="s">
        <v>93</v>
      </c>
      <c r="AB161" s="1">
        <v>2700</v>
      </c>
      <c r="AC161" s="1"/>
      <c r="AD161" s="1"/>
      <c r="AE161" s="1"/>
      <c r="AF161" s="1">
        <f t="shared" si="11"/>
        <v>17400</v>
      </c>
      <c r="AG161" s="1" t="s">
        <v>97</v>
      </c>
    </row>
    <row r="162" spans="1:33" x14ac:dyDescent="0.15">
      <c r="A162" s="11" t="s">
        <v>87</v>
      </c>
      <c r="B162" s="3" t="s">
        <v>88</v>
      </c>
      <c r="C162" s="1">
        <v>40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>
        <v>909005</v>
      </c>
      <c r="O162" s="3" t="s">
        <v>89</v>
      </c>
      <c r="P162" s="1">
        <f t="shared" si="10"/>
        <v>15</v>
      </c>
      <c r="Q162" s="1"/>
      <c r="R162" s="1"/>
      <c r="S162" s="1"/>
      <c r="T162" s="1"/>
      <c r="U162" s="1"/>
      <c r="V162" s="1"/>
      <c r="W162" s="1">
        <v>608001</v>
      </c>
      <c r="X162" s="1" t="s">
        <v>62</v>
      </c>
      <c r="Y162" s="1">
        <v>400</v>
      </c>
      <c r="Z162" s="1">
        <v>612001</v>
      </c>
      <c r="AA162" s="1" t="s">
        <v>91</v>
      </c>
      <c r="AB162" s="1">
        <v>2800</v>
      </c>
      <c r="AC162" s="1"/>
      <c r="AD162" s="1"/>
      <c r="AE162" s="1"/>
      <c r="AF162" s="1">
        <f t="shared" si="11"/>
        <v>18000</v>
      </c>
      <c r="AG162" s="1" t="s">
        <v>97</v>
      </c>
    </row>
    <row r="163" spans="1:33" x14ac:dyDescent="0.15">
      <c r="A163" s="11" t="s">
        <v>87</v>
      </c>
      <c r="B163" s="3" t="s">
        <v>88</v>
      </c>
      <c r="C163" s="1">
        <v>41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>
        <v>909005</v>
      </c>
      <c r="O163" s="3" t="s">
        <v>89</v>
      </c>
      <c r="P163" s="1">
        <f t="shared" si="10"/>
        <v>15</v>
      </c>
      <c r="Q163" s="1"/>
      <c r="R163" s="1"/>
      <c r="S163" s="1"/>
      <c r="T163" s="1"/>
      <c r="U163" s="1"/>
      <c r="V163" s="1"/>
      <c r="W163" s="1">
        <v>608001</v>
      </c>
      <c r="X163" s="1" t="s">
        <v>62</v>
      </c>
      <c r="Y163" s="1">
        <v>410</v>
      </c>
      <c r="Z163" s="1">
        <v>612002</v>
      </c>
      <c r="AA163" s="1" t="s">
        <v>92</v>
      </c>
      <c r="AB163" s="1">
        <v>2900</v>
      </c>
      <c r="AC163" s="1"/>
      <c r="AD163" s="1"/>
      <c r="AE163" s="1"/>
      <c r="AF163" s="1">
        <f t="shared" si="11"/>
        <v>18600</v>
      </c>
      <c r="AG163" s="1" t="s">
        <v>97</v>
      </c>
    </row>
    <row r="164" spans="1:33" x14ac:dyDescent="0.15">
      <c r="A164" s="11" t="s">
        <v>87</v>
      </c>
      <c r="B164" s="3" t="s">
        <v>88</v>
      </c>
      <c r="C164" s="1">
        <v>42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>
        <v>909005</v>
      </c>
      <c r="O164" s="3" t="s">
        <v>89</v>
      </c>
      <c r="P164" s="1">
        <f t="shared" si="10"/>
        <v>15</v>
      </c>
      <c r="Q164" s="1"/>
      <c r="R164" s="1"/>
      <c r="S164" s="1"/>
      <c r="T164" s="1"/>
      <c r="U164" s="1"/>
      <c r="V164" s="1"/>
      <c r="W164" s="1">
        <v>608001</v>
      </c>
      <c r="X164" s="1" t="s">
        <v>62</v>
      </c>
      <c r="Y164" s="1">
        <v>420</v>
      </c>
      <c r="Z164" s="1">
        <v>612003</v>
      </c>
      <c r="AA164" s="1" t="s">
        <v>93</v>
      </c>
      <c r="AB164" s="1">
        <v>3000</v>
      </c>
      <c r="AC164" s="1"/>
      <c r="AD164" s="1"/>
      <c r="AE164" s="1"/>
      <c r="AF164" s="1">
        <f t="shared" si="11"/>
        <v>19200</v>
      </c>
      <c r="AG164" s="1" t="s">
        <v>97</v>
      </c>
    </row>
    <row r="165" spans="1:33" x14ac:dyDescent="0.15">
      <c r="A165" s="11" t="s">
        <v>87</v>
      </c>
      <c r="B165" s="3" t="s">
        <v>88</v>
      </c>
      <c r="C165" s="1">
        <v>43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>
        <v>909005</v>
      </c>
      <c r="O165" s="3" t="s">
        <v>89</v>
      </c>
      <c r="P165" s="1">
        <f t="shared" si="10"/>
        <v>16</v>
      </c>
      <c r="Q165" s="1"/>
      <c r="R165" s="1"/>
      <c r="S165" s="1"/>
      <c r="T165" s="1"/>
      <c r="U165" s="1"/>
      <c r="V165" s="1"/>
      <c r="W165" s="1">
        <v>608001</v>
      </c>
      <c r="X165" s="1" t="s">
        <v>62</v>
      </c>
      <c r="Y165" s="1">
        <v>430</v>
      </c>
      <c r="Z165" s="1">
        <v>612001</v>
      </c>
      <c r="AA165" s="1" t="s">
        <v>91</v>
      </c>
      <c r="AB165" s="1">
        <v>3100</v>
      </c>
      <c r="AC165" s="1"/>
      <c r="AD165" s="1"/>
      <c r="AE165" s="1"/>
      <c r="AF165" s="1">
        <f t="shared" si="11"/>
        <v>19800</v>
      </c>
      <c r="AG165" s="1" t="s">
        <v>97</v>
      </c>
    </row>
    <row r="166" spans="1:33" x14ac:dyDescent="0.15">
      <c r="A166" s="11" t="s">
        <v>87</v>
      </c>
      <c r="B166" s="3" t="s">
        <v>88</v>
      </c>
      <c r="C166" s="1">
        <v>44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>
        <v>909005</v>
      </c>
      <c r="O166" s="3" t="s">
        <v>89</v>
      </c>
      <c r="P166" s="1">
        <f t="shared" si="10"/>
        <v>16</v>
      </c>
      <c r="Q166" s="1"/>
      <c r="R166" s="1"/>
      <c r="S166" s="1"/>
      <c r="T166" s="1"/>
      <c r="U166" s="1"/>
      <c r="V166" s="1"/>
      <c r="W166" s="1">
        <v>608001</v>
      </c>
      <c r="X166" s="1" t="s">
        <v>62</v>
      </c>
      <c r="Y166" s="1">
        <v>440</v>
      </c>
      <c r="Z166" s="1">
        <v>612002</v>
      </c>
      <c r="AA166" s="1" t="s">
        <v>92</v>
      </c>
      <c r="AB166" s="1">
        <v>3200</v>
      </c>
      <c r="AC166" s="1"/>
      <c r="AD166" s="1"/>
      <c r="AE166" s="1"/>
      <c r="AF166" s="1">
        <f t="shared" si="11"/>
        <v>20400</v>
      </c>
      <c r="AG166" s="1" t="s">
        <v>97</v>
      </c>
    </row>
    <row r="167" spans="1:33" x14ac:dyDescent="0.15">
      <c r="A167" s="11" t="s">
        <v>87</v>
      </c>
      <c r="B167" s="3" t="s">
        <v>88</v>
      </c>
      <c r="C167" s="1">
        <v>45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>
        <v>909005</v>
      </c>
      <c r="O167" s="3" t="s">
        <v>89</v>
      </c>
      <c r="P167" s="1">
        <f t="shared" si="10"/>
        <v>16</v>
      </c>
      <c r="Q167" s="1"/>
      <c r="R167" s="1"/>
      <c r="S167" s="1"/>
      <c r="T167" s="1"/>
      <c r="U167" s="1"/>
      <c r="V167" s="1"/>
      <c r="W167" s="1">
        <v>608001</v>
      </c>
      <c r="X167" s="1" t="s">
        <v>62</v>
      </c>
      <c r="Y167" s="1">
        <v>450</v>
      </c>
      <c r="Z167" s="1">
        <v>612003</v>
      </c>
      <c r="AA167" s="1" t="s">
        <v>93</v>
      </c>
      <c r="AB167" s="1">
        <v>3300</v>
      </c>
      <c r="AC167" s="1"/>
      <c r="AD167" s="1"/>
      <c r="AE167" s="1"/>
      <c r="AF167" s="1">
        <f t="shared" si="11"/>
        <v>21000</v>
      </c>
      <c r="AG167" s="1" t="s">
        <v>97</v>
      </c>
    </row>
    <row r="168" spans="1:33" x14ac:dyDescent="0.15">
      <c r="A168" s="11" t="s">
        <v>87</v>
      </c>
      <c r="B168" s="3" t="s">
        <v>88</v>
      </c>
      <c r="C168" s="1">
        <v>46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>
        <v>909005</v>
      </c>
      <c r="O168" s="3" t="s">
        <v>89</v>
      </c>
      <c r="P168" s="1">
        <f t="shared" si="10"/>
        <v>17</v>
      </c>
      <c r="Q168" s="1"/>
      <c r="R168" s="1"/>
      <c r="S168" s="1"/>
      <c r="T168" s="1"/>
      <c r="U168" s="1"/>
      <c r="V168" s="1"/>
      <c r="W168" s="1">
        <v>608001</v>
      </c>
      <c r="X168" s="1" t="s">
        <v>62</v>
      </c>
      <c r="Y168" s="1">
        <v>460</v>
      </c>
      <c r="Z168" s="1">
        <v>612001</v>
      </c>
      <c r="AA168" s="1" t="s">
        <v>91</v>
      </c>
      <c r="AB168" s="1">
        <v>3400</v>
      </c>
      <c r="AC168" s="1"/>
      <c r="AD168" s="1"/>
      <c r="AE168" s="1"/>
      <c r="AF168" s="1">
        <f t="shared" si="11"/>
        <v>21600</v>
      </c>
      <c r="AG168" s="1" t="s">
        <v>97</v>
      </c>
    </row>
    <row r="169" spans="1:33" x14ac:dyDescent="0.15">
      <c r="A169" s="11" t="s">
        <v>87</v>
      </c>
      <c r="B169" s="3" t="s">
        <v>88</v>
      </c>
      <c r="C169" s="1">
        <v>47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>
        <v>909005</v>
      </c>
      <c r="O169" s="3" t="s">
        <v>89</v>
      </c>
      <c r="P169" s="1">
        <f t="shared" si="10"/>
        <v>17</v>
      </c>
      <c r="Q169" s="1"/>
      <c r="R169" s="1"/>
      <c r="S169" s="1"/>
      <c r="T169" s="1"/>
      <c r="U169" s="1"/>
      <c r="V169" s="1"/>
      <c r="W169" s="1">
        <v>608001</v>
      </c>
      <c r="X169" s="1" t="s">
        <v>62</v>
      </c>
      <c r="Y169" s="1">
        <v>470</v>
      </c>
      <c r="Z169" s="1">
        <v>612002</v>
      </c>
      <c r="AA169" s="1" t="s">
        <v>92</v>
      </c>
      <c r="AB169" s="1">
        <v>3500</v>
      </c>
      <c r="AC169" s="1"/>
      <c r="AD169" s="1"/>
      <c r="AE169" s="1"/>
      <c r="AF169" s="1">
        <f t="shared" si="11"/>
        <v>22200</v>
      </c>
      <c r="AG169" s="1" t="s">
        <v>97</v>
      </c>
    </row>
    <row r="170" spans="1:33" x14ac:dyDescent="0.15">
      <c r="A170" s="11" t="s">
        <v>87</v>
      </c>
      <c r="B170" s="3" t="s">
        <v>88</v>
      </c>
      <c r="C170" s="1">
        <v>48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>
        <v>909005</v>
      </c>
      <c r="O170" s="3" t="s">
        <v>89</v>
      </c>
      <c r="P170" s="1">
        <f t="shared" si="10"/>
        <v>17</v>
      </c>
      <c r="Q170" s="1"/>
      <c r="R170" s="1"/>
      <c r="S170" s="1"/>
      <c r="T170" s="1"/>
      <c r="U170" s="1"/>
      <c r="V170" s="1"/>
      <c r="W170" s="1">
        <v>608001</v>
      </c>
      <c r="X170" s="1" t="s">
        <v>62</v>
      </c>
      <c r="Y170" s="1">
        <v>480</v>
      </c>
      <c r="Z170" s="1">
        <v>612003</v>
      </c>
      <c r="AA170" s="1" t="s">
        <v>93</v>
      </c>
      <c r="AB170" s="1">
        <v>3600</v>
      </c>
      <c r="AC170" s="1"/>
      <c r="AD170" s="1"/>
      <c r="AE170" s="1"/>
      <c r="AF170" s="1">
        <f t="shared" si="11"/>
        <v>22800</v>
      </c>
      <c r="AG170" s="1" t="s">
        <v>97</v>
      </c>
    </row>
    <row r="171" spans="1:33" x14ac:dyDescent="0.15">
      <c r="A171" s="11" t="s">
        <v>87</v>
      </c>
      <c r="B171" s="3" t="s">
        <v>88</v>
      </c>
      <c r="C171" s="1">
        <v>49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>
        <v>909005</v>
      </c>
      <c r="O171" s="3" t="s">
        <v>89</v>
      </c>
      <c r="P171" s="1">
        <f t="shared" si="10"/>
        <v>18</v>
      </c>
      <c r="Q171" s="1"/>
      <c r="R171" s="1"/>
      <c r="S171" s="1"/>
      <c r="T171" s="1"/>
      <c r="U171" s="1"/>
      <c r="V171" s="1"/>
      <c r="W171" s="1">
        <v>608001</v>
      </c>
      <c r="X171" s="1" t="s">
        <v>62</v>
      </c>
      <c r="Y171" s="1">
        <v>490</v>
      </c>
      <c r="Z171" s="1">
        <v>612001</v>
      </c>
      <c r="AA171" s="1" t="s">
        <v>91</v>
      </c>
      <c r="AB171" s="1">
        <v>3700</v>
      </c>
      <c r="AC171" s="1"/>
      <c r="AD171" s="1"/>
      <c r="AE171" s="1"/>
      <c r="AF171" s="1">
        <f t="shared" si="11"/>
        <v>23400</v>
      </c>
      <c r="AG171" s="1" t="s">
        <v>97</v>
      </c>
    </row>
    <row r="172" spans="1:33" x14ac:dyDescent="0.15">
      <c r="A172" s="11" t="s">
        <v>87</v>
      </c>
      <c r="B172" s="3" t="s">
        <v>88</v>
      </c>
      <c r="C172" s="1">
        <v>50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>
        <v>909005</v>
      </c>
      <c r="O172" s="3" t="s">
        <v>89</v>
      </c>
      <c r="P172" s="1">
        <f t="shared" si="10"/>
        <v>18</v>
      </c>
      <c r="Q172" s="1"/>
      <c r="R172" s="1"/>
      <c r="S172" s="1"/>
      <c r="T172" s="1"/>
      <c r="U172" s="1"/>
      <c r="V172" s="1"/>
      <c r="W172" s="1">
        <v>608001</v>
      </c>
      <c r="X172" s="1" t="s">
        <v>62</v>
      </c>
      <c r="Y172" s="1">
        <v>500</v>
      </c>
      <c r="Z172" s="1">
        <v>612002</v>
      </c>
      <c r="AA172" s="1" t="s">
        <v>92</v>
      </c>
      <c r="AB172" s="1">
        <v>3800</v>
      </c>
      <c r="AC172" s="1"/>
      <c r="AD172" s="1"/>
      <c r="AE172" s="1"/>
      <c r="AF172" s="1">
        <f t="shared" si="11"/>
        <v>24000</v>
      </c>
      <c r="AG172" s="1" t="s">
        <v>97</v>
      </c>
    </row>
    <row r="173" spans="1:33" x14ac:dyDescent="0.15">
      <c r="A173" s="11" t="s">
        <v>87</v>
      </c>
      <c r="B173" s="3" t="s">
        <v>88</v>
      </c>
      <c r="C173" s="1">
        <v>51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>
        <v>909005</v>
      </c>
      <c r="O173" s="3" t="s">
        <v>89</v>
      </c>
      <c r="P173" s="1">
        <f t="shared" si="10"/>
        <v>18</v>
      </c>
      <c r="Q173" s="1"/>
      <c r="R173" s="1"/>
      <c r="S173" s="1"/>
      <c r="T173" s="1"/>
      <c r="U173" s="1"/>
      <c r="V173" s="1"/>
      <c r="W173" s="1">
        <v>608001</v>
      </c>
      <c r="X173" s="1" t="s">
        <v>62</v>
      </c>
      <c r="Y173" s="1">
        <v>510</v>
      </c>
      <c r="Z173" s="1">
        <v>612003</v>
      </c>
      <c r="AA173" s="1" t="s">
        <v>93</v>
      </c>
      <c r="AB173" s="1">
        <v>3900</v>
      </c>
      <c r="AC173" s="1"/>
      <c r="AD173" s="1"/>
      <c r="AE173" s="1"/>
      <c r="AF173" s="1">
        <f t="shared" si="11"/>
        <v>24600</v>
      </c>
      <c r="AG173" s="1" t="s">
        <v>97</v>
      </c>
    </row>
    <row r="174" spans="1:33" x14ac:dyDescent="0.15">
      <c r="A174" s="11" t="s">
        <v>87</v>
      </c>
      <c r="B174" s="3" t="s">
        <v>88</v>
      </c>
      <c r="C174" s="1">
        <v>52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>
        <v>909005</v>
      </c>
      <c r="O174" s="3" t="s">
        <v>89</v>
      </c>
      <c r="P174" s="1">
        <f t="shared" si="10"/>
        <v>19</v>
      </c>
      <c r="Q174" s="1"/>
      <c r="R174" s="1"/>
      <c r="S174" s="1"/>
      <c r="T174" s="1"/>
      <c r="U174" s="1"/>
      <c r="V174" s="1"/>
      <c r="W174" s="1">
        <v>608001</v>
      </c>
      <c r="X174" s="1" t="s">
        <v>62</v>
      </c>
      <c r="Y174" s="1">
        <v>520</v>
      </c>
      <c r="Z174" s="1">
        <v>612001</v>
      </c>
      <c r="AA174" s="1" t="s">
        <v>91</v>
      </c>
      <c r="AB174" s="1">
        <v>4000</v>
      </c>
      <c r="AC174" s="1"/>
      <c r="AD174" s="1"/>
      <c r="AE174" s="1"/>
      <c r="AF174" s="1">
        <f t="shared" si="11"/>
        <v>25200</v>
      </c>
      <c r="AG174" s="1" t="s">
        <v>97</v>
      </c>
    </row>
    <row r="175" spans="1:33" x14ac:dyDescent="0.15">
      <c r="A175" s="11" t="s">
        <v>87</v>
      </c>
      <c r="B175" s="3" t="s">
        <v>88</v>
      </c>
      <c r="C175" s="1">
        <v>53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>
        <v>909005</v>
      </c>
      <c r="O175" s="3" t="s">
        <v>89</v>
      </c>
      <c r="P175" s="1">
        <f t="shared" si="10"/>
        <v>19</v>
      </c>
      <c r="Q175" s="1"/>
      <c r="R175" s="1"/>
      <c r="S175" s="1"/>
      <c r="T175" s="1"/>
      <c r="U175" s="1"/>
      <c r="V175" s="1"/>
      <c r="W175" s="1">
        <v>608001</v>
      </c>
      <c r="X175" s="1" t="s">
        <v>62</v>
      </c>
      <c r="Y175" s="1">
        <v>530</v>
      </c>
      <c r="Z175" s="1">
        <v>612002</v>
      </c>
      <c r="AA175" s="1" t="s">
        <v>92</v>
      </c>
      <c r="AB175" s="1">
        <v>4100</v>
      </c>
      <c r="AC175" s="1"/>
      <c r="AD175" s="1"/>
      <c r="AE175" s="1"/>
      <c r="AF175" s="1">
        <f t="shared" si="11"/>
        <v>25800</v>
      </c>
      <c r="AG175" s="1" t="s">
        <v>97</v>
      </c>
    </row>
    <row r="176" spans="1:33" x14ac:dyDescent="0.15">
      <c r="A176" s="11" t="s">
        <v>87</v>
      </c>
      <c r="B176" s="3" t="s">
        <v>88</v>
      </c>
      <c r="C176" s="1">
        <v>54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>
        <v>909005</v>
      </c>
      <c r="O176" s="3" t="s">
        <v>89</v>
      </c>
      <c r="P176" s="1">
        <f t="shared" si="10"/>
        <v>19</v>
      </c>
      <c r="Q176" s="1"/>
      <c r="R176" s="1"/>
      <c r="S176" s="1"/>
      <c r="T176" s="1"/>
      <c r="U176" s="1"/>
      <c r="V176" s="1"/>
      <c r="W176" s="1">
        <v>608001</v>
      </c>
      <c r="X176" s="1" t="s">
        <v>62</v>
      </c>
      <c r="Y176" s="1">
        <v>540</v>
      </c>
      <c r="Z176" s="1">
        <v>612003</v>
      </c>
      <c r="AA176" s="1" t="s">
        <v>93</v>
      </c>
      <c r="AB176" s="1">
        <v>4200</v>
      </c>
      <c r="AC176" s="1"/>
      <c r="AD176" s="1"/>
      <c r="AE176" s="1"/>
      <c r="AF176" s="1">
        <f t="shared" si="11"/>
        <v>26400</v>
      </c>
      <c r="AG176" s="1" t="s">
        <v>97</v>
      </c>
    </row>
    <row r="177" spans="1:33" x14ac:dyDescent="0.15">
      <c r="A177" s="11" t="s">
        <v>87</v>
      </c>
      <c r="B177" s="3" t="s">
        <v>88</v>
      </c>
      <c r="C177" s="1">
        <v>55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>
        <v>909005</v>
      </c>
      <c r="O177" s="3" t="s">
        <v>89</v>
      </c>
      <c r="P177" s="1">
        <f t="shared" si="10"/>
        <v>20</v>
      </c>
      <c r="Q177" s="1"/>
      <c r="R177" s="1"/>
      <c r="S177" s="1"/>
      <c r="T177" s="1"/>
      <c r="U177" s="1"/>
      <c r="V177" s="1"/>
      <c r="W177" s="1">
        <v>608001</v>
      </c>
      <c r="X177" s="1" t="s">
        <v>62</v>
      </c>
      <c r="Y177" s="1">
        <v>550</v>
      </c>
      <c r="Z177" s="1">
        <v>612001</v>
      </c>
      <c r="AA177" s="1" t="s">
        <v>91</v>
      </c>
      <c r="AB177" s="1">
        <v>4300</v>
      </c>
      <c r="AC177" s="1"/>
      <c r="AD177" s="1"/>
      <c r="AE177" s="1"/>
      <c r="AF177" s="1">
        <f t="shared" si="11"/>
        <v>27000</v>
      </c>
      <c r="AG177" s="1" t="s">
        <v>97</v>
      </c>
    </row>
    <row r="178" spans="1:33" x14ac:dyDescent="0.15">
      <c r="A178" s="11" t="s">
        <v>87</v>
      </c>
      <c r="B178" s="3" t="s">
        <v>88</v>
      </c>
      <c r="C178" s="1">
        <v>56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>
        <v>909005</v>
      </c>
      <c r="O178" s="3" t="s">
        <v>89</v>
      </c>
      <c r="P178" s="1">
        <f t="shared" si="10"/>
        <v>20</v>
      </c>
      <c r="Q178" s="1"/>
      <c r="R178" s="1"/>
      <c r="S178" s="1"/>
      <c r="T178" s="1"/>
      <c r="U178" s="1"/>
      <c r="V178" s="1"/>
      <c r="W178" s="1">
        <v>608001</v>
      </c>
      <c r="X178" s="1" t="s">
        <v>62</v>
      </c>
      <c r="Y178" s="1">
        <v>560</v>
      </c>
      <c r="Z178" s="1">
        <v>612002</v>
      </c>
      <c r="AA178" s="1" t="s">
        <v>92</v>
      </c>
      <c r="AB178" s="1">
        <v>4400</v>
      </c>
      <c r="AC178" s="1"/>
      <c r="AD178" s="1"/>
      <c r="AE178" s="1"/>
      <c r="AF178" s="1">
        <f t="shared" si="11"/>
        <v>27600</v>
      </c>
      <c r="AG178" s="1" t="s">
        <v>97</v>
      </c>
    </row>
    <row r="179" spans="1:33" x14ac:dyDescent="0.15">
      <c r="A179" s="11" t="s">
        <v>87</v>
      </c>
      <c r="B179" s="3" t="s">
        <v>88</v>
      </c>
      <c r="C179" s="1">
        <v>57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>
        <v>909005</v>
      </c>
      <c r="O179" s="3" t="s">
        <v>89</v>
      </c>
      <c r="P179" s="1">
        <f t="shared" si="10"/>
        <v>20</v>
      </c>
      <c r="Q179" s="1"/>
      <c r="R179" s="1"/>
      <c r="S179" s="1"/>
      <c r="T179" s="1"/>
      <c r="U179" s="1"/>
      <c r="V179" s="1"/>
      <c r="W179" s="1">
        <v>608001</v>
      </c>
      <c r="X179" s="1" t="s">
        <v>62</v>
      </c>
      <c r="Y179" s="1">
        <v>570</v>
      </c>
      <c r="Z179" s="1">
        <v>612003</v>
      </c>
      <c r="AA179" s="1" t="s">
        <v>93</v>
      </c>
      <c r="AB179" s="1">
        <v>4500</v>
      </c>
      <c r="AC179" s="1"/>
      <c r="AD179" s="1"/>
      <c r="AE179" s="1"/>
      <c r="AF179" s="1">
        <f t="shared" si="11"/>
        <v>28200</v>
      </c>
      <c r="AG179" s="1" t="s">
        <v>97</v>
      </c>
    </row>
    <row r="180" spans="1:33" x14ac:dyDescent="0.15">
      <c r="A180" s="11" t="s">
        <v>87</v>
      </c>
      <c r="B180" s="3" t="s">
        <v>88</v>
      </c>
      <c r="C180" s="1">
        <v>58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>
        <v>909005</v>
      </c>
      <c r="O180" s="3" t="s">
        <v>89</v>
      </c>
      <c r="P180" s="1">
        <f t="shared" si="10"/>
        <v>21</v>
      </c>
      <c r="Q180" s="1"/>
      <c r="R180" s="1"/>
      <c r="S180" s="1"/>
      <c r="T180" s="1"/>
      <c r="U180" s="1"/>
      <c r="V180" s="1"/>
      <c r="W180" s="1">
        <v>608001</v>
      </c>
      <c r="X180" s="1" t="s">
        <v>62</v>
      </c>
      <c r="Y180" s="1">
        <v>580</v>
      </c>
      <c r="Z180" s="1">
        <v>612001</v>
      </c>
      <c r="AA180" s="1" t="s">
        <v>91</v>
      </c>
      <c r="AB180" s="1">
        <v>4600</v>
      </c>
      <c r="AC180" s="1"/>
      <c r="AD180" s="1"/>
      <c r="AE180" s="1"/>
      <c r="AF180" s="1">
        <f t="shared" si="11"/>
        <v>28800</v>
      </c>
      <c r="AG180" s="1" t="s">
        <v>97</v>
      </c>
    </row>
    <row r="181" spans="1:33" x14ac:dyDescent="0.15">
      <c r="A181" s="11" t="s">
        <v>87</v>
      </c>
      <c r="B181" s="3" t="s">
        <v>88</v>
      </c>
      <c r="C181" s="1">
        <v>59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>
        <v>909005</v>
      </c>
      <c r="O181" s="3" t="s">
        <v>89</v>
      </c>
      <c r="P181" s="1">
        <f t="shared" si="10"/>
        <v>21</v>
      </c>
      <c r="Q181" s="1"/>
      <c r="R181" s="1"/>
      <c r="S181" s="1"/>
      <c r="T181" s="1"/>
      <c r="U181" s="1"/>
      <c r="V181" s="1"/>
      <c r="W181" s="1">
        <v>608001</v>
      </c>
      <c r="X181" s="1" t="s">
        <v>62</v>
      </c>
      <c r="Y181" s="1">
        <v>590</v>
      </c>
      <c r="Z181" s="1">
        <v>612002</v>
      </c>
      <c r="AA181" s="1" t="s">
        <v>92</v>
      </c>
      <c r="AB181" s="1">
        <v>4700</v>
      </c>
      <c r="AC181" s="1"/>
      <c r="AD181" s="1"/>
      <c r="AE181" s="1"/>
      <c r="AF181" s="1">
        <f t="shared" si="11"/>
        <v>29400</v>
      </c>
      <c r="AG181" s="1" t="s">
        <v>97</v>
      </c>
    </row>
    <row r="182" spans="1:33" x14ac:dyDescent="0.15">
      <c r="A182" s="11" t="s">
        <v>87</v>
      </c>
      <c r="B182" s="3" t="s">
        <v>88</v>
      </c>
      <c r="C182" s="1">
        <v>60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>
        <v>909005</v>
      </c>
      <c r="O182" s="3" t="s">
        <v>89</v>
      </c>
      <c r="P182" s="1">
        <f t="shared" si="10"/>
        <v>21</v>
      </c>
      <c r="Q182" s="1"/>
      <c r="R182" s="1"/>
      <c r="S182" s="1"/>
      <c r="T182" s="1"/>
      <c r="U182" s="1"/>
      <c r="V182" s="1"/>
      <c r="W182" s="1">
        <v>608001</v>
      </c>
      <c r="X182" s="1" t="s">
        <v>62</v>
      </c>
      <c r="Y182" s="1">
        <v>600</v>
      </c>
      <c r="Z182" s="1">
        <v>612003</v>
      </c>
      <c r="AA182" s="1" t="s">
        <v>93</v>
      </c>
      <c r="AB182" s="1">
        <v>4800</v>
      </c>
      <c r="AC182" s="1"/>
      <c r="AD182" s="1"/>
      <c r="AE182" s="1"/>
      <c r="AF182" s="1">
        <f t="shared" si="11"/>
        <v>30000</v>
      </c>
      <c r="AG182" s="1" t="s">
        <v>97</v>
      </c>
    </row>
    <row r="183" spans="1:33" x14ac:dyDescent="0.15">
      <c r="A183" s="11" t="s">
        <v>87</v>
      </c>
      <c r="B183" s="3" t="s">
        <v>88</v>
      </c>
      <c r="C183" s="1">
        <v>61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>
        <v>909005</v>
      </c>
      <c r="O183" s="3" t="s">
        <v>89</v>
      </c>
      <c r="P183" s="1">
        <f t="shared" si="10"/>
        <v>22</v>
      </c>
      <c r="Q183" s="1"/>
      <c r="R183" s="1"/>
      <c r="S183" s="1"/>
      <c r="T183" s="1"/>
      <c r="U183" s="1"/>
      <c r="V183" s="1"/>
      <c r="W183" s="1">
        <v>608001</v>
      </c>
      <c r="X183" s="1" t="s">
        <v>62</v>
      </c>
      <c r="Y183" s="1">
        <v>610</v>
      </c>
      <c r="Z183" s="1">
        <v>612001</v>
      </c>
      <c r="AA183" s="1" t="s">
        <v>91</v>
      </c>
      <c r="AB183" s="1">
        <v>4900</v>
      </c>
      <c r="AC183" s="1"/>
      <c r="AD183" s="1"/>
      <c r="AE183" s="1"/>
      <c r="AF183" s="1">
        <f t="shared" si="11"/>
        <v>30600</v>
      </c>
      <c r="AG183" s="1" t="s">
        <v>97</v>
      </c>
    </row>
    <row r="184" spans="1:33" x14ac:dyDescent="0.15">
      <c r="A184" s="11" t="s">
        <v>87</v>
      </c>
      <c r="B184" s="3" t="s">
        <v>88</v>
      </c>
      <c r="C184" s="1">
        <v>62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>
        <v>909005</v>
      </c>
      <c r="O184" s="3" t="s">
        <v>89</v>
      </c>
      <c r="P184" s="1">
        <f t="shared" si="10"/>
        <v>22</v>
      </c>
      <c r="Q184" s="1"/>
      <c r="R184" s="1"/>
      <c r="S184" s="1"/>
      <c r="T184" s="1"/>
      <c r="U184" s="1"/>
      <c r="V184" s="1"/>
      <c r="W184" s="1">
        <v>608001</v>
      </c>
      <c r="X184" s="1" t="s">
        <v>62</v>
      </c>
      <c r="Y184" s="1">
        <v>620</v>
      </c>
      <c r="Z184" s="1">
        <v>612002</v>
      </c>
      <c r="AA184" s="1" t="s">
        <v>92</v>
      </c>
      <c r="AB184" s="1">
        <v>5000</v>
      </c>
      <c r="AC184" s="1"/>
      <c r="AD184" s="1"/>
      <c r="AE184" s="1"/>
      <c r="AF184" s="1">
        <f t="shared" si="11"/>
        <v>31200</v>
      </c>
      <c r="AG184" s="1" t="s">
        <v>97</v>
      </c>
    </row>
    <row r="185" spans="1:33" x14ac:dyDescent="0.15">
      <c r="A185" s="11" t="s">
        <v>87</v>
      </c>
      <c r="B185" s="3" t="s">
        <v>88</v>
      </c>
      <c r="C185" s="1">
        <v>63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>
        <v>909005</v>
      </c>
      <c r="O185" s="3" t="s">
        <v>89</v>
      </c>
      <c r="P185" s="1">
        <f t="shared" si="10"/>
        <v>22</v>
      </c>
      <c r="Q185" s="1"/>
      <c r="R185" s="1"/>
      <c r="S185" s="1"/>
      <c r="T185" s="1"/>
      <c r="U185" s="1"/>
      <c r="V185" s="1"/>
      <c r="W185" s="1">
        <v>608001</v>
      </c>
      <c r="X185" s="1" t="s">
        <v>62</v>
      </c>
      <c r="Y185" s="1">
        <v>630</v>
      </c>
      <c r="Z185" s="1">
        <v>612003</v>
      </c>
      <c r="AA185" s="1" t="s">
        <v>93</v>
      </c>
      <c r="AB185" s="1">
        <v>5100</v>
      </c>
      <c r="AC185" s="1"/>
      <c r="AD185" s="1"/>
      <c r="AE185" s="1"/>
      <c r="AF185" s="1">
        <f t="shared" si="11"/>
        <v>31800</v>
      </c>
      <c r="AG185" s="1" t="s">
        <v>97</v>
      </c>
    </row>
    <row r="186" spans="1:33" x14ac:dyDescent="0.15">
      <c r="A186" s="11" t="s">
        <v>87</v>
      </c>
      <c r="B186" s="3" t="s">
        <v>88</v>
      </c>
      <c r="C186" s="1">
        <v>64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>
        <v>909005</v>
      </c>
      <c r="O186" s="3" t="s">
        <v>89</v>
      </c>
      <c r="P186" s="1">
        <f t="shared" si="10"/>
        <v>23</v>
      </c>
      <c r="Q186" s="1"/>
      <c r="R186" s="1"/>
      <c r="S186" s="1"/>
      <c r="T186" s="1"/>
      <c r="U186" s="1"/>
      <c r="V186" s="1"/>
      <c r="W186" s="1">
        <v>608001</v>
      </c>
      <c r="X186" s="1" t="s">
        <v>62</v>
      </c>
      <c r="Y186" s="1">
        <v>640</v>
      </c>
      <c r="Z186" s="1">
        <v>612001</v>
      </c>
      <c r="AA186" s="1" t="s">
        <v>91</v>
      </c>
      <c r="AB186" s="1">
        <v>5200</v>
      </c>
      <c r="AC186" s="1"/>
      <c r="AD186" s="1"/>
      <c r="AE186" s="1"/>
      <c r="AF186" s="1">
        <f t="shared" si="11"/>
        <v>32400</v>
      </c>
      <c r="AG186" s="1" t="s">
        <v>97</v>
      </c>
    </row>
    <row r="187" spans="1:33" x14ac:dyDescent="0.15">
      <c r="A187" s="11" t="s">
        <v>87</v>
      </c>
      <c r="B187" s="3" t="s">
        <v>88</v>
      </c>
      <c r="C187" s="1">
        <v>65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>
        <v>909005</v>
      </c>
      <c r="O187" s="3" t="s">
        <v>89</v>
      </c>
      <c r="P187" s="1">
        <f t="shared" si="10"/>
        <v>23</v>
      </c>
      <c r="Q187" s="1"/>
      <c r="R187" s="1"/>
      <c r="S187" s="1"/>
      <c r="T187" s="1"/>
      <c r="U187" s="1"/>
      <c r="V187" s="1"/>
      <c r="W187" s="1">
        <v>608001</v>
      </c>
      <c r="X187" s="1" t="s">
        <v>62</v>
      </c>
      <c r="Y187" s="1">
        <v>650</v>
      </c>
      <c r="Z187" s="1">
        <v>612002</v>
      </c>
      <c r="AA187" s="1" t="s">
        <v>92</v>
      </c>
      <c r="AB187" s="1">
        <v>5300</v>
      </c>
      <c r="AC187" s="1"/>
      <c r="AD187" s="1"/>
      <c r="AE187" s="1"/>
      <c r="AF187" s="1">
        <f t="shared" si="11"/>
        <v>33000</v>
      </c>
      <c r="AG187" s="1" t="s">
        <v>97</v>
      </c>
    </row>
    <row r="188" spans="1:33" x14ac:dyDescent="0.15">
      <c r="A188" s="11" t="s">
        <v>87</v>
      </c>
      <c r="B188" s="3" t="s">
        <v>88</v>
      </c>
      <c r="C188" s="1">
        <v>66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>
        <v>909005</v>
      </c>
      <c r="O188" s="3" t="s">
        <v>89</v>
      </c>
      <c r="P188" s="1">
        <f t="shared" si="10"/>
        <v>23</v>
      </c>
      <c r="Q188" s="1"/>
      <c r="R188" s="1"/>
      <c r="S188" s="1"/>
      <c r="T188" s="1"/>
      <c r="U188" s="1"/>
      <c r="V188" s="1"/>
      <c r="W188" s="1">
        <v>608001</v>
      </c>
      <c r="X188" s="1" t="s">
        <v>62</v>
      </c>
      <c r="Y188" s="1">
        <v>660</v>
      </c>
      <c r="Z188" s="1">
        <v>612003</v>
      </c>
      <c r="AA188" s="1" t="s">
        <v>93</v>
      </c>
      <c r="AB188" s="1">
        <v>5400</v>
      </c>
      <c r="AC188" s="1"/>
      <c r="AD188" s="1"/>
      <c r="AE188" s="1"/>
      <c r="AF188" s="1">
        <f t="shared" si="11"/>
        <v>33600</v>
      </c>
      <c r="AG188" s="1" t="s">
        <v>97</v>
      </c>
    </row>
    <row r="189" spans="1:33" x14ac:dyDescent="0.15">
      <c r="A189" s="11" t="s">
        <v>87</v>
      </c>
      <c r="B189" s="3" t="s">
        <v>88</v>
      </c>
      <c r="C189" s="1">
        <v>67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>
        <v>909005</v>
      </c>
      <c r="O189" s="3" t="s">
        <v>89</v>
      </c>
      <c r="P189" s="1">
        <f t="shared" si="10"/>
        <v>24</v>
      </c>
      <c r="Q189" s="1"/>
      <c r="R189" s="1"/>
      <c r="S189" s="1"/>
      <c r="T189" s="1"/>
      <c r="U189" s="1"/>
      <c r="V189" s="1"/>
      <c r="W189" s="1">
        <v>608001</v>
      </c>
      <c r="X189" s="1" t="s">
        <v>62</v>
      </c>
      <c r="Y189" s="1">
        <v>670</v>
      </c>
      <c r="Z189" s="1">
        <v>612001</v>
      </c>
      <c r="AA189" s="1" t="s">
        <v>91</v>
      </c>
      <c r="AB189" s="1">
        <v>5500</v>
      </c>
      <c r="AC189" s="1"/>
      <c r="AD189" s="1"/>
      <c r="AE189" s="1"/>
      <c r="AF189" s="1">
        <f t="shared" si="11"/>
        <v>34200</v>
      </c>
      <c r="AG189" s="1" t="s">
        <v>97</v>
      </c>
    </row>
    <row r="190" spans="1:33" x14ac:dyDescent="0.15">
      <c r="A190" s="11" t="s">
        <v>87</v>
      </c>
      <c r="B190" s="3" t="s">
        <v>88</v>
      </c>
      <c r="C190" s="1">
        <v>68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>
        <v>909005</v>
      </c>
      <c r="O190" s="3" t="s">
        <v>89</v>
      </c>
      <c r="P190" s="1">
        <f t="shared" si="10"/>
        <v>24</v>
      </c>
      <c r="Q190" s="1"/>
      <c r="R190" s="1"/>
      <c r="S190" s="1"/>
      <c r="T190" s="1"/>
      <c r="U190" s="1"/>
      <c r="V190" s="1"/>
      <c r="W190" s="1">
        <v>608001</v>
      </c>
      <c r="X190" s="1" t="s">
        <v>62</v>
      </c>
      <c r="Y190" s="1">
        <v>680</v>
      </c>
      <c r="Z190" s="1">
        <v>612002</v>
      </c>
      <c r="AA190" s="1" t="s">
        <v>92</v>
      </c>
      <c r="AB190" s="1">
        <v>5600</v>
      </c>
      <c r="AC190" s="1"/>
      <c r="AD190" s="1"/>
      <c r="AE190" s="1"/>
      <c r="AF190" s="1">
        <f t="shared" si="11"/>
        <v>34800</v>
      </c>
      <c r="AG190" s="1" t="s">
        <v>97</v>
      </c>
    </row>
    <row r="191" spans="1:33" x14ac:dyDescent="0.15">
      <c r="A191" s="11" t="s">
        <v>87</v>
      </c>
      <c r="B191" s="3" t="s">
        <v>88</v>
      </c>
      <c r="C191" s="1">
        <v>69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>
        <v>909005</v>
      </c>
      <c r="O191" s="3" t="s">
        <v>89</v>
      </c>
      <c r="P191" s="1">
        <f t="shared" ref="P191:P222" si="12">P188+1</f>
        <v>24</v>
      </c>
      <c r="Q191" s="1"/>
      <c r="R191" s="1"/>
      <c r="S191" s="1"/>
      <c r="T191" s="1"/>
      <c r="U191" s="1"/>
      <c r="V191" s="1"/>
      <c r="W191" s="1">
        <v>608001</v>
      </c>
      <c r="X191" s="1" t="s">
        <v>62</v>
      </c>
      <c r="Y191" s="1">
        <v>690</v>
      </c>
      <c r="Z191" s="1">
        <v>612003</v>
      </c>
      <c r="AA191" s="1" t="s">
        <v>93</v>
      </c>
      <c r="AB191" s="1">
        <v>5700</v>
      </c>
      <c r="AC191" s="1"/>
      <c r="AD191" s="1"/>
      <c r="AE191" s="1"/>
      <c r="AF191" s="1">
        <f t="shared" ref="AF191:AF222" si="13">Y191*10 +AB191*5</f>
        <v>35400</v>
      </c>
      <c r="AG191" s="1" t="s">
        <v>97</v>
      </c>
    </row>
    <row r="192" spans="1:33" x14ac:dyDescent="0.15">
      <c r="A192" s="11" t="s">
        <v>87</v>
      </c>
      <c r="B192" s="3" t="s">
        <v>88</v>
      </c>
      <c r="C192" s="1">
        <v>70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>
        <v>909005</v>
      </c>
      <c r="O192" s="3" t="s">
        <v>89</v>
      </c>
      <c r="P192" s="1">
        <f t="shared" si="12"/>
        <v>25</v>
      </c>
      <c r="Q192" s="1"/>
      <c r="R192" s="1"/>
      <c r="S192" s="1"/>
      <c r="T192" s="1"/>
      <c r="U192" s="1"/>
      <c r="V192" s="1"/>
      <c r="W192" s="1">
        <v>608001</v>
      </c>
      <c r="X192" s="1" t="s">
        <v>62</v>
      </c>
      <c r="Y192" s="1">
        <v>700</v>
      </c>
      <c r="Z192" s="1">
        <v>612001</v>
      </c>
      <c r="AA192" s="1" t="s">
        <v>91</v>
      </c>
      <c r="AB192" s="1">
        <v>5800</v>
      </c>
      <c r="AC192" s="1"/>
      <c r="AD192" s="1"/>
      <c r="AE192" s="1"/>
      <c r="AF192" s="1">
        <f t="shared" si="13"/>
        <v>36000</v>
      </c>
      <c r="AG192" s="1" t="s">
        <v>97</v>
      </c>
    </row>
    <row r="193" spans="1:33" x14ac:dyDescent="0.15">
      <c r="A193" s="11" t="s">
        <v>87</v>
      </c>
      <c r="B193" s="3" t="s">
        <v>88</v>
      </c>
      <c r="C193" s="1">
        <v>71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>
        <v>909005</v>
      </c>
      <c r="O193" s="3" t="s">
        <v>89</v>
      </c>
      <c r="P193" s="1">
        <f t="shared" si="12"/>
        <v>25</v>
      </c>
      <c r="Q193" s="1"/>
      <c r="R193" s="1"/>
      <c r="S193" s="1"/>
      <c r="T193" s="1"/>
      <c r="U193" s="1"/>
      <c r="V193" s="1"/>
      <c r="W193" s="1">
        <v>608001</v>
      </c>
      <c r="X193" s="1" t="s">
        <v>62</v>
      </c>
      <c r="Y193" s="1">
        <v>710</v>
      </c>
      <c r="Z193" s="1">
        <v>612002</v>
      </c>
      <c r="AA193" s="1" t="s">
        <v>92</v>
      </c>
      <c r="AB193" s="1">
        <v>5900</v>
      </c>
      <c r="AC193" s="1"/>
      <c r="AD193" s="1"/>
      <c r="AE193" s="1"/>
      <c r="AF193" s="1">
        <f t="shared" si="13"/>
        <v>36600</v>
      </c>
      <c r="AG193" s="1" t="s">
        <v>97</v>
      </c>
    </row>
    <row r="194" spans="1:33" s="14" customFormat="1" x14ac:dyDescent="0.15">
      <c r="A194" s="13" t="s">
        <v>87</v>
      </c>
      <c r="B194" s="4" t="s">
        <v>88</v>
      </c>
      <c r="C194" s="9">
        <v>72</v>
      </c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>
        <v>909005</v>
      </c>
      <c r="O194" s="4" t="s">
        <v>89</v>
      </c>
      <c r="P194" s="9">
        <f t="shared" si="12"/>
        <v>25</v>
      </c>
      <c r="Q194" s="9"/>
      <c r="R194" s="9"/>
      <c r="S194" s="9"/>
      <c r="T194" s="9"/>
      <c r="U194" s="9"/>
      <c r="V194" s="9"/>
      <c r="W194" s="9">
        <v>608001</v>
      </c>
      <c r="X194" s="9" t="s">
        <v>62</v>
      </c>
      <c r="Y194" s="9">
        <v>720</v>
      </c>
      <c r="Z194" s="9">
        <v>612003</v>
      </c>
      <c r="AA194" s="9" t="s">
        <v>93</v>
      </c>
      <c r="AB194" s="9">
        <v>6000</v>
      </c>
      <c r="AC194" s="9"/>
      <c r="AD194" s="9"/>
      <c r="AE194" s="9"/>
      <c r="AF194" s="9">
        <f t="shared" si="13"/>
        <v>37200</v>
      </c>
      <c r="AG194" s="9" t="s">
        <v>98</v>
      </c>
    </row>
    <row r="195" spans="1:33" x14ac:dyDescent="0.15">
      <c r="A195" s="11" t="s">
        <v>87</v>
      </c>
      <c r="B195" s="3" t="s">
        <v>88</v>
      </c>
      <c r="C195" s="1">
        <v>73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>
        <v>909005</v>
      </c>
      <c r="O195" s="3" t="s">
        <v>89</v>
      </c>
      <c r="P195" s="1">
        <f t="shared" si="12"/>
        <v>26</v>
      </c>
      <c r="Q195" s="1"/>
      <c r="R195" s="1"/>
      <c r="S195" s="1"/>
      <c r="T195" s="1"/>
      <c r="U195" s="1"/>
      <c r="V195" s="1"/>
      <c r="W195" s="1">
        <v>608001</v>
      </c>
      <c r="X195" s="1" t="s">
        <v>62</v>
      </c>
      <c r="Y195" s="1">
        <v>730</v>
      </c>
      <c r="Z195" s="1">
        <v>612001</v>
      </c>
      <c r="AA195" s="1" t="s">
        <v>91</v>
      </c>
      <c r="AB195" s="1">
        <v>6100</v>
      </c>
      <c r="AC195" s="1"/>
      <c r="AD195" s="1"/>
      <c r="AE195" s="1"/>
      <c r="AF195" s="1">
        <f t="shared" si="13"/>
        <v>37800</v>
      </c>
      <c r="AG195" s="1" t="s">
        <v>97</v>
      </c>
    </row>
    <row r="196" spans="1:33" x14ac:dyDescent="0.15">
      <c r="A196" s="11" t="s">
        <v>87</v>
      </c>
      <c r="B196" s="3" t="s">
        <v>88</v>
      </c>
      <c r="C196" s="1">
        <v>74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>
        <v>909005</v>
      </c>
      <c r="O196" s="3" t="s">
        <v>89</v>
      </c>
      <c r="P196" s="1">
        <f t="shared" si="12"/>
        <v>26</v>
      </c>
      <c r="Q196" s="1"/>
      <c r="R196" s="1"/>
      <c r="S196" s="1"/>
      <c r="T196" s="1"/>
      <c r="U196" s="1"/>
      <c r="V196" s="1"/>
      <c r="W196" s="1">
        <v>608001</v>
      </c>
      <c r="X196" s="1" t="s">
        <v>62</v>
      </c>
      <c r="Y196" s="1">
        <v>740</v>
      </c>
      <c r="Z196" s="1">
        <v>612002</v>
      </c>
      <c r="AA196" s="1" t="s">
        <v>92</v>
      </c>
      <c r="AB196" s="1">
        <v>6200</v>
      </c>
      <c r="AC196" s="1"/>
      <c r="AD196" s="1"/>
      <c r="AE196" s="1"/>
      <c r="AF196" s="1">
        <f t="shared" si="13"/>
        <v>38400</v>
      </c>
      <c r="AG196" s="1" t="s">
        <v>97</v>
      </c>
    </row>
    <row r="197" spans="1:33" x14ac:dyDescent="0.15">
      <c r="A197" s="11" t="s">
        <v>87</v>
      </c>
      <c r="B197" s="3" t="s">
        <v>88</v>
      </c>
      <c r="C197" s="1">
        <v>75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>
        <v>909005</v>
      </c>
      <c r="O197" s="3" t="s">
        <v>89</v>
      </c>
      <c r="P197" s="1">
        <f t="shared" si="12"/>
        <v>26</v>
      </c>
      <c r="Q197" s="1"/>
      <c r="R197" s="1"/>
      <c r="S197" s="1"/>
      <c r="T197" s="1"/>
      <c r="U197" s="1"/>
      <c r="V197" s="1"/>
      <c r="W197" s="1">
        <v>608001</v>
      </c>
      <c r="X197" s="1" t="s">
        <v>62</v>
      </c>
      <c r="Y197" s="1">
        <v>750</v>
      </c>
      <c r="Z197" s="1">
        <v>612003</v>
      </c>
      <c r="AA197" s="1" t="s">
        <v>93</v>
      </c>
      <c r="AB197" s="1">
        <v>6300</v>
      </c>
      <c r="AC197" s="1"/>
      <c r="AD197" s="1"/>
      <c r="AE197" s="1"/>
      <c r="AF197" s="1">
        <f t="shared" si="13"/>
        <v>39000</v>
      </c>
      <c r="AG197" s="1" t="s">
        <v>97</v>
      </c>
    </row>
    <row r="198" spans="1:33" x14ac:dyDescent="0.15">
      <c r="A198" s="11" t="s">
        <v>87</v>
      </c>
      <c r="B198" s="3" t="s">
        <v>88</v>
      </c>
      <c r="C198" s="1">
        <v>76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>
        <v>909005</v>
      </c>
      <c r="O198" s="3" t="s">
        <v>89</v>
      </c>
      <c r="P198" s="1">
        <f t="shared" si="12"/>
        <v>27</v>
      </c>
      <c r="Q198" s="1"/>
      <c r="R198" s="1"/>
      <c r="S198" s="1"/>
      <c r="T198" s="1"/>
      <c r="U198" s="1"/>
      <c r="V198" s="1"/>
      <c r="W198" s="1">
        <v>608001</v>
      </c>
      <c r="X198" s="1" t="s">
        <v>62</v>
      </c>
      <c r="Y198" s="1">
        <v>760</v>
      </c>
      <c r="Z198" s="1">
        <v>612001</v>
      </c>
      <c r="AA198" s="1" t="s">
        <v>91</v>
      </c>
      <c r="AB198" s="1">
        <v>6400</v>
      </c>
      <c r="AC198" s="1"/>
      <c r="AD198" s="1"/>
      <c r="AE198" s="1"/>
      <c r="AF198" s="1">
        <f t="shared" si="13"/>
        <v>39600</v>
      </c>
      <c r="AG198" s="1" t="s">
        <v>97</v>
      </c>
    </row>
    <row r="199" spans="1:33" x14ac:dyDescent="0.15">
      <c r="A199" s="11" t="s">
        <v>87</v>
      </c>
      <c r="B199" s="3" t="s">
        <v>88</v>
      </c>
      <c r="C199" s="1">
        <v>77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>
        <v>909005</v>
      </c>
      <c r="O199" s="3" t="s">
        <v>89</v>
      </c>
      <c r="P199" s="1">
        <f t="shared" si="12"/>
        <v>27</v>
      </c>
      <c r="Q199" s="1"/>
      <c r="R199" s="1"/>
      <c r="S199" s="1"/>
      <c r="T199" s="1"/>
      <c r="U199" s="1"/>
      <c r="V199" s="1"/>
      <c r="W199" s="1">
        <v>608001</v>
      </c>
      <c r="X199" s="1" t="s">
        <v>62</v>
      </c>
      <c r="Y199" s="1">
        <v>770</v>
      </c>
      <c r="Z199" s="1">
        <v>612002</v>
      </c>
      <c r="AA199" s="1" t="s">
        <v>92</v>
      </c>
      <c r="AB199" s="1">
        <v>6500</v>
      </c>
      <c r="AC199" s="1"/>
      <c r="AD199" s="1"/>
      <c r="AE199" s="1"/>
      <c r="AF199" s="1">
        <f t="shared" si="13"/>
        <v>40200</v>
      </c>
      <c r="AG199" s="1" t="s">
        <v>97</v>
      </c>
    </row>
    <row r="200" spans="1:33" x14ac:dyDescent="0.15">
      <c r="A200" s="11" t="s">
        <v>87</v>
      </c>
      <c r="B200" s="3" t="s">
        <v>88</v>
      </c>
      <c r="C200" s="1">
        <v>78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>
        <v>909005</v>
      </c>
      <c r="O200" s="3" t="s">
        <v>89</v>
      </c>
      <c r="P200" s="1">
        <f t="shared" si="12"/>
        <v>27</v>
      </c>
      <c r="Q200" s="1"/>
      <c r="R200" s="1"/>
      <c r="S200" s="1"/>
      <c r="T200" s="1"/>
      <c r="U200" s="1"/>
      <c r="V200" s="1"/>
      <c r="W200" s="1">
        <v>608001</v>
      </c>
      <c r="X200" s="1" t="s">
        <v>62</v>
      </c>
      <c r="Y200" s="1">
        <v>780</v>
      </c>
      <c r="Z200" s="1">
        <v>612003</v>
      </c>
      <c r="AA200" s="1" t="s">
        <v>93</v>
      </c>
      <c r="AB200" s="1">
        <v>6600</v>
      </c>
      <c r="AC200" s="1"/>
      <c r="AD200" s="1"/>
      <c r="AE200" s="1"/>
      <c r="AF200" s="1">
        <f t="shared" si="13"/>
        <v>40800</v>
      </c>
      <c r="AG200" s="1" t="s">
        <v>97</v>
      </c>
    </row>
    <row r="201" spans="1:33" x14ac:dyDescent="0.15">
      <c r="A201" s="11" t="s">
        <v>87</v>
      </c>
      <c r="B201" s="3" t="s">
        <v>88</v>
      </c>
      <c r="C201" s="1">
        <v>79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>
        <v>909005</v>
      </c>
      <c r="O201" s="3" t="s">
        <v>89</v>
      </c>
      <c r="P201" s="1">
        <f t="shared" si="12"/>
        <v>28</v>
      </c>
      <c r="Q201" s="1"/>
      <c r="R201" s="1"/>
      <c r="S201" s="1"/>
      <c r="T201" s="1"/>
      <c r="U201" s="1"/>
      <c r="V201" s="1"/>
      <c r="W201" s="1">
        <v>608001</v>
      </c>
      <c r="X201" s="1" t="s">
        <v>62</v>
      </c>
      <c r="Y201" s="1">
        <v>790</v>
      </c>
      <c r="Z201" s="1">
        <v>612001</v>
      </c>
      <c r="AA201" s="1" t="s">
        <v>91</v>
      </c>
      <c r="AB201" s="1">
        <v>6700</v>
      </c>
      <c r="AC201" s="1"/>
      <c r="AD201" s="1"/>
      <c r="AE201" s="1"/>
      <c r="AF201" s="1">
        <f t="shared" si="13"/>
        <v>41400</v>
      </c>
      <c r="AG201" s="1" t="s">
        <v>97</v>
      </c>
    </row>
    <row r="202" spans="1:33" x14ac:dyDescent="0.15">
      <c r="A202" s="11" t="s">
        <v>87</v>
      </c>
      <c r="B202" s="3" t="s">
        <v>88</v>
      </c>
      <c r="C202" s="1">
        <v>80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>
        <v>909005</v>
      </c>
      <c r="O202" s="3" t="s">
        <v>89</v>
      </c>
      <c r="P202" s="1">
        <f t="shared" si="12"/>
        <v>28</v>
      </c>
      <c r="Q202" s="1"/>
      <c r="R202" s="1"/>
      <c r="S202" s="1"/>
      <c r="T202" s="1"/>
      <c r="U202" s="1"/>
      <c r="V202" s="1"/>
      <c r="W202" s="1">
        <v>608001</v>
      </c>
      <c r="X202" s="1" t="s">
        <v>62</v>
      </c>
      <c r="Y202" s="1">
        <v>800</v>
      </c>
      <c r="Z202" s="1">
        <v>612002</v>
      </c>
      <c r="AA202" s="1" t="s">
        <v>92</v>
      </c>
      <c r="AB202" s="1">
        <v>6800</v>
      </c>
      <c r="AC202" s="1"/>
      <c r="AD202" s="1"/>
      <c r="AE202" s="1"/>
      <c r="AF202" s="1">
        <f t="shared" si="13"/>
        <v>42000</v>
      </c>
      <c r="AG202" s="1" t="s">
        <v>97</v>
      </c>
    </row>
    <row r="203" spans="1:33" x14ac:dyDescent="0.15">
      <c r="A203" s="11" t="s">
        <v>87</v>
      </c>
      <c r="B203" s="3" t="s">
        <v>88</v>
      </c>
      <c r="C203" s="1">
        <v>81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>
        <v>909005</v>
      </c>
      <c r="O203" s="3" t="s">
        <v>89</v>
      </c>
      <c r="P203" s="1">
        <f t="shared" si="12"/>
        <v>28</v>
      </c>
      <c r="Q203" s="1"/>
      <c r="R203" s="1"/>
      <c r="S203" s="1"/>
      <c r="T203" s="1"/>
      <c r="U203" s="1"/>
      <c r="V203" s="1"/>
      <c r="W203" s="1">
        <v>608001</v>
      </c>
      <c r="X203" s="1" t="s">
        <v>62</v>
      </c>
      <c r="Y203" s="1">
        <v>810</v>
      </c>
      <c r="Z203" s="1">
        <v>612003</v>
      </c>
      <c r="AA203" s="1" t="s">
        <v>93</v>
      </c>
      <c r="AB203" s="1">
        <v>6900</v>
      </c>
      <c r="AC203" s="1"/>
      <c r="AD203" s="1"/>
      <c r="AE203" s="1"/>
      <c r="AF203" s="1">
        <f t="shared" si="13"/>
        <v>42600</v>
      </c>
      <c r="AG203" s="1" t="s">
        <v>97</v>
      </c>
    </row>
    <row r="204" spans="1:33" x14ac:dyDescent="0.15">
      <c r="A204" s="11" t="s">
        <v>87</v>
      </c>
      <c r="B204" s="3" t="s">
        <v>88</v>
      </c>
      <c r="C204" s="1">
        <v>82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>
        <v>909005</v>
      </c>
      <c r="O204" s="3" t="s">
        <v>89</v>
      </c>
      <c r="P204" s="1">
        <f t="shared" si="12"/>
        <v>29</v>
      </c>
      <c r="Q204" s="1"/>
      <c r="R204" s="1"/>
      <c r="S204" s="1"/>
      <c r="T204" s="1"/>
      <c r="U204" s="1"/>
      <c r="V204" s="1"/>
      <c r="W204" s="1">
        <v>608001</v>
      </c>
      <c r="X204" s="1" t="s">
        <v>62</v>
      </c>
      <c r="Y204" s="1">
        <v>820</v>
      </c>
      <c r="Z204" s="1">
        <v>612001</v>
      </c>
      <c r="AA204" s="1" t="s">
        <v>91</v>
      </c>
      <c r="AB204" s="1">
        <v>7000</v>
      </c>
      <c r="AC204" s="1"/>
      <c r="AD204" s="1"/>
      <c r="AE204" s="1"/>
      <c r="AF204" s="1">
        <f t="shared" si="13"/>
        <v>43200</v>
      </c>
      <c r="AG204" s="1" t="s">
        <v>97</v>
      </c>
    </row>
    <row r="205" spans="1:33" x14ac:dyDescent="0.15">
      <c r="A205" s="11" t="s">
        <v>87</v>
      </c>
      <c r="B205" s="3" t="s">
        <v>88</v>
      </c>
      <c r="C205" s="1">
        <v>83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>
        <v>909005</v>
      </c>
      <c r="O205" s="3" t="s">
        <v>89</v>
      </c>
      <c r="P205" s="1">
        <f t="shared" si="12"/>
        <v>29</v>
      </c>
      <c r="Q205" s="1"/>
      <c r="R205" s="1"/>
      <c r="S205" s="1"/>
      <c r="T205" s="1"/>
      <c r="U205" s="1"/>
      <c r="V205" s="1"/>
      <c r="W205" s="1">
        <v>608001</v>
      </c>
      <c r="X205" s="1" t="s">
        <v>62</v>
      </c>
      <c r="Y205" s="1">
        <v>830</v>
      </c>
      <c r="Z205" s="1">
        <v>612002</v>
      </c>
      <c r="AA205" s="1" t="s">
        <v>92</v>
      </c>
      <c r="AB205" s="1">
        <v>7100</v>
      </c>
      <c r="AC205" s="1"/>
      <c r="AD205" s="1"/>
      <c r="AE205" s="1"/>
      <c r="AF205" s="1">
        <f t="shared" si="13"/>
        <v>43800</v>
      </c>
      <c r="AG205" s="1" t="s">
        <v>97</v>
      </c>
    </row>
    <row r="206" spans="1:33" x14ac:dyDescent="0.15">
      <c r="A206" s="11" t="s">
        <v>87</v>
      </c>
      <c r="B206" s="3" t="s">
        <v>88</v>
      </c>
      <c r="C206" s="1">
        <v>84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>
        <v>909005</v>
      </c>
      <c r="O206" s="3" t="s">
        <v>89</v>
      </c>
      <c r="P206" s="1">
        <f t="shared" si="12"/>
        <v>29</v>
      </c>
      <c r="Q206" s="1"/>
      <c r="R206" s="1"/>
      <c r="S206" s="1"/>
      <c r="T206" s="1"/>
      <c r="U206" s="1"/>
      <c r="V206" s="1"/>
      <c r="W206" s="1">
        <v>608001</v>
      </c>
      <c r="X206" s="1" t="s">
        <v>62</v>
      </c>
      <c r="Y206" s="1">
        <v>840</v>
      </c>
      <c r="Z206" s="1">
        <v>612003</v>
      </c>
      <c r="AA206" s="1" t="s">
        <v>93</v>
      </c>
      <c r="AB206" s="1">
        <v>7200</v>
      </c>
      <c r="AC206" s="1"/>
      <c r="AD206" s="1"/>
      <c r="AE206" s="1"/>
      <c r="AF206" s="1">
        <f t="shared" si="13"/>
        <v>44400</v>
      </c>
      <c r="AG206" s="1" t="s">
        <v>97</v>
      </c>
    </row>
    <row r="207" spans="1:33" x14ac:dyDescent="0.15">
      <c r="A207" s="11" t="s">
        <v>87</v>
      </c>
      <c r="B207" s="3" t="s">
        <v>88</v>
      </c>
      <c r="C207" s="1">
        <v>85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>
        <v>909005</v>
      </c>
      <c r="O207" s="3" t="s">
        <v>89</v>
      </c>
      <c r="P207" s="1">
        <f t="shared" si="12"/>
        <v>30</v>
      </c>
      <c r="Q207" s="1"/>
      <c r="R207" s="1"/>
      <c r="S207" s="1"/>
      <c r="T207" s="1"/>
      <c r="U207" s="1"/>
      <c r="V207" s="1"/>
      <c r="W207" s="1">
        <v>608001</v>
      </c>
      <c r="X207" s="1" t="s">
        <v>62</v>
      </c>
      <c r="Y207" s="1">
        <v>850</v>
      </c>
      <c r="Z207" s="1">
        <v>612001</v>
      </c>
      <c r="AA207" s="1" t="s">
        <v>91</v>
      </c>
      <c r="AB207" s="1">
        <v>7300</v>
      </c>
      <c r="AC207" s="1"/>
      <c r="AD207" s="1"/>
      <c r="AE207" s="1"/>
      <c r="AF207" s="1">
        <f t="shared" si="13"/>
        <v>45000</v>
      </c>
      <c r="AG207" s="1" t="s">
        <v>97</v>
      </c>
    </row>
    <row r="208" spans="1:33" x14ac:dyDescent="0.15">
      <c r="A208" s="11" t="s">
        <v>87</v>
      </c>
      <c r="B208" s="3" t="s">
        <v>88</v>
      </c>
      <c r="C208" s="1">
        <v>86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>
        <v>909005</v>
      </c>
      <c r="O208" s="3" t="s">
        <v>89</v>
      </c>
      <c r="P208" s="1">
        <f t="shared" si="12"/>
        <v>30</v>
      </c>
      <c r="Q208" s="1"/>
      <c r="R208" s="1"/>
      <c r="S208" s="1"/>
      <c r="T208" s="1"/>
      <c r="U208" s="1"/>
      <c r="V208" s="1"/>
      <c r="W208" s="1">
        <v>608001</v>
      </c>
      <c r="X208" s="1" t="s">
        <v>62</v>
      </c>
      <c r="Y208" s="1">
        <v>860</v>
      </c>
      <c r="Z208" s="1">
        <v>612002</v>
      </c>
      <c r="AA208" s="1" t="s">
        <v>92</v>
      </c>
      <c r="AB208" s="1">
        <v>7400</v>
      </c>
      <c r="AC208" s="1"/>
      <c r="AD208" s="1"/>
      <c r="AE208" s="1"/>
      <c r="AF208" s="1">
        <f t="shared" si="13"/>
        <v>45600</v>
      </c>
      <c r="AG208" s="1" t="s">
        <v>97</v>
      </c>
    </row>
    <row r="209" spans="1:33" x14ac:dyDescent="0.15">
      <c r="A209" s="11" t="s">
        <v>87</v>
      </c>
      <c r="B209" s="3" t="s">
        <v>88</v>
      </c>
      <c r="C209" s="1">
        <v>87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>
        <v>909005</v>
      </c>
      <c r="O209" s="3" t="s">
        <v>89</v>
      </c>
      <c r="P209" s="1">
        <f t="shared" si="12"/>
        <v>30</v>
      </c>
      <c r="Q209" s="1"/>
      <c r="R209" s="1"/>
      <c r="S209" s="1"/>
      <c r="T209" s="1"/>
      <c r="U209" s="1"/>
      <c r="V209" s="1"/>
      <c r="W209" s="1">
        <v>608001</v>
      </c>
      <c r="X209" s="1" t="s">
        <v>62</v>
      </c>
      <c r="Y209" s="1">
        <v>870</v>
      </c>
      <c r="Z209" s="1">
        <v>612003</v>
      </c>
      <c r="AA209" s="1" t="s">
        <v>93</v>
      </c>
      <c r="AB209" s="1">
        <v>7500</v>
      </c>
      <c r="AC209" s="1"/>
      <c r="AD209" s="1"/>
      <c r="AE209" s="1"/>
      <c r="AF209" s="1">
        <f t="shared" si="13"/>
        <v>46200</v>
      </c>
      <c r="AG209" s="1" t="s">
        <v>97</v>
      </c>
    </row>
    <row r="210" spans="1:33" x14ac:dyDescent="0.15">
      <c r="A210" s="11" t="s">
        <v>87</v>
      </c>
      <c r="B210" s="3" t="s">
        <v>88</v>
      </c>
      <c r="C210" s="1">
        <v>88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>
        <v>909005</v>
      </c>
      <c r="O210" s="3" t="s">
        <v>89</v>
      </c>
      <c r="P210" s="1">
        <f t="shared" si="12"/>
        <v>31</v>
      </c>
      <c r="Q210" s="1"/>
      <c r="R210" s="1"/>
      <c r="S210" s="1"/>
      <c r="T210" s="1"/>
      <c r="U210" s="1"/>
      <c r="V210" s="1"/>
      <c r="W210" s="1">
        <v>608001</v>
      </c>
      <c r="X210" s="1" t="s">
        <v>62</v>
      </c>
      <c r="Y210" s="1">
        <v>880</v>
      </c>
      <c r="Z210" s="1">
        <v>612001</v>
      </c>
      <c r="AA210" s="1" t="s">
        <v>91</v>
      </c>
      <c r="AB210" s="1">
        <v>7600</v>
      </c>
      <c r="AC210" s="1"/>
      <c r="AD210" s="1"/>
      <c r="AE210" s="1"/>
      <c r="AF210" s="1">
        <f t="shared" si="13"/>
        <v>46800</v>
      </c>
      <c r="AG210" s="1" t="s">
        <v>97</v>
      </c>
    </row>
    <row r="211" spans="1:33" x14ac:dyDescent="0.15">
      <c r="A211" s="11" t="s">
        <v>87</v>
      </c>
      <c r="B211" s="3" t="s">
        <v>88</v>
      </c>
      <c r="C211" s="1">
        <v>89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>
        <v>909005</v>
      </c>
      <c r="O211" s="3" t="s">
        <v>89</v>
      </c>
      <c r="P211" s="1">
        <f t="shared" si="12"/>
        <v>31</v>
      </c>
      <c r="Q211" s="1"/>
      <c r="R211" s="1"/>
      <c r="S211" s="1"/>
      <c r="T211" s="1"/>
      <c r="U211" s="1"/>
      <c r="V211" s="1"/>
      <c r="W211" s="1">
        <v>608001</v>
      </c>
      <c r="X211" s="1" t="s">
        <v>62</v>
      </c>
      <c r="Y211" s="1">
        <v>890</v>
      </c>
      <c r="Z211" s="1">
        <v>612002</v>
      </c>
      <c r="AA211" s="1" t="s">
        <v>92</v>
      </c>
      <c r="AB211" s="1">
        <v>7700</v>
      </c>
      <c r="AC211" s="1"/>
      <c r="AD211" s="1"/>
      <c r="AE211" s="1"/>
      <c r="AF211" s="1">
        <f t="shared" si="13"/>
        <v>47400</v>
      </c>
      <c r="AG211" s="1" t="s">
        <v>97</v>
      </c>
    </row>
    <row r="212" spans="1:33" x14ac:dyDescent="0.15">
      <c r="A212" s="11" t="s">
        <v>87</v>
      </c>
      <c r="B212" s="3" t="s">
        <v>88</v>
      </c>
      <c r="C212" s="1">
        <v>90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>
        <v>909005</v>
      </c>
      <c r="O212" s="3" t="s">
        <v>89</v>
      </c>
      <c r="P212" s="1">
        <f t="shared" si="12"/>
        <v>31</v>
      </c>
      <c r="Q212" s="1"/>
      <c r="R212" s="1"/>
      <c r="S212" s="1"/>
      <c r="T212" s="1"/>
      <c r="U212" s="1"/>
      <c r="V212" s="1"/>
      <c r="W212" s="1">
        <v>608001</v>
      </c>
      <c r="X212" s="1" t="s">
        <v>62</v>
      </c>
      <c r="Y212" s="1">
        <v>900</v>
      </c>
      <c r="Z212" s="1">
        <v>612003</v>
      </c>
      <c r="AA212" s="1" t="s">
        <v>93</v>
      </c>
      <c r="AB212" s="1">
        <v>7800</v>
      </c>
      <c r="AC212" s="1"/>
      <c r="AD212" s="1"/>
      <c r="AE212" s="1"/>
      <c r="AF212" s="1">
        <f t="shared" si="13"/>
        <v>48000</v>
      </c>
      <c r="AG212" s="1" t="s">
        <v>97</v>
      </c>
    </row>
    <row r="213" spans="1:33" x14ac:dyDescent="0.15">
      <c r="A213" s="11" t="s">
        <v>87</v>
      </c>
      <c r="B213" s="3" t="s">
        <v>88</v>
      </c>
      <c r="C213" s="1">
        <v>91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>
        <v>909005</v>
      </c>
      <c r="O213" s="3" t="s">
        <v>89</v>
      </c>
      <c r="P213" s="1">
        <f t="shared" si="12"/>
        <v>32</v>
      </c>
      <c r="Q213" s="1"/>
      <c r="R213" s="1"/>
      <c r="S213" s="1"/>
      <c r="T213" s="1"/>
      <c r="U213" s="1"/>
      <c r="V213" s="1"/>
      <c r="W213" s="1">
        <v>608001</v>
      </c>
      <c r="X213" s="1" t="s">
        <v>62</v>
      </c>
      <c r="Y213" s="1">
        <v>910</v>
      </c>
      <c r="Z213" s="1">
        <v>612001</v>
      </c>
      <c r="AA213" s="1" t="s">
        <v>91</v>
      </c>
      <c r="AB213" s="1">
        <v>7900</v>
      </c>
      <c r="AC213" s="1"/>
      <c r="AD213" s="1"/>
      <c r="AE213" s="1"/>
      <c r="AF213" s="1">
        <f t="shared" si="13"/>
        <v>48600</v>
      </c>
      <c r="AG213" s="1" t="s">
        <v>97</v>
      </c>
    </row>
    <row r="214" spans="1:33" x14ac:dyDescent="0.15">
      <c r="A214" s="11" t="s">
        <v>87</v>
      </c>
      <c r="B214" s="3" t="s">
        <v>88</v>
      </c>
      <c r="C214" s="1">
        <v>92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>
        <v>909005</v>
      </c>
      <c r="O214" s="3" t="s">
        <v>89</v>
      </c>
      <c r="P214" s="1">
        <f t="shared" si="12"/>
        <v>32</v>
      </c>
      <c r="Q214" s="1"/>
      <c r="R214" s="1"/>
      <c r="S214" s="1"/>
      <c r="T214" s="1"/>
      <c r="U214" s="1"/>
      <c r="V214" s="1"/>
      <c r="W214" s="1">
        <v>608001</v>
      </c>
      <c r="X214" s="1" t="s">
        <v>62</v>
      </c>
      <c r="Y214" s="1">
        <v>920</v>
      </c>
      <c r="Z214" s="1">
        <v>612002</v>
      </c>
      <c r="AA214" s="1" t="s">
        <v>92</v>
      </c>
      <c r="AB214" s="1">
        <v>8000</v>
      </c>
      <c r="AC214" s="1"/>
      <c r="AD214" s="1"/>
      <c r="AE214" s="1"/>
      <c r="AF214" s="1">
        <f t="shared" si="13"/>
        <v>49200</v>
      </c>
      <c r="AG214" s="1" t="s">
        <v>97</v>
      </c>
    </row>
    <row r="215" spans="1:33" x14ac:dyDescent="0.15">
      <c r="A215" s="11" t="s">
        <v>87</v>
      </c>
      <c r="B215" s="3" t="s">
        <v>88</v>
      </c>
      <c r="C215" s="1">
        <v>93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>
        <v>909005</v>
      </c>
      <c r="O215" s="3" t="s">
        <v>89</v>
      </c>
      <c r="P215" s="1">
        <f t="shared" si="12"/>
        <v>32</v>
      </c>
      <c r="Q215" s="1"/>
      <c r="R215" s="1"/>
      <c r="S215" s="1"/>
      <c r="T215" s="1"/>
      <c r="U215" s="1"/>
      <c r="V215" s="1"/>
      <c r="W215" s="1">
        <v>608001</v>
      </c>
      <c r="X215" s="1" t="s">
        <v>62</v>
      </c>
      <c r="Y215" s="1">
        <v>930</v>
      </c>
      <c r="Z215" s="1">
        <v>612003</v>
      </c>
      <c r="AA215" s="1" t="s">
        <v>93</v>
      </c>
      <c r="AB215" s="1">
        <v>8100</v>
      </c>
      <c r="AC215" s="1"/>
      <c r="AD215" s="1"/>
      <c r="AE215" s="1"/>
      <c r="AF215" s="1">
        <f t="shared" si="13"/>
        <v>49800</v>
      </c>
      <c r="AG215" s="1" t="s">
        <v>97</v>
      </c>
    </row>
    <row r="216" spans="1:33" x14ac:dyDescent="0.15">
      <c r="A216" s="11" t="s">
        <v>87</v>
      </c>
      <c r="B216" s="3" t="s">
        <v>88</v>
      </c>
      <c r="C216" s="1">
        <v>94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>
        <v>909005</v>
      </c>
      <c r="O216" s="3" t="s">
        <v>89</v>
      </c>
      <c r="P216" s="1">
        <f t="shared" si="12"/>
        <v>33</v>
      </c>
      <c r="Q216" s="1"/>
      <c r="R216" s="1"/>
      <c r="S216" s="1"/>
      <c r="T216" s="1"/>
      <c r="U216" s="1"/>
      <c r="V216" s="1"/>
      <c r="W216" s="1">
        <v>608001</v>
      </c>
      <c r="X216" s="1" t="s">
        <v>62</v>
      </c>
      <c r="Y216" s="1">
        <v>940</v>
      </c>
      <c r="Z216" s="1">
        <v>612001</v>
      </c>
      <c r="AA216" s="1" t="s">
        <v>91</v>
      </c>
      <c r="AB216" s="1">
        <v>8200</v>
      </c>
      <c r="AC216" s="1"/>
      <c r="AD216" s="1"/>
      <c r="AE216" s="1"/>
      <c r="AF216" s="1">
        <f t="shared" si="13"/>
        <v>50400</v>
      </c>
      <c r="AG216" s="1" t="s">
        <v>97</v>
      </c>
    </row>
    <row r="217" spans="1:33" x14ac:dyDescent="0.15">
      <c r="A217" s="11" t="s">
        <v>87</v>
      </c>
      <c r="B217" s="3" t="s">
        <v>88</v>
      </c>
      <c r="C217" s="1">
        <v>95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>
        <v>909005</v>
      </c>
      <c r="O217" s="3" t="s">
        <v>89</v>
      </c>
      <c r="P217" s="1">
        <f t="shared" si="12"/>
        <v>33</v>
      </c>
      <c r="Q217" s="1"/>
      <c r="R217" s="1"/>
      <c r="S217" s="1"/>
      <c r="T217" s="1"/>
      <c r="U217" s="1"/>
      <c r="V217" s="1"/>
      <c r="W217" s="1">
        <v>608001</v>
      </c>
      <c r="X217" s="1" t="s">
        <v>62</v>
      </c>
      <c r="Y217" s="1">
        <v>950</v>
      </c>
      <c r="Z217" s="1">
        <v>612002</v>
      </c>
      <c r="AA217" s="1" t="s">
        <v>92</v>
      </c>
      <c r="AB217" s="1">
        <v>8300</v>
      </c>
      <c r="AC217" s="1"/>
      <c r="AD217" s="1"/>
      <c r="AE217" s="1"/>
      <c r="AF217" s="1">
        <f t="shared" si="13"/>
        <v>51000</v>
      </c>
      <c r="AG217" s="1" t="s">
        <v>97</v>
      </c>
    </row>
    <row r="218" spans="1:33" x14ac:dyDescent="0.15">
      <c r="A218" s="11" t="s">
        <v>87</v>
      </c>
      <c r="B218" s="3" t="s">
        <v>88</v>
      </c>
      <c r="C218" s="1">
        <v>96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>
        <v>909005</v>
      </c>
      <c r="O218" s="3" t="s">
        <v>89</v>
      </c>
      <c r="P218" s="1">
        <f t="shared" si="12"/>
        <v>33</v>
      </c>
      <c r="Q218" s="1"/>
      <c r="R218" s="1"/>
      <c r="S218" s="1"/>
      <c r="T218" s="1"/>
      <c r="U218" s="1"/>
      <c r="V218" s="1"/>
      <c r="W218" s="1">
        <v>608001</v>
      </c>
      <c r="X218" s="1" t="s">
        <v>62</v>
      </c>
      <c r="Y218" s="1">
        <v>960</v>
      </c>
      <c r="Z218" s="1">
        <v>612003</v>
      </c>
      <c r="AA218" s="1" t="s">
        <v>93</v>
      </c>
      <c r="AB218" s="1">
        <v>8400</v>
      </c>
      <c r="AC218" s="1"/>
      <c r="AD218" s="1"/>
      <c r="AE218" s="1"/>
      <c r="AF218" s="1">
        <f t="shared" si="13"/>
        <v>51600</v>
      </c>
      <c r="AG218" s="1" t="s">
        <v>97</v>
      </c>
    </row>
    <row r="219" spans="1:33" x14ac:dyDescent="0.15">
      <c r="A219" s="11" t="s">
        <v>87</v>
      </c>
      <c r="B219" s="3" t="s">
        <v>88</v>
      </c>
      <c r="C219" s="1">
        <v>97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>
        <v>909005</v>
      </c>
      <c r="O219" s="3" t="s">
        <v>89</v>
      </c>
      <c r="P219" s="1">
        <f t="shared" si="12"/>
        <v>34</v>
      </c>
      <c r="Q219" s="1"/>
      <c r="R219" s="1"/>
      <c r="S219" s="1"/>
      <c r="T219" s="1"/>
      <c r="U219" s="1"/>
      <c r="V219" s="1"/>
      <c r="W219" s="1">
        <v>608001</v>
      </c>
      <c r="X219" s="1" t="s">
        <v>62</v>
      </c>
      <c r="Y219" s="1">
        <v>970</v>
      </c>
      <c r="Z219" s="1">
        <v>612001</v>
      </c>
      <c r="AA219" s="1" t="s">
        <v>91</v>
      </c>
      <c r="AB219" s="1">
        <v>8500</v>
      </c>
      <c r="AC219" s="1"/>
      <c r="AD219" s="1"/>
      <c r="AE219" s="1"/>
      <c r="AF219" s="1">
        <f t="shared" si="13"/>
        <v>52200</v>
      </c>
      <c r="AG219" s="1" t="s">
        <v>97</v>
      </c>
    </row>
    <row r="220" spans="1:33" x14ac:dyDescent="0.15">
      <c r="A220" s="11" t="s">
        <v>87</v>
      </c>
      <c r="B220" s="3" t="s">
        <v>88</v>
      </c>
      <c r="C220" s="1">
        <v>98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>
        <v>909005</v>
      </c>
      <c r="O220" s="3" t="s">
        <v>89</v>
      </c>
      <c r="P220" s="1">
        <f t="shared" si="12"/>
        <v>34</v>
      </c>
      <c r="Q220" s="1"/>
      <c r="R220" s="1"/>
      <c r="S220" s="1"/>
      <c r="T220" s="1"/>
      <c r="U220" s="1"/>
      <c r="V220" s="1"/>
      <c r="W220" s="1">
        <v>608001</v>
      </c>
      <c r="X220" s="1" t="s">
        <v>62</v>
      </c>
      <c r="Y220" s="1">
        <v>980</v>
      </c>
      <c r="Z220" s="1">
        <v>612002</v>
      </c>
      <c r="AA220" s="1" t="s">
        <v>92</v>
      </c>
      <c r="AB220" s="1">
        <v>8600</v>
      </c>
      <c r="AC220" s="1"/>
      <c r="AD220" s="1"/>
      <c r="AE220" s="1"/>
      <c r="AF220" s="1">
        <f t="shared" si="13"/>
        <v>52800</v>
      </c>
      <c r="AG220" s="1" t="s">
        <v>97</v>
      </c>
    </row>
    <row r="221" spans="1:33" x14ac:dyDescent="0.15">
      <c r="A221" s="11" t="s">
        <v>87</v>
      </c>
      <c r="B221" s="3" t="s">
        <v>88</v>
      </c>
      <c r="C221" s="1">
        <v>99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>
        <v>909005</v>
      </c>
      <c r="O221" s="3" t="s">
        <v>89</v>
      </c>
      <c r="P221" s="1">
        <f t="shared" si="12"/>
        <v>34</v>
      </c>
      <c r="Q221" s="1"/>
      <c r="R221" s="1"/>
      <c r="S221" s="1"/>
      <c r="T221" s="1"/>
      <c r="U221" s="1"/>
      <c r="V221" s="1"/>
      <c r="W221" s="1">
        <v>608001</v>
      </c>
      <c r="X221" s="1" t="s">
        <v>62</v>
      </c>
      <c r="Y221" s="1">
        <v>990</v>
      </c>
      <c r="Z221" s="1">
        <v>612003</v>
      </c>
      <c r="AA221" s="1" t="s">
        <v>93</v>
      </c>
      <c r="AB221" s="1">
        <v>9000</v>
      </c>
      <c r="AC221" s="1"/>
      <c r="AD221" s="1"/>
      <c r="AE221" s="1"/>
      <c r="AF221" s="1">
        <f t="shared" si="13"/>
        <v>54900</v>
      </c>
      <c r="AG221" s="1" t="s">
        <v>97</v>
      </c>
    </row>
    <row r="222" spans="1:33" x14ac:dyDescent="0.15">
      <c r="A222" s="11" t="s">
        <v>87</v>
      </c>
      <c r="B222" s="3" t="s">
        <v>88</v>
      </c>
      <c r="C222" s="1">
        <v>100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>
        <v>909005</v>
      </c>
      <c r="O222" s="3" t="s">
        <v>89</v>
      </c>
      <c r="P222" s="1">
        <f t="shared" si="12"/>
        <v>35</v>
      </c>
      <c r="Q222" s="1"/>
      <c r="R222" s="1"/>
      <c r="S222" s="1"/>
      <c r="T222" s="1"/>
      <c r="U222" s="1"/>
      <c r="V222" s="1"/>
      <c r="W222" s="1">
        <v>608001</v>
      </c>
      <c r="X222" s="1" t="s">
        <v>62</v>
      </c>
      <c r="Y222" s="1">
        <v>1000</v>
      </c>
      <c r="Z222" s="1">
        <v>612001</v>
      </c>
      <c r="AA222" s="1" t="s">
        <v>91</v>
      </c>
      <c r="AB222" s="1">
        <v>10000</v>
      </c>
      <c r="AC222" s="1"/>
      <c r="AD222" s="1"/>
      <c r="AE222" s="1"/>
      <c r="AF222" s="1">
        <f t="shared" si="13"/>
        <v>60000</v>
      </c>
      <c r="AG222" s="1" t="s">
        <v>99</v>
      </c>
    </row>
  </sheetData>
  <phoneticPr fontId="1" type="noConversion"/>
  <conditionalFormatting sqref="B3:B32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B33:B42"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B43:B72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73:B102">
    <cfRule type="iconSet" priority="5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monster_facility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2026-03-05T02:22:42Z</dcterms:modified>
</cp:coreProperties>
</file>