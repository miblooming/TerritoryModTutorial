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6C1861C2-ABE2-4D83-8E80-87AC2C4600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ssion" sheetId="1" r:id="rId1"/>
  </sheets>
  <definedNames>
    <definedName name="_xlnm._FilterDatabase" localSheetId="0" hidden="1">mission!$C$1:$C$113</definedName>
  </definedNames>
  <calcPr calcId="181029"/>
</workbook>
</file>

<file path=xl/calcChain.xml><?xml version="1.0" encoding="utf-8"?>
<calcChain xmlns="http://schemas.openxmlformats.org/spreadsheetml/2006/main">
  <c r="H92" i="1" l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91" i="1"/>
  <c r="H70" i="1" l="1"/>
  <c r="H67" i="1"/>
  <c r="H68" i="1"/>
  <c r="H69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7" i="1"/>
  <c r="H86" i="1"/>
  <c r="H88" i="1"/>
  <c r="H89" i="1"/>
  <c r="H90" i="1"/>
  <c r="H66" i="1"/>
  <c r="H63" i="1"/>
  <c r="H36" i="1" l="1"/>
  <c r="H37" i="1"/>
  <c r="H38" i="1"/>
  <c r="H39" i="1"/>
  <c r="H40" i="1"/>
  <c r="H41" i="1"/>
  <c r="H42" i="1"/>
  <c r="H43" i="1"/>
  <c r="H44" i="1"/>
  <c r="H45" i="1"/>
  <c r="H46" i="1"/>
  <c r="H54" i="1"/>
  <c r="H55" i="1"/>
  <c r="H56" i="1"/>
  <c r="H57" i="1"/>
  <c r="H58" i="1"/>
  <c r="H59" i="1"/>
  <c r="H60" i="1"/>
  <c r="H35" i="1"/>
  <c r="H62" i="1"/>
  <c r="H61" i="1" l="1"/>
  <c r="H64" i="1"/>
  <c r="H65" i="1"/>
  <c r="H53" i="1"/>
  <c r="H52" i="1"/>
  <c r="H50" i="1"/>
  <c r="H49" i="1"/>
  <c r="H51" i="1" l="1"/>
  <c r="H48" i="1"/>
  <c r="H47" i="1"/>
  <c r="H34" i="1"/>
  <c r="H33" i="1"/>
  <c r="H32" i="1"/>
  <c r="H31" i="1"/>
  <c r="H30" i="1"/>
  <c r="H22" i="1"/>
  <c r="H9" i="1"/>
  <c r="H18" i="1"/>
  <c r="H19" i="1"/>
  <c r="H25" i="1"/>
  <c r="H26" i="1"/>
  <c r="H27" i="1"/>
  <c r="H28" i="1"/>
  <c r="H29" i="1"/>
  <c r="H20" i="1"/>
  <c r="H24" i="1"/>
  <c r="H23" i="1"/>
  <c r="H21" i="1"/>
  <c r="H17" i="1"/>
  <c r="H15" i="1" l="1"/>
  <c r="H16" i="1"/>
  <c r="H11" i="1" l="1"/>
  <c r="H8" i="1"/>
  <c r="H4" i="1" l="1"/>
  <c r="H5" i="1" l="1"/>
  <c r="H6" i="1"/>
  <c r="H7" i="1"/>
  <c r="H10" i="1"/>
  <c r="H12" i="1"/>
  <c r="H13" i="1"/>
  <c r="H14" i="1"/>
  <c r="H3" i="1"/>
  <c r="AL2" i="1" l="1"/>
</calcChain>
</file>

<file path=xl/sharedStrings.xml><?xml version="1.0" encoding="utf-8"?>
<sst xmlns="http://schemas.openxmlformats.org/spreadsheetml/2006/main" count="512" uniqueCount="415">
  <si>
    <t>!tmp</t>
    <phoneticPr fontId="1" type="noConversion"/>
  </si>
  <si>
    <t>para2#int</t>
    <phoneticPr fontId="1" type="noConversion"/>
  </si>
  <si>
    <t>para1#int</t>
    <phoneticPr fontId="1" type="noConversion"/>
  </si>
  <si>
    <t>parent_id#int</t>
    <phoneticPr fontId="1" type="noConversion"/>
  </si>
  <si>
    <t>id#int</t>
    <phoneticPr fontId="1" type="noConversion"/>
  </si>
  <si>
    <t>备注</t>
    <phoneticPr fontId="1" type="noConversion"/>
  </si>
  <si>
    <t>参数2</t>
    <phoneticPr fontId="1" type="noConversion"/>
  </si>
  <si>
    <t>参数1</t>
    <phoneticPr fontId="1" type="noConversion"/>
  </si>
  <si>
    <t>条件</t>
    <phoneticPr fontId="1" type="noConversion"/>
  </si>
  <si>
    <t>保卫王国</t>
    <phoneticPr fontId="1" type="noConversion"/>
  </si>
  <si>
    <t>参数1说明</t>
    <phoneticPr fontId="1" type="noConversion"/>
  </si>
  <si>
    <t>!tmp</t>
    <phoneticPr fontId="1" type="noConversion"/>
  </si>
  <si>
    <t>设施ID</t>
    <phoneticPr fontId="1" type="noConversion"/>
  </si>
  <si>
    <t>参数2说明</t>
    <phoneticPr fontId="1" type="noConversion"/>
  </si>
  <si>
    <t>3</t>
    <phoneticPr fontId="1" type="noConversion"/>
  </si>
  <si>
    <t>方位</t>
    <phoneticPr fontId="1" type="noConversion"/>
  </si>
  <si>
    <t>0</t>
    <phoneticPr fontId="1" type="noConversion"/>
  </si>
  <si>
    <t>1</t>
    <phoneticPr fontId="1" type="noConversion"/>
  </si>
  <si>
    <t>2</t>
    <phoneticPr fontId="1" type="noConversion"/>
  </si>
  <si>
    <t>607001:100</t>
    <phoneticPr fontId="1" type="noConversion"/>
  </si>
  <si>
    <t>任务完成后的事件</t>
    <phoneticPr fontId="1" type="noConversion"/>
  </si>
  <si>
    <t>在野蛮人发动总攻之前，击溃其精锐部队，挫败其全面进攻计划。</t>
    <phoneticPr fontId="1" type="noConversion"/>
  </si>
  <si>
    <t>转折之战</t>
    <phoneticPr fontId="1" type="noConversion"/>
  </si>
  <si>
    <t>event_id_of_mission_succ#int</t>
    <phoneticPr fontId="1" type="noConversion"/>
  </si>
  <si>
    <t>任务开始事件</t>
    <phoneticPr fontId="1" type="noConversion"/>
  </si>
  <si>
    <t>event_id_of_mission_start#int</t>
    <phoneticPr fontId="1" type="noConversion"/>
  </si>
  <si>
    <t>zh-CN</t>
  </si>
  <si>
    <t>!desc#str</t>
    <phoneticPr fontId="1" type="noConversion"/>
  </si>
  <si>
    <t>desc_zh-CN#str</t>
  </si>
  <si>
    <t>desc_on_finish_zh-CN#str</t>
  </si>
  <si>
    <t>受到冲击的野蛮人，撤出你的领地，改变了攻击方向。</t>
  </si>
  <si>
    <t>你成功挫败了野蛮人的进攻计划，战线转移到边境之上。</t>
  </si>
  <si>
    <t>一统天下</t>
    <phoneticPr fontId="1" type="noConversion"/>
  </si>
  <si>
    <t>国王下达的任务</t>
    <phoneticPr fontId="1" type="noConversion"/>
  </si>
  <si>
    <t>mission_from_king#int</t>
    <phoneticPr fontId="1" type="noConversion"/>
  </si>
  <si>
    <t>任务ID</t>
    <phoneticPr fontId="1" type="noConversion"/>
  </si>
  <si>
    <t>父级任务</t>
    <phoneticPr fontId="1" type="noConversion"/>
  </si>
  <si>
    <t>领主即将抵达。</t>
    <phoneticPr fontId="1" type="noConversion"/>
  </si>
  <si>
    <t>领地已被外界知晓，旅行商人将每年拜访。</t>
    <phoneticPr fontId="1" type="noConversion"/>
  </si>
  <si>
    <t>野蛮人集结了所有精锐战舰，从海上发起了冲击。</t>
    <phoneticPr fontId="1" type="noConversion"/>
  </si>
  <si>
    <t>大量怪物被人为驱赶到你的领地。</t>
    <phoneticPr fontId="1" type="noConversion"/>
  </si>
  <si>
    <t>野蛮人召唤了大量泰坦来犯。</t>
    <phoneticPr fontId="1" type="noConversion"/>
  </si>
  <si>
    <t>一支由法师组成的军团正在靠近。</t>
    <phoneticPr fontId="1" type="noConversion"/>
  </si>
  <si>
    <t>野蛮人居然和强盗联合起来了。</t>
    <phoneticPr fontId="1" type="noConversion"/>
  </si>
  <si>
    <t>好消息，我们胜利了，成功抵挡了第一波进攻。</t>
    <phoneticPr fontId="1" type="noConversion"/>
  </si>
  <si>
    <t>好消息，我们胜利了，成功抵挡了第二波进攻。</t>
    <phoneticPr fontId="1" type="noConversion"/>
  </si>
  <si>
    <t>好消息，我们胜利了，成功抵挡了第三波进攻。</t>
    <phoneticPr fontId="1" type="noConversion"/>
  </si>
  <si>
    <t>好消息，我们胜利了，成功抵挡了第四波进攻。</t>
    <phoneticPr fontId="1" type="noConversion"/>
  </si>
  <si>
    <t>好消息，我们胜利了，成功抵挡了第五波进攻。</t>
    <phoneticPr fontId="1" type="noConversion"/>
  </si>
  <si>
    <t>登基为王</t>
    <phoneticPr fontId="1" type="noConversion"/>
  </si>
  <si>
    <t>统一所有势力，成为众望所归的王。</t>
    <phoneticPr fontId="1" type="noConversion"/>
  </si>
  <si>
    <t>征服宣王</t>
    <phoneticPr fontId="1" type="noConversion"/>
  </si>
  <si>
    <t>征服北王，或赢得他的支持</t>
    <phoneticPr fontId="1" type="noConversion"/>
  </si>
  <si>
    <t>征服逍遥王，或赢得他的支持</t>
    <phoneticPr fontId="1" type="noConversion"/>
  </si>
  <si>
    <t>征服南洋王，或赢得他的支持</t>
    <phoneticPr fontId="1" type="noConversion"/>
  </si>
  <si>
    <t>征服西洋王，或赢得他的支持</t>
    <phoneticPr fontId="1" type="noConversion"/>
  </si>
  <si>
    <t>征服商王，或赢得他的支持</t>
    <phoneticPr fontId="1" type="noConversion"/>
  </si>
  <si>
    <t>他是王位的有力竞争人选，他不会以轻易放弃。</t>
    <phoneticPr fontId="1" type="noConversion"/>
  </si>
  <si>
    <t>武力征服还是和平统一，全凭领主大人您来决定。</t>
    <phoneticPr fontId="1" type="noConversion"/>
  </si>
  <si>
    <t>你彻底征服了他。</t>
    <phoneticPr fontId="1" type="noConversion"/>
  </si>
  <si>
    <t>已成功获得了他的支持。</t>
    <phoneticPr fontId="1" type="noConversion"/>
  </si>
  <si>
    <t>征服平王</t>
    <phoneticPr fontId="1" type="noConversion"/>
  </si>
  <si>
    <t>历史并未终结</t>
    <phoneticPr fontId="1" type="noConversion"/>
  </si>
  <si>
    <t>乘胜追击，消灭野蛮人</t>
    <phoneticPr fontId="1" type="noConversion"/>
  </si>
  <si>
    <t>乘胜追击，消灭强盗</t>
    <phoneticPr fontId="1" type="noConversion"/>
  </si>
  <si>
    <t>平王</t>
    <phoneticPr fontId="1" type="noConversion"/>
  </si>
  <si>
    <t>宣王</t>
    <phoneticPr fontId="1" type="noConversion"/>
  </si>
  <si>
    <t>北王</t>
  </si>
  <si>
    <t>逍遥王</t>
  </si>
  <si>
    <t>南洋王</t>
  </si>
  <si>
    <t>西洋王</t>
  </si>
  <si>
    <t>商王</t>
  </si>
  <si>
    <t>讨逆成功！天命有常,惟有德者居之。</t>
    <phoneticPr fontId="1" type="noConversion"/>
  </si>
  <si>
    <t>新王登基</t>
    <phoneticPr fontId="1" type="noConversion"/>
  </si>
  <si>
    <t>野蛮人趁虚而入</t>
    <phoneticPr fontId="1" type="noConversion"/>
  </si>
  <si>
    <t>趁新王刚立，时局不稳，野蛮人发动了猛烈的攻击。</t>
    <phoneticPr fontId="1" type="noConversion"/>
  </si>
  <si>
    <t>大获全胜</t>
  </si>
  <si>
    <t>王国虽已统一，但长期的内耗，削弱了王国的无所，外部的威胁显得愈发严重。</t>
    <phoneticPr fontId="1" type="noConversion"/>
  </si>
  <si>
    <t>你统一了整个王国，消灭了长期威胁着王国的野蛮人。
你是真正的大英雄，全世界人民的偶像。</t>
    <phoneticPr fontId="1" type="noConversion"/>
  </si>
  <si>
    <t>任务过程中禁止切图</t>
    <phoneticPr fontId="1" type="noConversion"/>
  </si>
  <si>
    <t>no_escape#int</t>
    <phoneticPr fontId="1" type="noConversion"/>
  </si>
  <si>
    <t>他是王位的最强有力竞争人选。</t>
    <phoneticPr fontId="1" type="noConversion"/>
  </si>
  <si>
    <t>你已与全世界为敌，赢得属于自己的荣耀，一统天下，登基为王是唯一出路，否则死路一条。</t>
    <phoneticPr fontId="1" type="noConversion"/>
  </si>
  <si>
    <t>在4个方向的边境上，建造“边贸口岸”，与各地的商人展开稳定的贸易。</t>
    <phoneticPr fontId="1" type="noConversion"/>
  </si>
  <si>
    <t>在南方建立边贸口岸</t>
    <phoneticPr fontId="1" type="noConversion"/>
  </si>
  <si>
    <t>在西方建立边贸口岸</t>
    <phoneticPr fontId="1" type="noConversion"/>
  </si>
  <si>
    <t>在北方建立边贸口岸</t>
    <phoneticPr fontId="1" type="noConversion"/>
  </si>
  <si>
    <t>在东方建立边贸口岸</t>
    <phoneticPr fontId="1" type="noConversion"/>
  </si>
  <si>
    <t>拔除野蛮人最后的据点，夺回村庄（在世界地图上可以查看村庄被占领状态）。</t>
    <phoneticPr fontId="1" type="noConversion"/>
  </si>
  <si>
    <t>夺回被强盗占据的村庄（在世界地图上可以查看村庄被占领状态）。</t>
    <phoneticPr fontId="1" type="noConversion"/>
  </si>
  <si>
    <t>声望胜利后，要跳过的任务</t>
    <phoneticPr fontId="1" type="noConversion"/>
  </si>
  <si>
    <t>skip_after_win_by_prestige#int</t>
    <phoneticPr fontId="1" type="noConversion"/>
  </si>
  <si>
    <t>第五波：无敌舰队来犯</t>
    <phoneticPr fontId="1" type="noConversion"/>
  </si>
  <si>
    <t>第四波：野蛮人与强盗联军</t>
    <phoneticPr fontId="1" type="noConversion"/>
  </si>
  <si>
    <t>第三波：法师军团</t>
    <phoneticPr fontId="1" type="noConversion"/>
  </si>
  <si>
    <t>第二波：泰坦军团</t>
    <phoneticPr fontId="1" type="noConversion"/>
  </si>
  <si>
    <t>第一波：被控制的怪物潮</t>
    <phoneticPr fontId="1" type="noConversion"/>
  </si>
  <si>
    <t>好消息，我们胜利了，成功击败了敌人的先头部队。</t>
    <phoneticPr fontId="1" type="noConversion"/>
  </si>
  <si>
    <t>先头部队</t>
    <phoneticPr fontId="1" type="noConversion"/>
  </si>
  <si>
    <t>敌人派出了3艘巨型战舰，试探你的实力</t>
    <phoneticPr fontId="1" type="noConversion"/>
  </si>
  <si>
    <t>图腾之柱</t>
    <phoneticPr fontId="1" type="noConversion"/>
  </si>
  <si>
    <t>领主光环</t>
    <phoneticPr fontId="1" type="noConversion"/>
  </si>
  <si>
    <t>拜访国王领地，借用国王的永恒圣殿，召唤神龙。</t>
    <phoneticPr fontId="1" type="noConversion"/>
  </si>
  <si>
    <t>召唤神龙</t>
    <phoneticPr fontId="1" type="noConversion"/>
  </si>
  <si>
    <t>拓展领地</t>
    <phoneticPr fontId="1" type="noConversion"/>
  </si>
  <si>
    <t>建造商船</t>
    <phoneticPr fontId="1" type="noConversion"/>
  </si>
  <si>
    <t>主动出击</t>
    <phoneticPr fontId="1" type="noConversion"/>
  </si>
  <si>
    <t>建造战舰</t>
    <phoneticPr fontId="1" type="noConversion"/>
  </si>
  <si>
    <t>夺回海岛</t>
    <phoneticPr fontId="1" type="noConversion"/>
  </si>
  <si>
    <t>外交纵横</t>
    <phoneticPr fontId="1" type="noConversion"/>
  </si>
  <si>
    <t>领主变得更加强大了。</t>
    <phoneticPr fontId="1" type="noConversion"/>
  </si>
  <si>
    <t>你成功召唤出了第一条龙。</t>
    <phoneticPr fontId="1" type="noConversion"/>
  </si>
  <si>
    <t>恭喜，你的获得了第一片附庸领地。</t>
    <phoneticPr fontId="1" type="noConversion"/>
  </si>
  <si>
    <t>附庸领地开始经营起来了，你每年可以收税，还可以优惠采购物资。</t>
    <phoneticPr fontId="1" type="noConversion"/>
  </si>
  <si>
    <t>恭喜，你成功获得了领主点数，可用于提升领主光环等级。</t>
    <phoneticPr fontId="1" type="noConversion"/>
  </si>
  <si>
    <t>恭喜，第一艘商船建造完成！</t>
    <phoneticPr fontId="1" type="noConversion"/>
  </si>
  <si>
    <t>海上贸易开展起来了，我们将获得价值优惠的原料和更广阔的市场。</t>
    <phoneticPr fontId="1" type="noConversion"/>
  </si>
  <si>
    <t>恭喜，盘踞在海岛上的敌人已经被消灭了。</t>
    <phoneticPr fontId="1" type="noConversion"/>
  </si>
  <si>
    <t>恭喜，贸易环境开始改善了。</t>
    <phoneticPr fontId="1" type="noConversion"/>
  </si>
  <si>
    <t>拜访北王，提升与他的关系，获得贸易优惠。</t>
    <phoneticPr fontId="1" type="noConversion"/>
  </si>
  <si>
    <t>获得龙魂</t>
    <phoneticPr fontId="1" type="noConversion"/>
  </si>
  <si>
    <t>恭喜，获得了龙魂，可以召唤神龙了。</t>
    <phoneticPr fontId="1" type="noConversion"/>
  </si>
  <si>
    <t>维护图腾之柱，获取领主点数，以提升领主光环技能。</t>
    <phoneticPr fontId="1" type="noConversion"/>
  </si>
  <si>
    <t>将领主的“圣剑光环”技能升级到2级。</t>
    <phoneticPr fontId="1" type="noConversion"/>
  </si>
  <si>
    <t>签订“龙之契约”（在图腾之柱的窗口），获得第1枚龙魂。</t>
  </si>
  <si>
    <t>消灭“梅子村”的怪物，拓展领地。</t>
    <phoneticPr fontId="1" type="noConversion"/>
  </si>
  <si>
    <t>经营附属领地</t>
    <phoneticPr fontId="1" type="noConversion"/>
  </si>
  <si>
    <t>地区ID</t>
    <phoneticPr fontId="1" type="noConversion"/>
  </si>
  <si>
    <t>出海贸易</t>
    <phoneticPr fontId="1" type="noConversion"/>
  </si>
  <si>
    <t>设置出海口，派商船出海贸易。</t>
    <phoneticPr fontId="1" type="noConversion"/>
  </si>
  <si>
    <t>战舰出击，剿灭海岛“蓝宝石村”上的野蛮人。</t>
    <phoneticPr fontId="1" type="noConversion"/>
  </si>
  <si>
    <t>423001:30
423002:30
423003:30</t>
    <phoneticPr fontId="1" type="noConversion"/>
  </si>
  <si>
    <t>is_related_to_area#int</t>
    <phoneticPr fontId="1" type="noConversion"/>
  </si>
  <si>
    <t>地区相关的任务</t>
    <phoneticPr fontId="1" type="noConversion"/>
  </si>
  <si>
    <t>领地已完成初步建设，可以迎接领主到任了。</t>
    <phoneticPr fontId="1" type="noConversion"/>
  </si>
  <si>
    <t>采集营地</t>
  </si>
  <si>
    <t>大床</t>
  </si>
  <si>
    <t>布道台</t>
  </si>
  <si>
    <t>研究台</t>
  </si>
  <si>
    <t>农田</t>
  </si>
  <si>
    <t>交易台</t>
  </si>
  <si>
    <t>是否显示任务档</t>
    <phoneticPr fontId="1" type="noConversion"/>
  </si>
  <si>
    <t>is_show_mission_bar#bool</t>
    <phoneticPr fontId="1" type="noConversion"/>
  </si>
  <si>
    <t>掉落物品</t>
    <phoneticPr fontId="1" type="noConversion"/>
  </si>
  <si>
    <t>unlock#str</t>
    <phoneticPr fontId="1" type="noConversion"/>
  </si>
  <si>
    <t>101003,101006</t>
    <phoneticPr fontId="1" type="noConversion"/>
  </si>
  <si>
    <t>106005</t>
    <phoneticPr fontId="1" type="noConversion"/>
  </si>
  <si>
    <t>902005</t>
    <phoneticPr fontId="1" type="noConversion"/>
  </si>
  <si>
    <t>站稳脚跟</t>
    <phoneticPr fontId="1" type="noConversion"/>
  </si>
  <si>
    <t>drop_stuff#str</t>
    <phoneticPr fontId="1" type="noConversion"/>
  </si>
  <si>
    <t>101002</t>
    <phoneticPr fontId="1" type="noConversion"/>
  </si>
  <si>
    <t>902013</t>
    <phoneticPr fontId="1" type="noConversion"/>
  </si>
  <si>
    <t>402001:50</t>
    <phoneticPr fontId="1" type="noConversion"/>
  </si>
  <si>
    <t>303009:100</t>
    <phoneticPr fontId="1" type="noConversion"/>
  </si>
  <si>
    <t>305004:100</t>
    <phoneticPr fontId="1" type="noConversion"/>
  </si>
  <si>
    <t>304001:100</t>
    <phoneticPr fontId="1" type="noConversion"/>
  </si>
  <si>
    <t>611004:100</t>
    <phoneticPr fontId="1" type="noConversion"/>
  </si>
  <si>
    <t>403001:10
404001:10</t>
    <phoneticPr fontId="1" type="noConversion"/>
  </si>
  <si>
    <t>302003:100</t>
    <phoneticPr fontId="1" type="noConversion"/>
  </si>
  <si>
    <t>607001:100</t>
    <phoneticPr fontId="1" type="noConversion"/>
  </si>
  <si>
    <t>902034,902035</t>
    <phoneticPr fontId="1" type="noConversion"/>
  </si>
  <si>
    <t>被放逐的恩宠</t>
    <phoneticPr fontId="1" type="noConversion"/>
  </si>
  <si>
    <t>王城的回信姗姗来迟。
国王没有解释你的分封，只留下寥寥数语：
“边境凶险，但也是磨砺意志的地方。
若连荒野都无法驯服，谈何统御王国。”</t>
    <phoneticPr fontId="1" type="noConversion"/>
  </si>
  <si>
    <t>看来，我没有看错你。
在无人相助的地方站稳脚跟，本身就是一种资格。</t>
    <phoneticPr fontId="1" type="noConversion"/>
  </si>
  <si>
    <t>记住，真正的优势，往往藏在不起眼的地方。</t>
    <phoneticPr fontId="1" type="noConversion"/>
  </si>
  <si>
    <t>秘传的技艺</t>
    <phoneticPr fontId="1" type="noConversion"/>
  </si>
  <si>
    <t>国王的安排</t>
    <phoneticPr fontId="1" type="noConversion"/>
  </si>
  <si>
    <t>人口限制</t>
    <phoneticPr fontId="1" type="noConversion"/>
  </si>
  <si>
    <t>people_count#int</t>
    <phoneticPr fontId="1" type="noConversion"/>
  </si>
  <si>
    <t>facility_id_count</t>
    <phoneticPr fontId="1" type="noConversion"/>
  </si>
  <si>
    <t>建筑限制</t>
    <phoneticPr fontId="1" type="noConversion"/>
  </si>
  <si>
    <t>102005:55
101001:1</t>
    <phoneticPr fontId="1" type="noConversion"/>
  </si>
  <si>
    <t>木墙
小床</t>
    <phoneticPr fontId="1" type="noConversion"/>
  </si>
  <si>
    <t>火盆
劈材桩</t>
    <phoneticPr fontId="1" type="noConversion"/>
  </si>
  <si>
    <t>105006:1</t>
    <phoneticPr fontId="1" type="noConversion"/>
  </si>
  <si>
    <t>104013:1
105007:1</t>
    <phoneticPr fontId="1" type="noConversion"/>
  </si>
  <si>
    <t>105016:1</t>
    <phoneticPr fontId="1" type="noConversion"/>
  </si>
  <si>
    <t>烹饪台</t>
    <phoneticPr fontId="1" type="noConversion"/>
  </si>
  <si>
    <t>105004:1
105005:1</t>
    <phoneticPr fontId="1" type="noConversion"/>
  </si>
  <si>
    <t>渔人码头
猎人营地</t>
    <phoneticPr fontId="1" type="noConversion"/>
  </si>
  <si>
    <t>101002:5</t>
    <phoneticPr fontId="1" type="noConversion"/>
  </si>
  <si>
    <t>105010:1
105011:1</t>
    <phoneticPr fontId="1" type="noConversion"/>
  </si>
  <si>
    <t>制造台
缝纫台</t>
    <phoneticPr fontId="1" type="noConversion"/>
  </si>
  <si>
    <t>104004:1</t>
    <phoneticPr fontId="1" type="noConversion"/>
  </si>
  <si>
    <t>104017:1</t>
    <phoneticPr fontId="1" type="noConversion"/>
  </si>
  <si>
    <t>105001:1</t>
    <phoneticPr fontId="1" type="noConversion"/>
  </si>
  <si>
    <t>103004:1</t>
    <phoneticPr fontId="1" type="noConversion"/>
  </si>
  <si>
    <t>106005:1</t>
    <phoneticPr fontId="1" type="noConversion"/>
  </si>
  <si>
    <t>105027:1</t>
    <phoneticPr fontId="1" type="noConversion"/>
  </si>
  <si>
    <t>提交物品</t>
    <phoneticPr fontId="1" type="noConversion"/>
  </si>
  <si>
    <t>submit_stuff#str</t>
    <phoneticPr fontId="1" type="noConversion"/>
  </si>
  <si>
    <t>604001:100</t>
    <phoneticPr fontId="1" type="noConversion"/>
  </si>
  <si>
    <t>105024,902085</t>
    <phoneticPr fontId="1" type="noConversion"/>
  </si>
  <si>
    <t>骑士们整队离去，怪物全部被消灭了。
“这一次，你没有辱没王旗。”</t>
    <phoneticPr fontId="1" type="noConversion"/>
  </si>
  <si>
    <t>初次试炼</t>
    <phoneticPr fontId="1" type="noConversion"/>
  </si>
  <si>
    <t>落脚之处</t>
    <phoneticPr fontId="1" type="noConversion"/>
  </si>
  <si>
    <t>驱散寒意</t>
    <phoneticPr fontId="1" type="noConversion"/>
  </si>
  <si>
    <t>找到食物</t>
    <phoneticPr fontId="1" type="noConversion"/>
  </si>
  <si>
    <t>空着肚子，什么都谈不上。
森林或许还能给我们一些喘息的机会。</t>
    <phoneticPr fontId="1" type="noConversion"/>
  </si>
  <si>
    <t>勉强果腹</t>
    <phoneticPr fontId="1" type="noConversion"/>
  </si>
  <si>
    <t>生食可以活命，却无法长久。
学会烹饪，才能真正度过这段日子。</t>
    <phoneticPr fontId="1" type="noConversion"/>
  </si>
  <si>
    <t>这里不再只是临时停留。
我们已经在荒野中，留下了痕迹。</t>
    <phoneticPr fontId="1" type="noConversion"/>
  </si>
  <si>
    <t>野果终究有限。
若想继续留下来，就必须寻找新的食物来源。</t>
    <phoneticPr fontId="1" type="noConversion"/>
  </si>
  <si>
    <t>人口增长</t>
    <phoneticPr fontId="1" type="noConversion"/>
  </si>
  <si>
    <t>有人愿意留下，有人愿意组成家庭。
营地正在悄然发生变化。</t>
    <phoneticPr fontId="1" type="noConversion"/>
  </si>
  <si>
    <t>日常所需</t>
    <phoneticPr fontId="1" type="noConversion"/>
  </si>
  <si>
    <t>徒手无法支撑更大的规模。
工具与衣物，将决定效率与生活质量。</t>
    <phoneticPr fontId="1" type="noConversion"/>
  </si>
  <si>
    <t>凝聚信仰</t>
    <phoneticPr fontId="1" type="noConversion"/>
  </si>
  <si>
    <t>人们开始相信，这片土地并非孤立无援。
信仰，让力量汇聚。</t>
    <phoneticPr fontId="1" type="noConversion"/>
  </si>
  <si>
    <t>知识的力量</t>
    <phoneticPr fontId="1" type="noConversion"/>
  </si>
  <si>
    <t>经验只能应付过去。
若想继续前进，必须系统地掌握技艺。</t>
    <phoneticPr fontId="1" type="noConversion"/>
  </si>
  <si>
    <t>稳定粮食</t>
    <phoneticPr fontId="1" type="noConversion"/>
  </si>
  <si>
    <t>人们不再只是活着。
营地，正在变成一个真正的聚落。</t>
    <phoneticPr fontId="1" type="noConversion"/>
  </si>
  <si>
    <t>宣告存在</t>
    <phoneticPr fontId="1" type="noConversion"/>
  </si>
  <si>
    <t>这片土地已不再是无名之地。
宣告你的领地存在，外界将开始回应。
旅行商人会定期到访，
带来种子、牲畜，以及外界的原材料与加工品。</t>
    <phoneticPr fontId="1" type="noConversion"/>
  </si>
  <si>
    <t>物资流通</t>
    <phoneticPr fontId="1" type="noConversion"/>
  </si>
  <si>
    <t>当物资开始流通，
它们便有了新的用途。</t>
    <phoneticPr fontId="1" type="noConversion"/>
  </si>
  <si>
    <t>拓荒完成</t>
    <phoneticPr fontId="1" type="noConversion"/>
  </si>
  <si>
    <t>领地已经能够稳定运转。
人们开始把这里，当作真正的家园。
一切，都在等待下一步。</t>
    <phoneticPr fontId="1" type="noConversion"/>
  </si>
  <si>
    <t>迎接领主</t>
    <phoneticPr fontId="1" type="noConversion"/>
  </si>
  <si>
    <t>领地已经具备规模，
却仍缺少象征权威的核心。
打造王座，
迎接领主到来。</t>
    <phoneticPr fontId="1" type="noConversion"/>
  </si>
  <si>
    <t>寒冷与饥饿正在逼近。
必须尽快找到一处可以停留的地方。</t>
    <phoneticPr fontId="1" type="noConversion"/>
  </si>
  <si>
    <t>简陋无妨，只要能遮风挡雨。
第一座住所，将决定这片营地能否继续维持下去。</t>
    <phoneticPr fontId="1" type="noConversion"/>
  </si>
  <si>
    <t>黑夜降临，寒冷会迅速消耗体力。
点燃火盆，帮助居民维持温暖。</t>
    <phoneticPr fontId="1" type="noConversion"/>
  </si>
  <si>
    <t>第一间房屋</t>
    <phoneticPr fontId="1" type="noConversion"/>
  </si>
  <si>
    <t>一名年迈的王城工匠被派往你的领地。
“这些技艺，早已被世人遗忘。
利用好它们，你的领地将发展得更快。
但我也只掌握的农夫雕像。
在你学会种植蔬菜后，再来找我。”</t>
    <phoneticPr fontId="1" type="noConversion"/>
  </si>
  <si>
    <t>301002:100</t>
    <phoneticPr fontId="1" type="noConversion"/>
  </si>
  <si>
    <t>是否要消灭怪物</t>
    <phoneticPr fontId="1" type="noConversion"/>
  </si>
  <si>
    <t>eliminate_monsters#bool</t>
    <phoneticPr fontId="1" type="noConversion"/>
  </si>
  <si>
    <t>是否要消灭强盗</t>
    <phoneticPr fontId="1" type="noConversion"/>
  </si>
  <si>
    <t>是否消灭野蛮人</t>
    <phoneticPr fontId="1" type="noConversion"/>
  </si>
  <si>
    <t>eliminate_barbarians#bool</t>
    <phoneticPr fontId="1" type="noConversion"/>
  </si>
  <si>
    <t>eliminate_bandits#bool</t>
    <phoneticPr fontId="1" type="noConversion"/>
  </si>
  <si>
    <t>提交矮人</t>
    <phoneticPr fontId="1" type="noConversion"/>
  </si>
  <si>
    <t>submit_dwarf_handyman#int</t>
    <phoneticPr fontId="1" type="noConversion"/>
  </si>
  <si>
    <t>更丰富的食物</t>
    <phoneticPr fontId="1" type="noConversion"/>
  </si>
  <si>
    <t>采集与狩猎终究是不稳定。
是时候让土地，持续产出食物了。</t>
    <phoneticPr fontId="1" type="noConversion"/>
  </si>
  <si>
    <t>104012</t>
    <phoneticPr fontId="1" type="noConversion"/>
  </si>
  <si>
    <t>皇家骑士终究会离开。
边境的夜晚，不会永远安静。
若想在这片土地立足，
你必须拥有只听命于你的武装。</t>
    <phoneticPr fontId="1" type="noConversion"/>
  </si>
  <si>
    <t>建立武装</t>
    <phoneticPr fontId="1" type="noConversion"/>
  </si>
  <si>
    <t>106001:1</t>
    <phoneticPr fontId="1" type="noConversion"/>
  </si>
  <si>
    <t>王城已注意到边境的动向。
一支皇家骑士团将暂时协助你清理威胁。
这是一次试炼。</t>
    <phoneticPr fontId="1" type="noConversion"/>
  </si>
  <si>
    <t>can_skip#bool</t>
    <phoneticPr fontId="1" type="noConversion"/>
  </si>
  <si>
    <t>是否可跳过</t>
    <phoneticPr fontId="1" type="noConversion"/>
  </si>
  <si>
    <t>413001:5
414001:5
415001:5</t>
    <phoneticPr fontId="1" type="noConversion"/>
  </si>
  <si>
    <t>612001:10
612002:10
612003:10</t>
    <phoneticPr fontId="1" type="noConversion"/>
  </si>
  <si>
    <t>王城的沉默</t>
    <phoneticPr fontId="1" type="noConversion"/>
  </si>
  <si>
    <t>失控的边境</t>
    <phoneticPr fontId="1" type="noConversion"/>
  </si>
  <si>
    <t>在风暴中生长</t>
    <phoneticPr fontId="1" type="noConversion"/>
  </si>
  <si>
    <t>活人的献祭</t>
    <phoneticPr fontId="1" type="noConversion"/>
  </si>
  <si>
    <t>封印松动</t>
    <phoneticPr fontId="1" type="noConversion"/>
  </si>
  <si>
    <t>强盗出没</t>
    <phoneticPr fontId="1" type="noConversion"/>
  </si>
  <si>
    <t>出乎意料的是，送往王城的人口很快被原路送回。
随行的文书只有一句话：
“本次流程中止。”
自那之后，封印开始出现异常。</t>
    <phoneticPr fontId="1" type="noConversion"/>
  </si>
  <si>
    <t>世界不是突然出问题的。
变化从王城开始，
然后，一点点传到了各地。</t>
    <phoneticPr fontId="1" type="noConversion"/>
  </si>
  <si>
    <t>国王还坐在王座上。
但所有与封印有关的事，
都被一拖再拖。
今天，王城终于送来了一封信。</t>
    <phoneticPr fontId="1" type="noConversion"/>
  </si>
  <si>
    <t>混乱正在蔓延，
但世界还没有彻底失控。
在旧秩序崩塌之前，
仍有人能抓住机会，
积蓄力量。</t>
    <phoneticPr fontId="1" type="noConversion"/>
  </si>
  <si>
    <t>派系初现</t>
    <phoneticPr fontId="1" type="noConversion"/>
  </si>
  <si>
    <t>607001:100</t>
    <phoneticPr fontId="1" type="noConversion"/>
  </si>
  <si>
    <t>608001:10</t>
    <phoneticPr fontId="1" type="noConversion"/>
  </si>
  <si>
    <t>宣王的信件措辞谨慎而周全。
“战争终会结束。
能留下来的，往往不是最强的那一个。”
他提出建立长期合作关系。</t>
    <phoneticPr fontId="1" type="noConversion"/>
  </si>
  <si>
    <t>平王的使者直言不讳：
“这片土地，只认强者。”
他提出向你提供一批优良武器，
但也需要看到你的诚意。</t>
    <phoneticPr fontId="1" type="noConversion"/>
  </si>
  <si>
    <t>413002:5
413003:3
413004:2</t>
    <phoneticPr fontId="1" type="noConversion"/>
  </si>
  <si>
    <t>野蛮人越过边境，洗劫了邻近的王室领地。
王城的命令简短而急迫：
“清除他们。”
此次行动不涉及派系纷争。
击退野蛮人，即可获得赏赐。</t>
    <phoneticPr fontId="1" type="noConversion"/>
  </si>
  <si>
    <t>602001:1000
603001:1000</t>
    <phoneticPr fontId="1" type="noConversion"/>
  </si>
  <si>
    <t>各地诸侯开始为未来下注。
他们无意登上王座，
却必须选择依附的方向。
你的领地，已被视为一个重要的变量。</t>
    <phoneticPr fontId="1" type="noConversion"/>
  </si>
  <si>
    <t>302004:5000</t>
    <phoneticPr fontId="1" type="noConversion"/>
  </si>
  <si>
    <t>304001:3000
304008:3000</t>
    <phoneticPr fontId="1" type="noConversion"/>
  </si>
  <si>
    <t>401001:1000
404001:200</t>
    <phoneticPr fontId="1" type="noConversion"/>
  </si>
  <si>
    <t>失序的开始</t>
    <phoneticPr fontId="1" type="noConversion"/>
  </si>
  <si>
    <t>开始持续周期刷怪</t>
    <phoneticPr fontId="1" type="noConversion"/>
  </si>
  <si>
    <t>开始持续周期出野蛮人</t>
    <phoneticPr fontId="1" type="noConversion"/>
  </si>
  <si>
    <t>开始持续周期出强盗</t>
    <phoneticPr fontId="1" type="noConversion"/>
  </si>
  <si>
    <t>人口要求</t>
    <phoneticPr fontId="1" type="noConversion"/>
  </si>
  <si>
    <t>国王的遗志</t>
    <phoneticPr fontId="1" type="noConversion"/>
  </si>
  <si>
    <t>天下失序</t>
    <phoneticPr fontId="1" type="noConversion"/>
  </si>
  <si>
    <t>王权向所有人开放。
旧的秩序仍在运转，却随时可能被打破。
人性获得了裁决的自由，也必须承担滑入混乱的风险。</t>
    <phoneticPr fontId="1" type="noConversion"/>
  </si>
  <si>
    <t>新势力的崛起</t>
    <phoneticPr fontId="1" type="noConversion"/>
  </si>
  <si>
    <t>收回被野蛮人占领的“菜豆村”。</t>
    <phoneticPr fontId="1" type="noConversion"/>
  </si>
  <si>
    <t>恭喜，第一艘战舰建造完成！</t>
    <phoneticPr fontId="1" type="noConversion"/>
  </si>
  <si>
    <t>国王仍坐在王座上，却已看清这条路的尽头。
他没有再向诸侯下令，而是把你派往边境。
那里远离王城，也远离旧契约。
如果还有别的出路，只能从那里开始。</t>
    <phoneticPr fontId="1" type="noConversion"/>
  </si>
  <si>
    <t>王城久无明确旨意，权威逐渐失声。
各方开始自行行动。
有人以武力扩张，
有人编织同盟，
也有人用财富定价一切。
你的领地，被他们注意到了。</t>
    <phoneticPr fontId="1" type="noConversion"/>
  </si>
  <si>
    <t>401001:2000</t>
    <phoneticPr fontId="1" type="noConversion"/>
  </si>
  <si>
    <t>商王没有寒暄，直接列出条件：
“你负责生产，我负责流通。
价格公道，立场自然清楚。”
他希望与你建立贸易往来。</t>
    <phoneticPr fontId="1" type="noConversion"/>
  </si>
  <si>
    <t>商路初开</t>
    <phoneticPr fontId="1" type="noConversion"/>
  </si>
  <si>
    <t>神之契约</t>
    <phoneticPr fontId="1" type="noConversion"/>
  </si>
  <si>
    <t>上古之神以图腾封印魔王，
并与诸王订立契约。
守护图腾者，
将获得神力，成为不灭的领主之魂。
契约未曾废止，
图腾却已斑驳。</t>
    <phoneticPr fontId="1" type="noConversion"/>
  </si>
  <si>
    <t>!tmp</t>
    <phoneticPr fontId="1" type="noConversion"/>
  </si>
  <si>
    <t>草药
铁锭</t>
    <phoneticPr fontId="1" type="noConversion"/>
  </si>
  <si>
    <t>烈酒</t>
    <phoneticPr fontId="1" type="noConversion"/>
  </si>
  <si>
    <t>秘银矿
精金矿
山铜矿</t>
    <phoneticPr fontId="1" type="noConversion"/>
  </si>
  <si>
    <t>药茶</t>
    <phoneticPr fontId="1" type="noConversion"/>
  </si>
  <si>
    <t>烈酒
皮夹克</t>
    <phoneticPr fontId="1" type="noConversion"/>
  </si>
  <si>
    <t>鱼
龙虾</t>
    <phoneticPr fontId="1" type="noConversion"/>
  </si>
  <si>
    <t>卷心菜</t>
    <phoneticPr fontId="1" type="noConversion"/>
  </si>
  <si>
    <t>前置任务</t>
    <phoneticPr fontId="1" type="noConversion"/>
  </si>
  <si>
    <t>prepositive_mission#int</t>
    <phoneticPr fontId="1" type="noConversion"/>
  </si>
  <si>
    <t>是否假意提交人口</t>
    <phoneticPr fontId="1" type="noConversion"/>
  </si>
  <si>
    <t>handyman_not_really_submitted#bool</t>
    <phoneticPr fontId="1" type="noConversion"/>
  </si>
  <si>
    <t>建造码头，并在其中建造一艘商船。
开展海上贸易。</t>
    <phoneticPr fontId="1" type="noConversion"/>
  </si>
  <si>
    <t>任务完成时解锁</t>
    <phoneticPr fontId="1" type="noConversion"/>
  </si>
  <si>
    <t>任务完成时提升外交关系</t>
    <phoneticPr fontId="1" type="noConversion"/>
  </si>
  <si>
    <t>平王</t>
    <phoneticPr fontId="1" type="noConversion"/>
  </si>
  <si>
    <t>宣王</t>
    <phoneticPr fontId="1" type="noConversion"/>
  </si>
  <si>
    <t>107</t>
    <phoneticPr fontId="1" type="noConversion"/>
  </si>
  <si>
    <t>商王</t>
    <phoneticPr fontId="1" type="noConversion"/>
  </si>
  <si>
    <t>increase_relation_level_of_kingdom_id#int</t>
    <phoneticPr fontId="1" type="noConversion"/>
  </si>
  <si>
    <t>平王的试探</t>
    <phoneticPr fontId="1" type="noConversion"/>
  </si>
  <si>
    <t>宣王的提议</t>
    <phoneticPr fontId="1" type="noConversion"/>
  </si>
  <si>
    <t>边境告急</t>
    <phoneticPr fontId="1" type="noConversion"/>
  </si>
  <si>
    <t>商王的条件</t>
    <phoneticPr fontId="1" type="noConversion"/>
  </si>
  <si>
    <t>诸侯下注</t>
    <phoneticPr fontId="1" type="noConversion"/>
  </si>
  <si>
    <t>逍遥王的条件</t>
    <phoneticPr fontId="1" type="noConversion"/>
  </si>
  <si>
    <t>北王的取向</t>
    <phoneticPr fontId="1" type="noConversion"/>
  </si>
  <si>
    <t>南洋王的判断</t>
    <phoneticPr fontId="1" type="noConversion"/>
  </si>
  <si>
    <t>西洋王的考量</t>
    <phoneticPr fontId="1" type="noConversion"/>
  </si>
  <si>
    <t>403001:100
404001:100</t>
    <phoneticPr fontId="1" type="noConversion"/>
  </si>
  <si>
    <t>普通工具
皮夹克</t>
    <phoneticPr fontId="1" type="noConversion"/>
  </si>
  <si>
    <t>两轮马车</t>
    <phoneticPr fontId="1" type="noConversion"/>
  </si>
  <si>
    <t>精致食物
蜂蜜酒</t>
    <phoneticPr fontId="1" type="noConversion"/>
  </si>
  <si>
    <t>305002:1500
401003:1500</t>
    <phoneticPr fontId="1" type="noConversion"/>
  </si>
  <si>
    <t>421001:2000</t>
    <phoneticPr fontId="1" type="noConversion"/>
  </si>
  <si>
    <t>416001:10</t>
    <phoneticPr fontId="1" type="noConversion"/>
  </si>
  <si>
    <t>616002:2500
616003:2500
616004:2500</t>
    <phoneticPr fontId="1" type="noConversion"/>
  </si>
  <si>
    <t>是否要查看信件</t>
    <phoneticPr fontId="1" type="noConversion"/>
  </si>
  <si>
    <t>need_read_letter#bool</t>
    <phoneticPr fontId="1" type="noConversion"/>
  </si>
  <si>
    <t>815001:100</t>
    <phoneticPr fontId="1" type="noConversion"/>
  </si>
  <si>
    <t>龙魂石</t>
    <phoneticPr fontId="1" type="noConversion"/>
  </si>
  <si>
    <t>612003:50</t>
    <phoneticPr fontId="1" type="noConversion"/>
  </si>
  <si>
    <t>绿宝石</t>
    <phoneticPr fontId="1" type="noConversion"/>
  </si>
  <si>
    <t>612002:50</t>
    <phoneticPr fontId="1" type="noConversion"/>
  </si>
  <si>
    <t>蓝宝石</t>
    <phoneticPr fontId="1" type="noConversion"/>
  </si>
  <si>
    <t>红宝石</t>
    <phoneticPr fontId="1" type="noConversion"/>
  </si>
  <si>
    <t>612001:10</t>
    <phoneticPr fontId="1" type="noConversion"/>
  </si>
  <si>
    <t>612003:10</t>
    <phoneticPr fontId="1" type="noConversion"/>
  </si>
  <si>
    <t>612002:10</t>
    <phoneticPr fontId="1" type="noConversion"/>
  </si>
  <si>
    <t>逍遥王派人送来口信。
我不争王位，也不急着站队。
只要日子好过，立场并不重要。
你若能提供珍馐之物，我愿意与你往来。</t>
    <phoneticPr fontId="1" type="noConversion"/>
  </si>
  <si>
    <t>北王的使团来信。
北境擅长耕种与防守，却难以独自应对围困。
宣王的联盟，能提供必要的支援。
若你愿意向宣王靠拢，北境愿意与你结好。</t>
    <phoneticPr fontId="1" type="noConversion"/>
  </si>
  <si>
    <t>南洋王的使团送来来信。
南洋依靠矿产与城防立足。
我们相信，乱世只能靠力量结束。
平王的道路，才是正途。
若你能跟随平王征战天下，南洋愿意与你交好。</t>
    <phoneticPr fontId="1" type="noConversion"/>
  </si>
  <si>
    <t>西洋王的使团来信。
西洋负责补给，最怕秩序崩坏。
宣王的联盟，能维持调度与稳定。
若你认可这种秩序，我们便是朋友。</t>
    <phoneticPr fontId="1" type="noConversion"/>
  </si>
  <si>
    <t>献祭被中断后，
封印开始失去稳定。
原本被压制的怪物，
正在各地重新出现。</t>
    <phoneticPr fontId="1" type="noConversion"/>
  </si>
  <si>
    <t>王城的命令迟迟无法传达。
边境防线出现空隙，
野蛮人开始越境劫掠。
冲突，正在变成常态。</t>
    <phoneticPr fontId="1" type="noConversion"/>
  </si>
  <si>
    <t>没有人再维护道路的秩序。
强盗再次活跃，
商队与行人频繁遇袭。
若不清理，贸易将受影响。</t>
    <phoneticPr fontId="1" type="noConversion"/>
  </si>
  <si>
    <t>盛产海产品、药品及铁矿，大量进口皮夹克、肥料、普通工具及简单食物。
可获得国王赏赐的启动资金。</t>
    <phoneticPr fontId="1" type="noConversion"/>
  </si>
  <si>
    <t>盛产煤矿、皮革、钻石、咖啡豆、可可豆及盾牌，进口精致食物、樱桃、马车及石料。
可获得国王赏赐的启动资金。</t>
    <phoneticPr fontId="1" type="noConversion"/>
  </si>
  <si>
    <t>盛产羊毛、肥料、木材、蜂蜜、黄金、石料及盔甲，进口优质工具、保暖大衣及烈酒。
可获得国王赏赐的启动资金。</t>
    <phoneticPr fontId="1" type="noConversion"/>
  </si>
  <si>
    <t>盛产蓝宝石、绿宝石、红宝石、牧草及武器，进口苹果、卷心菜、果酒及精致食物。
可获得国王赏赐的启动资金。</t>
  </si>
  <si>
    <t>与南方的贸易更加紧密了。</t>
    <phoneticPr fontId="1" type="noConversion"/>
  </si>
  <si>
    <t>与西方的贸易更加紧密了。</t>
    <phoneticPr fontId="1" type="noConversion"/>
  </si>
  <si>
    <t>与北方的贸易更加紧密了。</t>
    <phoneticPr fontId="1" type="noConversion"/>
  </si>
  <si>
    <t>与东方的贸易更加紧密了。</t>
    <phoneticPr fontId="1" type="noConversion"/>
  </si>
  <si>
    <t>出海口</t>
    <phoneticPr fontId="1" type="noConversion"/>
  </si>
  <si>
    <t>打造海上舰队，获得海上控制权。
在码头中建造一艘战舰。
可获得国王赏赐的炮弹。</t>
    <phoneticPr fontId="1" type="noConversion"/>
  </si>
  <si>
    <t>103005:1</t>
    <phoneticPr fontId="1" type="noConversion"/>
  </si>
  <si>
    <t>condition_type#int</t>
    <phoneticPr fontId="1" type="noConversion"/>
  </si>
  <si>
    <t>判定条件类型
0:自动完成
1:通用
其它特殊条件</t>
    <phoneticPr fontId="1" type="noConversion"/>
  </si>
  <si>
    <t>开发“梅子村”，任命贵族经营，可获得贸易优惠及税收。</t>
    <phoneticPr fontId="1" type="noConversion"/>
  </si>
  <si>
    <t>430001:1
430002:1</t>
    <phoneticPr fontId="1" type="noConversion"/>
  </si>
  <si>
    <t>国王之冠</t>
    <phoneticPr fontId="1" type="noConversion"/>
  </si>
  <si>
    <t>国王之冠
驭龙瓶</t>
    <phoneticPr fontId="1" type="noConversion"/>
  </si>
  <si>
    <t>国王失踪前，留下最后一道诏令。
王权不再由神授予，
封印已解除，诸神不再裁决天下。
从这一刻起，
世界的走向，将由人来决定。
所有诸王，皆可争；你，也在其中。</t>
    <phoneticPr fontId="1" type="noConversion"/>
  </si>
  <si>
    <t>诏令之后，
王城送来了最后的赠与。
国王将王冠与驭龙之瓶交到你手中，
却没有留下任何命令。
“天下不该再依靠诸神维系。
若它还有未来，
就让人自己走出来。”</t>
    <phoneticPr fontId="1" type="noConversion"/>
  </si>
  <si>
    <t>宣王召集诸王</t>
    <phoneticPr fontId="1" type="noConversion"/>
  </si>
  <si>
    <t>平王集结军队</t>
    <phoneticPr fontId="1" type="noConversion"/>
  </si>
  <si>
    <t xml:space="preserve">商王严控贸易 </t>
    <phoneticPr fontId="1" type="noConversion"/>
  </si>
  <si>
    <t>平王公开举兵，开始征调士兵与军械。
“乱世不需要裁决，只需要胜者。”
他封锁要道，准备以战争结束动乱。
他要求你接受统一军事调度。</t>
    <phoneticPr fontId="1" type="noConversion"/>
  </si>
  <si>
    <t>商王不谈王位，只整顿商路。
他统一定价，限制流通，掌控补给命脉。
没有他的许可，战争与城市都难以维持。
他要求你融入贸易体系。</t>
    <phoneticPr fontId="1" type="noConversion"/>
  </si>
  <si>
    <t>宣王没有急于开战。
他联络诸侯，私下缔结联盟，交换资源与承诺。
粮食、防务与边境责任正在重新分配。
他邀请你加入联盟体系。</t>
    <phoneticPr fontId="1" type="noConversion"/>
  </si>
  <si>
    <t>423001:50
423002:50</t>
    <phoneticPr fontId="1" type="noConversion"/>
  </si>
  <si>
    <t>榴弹
铁弹</t>
    <phoneticPr fontId="1" type="noConversion"/>
  </si>
  <si>
    <t>413005:5
413006:3
413007:2</t>
    <phoneticPr fontId="1" type="noConversion"/>
  </si>
  <si>
    <t>稀有武器
特殊武器
极品武器</t>
    <phoneticPr fontId="1" type="noConversion"/>
  </si>
  <si>
    <t>602001:3000</t>
    <phoneticPr fontId="1" type="noConversion"/>
  </si>
  <si>
    <t>草药</t>
    <phoneticPr fontId="1" type="noConversion"/>
  </si>
  <si>
    <t>火药
煤
铁矿</t>
    <phoneticPr fontId="1" type="noConversion"/>
  </si>
  <si>
    <t>422001:100
601001:2000
616001:5000</t>
    <phoneticPr fontId="1" type="noConversion"/>
  </si>
  <si>
    <t>生命药水
铁锭</t>
    <phoneticPr fontId="1" type="noConversion"/>
  </si>
  <si>
    <t>602002:1500
603001:2000</t>
    <phoneticPr fontId="1" type="noConversion"/>
  </si>
  <si>
    <t xml:space="preserve">                                </t>
    <phoneticPr fontId="1" type="noConversion"/>
  </si>
  <si>
    <t>内忧外患</t>
    <phoneticPr fontId="1" type="noConversion"/>
  </si>
  <si>
    <t>君临天下</t>
    <phoneticPr fontId="1" type="noConversion"/>
  </si>
  <si>
    <t>众望所归，登基为王，扫平四海。</t>
    <phoneticPr fontId="1" type="noConversion"/>
  </si>
  <si>
    <t>乘胜追击，消灭怪物</t>
    <phoneticPr fontId="1" type="noConversion"/>
  </si>
  <si>
    <t>夺回被怪物占据的村庄（在世界地图上可以查看村庄被占领状态）。</t>
    <phoneticPr fontId="1" type="noConversion"/>
  </si>
  <si>
    <t>王位争夺在即，野蛮人趁乱发动猛攻。</t>
    <phoneticPr fontId="1" type="noConversion"/>
  </si>
  <si>
    <t>野蛮人再次被击溃，你的光辉战绩名垂青史，你获得“战无不胜攻无不克忠义威猛护国公”的称号。</t>
    <phoneticPr fontId="1" type="noConversion"/>
  </si>
  <si>
    <t>敌军主力逼近，边境却反常平静。
野蛮人派出使者，要求与议和。</t>
    <phoneticPr fontId="1" type="noConversion"/>
  </si>
  <si>
    <t>野蛮人的先锋部队，后撤到王国边境之上，但他们战斗力仍然强劲，仍然试图再次入侵。</t>
    <phoneticPr fontId="1" type="noConversion"/>
  </si>
  <si>
    <t>政变</t>
    <phoneticPr fontId="1" type="noConversion"/>
  </si>
  <si>
    <t>一只野蛮人的先锋部队正在边境集结，即将进攻都城，阻止他们！</t>
    <phoneticPr fontId="1" type="noConversion"/>
  </si>
  <si>
    <t>议和</t>
    <phoneticPr fontId="1" type="noConversion"/>
  </si>
  <si>
    <t>再次入侵</t>
    <phoneticPr fontId="1" type="noConversion"/>
  </si>
  <si>
    <t>讨伐平王</t>
    <phoneticPr fontId="1" type="noConversion"/>
  </si>
  <si>
    <t>平王发动政变，
占据王城与旧王领地，
并公开宣布自己为新的国王。
王权被强行接管，天下震动。</t>
    <phoneticPr fontId="1" type="noConversion"/>
  </si>
  <si>
    <t>平王以武力，强行攻占王城，为天下不齿。
消灭平王，众望所归。</t>
    <phoneticPr fontId="1" type="noConversion"/>
  </si>
  <si>
    <t>加冕登基</t>
    <phoneticPr fontId="1" type="noConversion"/>
  </si>
  <si>
    <t>430001:1</t>
    <phoneticPr fontId="1" type="noConversion"/>
  </si>
  <si>
    <t>你成为了真正国王，
关于你的英勇战绩，
将被后世代代传颂。
加冕仪式正式开始！</t>
    <phoneticPr fontId="1" type="noConversion"/>
  </si>
  <si>
    <t>故事在此落幕，
神不再发声，
王位不再由天裁定。
这是神话时代的终结。
世界没有崩塌，
秩序也没有消失。
人用自己的选择、
意志与代价，
证明了自己能够统治世界。
你的名字被写入史册，
不是因为神的认可，
而是因为你做到了。
历史仍在继续。</t>
    <phoneticPr fontId="1" type="noConversion"/>
  </si>
  <si>
    <t>故事在此落幕，
神不再发声，
王位不再由天裁定。
这是神话时代的终结。
世界没有崩塌，
秩序也没有消失。
人用自己的选择、
意志与代价，
证明了自己能够统治世界。
你的名字被写入史册，
不是因为神的认可，
而是因为你做到了。
历史仍在继续，
生生不息，
周而复始。</t>
    <phoneticPr fontId="1" type="noConversion"/>
  </si>
  <si>
    <t>你成为了真正国王，
关于你的英勇战绩和光辉形象，
将被后世代代传颂。
加冕仪式正式开始！</t>
    <phoneticPr fontId="1" type="noConversion"/>
  </si>
  <si>
    <t>305006:100
401003:1000
305002:1000
401001:1000</t>
    <phoneticPr fontId="1" type="noConversion"/>
  </si>
  <si>
    <t>蛋糕
蜂蜜酒
精致食物
烈酒</t>
    <phoneticPr fontId="1" type="noConversion"/>
  </si>
  <si>
    <t>在您英明的指挥下，敌人被彻底击溃。
居民们送来美酒佳肴，为你接风。</t>
    <phoneticPr fontId="1" type="noConversion"/>
  </si>
  <si>
    <t>众望所归，登基为王，横扫天下。</t>
    <phoneticPr fontId="1" type="noConversion"/>
  </si>
  <si>
    <t>通过设置，可跳过新手流程</t>
    <phoneticPr fontId="1" type="noConversion"/>
  </si>
  <si>
    <t>领地初建</t>
    <phoneticPr fontId="1" type="noConversion"/>
  </si>
  <si>
    <t>is_tutorial#bool</t>
    <phoneticPr fontId="1" type="noConversion"/>
  </si>
  <si>
    <t>身份转变为国王</t>
    <phoneticPr fontId="1" type="noConversion"/>
  </si>
  <si>
    <t>to_be_king#bool</t>
    <phoneticPr fontId="1" type="noConversion"/>
  </si>
  <si>
    <t>1</t>
    <phoneticPr fontId="1" type="noConversion"/>
  </si>
  <si>
    <t>104017</t>
    <phoneticPr fontId="1" type="noConversion"/>
  </si>
  <si>
    <t>902009,902163</t>
    <phoneticPr fontId="1" type="noConversion"/>
  </si>
  <si>
    <t>是否要主动接收任务</t>
    <phoneticPr fontId="1" type="noConversion"/>
  </si>
  <si>
    <t>start_by_player#bool</t>
    <phoneticPr fontId="1" type="noConversion"/>
  </si>
  <si>
    <t>封印依靠一份古老的契约维持。
王城会定期从各地征集居民，
作为维持封印的代价。
这一次，轮到你的领地。
你需准备一批杂工，用于献祭。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</si>
</sst>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Calibri"/>
      <family val="2"/>
    </font>
    <font>
      <sz val="11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u/>
      <sz val="11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4">
    <xf numFmtId="0" fontId="0" fillId="0" borderId="0" xfId="0"/>
    <xf numFmtId="49" fontId="0" fillId="0" borderId="0" xfId="0" applyNumberFormat="1"/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49" fontId="0" fillId="0" borderId="0" xfId="0" applyNumberFormat="1" applyAlignment="1">
      <alignment vertical="top"/>
    </xf>
    <xf numFmtId="0" fontId="0" fillId="2" borderId="1" xfId="0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49" fontId="3" fillId="0" borderId="1" xfId="1" applyNumberFormat="1" applyFont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0" borderId="3" xfId="0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49" fontId="0" fillId="0" borderId="2" xfId="0" applyNumberFormat="1" applyBorder="1" applyAlignment="1">
      <alignment vertical="top"/>
    </xf>
    <xf numFmtId="0" fontId="7" fillId="0" borderId="1" xfId="0" applyFont="1" applyBorder="1" applyAlignment="1">
      <alignment vertical="top"/>
    </xf>
    <xf numFmtId="0" fontId="0" fillId="0" borderId="1" xfId="0" applyBorder="1"/>
    <xf numFmtId="0" fontId="2" fillId="0" borderId="1" xfId="0" applyFont="1" applyBorder="1"/>
    <xf numFmtId="0" fontId="2" fillId="2" borderId="1" xfId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0" xfId="0" applyFill="1"/>
    <xf numFmtId="0" fontId="0" fillId="2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5" borderId="1" xfId="0" applyFill="1" applyBorder="1" applyAlignment="1">
      <alignment vertical="top"/>
    </xf>
  </cellXfs>
  <cellStyles count="14">
    <cellStyle name="常规" xfId="0" builtinId="0"/>
    <cellStyle name="常规 2" xfId="1" xr:uid="{00000000-0005-0000-0000-000001000000}"/>
    <cellStyle name="常规 2 2" xfId="6" xr:uid="{00000000-0005-0000-0000-000002000000}"/>
    <cellStyle name="常规 2 3" xfId="7" xr:uid="{00000000-0005-0000-0000-000003000000}"/>
    <cellStyle name="常规 3 2" xfId="8" xr:uid="{00000000-0005-0000-0000-000004000000}"/>
    <cellStyle name="常规 3 3" xfId="5" xr:uid="{00000000-0005-0000-0000-000005000000}"/>
    <cellStyle name="常规 3 4" xfId="13" xr:uid="{00000000-0005-0000-0000-000006000000}"/>
    <cellStyle name="常规 4" xfId="9" xr:uid="{00000000-0005-0000-0000-000007000000}"/>
    <cellStyle name="常规 4 2" xfId="10" xr:uid="{00000000-0005-0000-0000-000008000000}"/>
    <cellStyle name="常规 4 3" xfId="11" xr:uid="{00000000-0005-0000-0000-000009000000}"/>
    <cellStyle name="常规 5" xfId="12" xr:uid="{00000000-0005-0000-0000-00000A000000}"/>
    <cellStyle name="常规 5 2" xfId="2" xr:uid="{00000000-0005-0000-0000-00000B000000}"/>
    <cellStyle name="常规 5 3" xfId="3" xr:uid="{00000000-0005-0000-0000-00000C000000}"/>
    <cellStyle name="常规 6" xfId="4" xr:uid="{00000000-0005-0000-0000-00000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3"/>
  <sheetViews>
    <sheetView tabSelected="1" topLeftCell="X1" zoomScale="85" zoomScaleNormal="85" workbookViewId="0">
      <pane ySplit="1" topLeftCell="A20" activePane="bottomLeft" state="frozen"/>
      <selection activeCell="AH1" sqref="AH1"/>
      <selection pane="bottomLeft" activeCell="AM44" sqref="AM44"/>
    </sheetView>
  </sheetViews>
  <sheetFormatPr defaultRowHeight="15" customHeight="1" x14ac:dyDescent="0.15"/>
  <cols>
    <col min="1" max="1" width="9.5" bestFit="1" customWidth="1"/>
    <col min="2" max="2" width="11.625" customWidth="1"/>
    <col min="3" max="3" width="12.125" customWidth="1"/>
    <col min="4" max="7" width="9.875" customWidth="1"/>
    <col min="8" max="8" width="50" customWidth="1"/>
    <col min="9" max="9" width="10.625" customWidth="1"/>
    <col min="10" max="10" width="8.125" customWidth="1"/>
    <col min="11" max="11" width="5.5" customWidth="1"/>
    <col min="12" max="12" width="5.625" customWidth="1"/>
    <col min="13" max="13" width="7.625" customWidth="1"/>
    <col min="14" max="14" width="6.875" customWidth="1"/>
    <col min="15" max="17" width="6.5" customWidth="1"/>
    <col min="18" max="18" width="11.625" customWidth="1"/>
    <col min="19" max="22" width="10.25" customWidth="1"/>
    <col min="23" max="24" width="12.875" customWidth="1"/>
    <col min="25" max="25" width="7.375" customWidth="1"/>
    <col min="26" max="26" width="6.25" customWidth="1"/>
    <col min="27" max="27" width="10.25" customWidth="1"/>
    <col min="28" max="28" width="8.75" customWidth="1"/>
    <col min="29" max="29" width="8.125" customWidth="1"/>
    <col min="30" max="30" width="7" customWidth="1"/>
    <col min="31" max="31" width="8.5" customWidth="1"/>
    <col min="32" max="32" width="12.5" customWidth="1"/>
    <col min="33" max="33" width="9.5" customWidth="1"/>
    <col min="34" max="34" width="15.75" style="1" customWidth="1"/>
    <col min="35" max="35" width="7.125" customWidth="1"/>
    <col min="36" max="36" width="7.25" style="1" customWidth="1"/>
    <col min="38" max="38" width="12.5" customWidth="1"/>
    <col min="39" max="39" width="71.875" style="30" customWidth="1"/>
    <col min="40" max="40" width="57" style="29" customWidth="1"/>
  </cols>
  <sheetData>
    <row r="1" spans="1:40" s="6" customFormat="1" ht="31.5" customHeight="1" x14ac:dyDescent="0.15">
      <c r="A1" s="2" t="s">
        <v>35</v>
      </c>
      <c r="B1" s="2" t="s">
        <v>36</v>
      </c>
      <c r="C1" s="2" t="s">
        <v>354</v>
      </c>
      <c r="D1" s="2" t="s">
        <v>33</v>
      </c>
      <c r="E1" s="2" t="s">
        <v>90</v>
      </c>
      <c r="F1" s="2" t="s">
        <v>404</v>
      </c>
      <c r="G1" s="2" t="s">
        <v>141</v>
      </c>
      <c r="H1" s="2" t="s">
        <v>8</v>
      </c>
      <c r="I1" s="2" t="s">
        <v>412</v>
      </c>
      <c r="J1" s="2" t="s">
        <v>79</v>
      </c>
      <c r="K1" s="2" t="s">
        <v>243</v>
      </c>
      <c r="L1" s="2" t="s">
        <v>323</v>
      </c>
      <c r="M1" s="2" t="s">
        <v>294</v>
      </c>
      <c r="N1" s="2" t="s">
        <v>24</v>
      </c>
      <c r="O1" s="2" t="s">
        <v>20</v>
      </c>
      <c r="P1" s="2" t="s">
        <v>133</v>
      </c>
      <c r="Q1" s="2" t="s">
        <v>167</v>
      </c>
      <c r="R1" s="2" t="s">
        <v>170</v>
      </c>
      <c r="S1" s="2"/>
      <c r="T1" s="2" t="s">
        <v>227</v>
      </c>
      <c r="U1" s="2" t="s">
        <v>229</v>
      </c>
      <c r="V1" s="2" t="s">
        <v>230</v>
      </c>
      <c r="W1" s="2" t="s">
        <v>189</v>
      </c>
      <c r="X1" s="2"/>
      <c r="Y1" s="2" t="s">
        <v>233</v>
      </c>
      <c r="Z1" s="2" t="s">
        <v>296</v>
      </c>
      <c r="AA1" s="2"/>
      <c r="AB1" s="2" t="s">
        <v>7</v>
      </c>
      <c r="AC1" s="2" t="s">
        <v>10</v>
      </c>
      <c r="AD1" s="2" t="s">
        <v>6</v>
      </c>
      <c r="AE1" s="2" t="s">
        <v>13</v>
      </c>
      <c r="AF1" s="2" t="s">
        <v>143</v>
      </c>
      <c r="AG1" s="2"/>
      <c r="AH1" s="3" t="s">
        <v>299</v>
      </c>
      <c r="AI1" s="2" t="s">
        <v>407</v>
      </c>
      <c r="AJ1" s="3" t="s">
        <v>300</v>
      </c>
      <c r="AK1" s="2" t="s">
        <v>5</v>
      </c>
      <c r="AL1" s="4" t="s">
        <v>26</v>
      </c>
      <c r="AM1" s="5" t="s">
        <v>26</v>
      </c>
      <c r="AN1" s="5" t="s">
        <v>26</v>
      </c>
    </row>
    <row r="2" spans="1:40" ht="15" customHeight="1" x14ac:dyDescent="0.15">
      <c r="A2" s="10" t="s">
        <v>4</v>
      </c>
      <c r="B2" s="10" t="s">
        <v>3</v>
      </c>
      <c r="C2" s="8" t="s">
        <v>353</v>
      </c>
      <c r="D2" s="8" t="s">
        <v>34</v>
      </c>
      <c r="E2" s="8" t="s">
        <v>91</v>
      </c>
      <c r="F2" s="8" t="s">
        <v>406</v>
      </c>
      <c r="G2" s="8" t="s">
        <v>142</v>
      </c>
      <c r="H2" s="8" t="s">
        <v>27</v>
      </c>
      <c r="I2" s="8" t="s">
        <v>413</v>
      </c>
      <c r="J2" s="8" t="s">
        <v>80</v>
      </c>
      <c r="K2" s="8" t="s">
        <v>242</v>
      </c>
      <c r="L2" s="8" t="s">
        <v>324</v>
      </c>
      <c r="M2" s="8" t="s">
        <v>295</v>
      </c>
      <c r="N2" s="8" t="s">
        <v>25</v>
      </c>
      <c r="O2" s="8" t="s">
        <v>23</v>
      </c>
      <c r="P2" s="8" t="s">
        <v>132</v>
      </c>
      <c r="Q2" s="8" t="s">
        <v>168</v>
      </c>
      <c r="R2" s="8" t="s">
        <v>169</v>
      </c>
      <c r="S2" s="8" t="s">
        <v>0</v>
      </c>
      <c r="T2" s="8" t="s">
        <v>228</v>
      </c>
      <c r="U2" s="8" t="s">
        <v>232</v>
      </c>
      <c r="V2" s="8" t="s">
        <v>231</v>
      </c>
      <c r="W2" s="8" t="s">
        <v>190</v>
      </c>
      <c r="X2" s="8" t="s">
        <v>286</v>
      </c>
      <c r="Y2" s="8" t="s">
        <v>234</v>
      </c>
      <c r="Z2" s="8" t="s">
        <v>297</v>
      </c>
      <c r="AA2" s="8" t="s">
        <v>0</v>
      </c>
      <c r="AB2" s="8" t="s">
        <v>2</v>
      </c>
      <c r="AC2" s="8" t="s">
        <v>0</v>
      </c>
      <c r="AD2" s="8" t="s">
        <v>1</v>
      </c>
      <c r="AE2" s="8" t="s">
        <v>11</v>
      </c>
      <c r="AF2" s="8" t="s">
        <v>149</v>
      </c>
      <c r="AG2" s="8" t="s">
        <v>286</v>
      </c>
      <c r="AH2" s="11" t="s">
        <v>144</v>
      </c>
      <c r="AI2" s="8" t="s">
        <v>408</v>
      </c>
      <c r="AJ2" s="11" t="s">
        <v>305</v>
      </c>
      <c r="AK2" s="8" t="s">
        <v>0</v>
      </c>
      <c r="AL2" s="8" t="str">
        <f>CONCATENATE("name_",AL1,"#str")</f>
        <v>name_zh-CN#str</v>
      </c>
      <c r="AM2" s="14" t="s">
        <v>28</v>
      </c>
      <c r="AN2" s="14" t="s">
        <v>29</v>
      </c>
    </row>
    <row r="3" spans="1:40" ht="15" customHeight="1" x14ac:dyDescent="0.15">
      <c r="A3" s="8">
        <v>1001</v>
      </c>
      <c r="B3" s="8">
        <v>0</v>
      </c>
      <c r="C3" s="8">
        <v>0</v>
      </c>
      <c r="D3" s="8">
        <v>0</v>
      </c>
      <c r="E3" s="8">
        <v>0</v>
      </c>
      <c r="F3" s="8">
        <v>1</v>
      </c>
      <c r="G3" s="8">
        <v>0</v>
      </c>
      <c r="H3" s="8" t="str">
        <f>AL3</f>
        <v>落脚之处</v>
      </c>
      <c r="I3" s="8">
        <v>0</v>
      </c>
      <c r="J3" s="8">
        <v>0</v>
      </c>
      <c r="K3" s="8">
        <v>0</v>
      </c>
      <c r="L3" s="8">
        <v>0</v>
      </c>
      <c r="M3" s="8"/>
      <c r="N3" s="8"/>
      <c r="O3" s="8"/>
      <c r="P3" s="8"/>
      <c r="Q3" s="8"/>
      <c r="R3" s="8"/>
      <c r="S3" s="8"/>
      <c r="T3" s="8">
        <v>0</v>
      </c>
      <c r="U3" s="8">
        <v>0</v>
      </c>
      <c r="V3" s="8">
        <v>0</v>
      </c>
      <c r="W3" s="8"/>
      <c r="X3" s="8"/>
      <c r="Y3" s="8"/>
      <c r="Z3" s="8">
        <v>0</v>
      </c>
      <c r="AA3" s="8"/>
      <c r="AB3" s="8"/>
      <c r="AC3" s="8"/>
      <c r="AD3" s="8"/>
      <c r="AE3" s="8"/>
      <c r="AF3" s="8"/>
      <c r="AG3" s="8"/>
      <c r="AH3" s="11"/>
      <c r="AI3" s="8"/>
      <c r="AJ3" s="11"/>
      <c r="AK3" s="8"/>
      <c r="AL3" s="12" t="s">
        <v>195</v>
      </c>
      <c r="AM3" s="14" t="s">
        <v>221</v>
      </c>
      <c r="AN3" s="14"/>
    </row>
    <row r="4" spans="1:40" ht="15" customHeight="1" x14ac:dyDescent="0.15">
      <c r="A4" s="8">
        <v>1101</v>
      </c>
      <c r="B4" s="8">
        <v>1001</v>
      </c>
      <c r="C4" s="8">
        <v>1</v>
      </c>
      <c r="D4" s="8">
        <v>0</v>
      </c>
      <c r="E4" s="8">
        <v>0</v>
      </c>
      <c r="F4" s="8">
        <v>1</v>
      </c>
      <c r="G4" s="8">
        <v>1</v>
      </c>
      <c r="H4" s="8" t="str">
        <f>AL4</f>
        <v>第一间房屋</v>
      </c>
      <c r="I4" s="8">
        <v>0</v>
      </c>
      <c r="J4" s="8">
        <v>0</v>
      </c>
      <c r="K4" s="8">
        <v>1</v>
      </c>
      <c r="L4" s="8">
        <v>0</v>
      </c>
      <c r="M4" s="8"/>
      <c r="N4" s="8"/>
      <c r="O4" s="8"/>
      <c r="P4" s="8"/>
      <c r="Q4" s="8"/>
      <c r="R4" s="8" t="s">
        <v>171</v>
      </c>
      <c r="S4" s="8" t="s">
        <v>172</v>
      </c>
      <c r="T4" s="8">
        <v>0</v>
      </c>
      <c r="U4" s="8">
        <v>0</v>
      </c>
      <c r="V4" s="8">
        <v>0</v>
      </c>
      <c r="W4" s="8"/>
      <c r="X4" s="8"/>
      <c r="Y4" s="8"/>
      <c r="Z4" s="8">
        <v>0</v>
      </c>
      <c r="AA4" s="8"/>
      <c r="AB4" s="8"/>
      <c r="AC4" s="8"/>
      <c r="AD4" s="8"/>
      <c r="AE4" s="8"/>
      <c r="AF4" s="8" t="s">
        <v>191</v>
      </c>
      <c r="AG4" s="8"/>
      <c r="AH4" s="11"/>
      <c r="AI4" s="8"/>
      <c r="AJ4" s="11"/>
      <c r="AK4" s="8"/>
      <c r="AL4" s="12" t="s">
        <v>224</v>
      </c>
      <c r="AM4" s="14" t="s">
        <v>222</v>
      </c>
      <c r="AN4" s="14"/>
    </row>
    <row r="5" spans="1:40" ht="15" customHeight="1" x14ac:dyDescent="0.15">
      <c r="A5" s="8">
        <v>1201</v>
      </c>
      <c r="B5" s="8">
        <v>1001</v>
      </c>
      <c r="C5" s="8">
        <v>1</v>
      </c>
      <c r="D5" s="8">
        <v>0</v>
      </c>
      <c r="E5" s="8">
        <v>0</v>
      </c>
      <c r="F5" s="8">
        <v>1</v>
      </c>
      <c r="G5" s="8">
        <v>1</v>
      </c>
      <c r="H5" s="8" t="str">
        <f t="shared" ref="H5:H16" si="0">AL5</f>
        <v>驱散寒意</v>
      </c>
      <c r="I5" s="8">
        <v>0</v>
      </c>
      <c r="J5" s="8">
        <v>0</v>
      </c>
      <c r="K5" s="8">
        <v>1</v>
      </c>
      <c r="L5" s="8">
        <v>0</v>
      </c>
      <c r="M5" s="8"/>
      <c r="N5" s="8"/>
      <c r="O5" s="8"/>
      <c r="P5" s="8"/>
      <c r="Q5" s="8"/>
      <c r="R5" s="8" t="s">
        <v>175</v>
      </c>
      <c r="S5" s="8" t="s">
        <v>173</v>
      </c>
      <c r="T5" s="8">
        <v>0</v>
      </c>
      <c r="U5" s="8">
        <v>0</v>
      </c>
      <c r="V5" s="8">
        <v>0</v>
      </c>
      <c r="W5" s="8"/>
      <c r="X5" s="8"/>
      <c r="Y5" s="8"/>
      <c r="Z5" s="8">
        <v>0</v>
      </c>
      <c r="AA5" s="8"/>
      <c r="AB5" s="8"/>
      <c r="AC5" s="10"/>
      <c r="AD5" s="8"/>
      <c r="AE5" s="8"/>
      <c r="AF5" s="8" t="s">
        <v>152</v>
      </c>
      <c r="AG5" s="8"/>
      <c r="AH5" s="11" t="s">
        <v>237</v>
      </c>
      <c r="AI5" s="32"/>
      <c r="AJ5" s="11"/>
      <c r="AK5" s="8"/>
      <c r="AL5" s="12" t="s">
        <v>196</v>
      </c>
      <c r="AM5" s="14" t="s">
        <v>223</v>
      </c>
      <c r="AN5" s="14"/>
    </row>
    <row r="6" spans="1:40" ht="15" customHeight="1" x14ac:dyDescent="0.15">
      <c r="A6" s="8">
        <v>1301</v>
      </c>
      <c r="B6" s="8">
        <v>1001</v>
      </c>
      <c r="C6" s="8">
        <v>1</v>
      </c>
      <c r="D6" s="8">
        <v>0</v>
      </c>
      <c r="E6" s="8">
        <v>0</v>
      </c>
      <c r="F6" s="8">
        <v>1</v>
      </c>
      <c r="G6" s="8">
        <v>1</v>
      </c>
      <c r="H6" s="8" t="str">
        <f t="shared" si="0"/>
        <v>找到食物</v>
      </c>
      <c r="I6" s="8">
        <v>0</v>
      </c>
      <c r="J6" s="8">
        <v>0</v>
      </c>
      <c r="K6" s="8">
        <v>1</v>
      </c>
      <c r="L6" s="8">
        <v>0</v>
      </c>
      <c r="M6" s="8"/>
      <c r="N6" s="8"/>
      <c r="O6" s="8"/>
      <c r="P6" s="8"/>
      <c r="Q6" s="8"/>
      <c r="R6" s="8" t="s">
        <v>174</v>
      </c>
      <c r="S6" s="8" t="s">
        <v>135</v>
      </c>
      <c r="T6" s="8">
        <v>0</v>
      </c>
      <c r="U6" s="8">
        <v>0</v>
      </c>
      <c r="V6" s="8">
        <v>0</v>
      </c>
      <c r="W6" s="8"/>
      <c r="X6" s="8"/>
      <c r="Y6" s="8"/>
      <c r="Z6" s="8">
        <v>0</v>
      </c>
      <c r="AA6" s="8"/>
      <c r="AB6" s="8"/>
      <c r="AC6" s="9"/>
      <c r="AD6" s="8"/>
      <c r="AE6" s="8"/>
      <c r="AF6" s="8" t="s">
        <v>153</v>
      </c>
      <c r="AG6" s="8"/>
      <c r="AH6" s="11"/>
      <c r="AI6" s="32"/>
      <c r="AJ6" s="11"/>
      <c r="AK6" s="8"/>
      <c r="AL6" s="12" t="s">
        <v>197</v>
      </c>
      <c r="AM6" s="14" t="s">
        <v>198</v>
      </c>
      <c r="AN6" s="14"/>
    </row>
    <row r="7" spans="1:40" ht="15" customHeight="1" x14ac:dyDescent="0.15">
      <c r="A7" s="8">
        <v>1401</v>
      </c>
      <c r="B7" s="8">
        <v>1001</v>
      </c>
      <c r="C7" s="8">
        <v>1</v>
      </c>
      <c r="D7" s="8">
        <v>0</v>
      </c>
      <c r="E7" s="8">
        <v>0</v>
      </c>
      <c r="F7" s="8">
        <v>1</v>
      </c>
      <c r="G7" s="8">
        <v>1</v>
      </c>
      <c r="H7" s="8" t="str">
        <f t="shared" si="0"/>
        <v>勉强果腹</v>
      </c>
      <c r="I7" s="8">
        <v>0</v>
      </c>
      <c r="J7" s="8">
        <v>0</v>
      </c>
      <c r="K7" s="8">
        <v>1</v>
      </c>
      <c r="L7" s="8">
        <v>0</v>
      </c>
      <c r="M7" s="8"/>
      <c r="N7" s="8"/>
      <c r="O7" s="8"/>
      <c r="P7" s="8"/>
      <c r="Q7" s="8"/>
      <c r="R7" s="8" t="s">
        <v>176</v>
      </c>
      <c r="S7" s="8" t="s">
        <v>177</v>
      </c>
      <c r="T7" s="8">
        <v>0</v>
      </c>
      <c r="U7" s="8">
        <v>0</v>
      </c>
      <c r="V7" s="8">
        <v>0</v>
      </c>
      <c r="W7" s="8"/>
      <c r="X7" s="8"/>
      <c r="Y7" s="8"/>
      <c r="Z7" s="8">
        <v>0</v>
      </c>
      <c r="AA7" s="8"/>
      <c r="AB7" s="8"/>
      <c r="AC7" s="8"/>
      <c r="AD7" s="8"/>
      <c r="AE7" s="8"/>
      <c r="AF7" s="8" t="s">
        <v>154</v>
      </c>
      <c r="AG7" s="8"/>
      <c r="AH7" s="11"/>
      <c r="AI7" s="32"/>
      <c r="AJ7" s="11"/>
      <c r="AK7" s="8"/>
      <c r="AL7" s="12" t="s">
        <v>199</v>
      </c>
      <c r="AM7" s="14" t="s">
        <v>200</v>
      </c>
      <c r="AN7" s="14"/>
    </row>
    <row r="8" spans="1:40" ht="15" customHeight="1" x14ac:dyDescent="0.15">
      <c r="A8" s="8">
        <v>2001</v>
      </c>
      <c r="B8" s="8">
        <v>0</v>
      </c>
      <c r="C8" s="8">
        <v>0</v>
      </c>
      <c r="D8" s="8">
        <v>0</v>
      </c>
      <c r="E8" s="8">
        <v>0</v>
      </c>
      <c r="F8" s="8">
        <v>1</v>
      </c>
      <c r="G8" s="8">
        <v>0</v>
      </c>
      <c r="H8" s="8" t="str">
        <f t="shared" si="0"/>
        <v>站稳脚跟</v>
      </c>
      <c r="I8" s="8">
        <v>0</v>
      </c>
      <c r="J8" s="8">
        <v>0</v>
      </c>
      <c r="K8" s="8">
        <v>0</v>
      </c>
      <c r="L8" s="8">
        <v>0</v>
      </c>
      <c r="M8" s="8"/>
      <c r="N8" s="8">
        <v>27</v>
      </c>
      <c r="O8" s="8"/>
      <c r="P8" s="8"/>
      <c r="Q8" s="8"/>
      <c r="R8" s="8"/>
      <c r="S8" s="8"/>
      <c r="T8" s="8">
        <v>0</v>
      </c>
      <c r="U8" s="8">
        <v>0</v>
      </c>
      <c r="V8" s="8">
        <v>0</v>
      </c>
      <c r="W8" s="8"/>
      <c r="X8" s="8"/>
      <c r="Y8" s="8"/>
      <c r="Z8" s="8">
        <v>0</v>
      </c>
      <c r="AA8" s="8"/>
      <c r="AB8" s="8"/>
      <c r="AC8" s="8"/>
      <c r="AD8" s="8"/>
      <c r="AE8" s="8"/>
      <c r="AF8" s="8"/>
      <c r="AG8" s="8"/>
      <c r="AH8" s="11" t="s">
        <v>160</v>
      </c>
      <c r="AI8" s="8"/>
      <c r="AJ8" s="11"/>
      <c r="AK8" s="8"/>
      <c r="AL8" s="12" t="s">
        <v>148</v>
      </c>
      <c r="AM8" s="14" t="s">
        <v>201</v>
      </c>
      <c r="AN8" s="14"/>
    </row>
    <row r="9" spans="1:40" ht="15" customHeight="1" x14ac:dyDescent="0.15">
      <c r="A9" s="8">
        <v>2101</v>
      </c>
      <c r="B9" s="8">
        <v>2001</v>
      </c>
      <c r="C9" s="8">
        <v>1</v>
      </c>
      <c r="D9" s="8">
        <v>0</v>
      </c>
      <c r="E9" s="8">
        <v>0</v>
      </c>
      <c r="F9" s="8">
        <v>1</v>
      </c>
      <c r="G9" s="8">
        <v>1</v>
      </c>
      <c r="H9" s="8" t="str">
        <f>AL9</f>
        <v>更丰富的食物</v>
      </c>
      <c r="I9" s="8">
        <v>0</v>
      </c>
      <c r="J9" s="8">
        <v>0</v>
      </c>
      <c r="K9" s="8">
        <v>1</v>
      </c>
      <c r="L9" s="8">
        <v>0</v>
      </c>
      <c r="M9" s="8"/>
      <c r="N9" s="8"/>
      <c r="O9" s="8"/>
      <c r="P9" s="8"/>
      <c r="Q9" s="8"/>
      <c r="R9" s="8" t="s">
        <v>178</v>
      </c>
      <c r="S9" s="8" t="s">
        <v>179</v>
      </c>
      <c r="T9" s="8">
        <v>0</v>
      </c>
      <c r="U9" s="8">
        <v>0</v>
      </c>
      <c r="V9" s="8">
        <v>0</v>
      </c>
      <c r="W9" s="8"/>
      <c r="X9" s="8"/>
      <c r="Y9" s="8"/>
      <c r="Z9" s="8">
        <v>0</v>
      </c>
      <c r="AA9" s="8"/>
      <c r="AB9" s="8"/>
      <c r="AC9" s="8"/>
      <c r="AD9" s="8"/>
      <c r="AE9" s="8"/>
      <c r="AF9" s="8" t="s">
        <v>155</v>
      </c>
      <c r="AG9" s="8"/>
      <c r="AH9" s="11" t="s">
        <v>150</v>
      </c>
      <c r="AI9" s="8"/>
      <c r="AJ9" s="11"/>
      <c r="AK9" s="8"/>
      <c r="AL9" s="12" t="s">
        <v>235</v>
      </c>
      <c r="AM9" s="14" t="s">
        <v>202</v>
      </c>
      <c r="AN9" s="14"/>
    </row>
    <row r="10" spans="1:40" ht="15" customHeight="1" x14ac:dyDescent="0.15">
      <c r="A10" s="8">
        <v>2201</v>
      </c>
      <c r="B10" s="8">
        <v>2001</v>
      </c>
      <c r="C10" s="8">
        <v>1</v>
      </c>
      <c r="D10" s="8">
        <v>0</v>
      </c>
      <c r="E10" s="8">
        <v>0</v>
      </c>
      <c r="F10" s="8">
        <v>1</v>
      </c>
      <c r="G10" s="8">
        <v>1</v>
      </c>
      <c r="H10" s="8" t="str">
        <f t="shared" si="0"/>
        <v>人口增长</v>
      </c>
      <c r="I10" s="8">
        <v>0</v>
      </c>
      <c r="J10" s="8">
        <v>0</v>
      </c>
      <c r="K10" s="8">
        <v>1</v>
      </c>
      <c r="L10" s="8">
        <v>0</v>
      </c>
      <c r="M10" s="8">
        <v>2101</v>
      </c>
      <c r="N10" s="8"/>
      <c r="O10" s="8"/>
      <c r="P10" s="8"/>
      <c r="Q10" s="8"/>
      <c r="R10" s="8" t="s">
        <v>180</v>
      </c>
      <c r="S10" s="8" t="s">
        <v>136</v>
      </c>
      <c r="T10" s="8">
        <v>0</v>
      </c>
      <c r="U10" s="8">
        <v>0</v>
      </c>
      <c r="V10" s="8">
        <v>0</v>
      </c>
      <c r="W10" s="8"/>
      <c r="X10" s="8"/>
      <c r="Y10" s="8"/>
      <c r="Z10" s="8">
        <v>0</v>
      </c>
      <c r="AA10" s="8"/>
      <c r="AB10" s="8"/>
      <c r="AC10" s="9"/>
      <c r="AD10" s="8"/>
      <c r="AE10" s="8"/>
      <c r="AF10" s="8" t="s">
        <v>156</v>
      </c>
      <c r="AG10" s="8"/>
      <c r="AH10" s="11" t="s">
        <v>151</v>
      </c>
      <c r="AI10" s="8"/>
      <c r="AJ10" s="11"/>
      <c r="AK10" s="8"/>
      <c r="AL10" s="12" t="s">
        <v>203</v>
      </c>
      <c r="AM10" s="14" t="s">
        <v>204</v>
      </c>
      <c r="AN10" s="14"/>
    </row>
    <row r="11" spans="1:40" ht="15" customHeight="1" x14ac:dyDescent="0.15">
      <c r="A11" s="8">
        <v>2301</v>
      </c>
      <c r="B11" s="8">
        <v>2001</v>
      </c>
      <c r="C11" s="8">
        <v>1</v>
      </c>
      <c r="D11" s="8">
        <v>0</v>
      </c>
      <c r="E11" s="8">
        <v>0</v>
      </c>
      <c r="F11" s="8">
        <v>1</v>
      </c>
      <c r="G11" s="8">
        <v>1</v>
      </c>
      <c r="H11" s="8" t="str">
        <f t="shared" ref="H11" si="1">AL11</f>
        <v>日常所需</v>
      </c>
      <c r="I11" s="8">
        <v>0</v>
      </c>
      <c r="J11" s="8">
        <v>0</v>
      </c>
      <c r="K11" s="8">
        <v>1</v>
      </c>
      <c r="L11" s="8">
        <v>0</v>
      </c>
      <c r="M11" s="8">
        <v>2201</v>
      </c>
      <c r="N11" s="8"/>
      <c r="O11" s="8"/>
      <c r="P11" s="8"/>
      <c r="Q11" s="8"/>
      <c r="R11" s="8" t="s">
        <v>181</v>
      </c>
      <c r="S11" s="8" t="s">
        <v>182</v>
      </c>
      <c r="T11" s="8">
        <v>0</v>
      </c>
      <c r="U11" s="8">
        <v>0</v>
      </c>
      <c r="V11" s="8">
        <v>0</v>
      </c>
      <c r="W11" s="8"/>
      <c r="X11" s="8"/>
      <c r="Y11" s="8"/>
      <c r="Z11" s="8">
        <v>0</v>
      </c>
      <c r="AA11" s="8"/>
      <c r="AB11" s="8"/>
      <c r="AC11" s="8"/>
      <c r="AD11" s="8"/>
      <c r="AE11" s="8"/>
      <c r="AF11" s="8" t="s">
        <v>157</v>
      </c>
      <c r="AG11" s="8"/>
      <c r="AH11" s="11" t="s">
        <v>411</v>
      </c>
      <c r="AI11" s="8"/>
      <c r="AJ11" s="11"/>
      <c r="AK11" s="8"/>
      <c r="AL11" s="12" t="s">
        <v>205</v>
      </c>
      <c r="AM11" s="14" t="s">
        <v>206</v>
      </c>
      <c r="AN11" s="14"/>
    </row>
    <row r="12" spans="1:40" ht="15" customHeight="1" x14ac:dyDescent="0.15">
      <c r="A12" s="8">
        <v>2401</v>
      </c>
      <c r="B12" s="8">
        <v>2001</v>
      </c>
      <c r="C12" s="8">
        <v>1</v>
      </c>
      <c r="D12" s="8">
        <v>0</v>
      </c>
      <c r="E12" s="8">
        <v>0</v>
      </c>
      <c r="F12" s="8">
        <v>1</v>
      </c>
      <c r="G12" s="8">
        <v>1</v>
      </c>
      <c r="H12" s="8" t="str">
        <f t="shared" si="0"/>
        <v>凝聚信仰</v>
      </c>
      <c r="I12" s="8">
        <v>0</v>
      </c>
      <c r="J12" s="8">
        <v>0</v>
      </c>
      <c r="K12" s="8">
        <v>1</v>
      </c>
      <c r="L12" s="8">
        <v>0</v>
      </c>
      <c r="M12" s="8">
        <v>2301</v>
      </c>
      <c r="N12" s="8"/>
      <c r="O12" s="8"/>
      <c r="P12" s="8"/>
      <c r="Q12" s="8"/>
      <c r="R12" s="8" t="s">
        <v>183</v>
      </c>
      <c r="S12" s="8" t="s">
        <v>137</v>
      </c>
      <c r="T12" s="8">
        <v>0</v>
      </c>
      <c r="U12" s="8">
        <v>0</v>
      </c>
      <c r="V12" s="8">
        <v>0</v>
      </c>
      <c r="W12" s="8"/>
      <c r="X12" s="8"/>
      <c r="Y12" s="8"/>
      <c r="Z12" s="8">
        <v>0</v>
      </c>
      <c r="AA12" s="8"/>
      <c r="AB12" s="8"/>
      <c r="AC12" s="8"/>
      <c r="AD12" s="8"/>
      <c r="AE12" s="8"/>
      <c r="AF12" s="8"/>
      <c r="AG12" s="8"/>
      <c r="AH12" s="11" t="s">
        <v>410</v>
      </c>
      <c r="AI12" s="8"/>
      <c r="AJ12" s="11"/>
      <c r="AK12" s="8"/>
      <c r="AL12" s="12" t="s">
        <v>207</v>
      </c>
      <c r="AM12" s="14" t="s">
        <v>208</v>
      </c>
      <c r="AN12" s="14"/>
    </row>
    <row r="13" spans="1:40" ht="15" customHeight="1" x14ac:dyDescent="0.15">
      <c r="A13" s="8">
        <v>2501</v>
      </c>
      <c r="B13" s="8">
        <v>2001</v>
      </c>
      <c r="C13" s="8">
        <v>1</v>
      </c>
      <c r="D13" s="8">
        <v>0</v>
      </c>
      <c r="E13" s="8">
        <v>0</v>
      </c>
      <c r="F13" s="8">
        <v>1</v>
      </c>
      <c r="G13" s="8">
        <v>1</v>
      </c>
      <c r="H13" s="8" t="str">
        <f t="shared" si="0"/>
        <v>知识的力量</v>
      </c>
      <c r="I13" s="8">
        <v>0</v>
      </c>
      <c r="J13" s="8">
        <v>0</v>
      </c>
      <c r="K13" s="8">
        <v>0</v>
      </c>
      <c r="L13" s="8">
        <v>0</v>
      </c>
      <c r="M13" s="8">
        <v>2401</v>
      </c>
      <c r="N13" s="8"/>
      <c r="O13" s="8"/>
      <c r="P13" s="8"/>
      <c r="Q13" s="8"/>
      <c r="R13" s="8" t="s">
        <v>184</v>
      </c>
      <c r="S13" s="8" t="s">
        <v>138</v>
      </c>
      <c r="T13" s="8">
        <v>0</v>
      </c>
      <c r="U13" s="8">
        <v>0</v>
      </c>
      <c r="V13" s="8">
        <v>0</v>
      </c>
      <c r="W13" s="8"/>
      <c r="X13" s="8"/>
      <c r="Y13" s="8"/>
      <c r="Z13" s="8">
        <v>0</v>
      </c>
      <c r="AA13" s="8"/>
      <c r="AB13" s="8"/>
      <c r="AC13" s="8"/>
      <c r="AD13" s="8"/>
      <c r="AE13" s="8"/>
      <c r="AF13" s="8"/>
      <c r="AG13" s="9"/>
      <c r="AH13" s="13"/>
      <c r="AI13" s="8"/>
      <c r="AJ13" s="13"/>
      <c r="AK13" s="8"/>
      <c r="AL13" s="12" t="s">
        <v>209</v>
      </c>
      <c r="AM13" s="14" t="s">
        <v>210</v>
      </c>
      <c r="AN13" s="14"/>
    </row>
    <row r="14" spans="1:40" ht="15" customHeight="1" x14ac:dyDescent="0.15">
      <c r="A14" s="8">
        <v>2601</v>
      </c>
      <c r="B14" s="8">
        <v>2001</v>
      </c>
      <c r="C14" s="8">
        <v>1</v>
      </c>
      <c r="D14" s="8">
        <v>0</v>
      </c>
      <c r="E14" s="8">
        <v>0</v>
      </c>
      <c r="F14" s="8">
        <v>1</v>
      </c>
      <c r="G14" s="8">
        <v>1</v>
      </c>
      <c r="H14" s="8" t="str">
        <f t="shared" si="0"/>
        <v>稳定粮食</v>
      </c>
      <c r="I14" s="8">
        <v>0</v>
      </c>
      <c r="J14" s="8">
        <v>0</v>
      </c>
      <c r="K14" s="8">
        <v>0</v>
      </c>
      <c r="L14" s="8">
        <v>0</v>
      </c>
      <c r="M14" s="8">
        <v>2501</v>
      </c>
      <c r="N14" s="8"/>
      <c r="O14" s="8"/>
      <c r="P14" s="8"/>
      <c r="Q14" s="8"/>
      <c r="R14" s="8" t="s">
        <v>185</v>
      </c>
      <c r="S14" s="8" t="s">
        <v>139</v>
      </c>
      <c r="T14" s="8">
        <v>0</v>
      </c>
      <c r="U14" s="8">
        <v>0</v>
      </c>
      <c r="V14" s="8">
        <v>0</v>
      </c>
      <c r="W14" s="8"/>
      <c r="X14" s="8"/>
      <c r="Y14" s="8"/>
      <c r="Z14" s="8">
        <v>0</v>
      </c>
      <c r="AA14" s="8"/>
      <c r="AB14" s="8"/>
      <c r="AC14" s="8"/>
      <c r="AD14" s="8"/>
      <c r="AE14" s="8"/>
      <c r="AF14" s="8" t="s">
        <v>158</v>
      </c>
      <c r="AG14" s="8"/>
      <c r="AH14" s="11"/>
      <c r="AI14" s="8"/>
      <c r="AJ14" s="11"/>
      <c r="AK14" s="8"/>
      <c r="AL14" s="12" t="s">
        <v>211</v>
      </c>
      <c r="AM14" s="14" t="s">
        <v>236</v>
      </c>
      <c r="AN14" s="14"/>
    </row>
    <row r="15" spans="1:40" ht="15" customHeight="1" x14ac:dyDescent="0.15">
      <c r="A15" s="8">
        <v>3001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 t="str">
        <f t="shared" ref="H15" si="2">AL15</f>
        <v>领地初建</v>
      </c>
      <c r="I15" s="8">
        <v>0</v>
      </c>
      <c r="J15" s="8">
        <v>0</v>
      </c>
      <c r="K15" s="8">
        <v>0</v>
      </c>
      <c r="L15" s="8">
        <v>0</v>
      </c>
      <c r="M15" s="8"/>
      <c r="N15" s="8"/>
      <c r="O15" s="8"/>
      <c r="P15" s="8"/>
      <c r="Q15" s="8"/>
      <c r="R15" s="8"/>
      <c r="S15" s="8"/>
      <c r="T15" s="8">
        <v>0</v>
      </c>
      <c r="U15" s="8">
        <v>0</v>
      </c>
      <c r="V15" s="8">
        <v>0</v>
      </c>
      <c r="W15" s="8"/>
      <c r="X15" s="8"/>
      <c r="Y15" s="8"/>
      <c r="Z15" s="8">
        <v>0</v>
      </c>
      <c r="AA15" s="8"/>
      <c r="AB15" s="8"/>
      <c r="AC15" s="8"/>
      <c r="AD15" s="8"/>
      <c r="AE15" s="8"/>
      <c r="AF15" s="8"/>
      <c r="AG15" s="8"/>
      <c r="AH15" s="11"/>
      <c r="AI15" s="8"/>
      <c r="AJ15" s="11"/>
      <c r="AK15" s="8"/>
      <c r="AL15" s="12" t="s">
        <v>405</v>
      </c>
      <c r="AM15" s="14" t="s">
        <v>212</v>
      </c>
      <c r="AN15" s="14"/>
    </row>
    <row r="16" spans="1:40" ht="15" customHeight="1" x14ac:dyDescent="0.15">
      <c r="A16" s="8">
        <v>3101</v>
      </c>
      <c r="B16" s="8">
        <v>3001</v>
      </c>
      <c r="C16" s="12">
        <v>1</v>
      </c>
      <c r="D16" s="12">
        <v>0</v>
      </c>
      <c r="E16" s="8">
        <v>0</v>
      </c>
      <c r="F16" s="8">
        <v>0</v>
      </c>
      <c r="G16" s="8">
        <v>1</v>
      </c>
      <c r="H16" s="8" t="str">
        <f t="shared" si="0"/>
        <v>宣告存在</v>
      </c>
      <c r="I16" s="8">
        <v>0</v>
      </c>
      <c r="J16" s="8">
        <v>0</v>
      </c>
      <c r="K16" s="8">
        <v>0</v>
      </c>
      <c r="L16" s="8">
        <v>0</v>
      </c>
      <c r="M16" s="8"/>
      <c r="N16" s="8"/>
      <c r="O16" s="8"/>
      <c r="P16" s="8"/>
      <c r="Q16" s="14">
        <v>30</v>
      </c>
      <c r="R16" s="8"/>
      <c r="S16" s="8"/>
      <c r="T16" s="8">
        <v>0</v>
      </c>
      <c r="U16" s="8">
        <v>0</v>
      </c>
      <c r="V16" s="8">
        <v>0</v>
      </c>
      <c r="W16" s="8"/>
      <c r="X16" s="8"/>
      <c r="Y16" s="8"/>
      <c r="Z16" s="8">
        <v>0</v>
      </c>
      <c r="AA16" s="8"/>
      <c r="AB16" s="8"/>
      <c r="AC16" s="8"/>
      <c r="AD16" s="8"/>
      <c r="AE16" s="8"/>
      <c r="AF16" s="8"/>
      <c r="AG16" s="8"/>
      <c r="AH16" s="11" t="s">
        <v>147</v>
      </c>
      <c r="AI16" s="8"/>
      <c r="AJ16" s="11"/>
      <c r="AK16" s="8"/>
      <c r="AL16" s="15" t="s">
        <v>213</v>
      </c>
      <c r="AM16" s="14" t="s">
        <v>214</v>
      </c>
      <c r="AN16" s="14" t="s">
        <v>38</v>
      </c>
    </row>
    <row r="17" spans="1:40" ht="15" customHeight="1" x14ac:dyDescent="0.15">
      <c r="A17" s="8">
        <v>3201</v>
      </c>
      <c r="B17" s="8">
        <v>3001</v>
      </c>
      <c r="C17" s="8">
        <v>1</v>
      </c>
      <c r="D17" s="8">
        <v>0</v>
      </c>
      <c r="E17" s="8">
        <v>0</v>
      </c>
      <c r="F17" s="8">
        <v>0</v>
      </c>
      <c r="G17" s="8">
        <v>1</v>
      </c>
      <c r="H17" s="8" t="str">
        <f>AL17</f>
        <v>物资流通</v>
      </c>
      <c r="I17" s="8">
        <v>0</v>
      </c>
      <c r="J17" s="8">
        <v>0</v>
      </c>
      <c r="K17" s="8">
        <v>0</v>
      </c>
      <c r="L17" s="8">
        <v>0</v>
      </c>
      <c r="M17" s="8"/>
      <c r="N17" s="8"/>
      <c r="O17" s="8"/>
      <c r="P17" s="8"/>
      <c r="Q17" s="8"/>
      <c r="R17" s="8" t="s">
        <v>186</v>
      </c>
      <c r="S17" s="8" t="s">
        <v>140</v>
      </c>
      <c r="T17" s="8">
        <v>0</v>
      </c>
      <c r="U17" s="8">
        <v>0</v>
      </c>
      <c r="V17" s="8">
        <v>0</v>
      </c>
      <c r="W17" s="8"/>
      <c r="X17" s="8"/>
      <c r="Y17" s="8"/>
      <c r="Z17" s="8">
        <v>0</v>
      </c>
      <c r="AA17" s="8"/>
      <c r="AB17" s="8"/>
      <c r="AC17" s="8"/>
      <c r="AD17" s="8"/>
      <c r="AE17" s="8"/>
      <c r="AF17" s="8" t="s">
        <v>159</v>
      </c>
      <c r="AG17" s="8"/>
      <c r="AH17" s="11"/>
      <c r="AI17" s="8"/>
      <c r="AJ17" s="11"/>
      <c r="AK17" s="8"/>
      <c r="AL17" s="12" t="s">
        <v>215</v>
      </c>
      <c r="AM17" s="27" t="s">
        <v>216</v>
      </c>
      <c r="AN17" s="14"/>
    </row>
    <row r="18" spans="1:40" ht="15" customHeight="1" x14ac:dyDescent="0.15">
      <c r="A18" s="8">
        <v>3301</v>
      </c>
      <c r="B18" s="8">
        <v>3001</v>
      </c>
      <c r="C18" s="12">
        <v>1</v>
      </c>
      <c r="D18" s="12">
        <v>0</v>
      </c>
      <c r="E18" s="8">
        <v>0</v>
      </c>
      <c r="F18" s="8">
        <v>0</v>
      </c>
      <c r="G18" s="8">
        <v>1</v>
      </c>
      <c r="H18" s="8" t="str">
        <f t="shared" ref="H18:H19" si="3">AL18</f>
        <v>拓荒完成</v>
      </c>
      <c r="I18" s="8">
        <v>0</v>
      </c>
      <c r="J18" s="8">
        <v>0</v>
      </c>
      <c r="K18" s="8">
        <v>0</v>
      </c>
      <c r="L18" s="8">
        <v>0</v>
      </c>
      <c r="M18" s="8"/>
      <c r="N18" s="8"/>
      <c r="O18" s="8"/>
      <c r="P18" s="8"/>
      <c r="Q18" s="14">
        <v>40</v>
      </c>
      <c r="R18" s="8"/>
      <c r="S18" s="8"/>
      <c r="T18" s="8">
        <v>0</v>
      </c>
      <c r="U18" s="8">
        <v>0</v>
      </c>
      <c r="V18" s="8">
        <v>0</v>
      </c>
      <c r="W18" s="8"/>
      <c r="X18" s="8"/>
      <c r="Y18" s="8"/>
      <c r="Z18" s="8">
        <v>0</v>
      </c>
      <c r="AA18" s="8"/>
      <c r="AB18" s="8"/>
      <c r="AC18" s="8"/>
      <c r="AD18" s="8"/>
      <c r="AE18" s="8"/>
      <c r="AF18" s="8"/>
      <c r="AG18" s="8"/>
      <c r="AH18" s="11" t="s">
        <v>146</v>
      </c>
      <c r="AI18" s="8"/>
      <c r="AJ18" s="11"/>
      <c r="AK18" s="8"/>
      <c r="AL18" s="12" t="s">
        <v>217</v>
      </c>
      <c r="AM18" s="14" t="s">
        <v>218</v>
      </c>
      <c r="AN18" s="14" t="s">
        <v>134</v>
      </c>
    </row>
    <row r="19" spans="1:40" ht="15" customHeight="1" x14ac:dyDescent="0.15">
      <c r="A19" s="8">
        <v>3401</v>
      </c>
      <c r="B19" s="8">
        <v>3001</v>
      </c>
      <c r="C19" s="12">
        <v>1</v>
      </c>
      <c r="D19" s="12">
        <v>0</v>
      </c>
      <c r="E19" s="8">
        <v>0</v>
      </c>
      <c r="F19" s="8">
        <v>0</v>
      </c>
      <c r="G19" s="8">
        <v>1</v>
      </c>
      <c r="H19" s="8" t="str">
        <f t="shared" si="3"/>
        <v>迎接领主</v>
      </c>
      <c r="I19" s="8">
        <v>0</v>
      </c>
      <c r="J19" s="8">
        <v>0</v>
      </c>
      <c r="K19" s="8">
        <v>0</v>
      </c>
      <c r="L19" s="8">
        <v>0</v>
      </c>
      <c r="M19" s="8"/>
      <c r="N19" s="8"/>
      <c r="O19" s="8"/>
      <c r="P19" s="8"/>
      <c r="Q19" s="8"/>
      <c r="R19" s="8" t="s">
        <v>187</v>
      </c>
      <c r="S19" s="8" t="s">
        <v>12</v>
      </c>
      <c r="T19" s="8">
        <v>0</v>
      </c>
      <c r="U19" s="8">
        <v>0</v>
      </c>
      <c r="V19" s="8">
        <v>0</v>
      </c>
      <c r="W19" s="8"/>
      <c r="X19" s="8"/>
      <c r="Y19" s="8"/>
      <c r="Z19" s="8">
        <v>0</v>
      </c>
      <c r="AA19" s="8"/>
      <c r="AB19" s="8"/>
      <c r="AC19" s="8"/>
      <c r="AD19" s="8"/>
      <c r="AE19" s="8"/>
      <c r="AF19" s="8"/>
      <c r="AG19" s="8"/>
      <c r="AH19" s="11" t="s">
        <v>145</v>
      </c>
      <c r="AI19" s="8"/>
      <c r="AJ19" s="11"/>
      <c r="AK19" s="8"/>
      <c r="AL19" s="12" t="s">
        <v>219</v>
      </c>
      <c r="AM19" s="14" t="s">
        <v>220</v>
      </c>
      <c r="AN19" s="14" t="s">
        <v>37</v>
      </c>
    </row>
    <row r="20" spans="1:40" ht="15" customHeight="1" x14ac:dyDescent="0.15">
      <c r="A20" s="10">
        <v>4001</v>
      </c>
      <c r="B20" s="10">
        <v>0</v>
      </c>
      <c r="C20" s="8">
        <v>0</v>
      </c>
      <c r="D20" s="12">
        <v>1</v>
      </c>
      <c r="E20" s="8">
        <v>0</v>
      </c>
      <c r="F20" s="8">
        <v>0</v>
      </c>
      <c r="G20" s="8">
        <v>0</v>
      </c>
      <c r="H20" s="8" t="str">
        <f t="shared" ref="H20" si="4">AL20</f>
        <v>国王的安排</v>
      </c>
      <c r="I20" s="8">
        <v>0</v>
      </c>
      <c r="J20" s="8">
        <v>0</v>
      </c>
      <c r="K20" s="8">
        <v>0</v>
      </c>
      <c r="L20" s="8">
        <v>0</v>
      </c>
      <c r="M20" s="8"/>
      <c r="N20" s="8"/>
      <c r="O20" s="8"/>
      <c r="P20" s="8"/>
      <c r="Q20" s="8"/>
      <c r="R20" s="8"/>
      <c r="S20" s="8"/>
      <c r="T20" s="8">
        <v>0</v>
      </c>
      <c r="U20" s="8">
        <v>0</v>
      </c>
      <c r="V20" s="8">
        <v>0</v>
      </c>
      <c r="W20" s="8"/>
      <c r="X20" s="8"/>
      <c r="Y20" s="8"/>
      <c r="Z20" s="8">
        <v>0</v>
      </c>
      <c r="AA20" s="8"/>
      <c r="AB20" s="8"/>
      <c r="AC20" s="8"/>
      <c r="AD20" s="16"/>
      <c r="AE20" s="8"/>
      <c r="AF20" s="8"/>
      <c r="AG20" s="8"/>
      <c r="AH20" s="11"/>
      <c r="AI20" s="8"/>
      <c r="AJ20" s="11"/>
      <c r="AK20" s="8"/>
      <c r="AL20" s="12" t="s">
        <v>166</v>
      </c>
      <c r="AM20" s="14" t="s">
        <v>279</v>
      </c>
      <c r="AN20" s="14"/>
    </row>
    <row r="21" spans="1:40" ht="15" customHeight="1" x14ac:dyDescent="0.15">
      <c r="A21" s="10">
        <v>4101</v>
      </c>
      <c r="B21" s="10">
        <v>4001</v>
      </c>
      <c r="C21" s="12">
        <v>1</v>
      </c>
      <c r="D21" s="12">
        <v>1</v>
      </c>
      <c r="E21" s="8">
        <v>0</v>
      </c>
      <c r="F21" s="8">
        <v>0</v>
      </c>
      <c r="G21" s="8">
        <v>1</v>
      </c>
      <c r="H21" s="8" t="str">
        <f t="shared" ref="H21:H60" si="5">AL21</f>
        <v>初次试炼</v>
      </c>
      <c r="I21" s="8">
        <v>0</v>
      </c>
      <c r="J21" s="8">
        <v>0</v>
      </c>
      <c r="K21" s="8">
        <v>0</v>
      </c>
      <c r="L21" s="8">
        <v>1</v>
      </c>
      <c r="M21" s="8"/>
      <c r="N21" s="14">
        <v>28</v>
      </c>
      <c r="O21" s="8"/>
      <c r="P21" s="8"/>
      <c r="Q21" s="8"/>
      <c r="R21" s="8"/>
      <c r="S21" s="8"/>
      <c r="T21" s="8">
        <v>1</v>
      </c>
      <c r="U21" s="8">
        <v>0</v>
      </c>
      <c r="V21" s="8">
        <v>0</v>
      </c>
      <c r="W21" s="8"/>
      <c r="X21" s="8"/>
      <c r="Y21" s="8"/>
      <c r="Z21" s="8">
        <v>0</v>
      </c>
      <c r="AA21" s="8"/>
      <c r="AB21" s="16"/>
      <c r="AC21" s="16"/>
      <c r="AD21" s="8"/>
      <c r="AE21" s="8"/>
      <c r="AF21" s="8"/>
      <c r="AG21" s="8"/>
      <c r="AH21" s="11"/>
      <c r="AI21" s="8"/>
      <c r="AJ21" s="11"/>
      <c r="AK21" s="8"/>
      <c r="AL21" s="12" t="s">
        <v>194</v>
      </c>
      <c r="AM21" s="14" t="s">
        <v>241</v>
      </c>
      <c r="AN21" s="14" t="s">
        <v>193</v>
      </c>
    </row>
    <row r="22" spans="1:40" ht="15" customHeight="1" x14ac:dyDescent="0.15">
      <c r="A22" s="10">
        <v>4201</v>
      </c>
      <c r="B22" s="10">
        <v>4001</v>
      </c>
      <c r="C22" s="12">
        <v>1</v>
      </c>
      <c r="D22" s="12">
        <v>1</v>
      </c>
      <c r="E22" s="8">
        <v>0</v>
      </c>
      <c r="F22" s="8">
        <v>0</v>
      </c>
      <c r="G22" s="8">
        <v>1</v>
      </c>
      <c r="H22" s="8" t="str">
        <f t="shared" si="5"/>
        <v>建立武装</v>
      </c>
      <c r="I22" s="8">
        <v>0</v>
      </c>
      <c r="J22" s="8">
        <v>0</v>
      </c>
      <c r="K22" s="8">
        <v>0</v>
      </c>
      <c r="L22" s="8">
        <v>0</v>
      </c>
      <c r="M22" s="8"/>
      <c r="N22" s="8"/>
      <c r="O22" s="8"/>
      <c r="P22" s="8"/>
      <c r="Q22" s="8"/>
      <c r="R22" s="8" t="s">
        <v>240</v>
      </c>
      <c r="S22" s="8"/>
      <c r="T22" s="8">
        <v>0</v>
      </c>
      <c r="U22" s="8">
        <v>0</v>
      </c>
      <c r="V22" s="8">
        <v>0</v>
      </c>
      <c r="W22" s="8"/>
      <c r="X22" s="8"/>
      <c r="Y22" s="8"/>
      <c r="Z22" s="8">
        <v>0</v>
      </c>
      <c r="AA22" s="8"/>
      <c r="AB22" s="16"/>
      <c r="AC22" s="16"/>
      <c r="AD22" s="8"/>
      <c r="AE22" s="8"/>
      <c r="AF22" s="8" t="s">
        <v>244</v>
      </c>
      <c r="AG22" s="8"/>
      <c r="AH22" s="11"/>
      <c r="AI22" s="8"/>
      <c r="AJ22" s="11"/>
      <c r="AK22" s="8"/>
      <c r="AL22" s="12" t="s">
        <v>239</v>
      </c>
      <c r="AM22" s="14" t="s">
        <v>238</v>
      </c>
      <c r="AN22" s="14"/>
    </row>
    <row r="23" spans="1:40" ht="15" customHeight="1" x14ac:dyDescent="0.15">
      <c r="A23" s="10">
        <v>4301</v>
      </c>
      <c r="B23" s="10">
        <v>4001</v>
      </c>
      <c r="C23" s="8">
        <v>1</v>
      </c>
      <c r="D23" s="12">
        <v>1</v>
      </c>
      <c r="E23" s="8">
        <v>0</v>
      </c>
      <c r="F23" s="8">
        <v>0</v>
      </c>
      <c r="G23" s="8">
        <v>1</v>
      </c>
      <c r="H23" s="8" t="str">
        <f t="shared" si="5"/>
        <v>秘传的技艺</v>
      </c>
      <c r="I23" s="8">
        <v>0</v>
      </c>
      <c r="J23" s="8">
        <v>0</v>
      </c>
      <c r="K23" s="8">
        <v>0</v>
      </c>
      <c r="L23" s="8">
        <v>0</v>
      </c>
      <c r="M23" s="8"/>
      <c r="N23" s="8"/>
      <c r="O23" s="8"/>
      <c r="P23" s="8"/>
      <c r="Q23" s="8"/>
      <c r="R23" s="8"/>
      <c r="S23" s="8"/>
      <c r="T23" s="8">
        <v>0</v>
      </c>
      <c r="U23" s="8">
        <v>0</v>
      </c>
      <c r="V23" s="8">
        <v>0</v>
      </c>
      <c r="W23" s="8" t="s">
        <v>226</v>
      </c>
      <c r="X23" s="8" t="s">
        <v>293</v>
      </c>
      <c r="Y23" s="8"/>
      <c r="Z23" s="8">
        <v>0</v>
      </c>
      <c r="AA23" s="8"/>
      <c r="AB23" s="8"/>
      <c r="AC23" s="8"/>
      <c r="AD23" s="16"/>
      <c r="AE23" s="8"/>
      <c r="AF23" s="8"/>
      <c r="AG23" s="8"/>
      <c r="AH23" s="11" t="s">
        <v>192</v>
      </c>
      <c r="AI23" s="8"/>
      <c r="AJ23" s="11"/>
      <c r="AK23" s="8"/>
      <c r="AL23" s="12" t="s">
        <v>165</v>
      </c>
      <c r="AM23" s="14" t="s">
        <v>225</v>
      </c>
      <c r="AN23" s="14" t="s">
        <v>164</v>
      </c>
    </row>
    <row r="24" spans="1:40" ht="15" customHeight="1" x14ac:dyDescent="0.15">
      <c r="A24" s="10">
        <v>4401</v>
      </c>
      <c r="B24" s="10">
        <v>4001</v>
      </c>
      <c r="C24" s="8">
        <v>1</v>
      </c>
      <c r="D24" s="12">
        <v>1</v>
      </c>
      <c r="E24" s="8">
        <v>0</v>
      </c>
      <c r="F24" s="8">
        <v>0</v>
      </c>
      <c r="G24" s="8">
        <v>1</v>
      </c>
      <c r="H24" s="8" t="str">
        <f t="shared" si="5"/>
        <v>被放逐的恩宠</v>
      </c>
      <c r="I24" s="8">
        <v>0</v>
      </c>
      <c r="J24" s="8">
        <v>0</v>
      </c>
      <c r="K24" s="8">
        <v>0</v>
      </c>
      <c r="L24" s="8">
        <v>0</v>
      </c>
      <c r="M24" s="8"/>
      <c r="N24" s="8"/>
      <c r="O24" s="8"/>
      <c r="P24" s="8"/>
      <c r="Q24" s="14">
        <v>80</v>
      </c>
      <c r="R24" s="8"/>
      <c r="S24" s="8"/>
      <c r="T24" s="8">
        <v>0</v>
      </c>
      <c r="U24" s="8">
        <v>0</v>
      </c>
      <c r="V24" s="8">
        <v>0</v>
      </c>
      <c r="W24" s="8"/>
      <c r="X24" s="8"/>
      <c r="Y24" s="8"/>
      <c r="Z24" s="8">
        <v>0</v>
      </c>
      <c r="AA24" s="8"/>
      <c r="AB24" s="8"/>
      <c r="AC24" s="8"/>
      <c r="AD24" s="16"/>
      <c r="AE24" s="8"/>
      <c r="AF24" s="8"/>
      <c r="AG24" s="8"/>
      <c r="AH24" s="11"/>
      <c r="AI24" s="8"/>
      <c r="AJ24" s="11"/>
      <c r="AK24" s="8"/>
      <c r="AL24" s="12" t="s">
        <v>161</v>
      </c>
      <c r="AM24" s="14" t="s">
        <v>162</v>
      </c>
      <c r="AN24" s="27" t="s">
        <v>163</v>
      </c>
    </row>
    <row r="25" spans="1:40" ht="15" customHeight="1" x14ac:dyDescent="0.15">
      <c r="A25" s="10">
        <v>5001</v>
      </c>
      <c r="B25" s="10">
        <v>0</v>
      </c>
      <c r="C25" s="12">
        <v>0</v>
      </c>
      <c r="D25" s="12">
        <v>1</v>
      </c>
      <c r="E25" s="8">
        <v>0</v>
      </c>
      <c r="F25" s="8">
        <v>0</v>
      </c>
      <c r="G25" s="8">
        <v>0</v>
      </c>
      <c r="H25" s="8" t="str">
        <f t="shared" si="5"/>
        <v>派系初现</v>
      </c>
      <c r="I25" s="8">
        <v>0</v>
      </c>
      <c r="J25" s="8">
        <v>0</v>
      </c>
      <c r="K25" s="8">
        <v>0</v>
      </c>
      <c r="L25" s="8">
        <v>0</v>
      </c>
      <c r="M25" s="8"/>
      <c r="N25" s="8"/>
      <c r="O25" s="8"/>
      <c r="P25" s="8"/>
      <c r="Q25" s="8"/>
      <c r="R25" s="8"/>
      <c r="S25" s="8"/>
      <c r="T25" s="8">
        <v>0</v>
      </c>
      <c r="U25" s="8">
        <v>0</v>
      </c>
      <c r="V25" s="8">
        <v>0</v>
      </c>
      <c r="W25" s="8"/>
      <c r="X25" s="8"/>
      <c r="Y25" s="8"/>
      <c r="Z25" s="8">
        <v>0</v>
      </c>
      <c r="AA25" s="8"/>
      <c r="AB25" s="16"/>
      <c r="AC25" s="16"/>
      <c r="AD25" s="8"/>
      <c r="AE25" s="8"/>
      <c r="AF25" s="8"/>
      <c r="AG25" s="8"/>
      <c r="AH25" s="11"/>
      <c r="AI25" s="8"/>
      <c r="AJ25" s="11"/>
      <c r="AK25" s="8"/>
      <c r="AL25" s="12" t="s">
        <v>256</v>
      </c>
      <c r="AM25" s="14" t="s">
        <v>280</v>
      </c>
      <c r="AN25" s="14"/>
    </row>
    <row r="26" spans="1:40" ht="15" customHeight="1" x14ac:dyDescent="0.15">
      <c r="A26" s="10">
        <v>5101</v>
      </c>
      <c r="B26" s="10">
        <v>5001</v>
      </c>
      <c r="C26" s="12">
        <v>1</v>
      </c>
      <c r="D26" s="12">
        <v>1</v>
      </c>
      <c r="E26" s="8">
        <v>0</v>
      </c>
      <c r="F26" s="8">
        <v>0</v>
      </c>
      <c r="G26" s="8">
        <v>1</v>
      </c>
      <c r="H26" s="8" t="str">
        <f t="shared" si="5"/>
        <v>平王的试探</v>
      </c>
      <c r="I26" s="8">
        <v>0</v>
      </c>
      <c r="J26" s="8">
        <v>0</v>
      </c>
      <c r="K26" s="8">
        <v>1</v>
      </c>
      <c r="L26" s="8">
        <v>0</v>
      </c>
      <c r="M26" s="8"/>
      <c r="N26" s="8"/>
      <c r="O26" s="8"/>
      <c r="P26" s="8"/>
      <c r="Q26" s="8"/>
      <c r="R26" s="8"/>
      <c r="S26" s="8"/>
      <c r="T26" s="8">
        <v>0</v>
      </c>
      <c r="U26" s="8">
        <v>0</v>
      </c>
      <c r="V26" s="8">
        <v>0</v>
      </c>
      <c r="W26" s="8" t="s">
        <v>263</v>
      </c>
      <c r="X26" s="8" t="s">
        <v>287</v>
      </c>
      <c r="Y26" s="8"/>
      <c r="Z26" s="8">
        <v>0</v>
      </c>
      <c r="AA26" s="8"/>
      <c r="AB26" s="16"/>
      <c r="AC26" s="16"/>
      <c r="AD26" s="8"/>
      <c r="AE26" s="8"/>
      <c r="AF26" s="8" t="s">
        <v>261</v>
      </c>
      <c r="AG26" s="8"/>
      <c r="AH26" s="11"/>
      <c r="AI26" s="8"/>
      <c r="AJ26" s="17">
        <v>101</v>
      </c>
      <c r="AK26" s="10" t="s">
        <v>301</v>
      </c>
      <c r="AL26" s="12" t="s">
        <v>306</v>
      </c>
      <c r="AM26" s="14" t="s">
        <v>260</v>
      </c>
      <c r="AN26" s="14"/>
    </row>
    <row r="27" spans="1:40" ht="15" customHeight="1" x14ac:dyDescent="0.15">
      <c r="A27" s="10">
        <v>5201</v>
      </c>
      <c r="B27" s="10">
        <v>5001</v>
      </c>
      <c r="C27" s="12">
        <v>1</v>
      </c>
      <c r="D27" s="12">
        <v>1</v>
      </c>
      <c r="E27" s="8">
        <v>0</v>
      </c>
      <c r="F27" s="8">
        <v>0</v>
      </c>
      <c r="G27" s="8">
        <v>1</v>
      </c>
      <c r="H27" s="8" t="str">
        <f t="shared" si="5"/>
        <v>宣王的提议</v>
      </c>
      <c r="I27" s="8">
        <v>0</v>
      </c>
      <c r="J27" s="8">
        <v>0</v>
      </c>
      <c r="K27" s="8">
        <v>1</v>
      </c>
      <c r="L27" s="8">
        <v>0</v>
      </c>
      <c r="M27" s="8"/>
      <c r="N27" s="8"/>
      <c r="O27" s="8"/>
      <c r="P27" s="8"/>
      <c r="Q27" s="8"/>
      <c r="R27" s="8"/>
      <c r="S27" s="8"/>
      <c r="T27" s="8">
        <v>0</v>
      </c>
      <c r="U27" s="8">
        <v>0</v>
      </c>
      <c r="V27" s="8">
        <v>0</v>
      </c>
      <c r="W27" s="8"/>
      <c r="X27" s="8"/>
      <c r="Y27" s="14">
        <v>10</v>
      </c>
      <c r="Z27" s="8">
        <v>0</v>
      </c>
      <c r="AA27" s="8"/>
      <c r="AB27" s="16"/>
      <c r="AC27" s="16"/>
      <c r="AD27" s="8"/>
      <c r="AE27" s="8"/>
      <c r="AF27" s="8" t="s">
        <v>245</v>
      </c>
      <c r="AG27" s="8"/>
      <c r="AH27" s="11"/>
      <c r="AI27" s="8"/>
      <c r="AJ27" s="17">
        <v>102</v>
      </c>
      <c r="AK27" s="8" t="s">
        <v>302</v>
      </c>
      <c r="AL27" s="12" t="s">
        <v>307</v>
      </c>
      <c r="AM27" s="14" t="s">
        <v>259</v>
      </c>
      <c r="AN27" s="14"/>
    </row>
    <row r="28" spans="1:40" ht="15" customHeight="1" x14ac:dyDescent="0.15">
      <c r="A28" s="10">
        <v>5301</v>
      </c>
      <c r="B28" s="10">
        <v>5001</v>
      </c>
      <c r="C28" s="12">
        <v>1</v>
      </c>
      <c r="D28" s="12">
        <v>1</v>
      </c>
      <c r="E28" s="8">
        <v>0</v>
      </c>
      <c r="F28" s="8">
        <v>0</v>
      </c>
      <c r="G28" s="8">
        <v>1</v>
      </c>
      <c r="H28" s="8" t="str">
        <f t="shared" si="5"/>
        <v>商王的条件</v>
      </c>
      <c r="I28" s="8">
        <v>0</v>
      </c>
      <c r="J28" s="8">
        <v>0</v>
      </c>
      <c r="K28" s="8">
        <v>1</v>
      </c>
      <c r="L28" s="8">
        <v>0</v>
      </c>
      <c r="M28" s="8"/>
      <c r="N28" s="8"/>
      <c r="O28" s="8"/>
      <c r="P28" s="8"/>
      <c r="Q28" s="8"/>
      <c r="R28" s="8"/>
      <c r="S28" s="8"/>
      <c r="T28" s="8">
        <v>0</v>
      </c>
      <c r="U28" s="8">
        <v>0</v>
      </c>
      <c r="V28" s="8">
        <v>0</v>
      </c>
      <c r="W28" s="8" t="s">
        <v>281</v>
      </c>
      <c r="X28" s="8" t="s">
        <v>288</v>
      </c>
      <c r="Y28" s="8"/>
      <c r="Z28" s="8">
        <v>0</v>
      </c>
      <c r="AA28" s="8"/>
      <c r="AB28" s="16"/>
      <c r="AC28" s="16"/>
      <c r="AD28" s="8"/>
      <c r="AE28" s="8"/>
      <c r="AF28" s="8" t="s">
        <v>257</v>
      </c>
      <c r="AG28" s="8"/>
      <c r="AH28" s="11"/>
      <c r="AI28" s="8"/>
      <c r="AJ28" s="18" t="s">
        <v>303</v>
      </c>
      <c r="AK28" s="8" t="s">
        <v>304</v>
      </c>
      <c r="AL28" s="12" t="s">
        <v>309</v>
      </c>
      <c r="AM28" s="14" t="s">
        <v>282</v>
      </c>
      <c r="AN28" s="14"/>
    </row>
    <row r="29" spans="1:40" ht="15" customHeight="1" x14ac:dyDescent="0.15">
      <c r="A29" s="10">
        <v>5401</v>
      </c>
      <c r="B29" s="10">
        <v>5001</v>
      </c>
      <c r="C29" s="12">
        <v>1</v>
      </c>
      <c r="D29" s="12">
        <v>1</v>
      </c>
      <c r="E29" s="8">
        <v>0</v>
      </c>
      <c r="F29" s="8">
        <v>0</v>
      </c>
      <c r="G29" s="8">
        <v>1</v>
      </c>
      <c r="H29" s="8" t="str">
        <f t="shared" si="5"/>
        <v>边境告急</v>
      </c>
      <c r="I29" s="33">
        <v>1</v>
      </c>
      <c r="J29" s="8">
        <v>0</v>
      </c>
      <c r="K29" s="8">
        <v>1</v>
      </c>
      <c r="L29" s="8">
        <v>0</v>
      </c>
      <c r="M29" s="8"/>
      <c r="N29" s="14">
        <v>29</v>
      </c>
      <c r="O29" s="8"/>
      <c r="P29" s="8"/>
      <c r="Q29" s="8"/>
      <c r="R29" s="8"/>
      <c r="S29" s="8"/>
      <c r="T29" s="8">
        <v>0</v>
      </c>
      <c r="U29" s="8">
        <v>0</v>
      </c>
      <c r="V29" s="8">
        <v>1</v>
      </c>
      <c r="W29" s="8"/>
      <c r="X29" s="8"/>
      <c r="Y29" s="8"/>
      <c r="Z29" s="8">
        <v>0</v>
      </c>
      <c r="AA29" s="8"/>
      <c r="AB29" s="16"/>
      <c r="AC29" s="16"/>
      <c r="AD29" s="8"/>
      <c r="AE29" s="8"/>
      <c r="AF29" s="8" t="s">
        <v>258</v>
      </c>
      <c r="AG29" s="8"/>
      <c r="AH29" s="11"/>
      <c r="AI29" s="8"/>
      <c r="AJ29" s="11"/>
      <c r="AK29" s="8"/>
      <c r="AL29" s="12" t="s">
        <v>308</v>
      </c>
      <c r="AM29" s="14" t="s">
        <v>262</v>
      </c>
      <c r="AN29" s="14"/>
    </row>
    <row r="30" spans="1:40" ht="15" customHeight="1" x14ac:dyDescent="0.15">
      <c r="A30" s="10">
        <v>6001</v>
      </c>
      <c r="B30" s="10">
        <v>0</v>
      </c>
      <c r="C30" s="12">
        <v>0</v>
      </c>
      <c r="D30" s="12">
        <v>1</v>
      </c>
      <c r="E30" s="8">
        <v>0</v>
      </c>
      <c r="F30" s="8">
        <v>0</v>
      </c>
      <c r="G30" s="8">
        <v>0</v>
      </c>
      <c r="H30" s="8" t="str">
        <f t="shared" si="5"/>
        <v>诸侯下注</v>
      </c>
      <c r="I30" s="8">
        <v>0</v>
      </c>
      <c r="J30" s="8">
        <v>0</v>
      </c>
      <c r="K30" s="8">
        <v>0</v>
      </c>
      <c r="L30" s="8">
        <v>0</v>
      </c>
      <c r="M30" s="8"/>
      <c r="N30" s="8"/>
      <c r="O30" s="8"/>
      <c r="P30" s="8"/>
      <c r="Q30" s="8"/>
      <c r="R30" s="8"/>
      <c r="S30" s="8"/>
      <c r="T30" s="8">
        <v>0</v>
      </c>
      <c r="U30" s="8">
        <v>0</v>
      </c>
      <c r="V30" s="8">
        <v>0</v>
      </c>
      <c r="W30" s="8"/>
      <c r="X30" s="8"/>
      <c r="Y30" s="8"/>
      <c r="Z30" s="8">
        <v>0</v>
      </c>
      <c r="AA30" s="8"/>
      <c r="AB30" s="16"/>
      <c r="AC30" s="16"/>
      <c r="AD30" s="8"/>
      <c r="AE30" s="8"/>
      <c r="AF30" s="8"/>
      <c r="AG30" s="8"/>
      <c r="AH30" s="11"/>
      <c r="AI30" s="8"/>
      <c r="AJ30" s="11"/>
      <c r="AK30" s="8"/>
      <c r="AL30" s="12" t="s">
        <v>310</v>
      </c>
      <c r="AM30" s="14" t="s">
        <v>264</v>
      </c>
      <c r="AN30" s="14"/>
    </row>
    <row r="31" spans="1:40" ht="15" customHeight="1" x14ac:dyDescent="0.15">
      <c r="A31" s="10">
        <v>6101</v>
      </c>
      <c r="B31" s="10">
        <v>6001</v>
      </c>
      <c r="C31" s="12">
        <v>1</v>
      </c>
      <c r="D31" s="12">
        <v>1</v>
      </c>
      <c r="E31" s="8">
        <v>0</v>
      </c>
      <c r="F31" s="8">
        <v>0</v>
      </c>
      <c r="G31" s="8">
        <v>1</v>
      </c>
      <c r="H31" s="8" t="str">
        <f t="shared" si="5"/>
        <v>北王的取向</v>
      </c>
      <c r="I31" s="8">
        <v>0</v>
      </c>
      <c r="J31" s="8">
        <v>0</v>
      </c>
      <c r="K31" s="8">
        <v>1</v>
      </c>
      <c r="L31" s="8">
        <v>0</v>
      </c>
      <c r="M31" s="8"/>
      <c r="N31" s="8"/>
      <c r="O31" s="8"/>
      <c r="P31" s="8"/>
      <c r="Q31" s="8"/>
      <c r="R31" s="8"/>
      <c r="S31" s="8"/>
      <c r="T31" s="8">
        <v>0</v>
      </c>
      <c r="U31" s="8">
        <v>0</v>
      </c>
      <c r="V31" s="8">
        <v>0</v>
      </c>
      <c r="W31" s="2" t="s">
        <v>315</v>
      </c>
      <c r="X31" s="2" t="s">
        <v>316</v>
      </c>
      <c r="Y31" s="8"/>
      <c r="Z31" s="8">
        <v>0</v>
      </c>
      <c r="AA31" s="8"/>
      <c r="AB31" s="16"/>
      <c r="AC31" s="16"/>
      <c r="AD31" s="8"/>
      <c r="AE31" s="8"/>
      <c r="AF31" s="8" t="s">
        <v>265</v>
      </c>
      <c r="AG31" s="8"/>
      <c r="AH31" s="11"/>
      <c r="AI31" s="8"/>
      <c r="AJ31" s="17">
        <v>103</v>
      </c>
      <c r="AK31" s="10" t="s">
        <v>67</v>
      </c>
      <c r="AL31" s="12" t="s">
        <v>312</v>
      </c>
      <c r="AM31" s="27" t="s">
        <v>336</v>
      </c>
      <c r="AN31" s="14"/>
    </row>
    <row r="32" spans="1:40" ht="15" customHeight="1" x14ac:dyDescent="0.15">
      <c r="A32" s="10">
        <v>6201</v>
      </c>
      <c r="B32" s="10">
        <v>6001</v>
      </c>
      <c r="C32" s="12">
        <v>1</v>
      </c>
      <c r="D32" s="12">
        <v>1</v>
      </c>
      <c r="E32" s="8">
        <v>0</v>
      </c>
      <c r="F32" s="8">
        <v>0</v>
      </c>
      <c r="G32" s="8">
        <v>1</v>
      </c>
      <c r="H32" s="8" t="str">
        <f t="shared" si="5"/>
        <v>逍遥王的条件</v>
      </c>
      <c r="I32" s="8">
        <v>0</v>
      </c>
      <c r="J32" s="8">
        <v>0</v>
      </c>
      <c r="K32" s="8">
        <v>1</v>
      </c>
      <c r="L32" s="8">
        <v>0</v>
      </c>
      <c r="M32" s="8"/>
      <c r="N32" s="8"/>
      <c r="O32" s="8"/>
      <c r="P32" s="8"/>
      <c r="Q32" s="8"/>
      <c r="R32" s="8"/>
      <c r="S32" s="8"/>
      <c r="T32" s="8">
        <v>0</v>
      </c>
      <c r="U32" s="8">
        <v>0</v>
      </c>
      <c r="V32" s="8">
        <v>0</v>
      </c>
      <c r="W32" s="2" t="s">
        <v>319</v>
      </c>
      <c r="X32" s="2" t="s">
        <v>318</v>
      </c>
      <c r="Y32" s="8"/>
      <c r="Z32" s="8">
        <v>0</v>
      </c>
      <c r="AA32" s="8"/>
      <c r="AB32" s="16"/>
      <c r="AC32" s="16"/>
      <c r="AD32" s="8"/>
      <c r="AE32" s="8"/>
      <c r="AF32" s="8" t="s">
        <v>320</v>
      </c>
      <c r="AG32" s="11" t="s">
        <v>290</v>
      </c>
      <c r="AH32" s="11"/>
      <c r="AI32" s="8"/>
      <c r="AJ32" s="17">
        <v>104</v>
      </c>
      <c r="AK32" s="10" t="s">
        <v>68</v>
      </c>
      <c r="AL32" s="12" t="s">
        <v>311</v>
      </c>
      <c r="AM32" s="27" t="s">
        <v>335</v>
      </c>
      <c r="AN32" s="14"/>
    </row>
    <row r="33" spans="1:40" ht="15" customHeight="1" x14ac:dyDescent="0.15">
      <c r="A33" s="10">
        <v>6301</v>
      </c>
      <c r="B33" s="10">
        <v>6001</v>
      </c>
      <c r="C33" s="12">
        <v>1</v>
      </c>
      <c r="D33" s="12">
        <v>1</v>
      </c>
      <c r="E33" s="8">
        <v>0</v>
      </c>
      <c r="F33" s="8">
        <v>0</v>
      </c>
      <c r="G33" s="8">
        <v>1</v>
      </c>
      <c r="H33" s="8" t="str">
        <f t="shared" si="5"/>
        <v>南洋王的判断</v>
      </c>
      <c r="I33" s="8">
        <v>0</v>
      </c>
      <c r="J33" s="8">
        <v>0</v>
      </c>
      <c r="K33" s="8">
        <v>1</v>
      </c>
      <c r="L33" s="8">
        <v>0</v>
      </c>
      <c r="M33" s="8"/>
      <c r="N33" s="8"/>
      <c r="O33" s="8"/>
      <c r="P33" s="8"/>
      <c r="Q33" s="8"/>
      <c r="R33" s="8"/>
      <c r="S33" s="8"/>
      <c r="T33" s="8">
        <v>0</v>
      </c>
      <c r="U33" s="8">
        <v>0</v>
      </c>
      <c r="V33" s="8">
        <v>0</v>
      </c>
      <c r="W33" s="8" t="s">
        <v>321</v>
      </c>
      <c r="X33" s="8" t="s">
        <v>317</v>
      </c>
      <c r="Y33" s="8"/>
      <c r="Z33" s="8">
        <v>0</v>
      </c>
      <c r="AA33" s="8"/>
      <c r="AB33" s="16"/>
      <c r="AC33" s="16"/>
      <c r="AD33" s="8"/>
      <c r="AE33" s="8"/>
      <c r="AF33" s="2" t="s">
        <v>322</v>
      </c>
      <c r="AG33" s="11" t="s">
        <v>289</v>
      </c>
      <c r="AH33" s="11"/>
      <c r="AI33" s="8"/>
      <c r="AJ33" s="17">
        <v>105</v>
      </c>
      <c r="AK33" s="10" t="s">
        <v>69</v>
      </c>
      <c r="AL33" s="12" t="s">
        <v>313</v>
      </c>
      <c r="AM33" s="27" t="s">
        <v>337</v>
      </c>
      <c r="AN33" s="14"/>
    </row>
    <row r="34" spans="1:40" ht="15" customHeight="1" x14ac:dyDescent="0.15">
      <c r="A34" s="10">
        <v>6401</v>
      </c>
      <c r="B34" s="10">
        <v>6001</v>
      </c>
      <c r="C34" s="12">
        <v>1</v>
      </c>
      <c r="D34" s="12">
        <v>1</v>
      </c>
      <c r="E34" s="8">
        <v>0</v>
      </c>
      <c r="F34" s="8">
        <v>0</v>
      </c>
      <c r="G34" s="8">
        <v>1</v>
      </c>
      <c r="H34" s="8" t="str">
        <f t="shared" si="5"/>
        <v>西洋王的考量</v>
      </c>
      <c r="I34" s="8">
        <v>0</v>
      </c>
      <c r="J34" s="8">
        <v>0</v>
      </c>
      <c r="K34" s="8">
        <v>1</v>
      </c>
      <c r="L34" s="8">
        <v>0</v>
      </c>
      <c r="M34" s="8"/>
      <c r="N34" s="8"/>
      <c r="O34" s="8"/>
      <c r="P34" s="8"/>
      <c r="Q34" s="8"/>
      <c r="R34" s="8"/>
      <c r="S34" s="8"/>
      <c r="T34" s="8">
        <v>0</v>
      </c>
      <c r="U34" s="8">
        <v>0</v>
      </c>
      <c r="V34" s="8">
        <v>0</v>
      </c>
      <c r="W34" s="8" t="s">
        <v>267</v>
      </c>
      <c r="X34" s="8" t="s">
        <v>291</v>
      </c>
      <c r="Y34" s="8"/>
      <c r="Z34" s="8">
        <v>0</v>
      </c>
      <c r="AA34" s="8"/>
      <c r="AB34" s="16"/>
      <c r="AC34" s="16"/>
      <c r="AD34" s="8"/>
      <c r="AE34" s="8"/>
      <c r="AF34" s="8" t="s">
        <v>266</v>
      </c>
      <c r="AG34" s="11" t="s">
        <v>292</v>
      </c>
      <c r="AH34" s="11"/>
      <c r="AI34" s="8"/>
      <c r="AJ34" s="17">
        <v>106</v>
      </c>
      <c r="AK34" s="10" t="s">
        <v>70</v>
      </c>
      <c r="AL34" s="12" t="s">
        <v>314</v>
      </c>
      <c r="AM34" s="27" t="s">
        <v>338</v>
      </c>
      <c r="AN34" s="14"/>
    </row>
    <row r="35" spans="1:40" ht="15" customHeight="1" x14ac:dyDescent="0.15">
      <c r="A35" s="10">
        <v>901000</v>
      </c>
      <c r="B35" s="10">
        <v>0</v>
      </c>
      <c r="C35" s="12">
        <v>0</v>
      </c>
      <c r="D35" s="12">
        <v>1</v>
      </c>
      <c r="E35" s="8">
        <v>0</v>
      </c>
      <c r="F35" s="8">
        <v>0</v>
      </c>
      <c r="G35" s="8">
        <v>1</v>
      </c>
      <c r="H35" s="8" t="str">
        <f t="shared" si="5"/>
        <v>神之契约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/>
      <c r="O35" s="8"/>
      <c r="P35" s="8"/>
      <c r="Q35" s="8"/>
      <c r="R35" s="8"/>
      <c r="S35" s="8"/>
      <c r="T35" s="8">
        <v>0</v>
      </c>
      <c r="U35" s="8">
        <v>0</v>
      </c>
      <c r="V35" s="8">
        <v>0</v>
      </c>
      <c r="W35" s="8"/>
      <c r="X35" s="8"/>
      <c r="Y35" s="8"/>
      <c r="Z35" s="8">
        <v>0</v>
      </c>
      <c r="AA35" s="8"/>
      <c r="AB35" s="8"/>
      <c r="AC35" s="8"/>
      <c r="AD35" s="16"/>
      <c r="AE35" s="8"/>
      <c r="AF35" s="8"/>
      <c r="AG35" s="8"/>
      <c r="AH35" s="11"/>
      <c r="AI35" s="8"/>
      <c r="AJ35" s="11"/>
      <c r="AK35" s="8"/>
      <c r="AL35" s="12" t="s">
        <v>284</v>
      </c>
      <c r="AM35" s="14" t="s">
        <v>285</v>
      </c>
      <c r="AN35" s="14"/>
    </row>
    <row r="36" spans="1:40" ht="15" customHeight="1" x14ac:dyDescent="0.15">
      <c r="A36" s="10">
        <v>901001</v>
      </c>
      <c r="B36" s="10">
        <v>901000</v>
      </c>
      <c r="C36" s="10">
        <v>901001</v>
      </c>
      <c r="D36" s="12">
        <v>1</v>
      </c>
      <c r="E36" s="8">
        <v>0</v>
      </c>
      <c r="F36" s="8">
        <v>0</v>
      </c>
      <c r="G36" s="8">
        <v>1</v>
      </c>
      <c r="H36" s="8" t="str">
        <f t="shared" si="5"/>
        <v>图腾之柱</v>
      </c>
      <c r="I36" s="8">
        <v>0</v>
      </c>
      <c r="J36" s="8">
        <v>0</v>
      </c>
      <c r="K36" s="8">
        <v>0</v>
      </c>
      <c r="L36" s="8">
        <v>0</v>
      </c>
      <c r="M36" s="8"/>
      <c r="N36" s="8"/>
      <c r="O36" s="8"/>
      <c r="P36" s="8"/>
      <c r="Q36" s="8"/>
      <c r="R36" s="8"/>
      <c r="S36" s="8"/>
      <c r="T36" s="8">
        <v>0</v>
      </c>
      <c r="U36" s="8">
        <v>0</v>
      </c>
      <c r="V36" s="8">
        <v>0</v>
      </c>
      <c r="W36" s="8"/>
      <c r="X36" s="8"/>
      <c r="Y36" s="8"/>
      <c r="Z36" s="8">
        <v>0</v>
      </c>
      <c r="AA36" s="8"/>
      <c r="AB36" s="8"/>
      <c r="AC36" s="8"/>
      <c r="AD36" s="16"/>
      <c r="AE36" s="8"/>
      <c r="AF36" s="8" t="s">
        <v>327</v>
      </c>
      <c r="AG36" s="8" t="s">
        <v>328</v>
      </c>
      <c r="AH36" s="11"/>
      <c r="AI36" s="8"/>
      <c r="AJ36" s="11"/>
      <c r="AK36" s="8"/>
      <c r="AL36" s="12" t="s">
        <v>100</v>
      </c>
      <c r="AM36" s="14" t="s">
        <v>122</v>
      </c>
      <c r="AN36" s="14" t="s">
        <v>114</v>
      </c>
    </row>
    <row r="37" spans="1:40" ht="15" customHeight="1" x14ac:dyDescent="0.15">
      <c r="A37" s="10">
        <v>902001</v>
      </c>
      <c r="B37" s="10">
        <v>901000</v>
      </c>
      <c r="C37" s="10">
        <v>902001</v>
      </c>
      <c r="D37" s="12">
        <v>1</v>
      </c>
      <c r="E37" s="8">
        <v>0</v>
      </c>
      <c r="F37" s="8">
        <v>0</v>
      </c>
      <c r="G37" s="8">
        <v>1</v>
      </c>
      <c r="H37" s="8" t="str">
        <f t="shared" si="5"/>
        <v>领主光环</v>
      </c>
      <c r="I37" s="8">
        <v>0</v>
      </c>
      <c r="J37" s="8">
        <v>0</v>
      </c>
      <c r="K37" s="8">
        <v>0</v>
      </c>
      <c r="L37" s="8">
        <v>0</v>
      </c>
      <c r="M37" s="8"/>
      <c r="N37" s="8"/>
      <c r="O37" s="8"/>
      <c r="P37" s="8"/>
      <c r="Q37" s="8"/>
      <c r="R37" s="8"/>
      <c r="S37" s="8"/>
      <c r="T37" s="8">
        <v>0</v>
      </c>
      <c r="U37" s="8">
        <v>0</v>
      </c>
      <c r="V37" s="8">
        <v>0</v>
      </c>
      <c r="W37" s="8"/>
      <c r="X37" s="8"/>
      <c r="Y37" s="8"/>
      <c r="Z37" s="8">
        <v>0</v>
      </c>
      <c r="AA37" s="8"/>
      <c r="AB37" s="8"/>
      <c r="AC37" s="8"/>
      <c r="AD37" s="16"/>
      <c r="AE37" s="8"/>
      <c r="AF37" s="8" t="s">
        <v>329</v>
      </c>
      <c r="AG37" s="8" t="s">
        <v>330</v>
      </c>
      <c r="AH37" s="11"/>
      <c r="AI37" s="8"/>
      <c r="AJ37" s="11"/>
      <c r="AK37" s="8"/>
      <c r="AL37" s="12" t="s">
        <v>101</v>
      </c>
      <c r="AM37" s="14" t="s">
        <v>123</v>
      </c>
      <c r="AN37" s="14" t="s">
        <v>110</v>
      </c>
    </row>
    <row r="38" spans="1:40" ht="15" customHeight="1" x14ac:dyDescent="0.15">
      <c r="A38" s="10">
        <v>903001</v>
      </c>
      <c r="B38" s="10">
        <v>901000</v>
      </c>
      <c r="C38" s="10">
        <v>903001</v>
      </c>
      <c r="D38" s="12">
        <v>1</v>
      </c>
      <c r="E38" s="8">
        <v>0</v>
      </c>
      <c r="F38" s="8">
        <v>0</v>
      </c>
      <c r="G38" s="8">
        <v>1</v>
      </c>
      <c r="H38" s="8" t="str">
        <f t="shared" si="5"/>
        <v>获得龙魂</v>
      </c>
      <c r="I38" s="8">
        <v>0</v>
      </c>
      <c r="J38" s="8">
        <v>0</v>
      </c>
      <c r="K38" s="8">
        <v>0</v>
      </c>
      <c r="L38" s="8">
        <v>0</v>
      </c>
      <c r="M38" s="8"/>
      <c r="N38" s="8"/>
      <c r="O38" s="8"/>
      <c r="P38" s="8"/>
      <c r="Q38" s="8"/>
      <c r="R38" s="8"/>
      <c r="S38" s="8"/>
      <c r="T38" s="8">
        <v>0</v>
      </c>
      <c r="U38" s="8">
        <v>0</v>
      </c>
      <c r="V38" s="8">
        <v>0</v>
      </c>
      <c r="W38" s="8"/>
      <c r="X38" s="8"/>
      <c r="Y38" s="8"/>
      <c r="Z38" s="8">
        <v>0</v>
      </c>
      <c r="AA38" s="8"/>
      <c r="AB38" s="8"/>
      <c r="AC38" s="8"/>
      <c r="AD38" s="16"/>
      <c r="AE38" s="8"/>
      <c r="AF38" s="8" t="s">
        <v>325</v>
      </c>
      <c r="AG38" s="8" t="s">
        <v>326</v>
      </c>
      <c r="AH38" s="11"/>
      <c r="AI38" s="8"/>
      <c r="AJ38" s="11"/>
      <c r="AK38" s="8"/>
      <c r="AL38" s="12" t="s">
        <v>120</v>
      </c>
      <c r="AM38" s="14" t="s">
        <v>124</v>
      </c>
      <c r="AN38" s="14" t="s">
        <v>121</v>
      </c>
    </row>
    <row r="39" spans="1:40" ht="15" customHeight="1" x14ac:dyDescent="0.15">
      <c r="A39" s="10">
        <v>904001</v>
      </c>
      <c r="B39" s="10">
        <v>901000</v>
      </c>
      <c r="C39" s="10">
        <v>904001</v>
      </c>
      <c r="D39" s="12">
        <v>1</v>
      </c>
      <c r="E39" s="8">
        <v>0</v>
      </c>
      <c r="F39" s="8">
        <v>0</v>
      </c>
      <c r="G39" s="8">
        <v>1</v>
      </c>
      <c r="H39" s="31" t="str">
        <f t="shared" si="5"/>
        <v>召唤神龙</v>
      </c>
      <c r="I39" s="8">
        <v>0</v>
      </c>
      <c r="J39" s="8">
        <v>0</v>
      </c>
      <c r="K39" s="8">
        <v>0</v>
      </c>
      <c r="L39" s="8">
        <v>0</v>
      </c>
      <c r="M39" s="8"/>
      <c r="N39" s="8"/>
      <c r="O39" s="8"/>
      <c r="P39" s="8">
        <v>1</v>
      </c>
      <c r="Q39" s="8"/>
      <c r="R39" s="8"/>
      <c r="S39" s="8"/>
      <c r="T39" s="8">
        <v>0</v>
      </c>
      <c r="U39" s="8">
        <v>0</v>
      </c>
      <c r="V39" s="8">
        <v>0</v>
      </c>
      <c r="W39" s="8"/>
      <c r="X39" s="8"/>
      <c r="Y39" s="8"/>
      <c r="Z39" s="8">
        <v>0</v>
      </c>
      <c r="AA39" s="8"/>
      <c r="AB39" s="8">
        <v>2000</v>
      </c>
      <c r="AC39" s="8" t="s">
        <v>127</v>
      </c>
      <c r="AD39" s="16"/>
      <c r="AE39" s="8"/>
      <c r="AF39" s="8" t="s">
        <v>325</v>
      </c>
      <c r="AG39" s="8" t="s">
        <v>326</v>
      </c>
      <c r="AH39" s="11"/>
      <c r="AI39" s="8"/>
      <c r="AJ39" s="11"/>
      <c r="AK39" s="8"/>
      <c r="AL39" s="12" t="s">
        <v>103</v>
      </c>
      <c r="AM39" s="14" t="s">
        <v>102</v>
      </c>
      <c r="AN39" s="14" t="s">
        <v>111</v>
      </c>
    </row>
    <row r="40" spans="1:40" ht="15" customHeight="1" x14ac:dyDescent="0.15">
      <c r="A40" s="10">
        <v>101005</v>
      </c>
      <c r="B40" s="10">
        <v>0</v>
      </c>
      <c r="C40" s="12">
        <v>0</v>
      </c>
      <c r="D40" s="12">
        <v>1</v>
      </c>
      <c r="E40" s="8">
        <v>0</v>
      </c>
      <c r="F40" s="8">
        <v>0</v>
      </c>
      <c r="G40" s="8">
        <v>1</v>
      </c>
      <c r="H40" s="8" t="str">
        <f t="shared" si="5"/>
        <v>商路初开</v>
      </c>
      <c r="I40" s="8">
        <v>0</v>
      </c>
      <c r="J40" s="8">
        <v>0</v>
      </c>
      <c r="K40" s="8">
        <v>0</v>
      </c>
      <c r="L40" s="8">
        <v>0</v>
      </c>
      <c r="M40" s="8"/>
      <c r="N40" s="8"/>
      <c r="O40" s="8"/>
      <c r="P40" s="8"/>
      <c r="Q40" s="8"/>
      <c r="R40" s="8"/>
      <c r="S40" s="8"/>
      <c r="T40" s="8">
        <v>0</v>
      </c>
      <c r="U40" s="8">
        <v>0</v>
      </c>
      <c r="V40" s="8">
        <v>0</v>
      </c>
      <c r="W40" s="8"/>
      <c r="X40" s="8"/>
      <c r="Y40" s="8"/>
      <c r="Z40" s="8">
        <v>0</v>
      </c>
      <c r="AA40" s="8"/>
      <c r="AB40" s="8"/>
      <c r="AC40" s="8"/>
      <c r="AD40" s="16"/>
      <c r="AE40" s="8"/>
      <c r="AF40" s="8"/>
      <c r="AG40" s="8"/>
      <c r="AH40" s="11"/>
      <c r="AI40" s="8"/>
      <c r="AJ40" s="11"/>
      <c r="AK40" s="8"/>
      <c r="AL40" s="12" t="s">
        <v>283</v>
      </c>
      <c r="AM40" s="14" t="s">
        <v>83</v>
      </c>
      <c r="AN40" s="14"/>
    </row>
    <row r="41" spans="1:40" ht="15" customHeight="1" x14ac:dyDescent="0.15">
      <c r="A41" s="10">
        <v>10100501</v>
      </c>
      <c r="B41" s="10">
        <v>101005</v>
      </c>
      <c r="C41" s="12">
        <v>7</v>
      </c>
      <c r="D41" s="12">
        <v>1</v>
      </c>
      <c r="E41" s="8">
        <v>0</v>
      </c>
      <c r="F41" s="8">
        <v>0</v>
      </c>
      <c r="G41" s="8">
        <v>1</v>
      </c>
      <c r="H41" s="8" t="str">
        <f t="shared" si="5"/>
        <v>在南方建立边贸口岸</v>
      </c>
      <c r="I41" s="8">
        <v>0</v>
      </c>
      <c r="J41" s="8">
        <v>0</v>
      </c>
      <c r="K41" s="8">
        <v>0</v>
      </c>
      <c r="L41" s="8">
        <v>0</v>
      </c>
      <c r="M41" s="8"/>
      <c r="N41" s="8"/>
      <c r="O41" s="8"/>
      <c r="P41" s="8"/>
      <c r="Q41" s="8"/>
      <c r="R41" s="8" t="s">
        <v>352</v>
      </c>
      <c r="S41" s="8"/>
      <c r="T41" s="8">
        <v>0</v>
      </c>
      <c r="U41" s="8">
        <v>0</v>
      </c>
      <c r="V41" s="8">
        <v>0</v>
      </c>
      <c r="W41" s="8"/>
      <c r="X41" s="8"/>
      <c r="Y41" s="8"/>
      <c r="Z41" s="8">
        <v>0</v>
      </c>
      <c r="AA41" s="8"/>
      <c r="AB41" s="8">
        <v>103005</v>
      </c>
      <c r="AC41" s="14" t="s">
        <v>12</v>
      </c>
      <c r="AD41" s="16" t="s">
        <v>16</v>
      </c>
      <c r="AE41" s="8" t="s">
        <v>15</v>
      </c>
      <c r="AF41" s="8" t="s">
        <v>19</v>
      </c>
      <c r="AG41" s="8"/>
      <c r="AH41" s="11"/>
      <c r="AI41" s="8"/>
      <c r="AJ41" s="11"/>
      <c r="AK41" s="8"/>
      <c r="AL41" s="12" t="s">
        <v>84</v>
      </c>
      <c r="AM41" s="27" t="s">
        <v>342</v>
      </c>
      <c r="AN41" s="14" t="s">
        <v>346</v>
      </c>
    </row>
    <row r="42" spans="1:40" ht="15" customHeight="1" x14ac:dyDescent="0.15">
      <c r="A42" s="10">
        <v>10100502</v>
      </c>
      <c r="B42" s="10">
        <v>101005</v>
      </c>
      <c r="C42" s="12">
        <v>7</v>
      </c>
      <c r="D42" s="12">
        <v>1</v>
      </c>
      <c r="E42" s="8">
        <v>0</v>
      </c>
      <c r="F42" s="8">
        <v>0</v>
      </c>
      <c r="G42" s="8">
        <v>1</v>
      </c>
      <c r="H42" s="8" t="str">
        <f t="shared" si="5"/>
        <v>在西方建立边贸口岸</v>
      </c>
      <c r="I42" s="8">
        <v>0</v>
      </c>
      <c r="J42" s="8">
        <v>0</v>
      </c>
      <c r="K42" s="8">
        <v>0</v>
      </c>
      <c r="L42" s="8">
        <v>0</v>
      </c>
      <c r="M42" s="8"/>
      <c r="N42" s="8"/>
      <c r="O42" s="8"/>
      <c r="P42" s="8"/>
      <c r="Q42" s="8"/>
      <c r="R42" s="8" t="s">
        <v>352</v>
      </c>
      <c r="S42" s="8"/>
      <c r="T42" s="8">
        <v>0</v>
      </c>
      <c r="U42" s="8">
        <v>0</v>
      </c>
      <c r="V42" s="8">
        <v>0</v>
      </c>
      <c r="W42" s="8"/>
      <c r="X42" s="8"/>
      <c r="Y42" s="8"/>
      <c r="Z42" s="8">
        <v>0</v>
      </c>
      <c r="AA42" s="8"/>
      <c r="AB42" s="8">
        <v>103005</v>
      </c>
      <c r="AC42" s="14" t="s">
        <v>12</v>
      </c>
      <c r="AD42" s="16" t="s">
        <v>17</v>
      </c>
      <c r="AE42" s="8" t="s">
        <v>15</v>
      </c>
      <c r="AF42" s="8" t="s">
        <v>19</v>
      </c>
      <c r="AG42" s="8"/>
      <c r="AH42" s="11"/>
      <c r="AI42" s="8"/>
      <c r="AJ42" s="11"/>
      <c r="AK42" s="8"/>
      <c r="AL42" s="12" t="s">
        <v>85</v>
      </c>
      <c r="AM42" s="27" t="s">
        <v>343</v>
      </c>
      <c r="AN42" s="14" t="s">
        <v>347</v>
      </c>
    </row>
    <row r="43" spans="1:40" ht="15" customHeight="1" x14ac:dyDescent="0.15">
      <c r="A43" s="10">
        <v>10100503</v>
      </c>
      <c r="B43" s="10">
        <v>101005</v>
      </c>
      <c r="C43" s="12">
        <v>7</v>
      </c>
      <c r="D43" s="12">
        <v>1</v>
      </c>
      <c r="E43" s="8">
        <v>0</v>
      </c>
      <c r="F43" s="8">
        <v>0</v>
      </c>
      <c r="G43" s="8">
        <v>1</v>
      </c>
      <c r="H43" s="8" t="str">
        <f t="shared" si="5"/>
        <v>在北方建立边贸口岸</v>
      </c>
      <c r="I43" s="8">
        <v>0</v>
      </c>
      <c r="J43" s="8">
        <v>0</v>
      </c>
      <c r="K43" s="8">
        <v>0</v>
      </c>
      <c r="L43" s="8">
        <v>0</v>
      </c>
      <c r="M43" s="8"/>
      <c r="N43" s="8"/>
      <c r="O43" s="8"/>
      <c r="P43" s="8"/>
      <c r="Q43" s="8"/>
      <c r="R43" s="8" t="s">
        <v>352</v>
      </c>
      <c r="S43" s="8"/>
      <c r="T43" s="8">
        <v>0</v>
      </c>
      <c r="U43" s="8">
        <v>0</v>
      </c>
      <c r="V43" s="8">
        <v>0</v>
      </c>
      <c r="W43" s="8"/>
      <c r="X43" s="8"/>
      <c r="Y43" s="8"/>
      <c r="Z43" s="8">
        <v>0</v>
      </c>
      <c r="AA43" s="8"/>
      <c r="AB43" s="8">
        <v>103005</v>
      </c>
      <c r="AC43" s="14" t="s">
        <v>12</v>
      </c>
      <c r="AD43" s="16" t="s">
        <v>18</v>
      </c>
      <c r="AE43" s="8" t="s">
        <v>15</v>
      </c>
      <c r="AF43" s="8" t="s">
        <v>19</v>
      </c>
      <c r="AG43" s="8"/>
      <c r="AH43" s="11"/>
      <c r="AI43" s="8"/>
      <c r="AJ43" s="11"/>
      <c r="AK43" s="8"/>
      <c r="AL43" s="12" t="s">
        <v>86</v>
      </c>
      <c r="AM43" s="27" t="s">
        <v>344</v>
      </c>
      <c r="AN43" s="14" t="s">
        <v>348</v>
      </c>
    </row>
    <row r="44" spans="1:40" ht="15" customHeight="1" x14ac:dyDescent="0.15">
      <c r="A44" s="10">
        <v>10100504</v>
      </c>
      <c r="B44" s="10">
        <v>101005</v>
      </c>
      <c r="C44" s="12">
        <v>7</v>
      </c>
      <c r="D44" s="12">
        <v>1</v>
      </c>
      <c r="E44" s="8">
        <v>0</v>
      </c>
      <c r="F44" s="8">
        <v>0</v>
      </c>
      <c r="G44" s="8">
        <v>1</v>
      </c>
      <c r="H44" s="8" t="str">
        <f t="shared" si="5"/>
        <v>在东方建立边贸口岸</v>
      </c>
      <c r="I44" s="8">
        <v>0</v>
      </c>
      <c r="J44" s="8">
        <v>0</v>
      </c>
      <c r="K44" s="8">
        <v>0</v>
      </c>
      <c r="L44" s="8">
        <v>0</v>
      </c>
      <c r="M44" s="8"/>
      <c r="N44" s="8"/>
      <c r="O44" s="8"/>
      <c r="P44" s="8"/>
      <c r="Q44" s="8"/>
      <c r="R44" s="8" t="s">
        <v>352</v>
      </c>
      <c r="S44" s="8"/>
      <c r="T44" s="8">
        <v>0</v>
      </c>
      <c r="U44" s="8">
        <v>0</v>
      </c>
      <c r="V44" s="8">
        <v>0</v>
      </c>
      <c r="W44" s="8"/>
      <c r="X44" s="8"/>
      <c r="Y44" s="8"/>
      <c r="Z44" s="8">
        <v>0</v>
      </c>
      <c r="AA44" s="8"/>
      <c r="AB44" s="8">
        <v>103005</v>
      </c>
      <c r="AC44" s="14" t="s">
        <v>12</v>
      </c>
      <c r="AD44" s="16" t="s">
        <v>14</v>
      </c>
      <c r="AE44" s="8" t="s">
        <v>15</v>
      </c>
      <c r="AF44" s="8" t="s">
        <v>19</v>
      </c>
      <c r="AG44" s="8"/>
      <c r="AH44" s="11"/>
      <c r="AI44" s="8"/>
      <c r="AJ44" s="11"/>
      <c r="AK44" s="8"/>
      <c r="AL44" s="12" t="s">
        <v>87</v>
      </c>
      <c r="AM44" s="27" t="s">
        <v>345</v>
      </c>
      <c r="AN44" s="14" t="s">
        <v>349</v>
      </c>
    </row>
    <row r="45" spans="1:40" ht="15" customHeight="1" x14ac:dyDescent="0.15">
      <c r="A45" s="10">
        <v>909001</v>
      </c>
      <c r="B45" s="10">
        <v>101005</v>
      </c>
      <c r="C45" s="10">
        <v>909001</v>
      </c>
      <c r="D45" s="12">
        <v>1</v>
      </c>
      <c r="E45" s="8">
        <v>0</v>
      </c>
      <c r="F45" s="8">
        <v>0</v>
      </c>
      <c r="G45" s="8">
        <v>1</v>
      </c>
      <c r="H45" s="8" t="str">
        <f t="shared" si="5"/>
        <v>建造商船</v>
      </c>
      <c r="I45" s="8">
        <v>0</v>
      </c>
      <c r="J45" s="8">
        <v>0</v>
      </c>
      <c r="K45" s="8">
        <v>0</v>
      </c>
      <c r="L45" s="8">
        <v>0</v>
      </c>
      <c r="M45" s="8"/>
      <c r="N45" s="8"/>
      <c r="O45" s="8"/>
      <c r="P45" s="8"/>
      <c r="Q45" s="8"/>
      <c r="R45" s="8"/>
      <c r="S45" s="8"/>
      <c r="T45" s="8">
        <v>0</v>
      </c>
      <c r="U45" s="8">
        <v>0</v>
      </c>
      <c r="V45" s="8">
        <v>0</v>
      </c>
      <c r="W45" s="8"/>
      <c r="X45" s="8"/>
      <c r="Y45" s="8"/>
      <c r="Z45" s="8">
        <v>0</v>
      </c>
      <c r="AA45" s="8"/>
      <c r="AB45" s="8"/>
      <c r="AC45" s="8"/>
      <c r="AD45" s="16"/>
      <c r="AE45" s="8"/>
      <c r="AF45" s="8"/>
      <c r="AG45" s="8"/>
      <c r="AH45" s="11"/>
      <c r="AI45" s="8"/>
      <c r="AJ45" s="11"/>
      <c r="AK45" s="8"/>
      <c r="AL45" s="12" t="s">
        <v>105</v>
      </c>
      <c r="AM45" s="14" t="s">
        <v>298</v>
      </c>
      <c r="AN45" s="26" t="s">
        <v>115</v>
      </c>
    </row>
    <row r="46" spans="1:40" ht="15" customHeight="1" x14ac:dyDescent="0.15">
      <c r="A46" s="10">
        <v>910001</v>
      </c>
      <c r="B46" s="10">
        <v>101005</v>
      </c>
      <c r="C46" s="10">
        <v>1</v>
      </c>
      <c r="D46" s="12">
        <v>1</v>
      </c>
      <c r="E46" s="8">
        <v>0</v>
      </c>
      <c r="F46" s="8">
        <v>0</v>
      </c>
      <c r="G46" s="8">
        <v>1</v>
      </c>
      <c r="H46" s="8" t="str">
        <f t="shared" si="5"/>
        <v>出海贸易</v>
      </c>
      <c r="I46" s="8">
        <v>0</v>
      </c>
      <c r="J46" s="8">
        <v>0</v>
      </c>
      <c r="K46" s="8">
        <v>0</v>
      </c>
      <c r="L46" s="8">
        <v>0</v>
      </c>
      <c r="M46" s="8">
        <v>909001</v>
      </c>
      <c r="N46" s="8"/>
      <c r="O46" s="8"/>
      <c r="P46" s="8"/>
      <c r="Q46" s="8"/>
      <c r="R46" s="8" t="s">
        <v>188</v>
      </c>
      <c r="S46" s="9" t="s">
        <v>350</v>
      </c>
      <c r="T46" s="8">
        <v>0</v>
      </c>
      <c r="U46" s="8">
        <v>0</v>
      </c>
      <c r="V46" s="8">
        <v>0</v>
      </c>
      <c r="W46" s="8"/>
      <c r="X46" s="8"/>
      <c r="Y46" s="8"/>
      <c r="Z46" s="8">
        <v>0</v>
      </c>
      <c r="AA46" s="8"/>
      <c r="AB46" s="8"/>
      <c r="AC46" s="14" t="s">
        <v>12</v>
      </c>
      <c r="AD46" s="16"/>
      <c r="AE46" s="8"/>
      <c r="AF46" s="8"/>
      <c r="AG46" s="8"/>
      <c r="AH46" s="11"/>
      <c r="AI46" s="8"/>
      <c r="AJ46" s="11"/>
      <c r="AK46" s="8"/>
      <c r="AL46" s="12" t="s">
        <v>128</v>
      </c>
      <c r="AM46" s="14" t="s">
        <v>129</v>
      </c>
      <c r="AN46" s="26" t="s">
        <v>116</v>
      </c>
    </row>
    <row r="47" spans="1:40" ht="15" customHeight="1" x14ac:dyDescent="0.15">
      <c r="A47" s="10">
        <v>7001</v>
      </c>
      <c r="B47" s="10">
        <v>0</v>
      </c>
      <c r="C47" s="12">
        <v>0</v>
      </c>
      <c r="D47" s="12">
        <v>1</v>
      </c>
      <c r="E47" s="8">
        <v>0</v>
      </c>
      <c r="F47" s="8">
        <v>0</v>
      </c>
      <c r="G47" s="8">
        <v>1</v>
      </c>
      <c r="H47" s="8" t="str">
        <f t="shared" ref="H47:H53" si="6">AL47</f>
        <v>失序的开始</v>
      </c>
      <c r="I47" s="8">
        <v>0</v>
      </c>
      <c r="J47" s="8">
        <v>0</v>
      </c>
      <c r="K47" s="8">
        <v>0</v>
      </c>
      <c r="L47" s="8">
        <v>0</v>
      </c>
      <c r="M47" s="8"/>
      <c r="N47" s="8"/>
      <c r="O47" s="8"/>
      <c r="P47" s="8"/>
      <c r="Q47" s="8"/>
      <c r="R47" s="8"/>
      <c r="S47" s="8"/>
      <c r="T47" s="8">
        <v>0</v>
      </c>
      <c r="U47" s="8">
        <v>0</v>
      </c>
      <c r="V47" s="8">
        <v>0</v>
      </c>
      <c r="W47" s="8"/>
      <c r="X47" s="8"/>
      <c r="Y47" s="8"/>
      <c r="Z47" s="8">
        <v>0</v>
      </c>
      <c r="AA47" s="8"/>
      <c r="AB47" s="16"/>
      <c r="AC47" s="16"/>
      <c r="AD47" s="8"/>
      <c r="AE47" s="8"/>
      <c r="AF47" s="8"/>
      <c r="AG47" s="8"/>
      <c r="AH47" s="11"/>
      <c r="AI47" s="8"/>
      <c r="AJ47" s="11"/>
      <c r="AK47" s="8"/>
      <c r="AL47" s="12" t="s">
        <v>268</v>
      </c>
      <c r="AM47" s="27" t="s">
        <v>253</v>
      </c>
      <c r="AN47" s="14"/>
    </row>
    <row r="48" spans="1:40" ht="15" customHeight="1" x14ac:dyDescent="0.15">
      <c r="A48" s="10">
        <v>7101</v>
      </c>
      <c r="B48" s="10">
        <v>7001</v>
      </c>
      <c r="C48" s="12">
        <v>1</v>
      </c>
      <c r="D48" s="12">
        <v>1</v>
      </c>
      <c r="E48" s="8">
        <v>0</v>
      </c>
      <c r="F48" s="8">
        <v>0</v>
      </c>
      <c r="G48" s="8">
        <v>1</v>
      </c>
      <c r="H48" s="8" t="str">
        <f t="shared" si="6"/>
        <v>王城的沉默</v>
      </c>
      <c r="I48" s="8">
        <v>0</v>
      </c>
      <c r="J48" s="8">
        <v>0</v>
      </c>
      <c r="K48" s="8"/>
      <c r="L48" s="8">
        <v>1</v>
      </c>
      <c r="M48" s="8"/>
      <c r="N48" s="14">
        <v>30</v>
      </c>
      <c r="O48" s="8"/>
      <c r="P48" s="8"/>
      <c r="Q48" s="8"/>
      <c r="R48" s="8"/>
      <c r="S48" s="8"/>
      <c r="T48" s="8">
        <v>0</v>
      </c>
      <c r="U48" s="8">
        <v>0</v>
      </c>
      <c r="V48" s="8">
        <v>0</v>
      </c>
      <c r="W48" s="8"/>
      <c r="X48" s="8"/>
      <c r="Y48" s="8"/>
      <c r="Z48" s="8">
        <v>0</v>
      </c>
      <c r="AA48" s="8"/>
      <c r="AB48" s="16"/>
      <c r="AC48" s="16"/>
      <c r="AD48" s="8"/>
      <c r="AE48" s="8"/>
      <c r="AF48" s="8"/>
      <c r="AG48" s="8"/>
      <c r="AH48" s="11"/>
      <c r="AI48" s="8"/>
      <c r="AJ48" s="11"/>
      <c r="AK48" s="8"/>
      <c r="AL48" s="12" t="s">
        <v>246</v>
      </c>
      <c r="AM48" s="14" t="s">
        <v>254</v>
      </c>
      <c r="AN48" s="14"/>
    </row>
    <row r="49" spans="1:40" ht="15" customHeight="1" x14ac:dyDescent="0.15">
      <c r="A49" s="10">
        <v>7201</v>
      </c>
      <c r="B49" s="10">
        <v>7001</v>
      </c>
      <c r="C49" s="12">
        <v>1</v>
      </c>
      <c r="D49" s="12">
        <v>1</v>
      </c>
      <c r="E49" s="8">
        <v>0</v>
      </c>
      <c r="F49" s="8">
        <v>0</v>
      </c>
      <c r="G49" s="8">
        <v>1</v>
      </c>
      <c r="H49" s="8" t="str">
        <f t="shared" si="6"/>
        <v>活人的献祭</v>
      </c>
      <c r="I49" s="8">
        <v>0</v>
      </c>
      <c r="J49" s="8">
        <v>0</v>
      </c>
      <c r="K49" s="8">
        <v>0</v>
      </c>
      <c r="L49" s="8">
        <v>0</v>
      </c>
      <c r="M49" s="8">
        <v>7101</v>
      </c>
      <c r="N49" s="8"/>
      <c r="O49" s="8"/>
      <c r="P49" s="8"/>
      <c r="Q49" s="8"/>
      <c r="R49" s="8"/>
      <c r="S49" s="8"/>
      <c r="T49" s="8">
        <v>0</v>
      </c>
      <c r="U49" s="8">
        <v>0</v>
      </c>
      <c r="V49" s="8">
        <v>0</v>
      </c>
      <c r="W49" s="8"/>
      <c r="X49" s="8"/>
      <c r="Y49" s="14">
        <v>20</v>
      </c>
      <c r="Z49" s="14">
        <v>1</v>
      </c>
      <c r="AA49" s="8"/>
      <c r="AB49" s="16"/>
      <c r="AC49" s="16"/>
      <c r="AD49" s="8"/>
      <c r="AE49" s="8"/>
      <c r="AF49" s="8"/>
      <c r="AG49" s="8"/>
      <c r="AH49" s="11"/>
      <c r="AI49" s="8"/>
      <c r="AJ49" s="11"/>
      <c r="AK49" s="8"/>
      <c r="AL49" s="12" t="s">
        <v>249</v>
      </c>
      <c r="AM49" s="27" t="s">
        <v>414</v>
      </c>
      <c r="AN49" s="14" t="s">
        <v>252</v>
      </c>
    </row>
    <row r="50" spans="1:40" ht="15" customHeight="1" x14ac:dyDescent="0.15">
      <c r="A50" s="10">
        <v>7301</v>
      </c>
      <c r="B50" s="10">
        <v>7001</v>
      </c>
      <c r="C50" s="12">
        <v>1</v>
      </c>
      <c r="D50" s="12">
        <v>1</v>
      </c>
      <c r="E50" s="8">
        <v>0</v>
      </c>
      <c r="F50" s="8">
        <v>0</v>
      </c>
      <c r="G50" s="8">
        <v>1</v>
      </c>
      <c r="H50" s="31" t="str">
        <f t="shared" si="6"/>
        <v>封印松动</v>
      </c>
      <c r="I50" s="8">
        <v>0</v>
      </c>
      <c r="J50" s="8">
        <v>0</v>
      </c>
      <c r="K50" s="8">
        <v>0</v>
      </c>
      <c r="L50" s="8">
        <v>0</v>
      </c>
      <c r="M50" s="8">
        <v>7201</v>
      </c>
      <c r="N50" s="14">
        <v>31</v>
      </c>
      <c r="O50" s="8"/>
      <c r="P50" s="8"/>
      <c r="Q50" s="8"/>
      <c r="R50" s="8"/>
      <c r="S50" s="8"/>
      <c r="T50" s="8">
        <v>1</v>
      </c>
      <c r="U50" s="8">
        <v>0</v>
      </c>
      <c r="V50" s="8">
        <v>0</v>
      </c>
      <c r="W50" s="8"/>
      <c r="X50" s="8"/>
      <c r="Y50" s="8"/>
      <c r="Z50" s="8">
        <v>0</v>
      </c>
      <c r="AA50" s="8"/>
      <c r="AB50" s="16"/>
      <c r="AC50" s="16"/>
      <c r="AD50" s="8"/>
      <c r="AE50" s="8"/>
      <c r="AF50" s="8" t="s">
        <v>333</v>
      </c>
      <c r="AG50" s="8" t="s">
        <v>328</v>
      </c>
      <c r="AH50" s="11"/>
      <c r="AI50" s="8"/>
      <c r="AJ50" s="11"/>
      <c r="AK50" s="8" t="s">
        <v>269</v>
      </c>
      <c r="AL50" s="12" t="s">
        <v>250</v>
      </c>
      <c r="AM50" s="27" t="s">
        <v>339</v>
      </c>
      <c r="AN50" s="14"/>
    </row>
    <row r="51" spans="1:40" ht="15" customHeight="1" x14ac:dyDescent="0.15">
      <c r="A51" s="10">
        <v>7401</v>
      </c>
      <c r="B51" s="10">
        <v>7001</v>
      </c>
      <c r="C51" s="12">
        <v>1</v>
      </c>
      <c r="D51" s="12">
        <v>1</v>
      </c>
      <c r="E51" s="8">
        <v>0</v>
      </c>
      <c r="F51" s="8">
        <v>0</v>
      </c>
      <c r="G51" s="8">
        <v>1</v>
      </c>
      <c r="H51" s="31" t="str">
        <f t="shared" si="6"/>
        <v>失控的边境</v>
      </c>
      <c r="I51" s="8">
        <v>0</v>
      </c>
      <c r="J51" s="8">
        <v>0</v>
      </c>
      <c r="K51" s="8">
        <v>0</v>
      </c>
      <c r="L51" s="8">
        <v>0</v>
      </c>
      <c r="M51" s="10">
        <v>7301</v>
      </c>
      <c r="N51" s="14">
        <v>32</v>
      </c>
      <c r="O51" s="8"/>
      <c r="P51" s="8"/>
      <c r="Q51" s="8"/>
      <c r="R51" s="8"/>
      <c r="S51" s="8"/>
      <c r="T51" s="8">
        <v>0</v>
      </c>
      <c r="U51" s="8">
        <v>0</v>
      </c>
      <c r="V51" s="8">
        <v>1</v>
      </c>
      <c r="W51" s="8"/>
      <c r="X51" s="8"/>
      <c r="Y51" s="8"/>
      <c r="Z51" s="8">
        <v>0</v>
      </c>
      <c r="AA51" s="8"/>
      <c r="AB51" s="16"/>
      <c r="AC51" s="16"/>
      <c r="AD51" s="8"/>
      <c r="AE51" s="8"/>
      <c r="AF51" s="8" t="s">
        <v>334</v>
      </c>
      <c r="AG51" s="8" t="s">
        <v>330</v>
      </c>
      <c r="AH51" s="11"/>
      <c r="AI51" s="8"/>
      <c r="AJ51" s="11"/>
      <c r="AK51" s="8" t="s">
        <v>270</v>
      </c>
      <c r="AL51" s="12" t="s">
        <v>247</v>
      </c>
      <c r="AM51" s="27" t="s">
        <v>340</v>
      </c>
      <c r="AN51" s="14"/>
    </row>
    <row r="52" spans="1:40" ht="15" customHeight="1" x14ac:dyDescent="0.15">
      <c r="A52" s="10">
        <v>7501</v>
      </c>
      <c r="B52" s="10">
        <v>7001</v>
      </c>
      <c r="C52" s="12">
        <v>1</v>
      </c>
      <c r="D52" s="12">
        <v>1</v>
      </c>
      <c r="E52" s="8">
        <v>0</v>
      </c>
      <c r="F52" s="8">
        <v>0</v>
      </c>
      <c r="G52" s="8">
        <v>1</v>
      </c>
      <c r="H52" s="31" t="str">
        <f t="shared" si="6"/>
        <v>强盗出没</v>
      </c>
      <c r="I52" s="8">
        <v>0</v>
      </c>
      <c r="J52" s="8">
        <v>0</v>
      </c>
      <c r="K52" s="8">
        <v>0</v>
      </c>
      <c r="L52" s="8">
        <v>0</v>
      </c>
      <c r="M52" s="10">
        <v>7401</v>
      </c>
      <c r="N52" s="14">
        <v>33</v>
      </c>
      <c r="O52" s="8"/>
      <c r="P52" s="8"/>
      <c r="Q52" s="8"/>
      <c r="R52" s="8"/>
      <c r="S52" s="8"/>
      <c r="T52" s="8">
        <v>0</v>
      </c>
      <c r="U52" s="8">
        <v>1</v>
      </c>
      <c r="V52" s="8">
        <v>0</v>
      </c>
      <c r="W52" s="8"/>
      <c r="X52" s="8"/>
      <c r="Y52" s="8"/>
      <c r="Z52" s="8">
        <v>0</v>
      </c>
      <c r="AA52" s="8"/>
      <c r="AB52" s="16"/>
      <c r="AC52" s="16"/>
      <c r="AD52" s="8"/>
      <c r="AE52" s="8"/>
      <c r="AF52" s="8" t="s">
        <v>332</v>
      </c>
      <c r="AG52" s="10" t="s">
        <v>331</v>
      </c>
      <c r="AH52" s="11"/>
      <c r="AI52" s="8"/>
      <c r="AJ52" s="11"/>
      <c r="AK52" s="8" t="s">
        <v>271</v>
      </c>
      <c r="AL52" s="12" t="s">
        <v>251</v>
      </c>
      <c r="AM52" s="27" t="s">
        <v>341</v>
      </c>
      <c r="AN52" s="14"/>
    </row>
    <row r="53" spans="1:40" ht="15" customHeight="1" x14ac:dyDescent="0.15">
      <c r="A53" s="10">
        <v>7601</v>
      </c>
      <c r="B53" s="10">
        <v>7001</v>
      </c>
      <c r="C53" s="12">
        <v>1</v>
      </c>
      <c r="D53" s="12">
        <v>1</v>
      </c>
      <c r="E53" s="8">
        <v>0</v>
      </c>
      <c r="F53" s="8">
        <v>0</v>
      </c>
      <c r="G53" s="8">
        <v>1</v>
      </c>
      <c r="H53" s="8" t="str">
        <f t="shared" si="6"/>
        <v>在风暴中生长</v>
      </c>
      <c r="I53" s="8">
        <v>0</v>
      </c>
      <c r="J53" s="8">
        <v>0</v>
      </c>
      <c r="K53" s="8">
        <v>0</v>
      </c>
      <c r="L53" s="8">
        <v>0</v>
      </c>
      <c r="M53" s="10">
        <v>7501</v>
      </c>
      <c r="N53" s="8"/>
      <c r="O53" s="8"/>
      <c r="P53" s="8"/>
      <c r="Q53" s="14">
        <v>120</v>
      </c>
      <c r="R53" s="8"/>
      <c r="S53" s="8"/>
      <c r="T53" s="8">
        <v>0</v>
      </c>
      <c r="U53" s="8">
        <v>0</v>
      </c>
      <c r="V53" s="8">
        <v>0</v>
      </c>
      <c r="W53" s="8"/>
      <c r="X53" s="8"/>
      <c r="Y53" s="8"/>
      <c r="Z53" s="8">
        <v>0</v>
      </c>
      <c r="AA53" s="8"/>
      <c r="AB53" s="16"/>
      <c r="AC53" s="16"/>
      <c r="AD53" s="8"/>
      <c r="AE53" s="8"/>
      <c r="AF53" s="8"/>
      <c r="AG53" s="8"/>
      <c r="AH53" s="11"/>
      <c r="AI53" s="8"/>
      <c r="AJ53" s="11"/>
      <c r="AK53" s="8" t="s">
        <v>272</v>
      </c>
      <c r="AL53" s="12" t="s">
        <v>248</v>
      </c>
      <c r="AM53" s="14" t="s">
        <v>255</v>
      </c>
      <c r="AN53" s="14"/>
    </row>
    <row r="54" spans="1:40" ht="15" customHeight="1" x14ac:dyDescent="0.15">
      <c r="A54" s="10">
        <v>905000</v>
      </c>
      <c r="B54" s="10">
        <v>0</v>
      </c>
      <c r="C54" s="12">
        <v>0</v>
      </c>
      <c r="D54" s="12">
        <v>1</v>
      </c>
      <c r="E54" s="8">
        <v>0</v>
      </c>
      <c r="F54" s="8">
        <v>0</v>
      </c>
      <c r="G54" s="8">
        <v>1</v>
      </c>
      <c r="H54" s="8" t="str">
        <f t="shared" si="5"/>
        <v>新势力的崛起</v>
      </c>
      <c r="I54" s="8">
        <v>0</v>
      </c>
      <c r="J54" s="8">
        <v>0</v>
      </c>
      <c r="K54" s="8">
        <v>0</v>
      </c>
      <c r="L54" s="8">
        <v>0</v>
      </c>
      <c r="M54" s="8"/>
      <c r="N54" s="8"/>
      <c r="O54" s="8"/>
      <c r="P54" s="8"/>
      <c r="Q54" s="8"/>
      <c r="R54" s="8"/>
      <c r="S54" s="8"/>
      <c r="T54" s="8">
        <v>0</v>
      </c>
      <c r="U54" s="8">
        <v>0</v>
      </c>
      <c r="V54" s="8">
        <v>0</v>
      </c>
      <c r="W54" s="8"/>
      <c r="X54" s="8"/>
      <c r="Y54" s="8"/>
      <c r="Z54" s="8">
        <v>0</v>
      </c>
      <c r="AA54" s="8"/>
      <c r="AB54" s="16"/>
      <c r="AC54" s="16"/>
      <c r="AD54" s="8"/>
      <c r="AE54" s="8"/>
      <c r="AF54" s="8"/>
      <c r="AG54" s="8"/>
      <c r="AH54" s="11"/>
      <c r="AI54" s="8"/>
      <c r="AJ54" s="11"/>
      <c r="AK54" s="8"/>
      <c r="AL54" s="12" t="s">
        <v>276</v>
      </c>
      <c r="AM54" s="14"/>
      <c r="AN54" s="14"/>
    </row>
    <row r="55" spans="1:40" ht="15" customHeight="1" x14ac:dyDescent="0.15">
      <c r="A55" s="10">
        <v>905001</v>
      </c>
      <c r="B55" s="10">
        <v>905000</v>
      </c>
      <c r="C55" s="10">
        <v>905001</v>
      </c>
      <c r="D55" s="12">
        <v>1</v>
      </c>
      <c r="E55" s="8">
        <v>0</v>
      </c>
      <c r="F55" s="8">
        <v>0</v>
      </c>
      <c r="G55" s="8">
        <v>1</v>
      </c>
      <c r="H55" s="8" t="str">
        <f t="shared" si="5"/>
        <v>拓展领地</v>
      </c>
      <c r="I55" s="8">
        <v>0</v>
      </c>
      <c r="J55" s="8">
        <v>0</v>
      </c>
      <c r="K55" s="8">
        <v>0</v>
      </c>
      <c r="L55" s="8">
        <v>0</v>
      </c>
      <c r="M55" s="8"/>
      <c r="N55" s="8"/>
      <c r="O55" s="8"/>
      <c r="P55" s="8">
        <v>1</v>
      </c>
      <c r="Q55" s="8"/>
      <c r="R55" s="8"/>
      <c r="S55" s="8"/>
      <c r="T55" s="8">
        <v>0</v>
      </c>
      <c r="U55" s="8">
        <v>0</v>
      </c>
      <c r="V55" s="8">
        <v>0</v>
      </c>
      <c r="W55" s="8"/>
      <c r="X55" s="8"/>
      <c r="Y55" s="8"/>
      <c r="Z55" s="8">
        <v>0</v>
      </c>
      <c r="AA55" s="8"/>
      <c r="AB55" s="8">
        <v>1024</v>
      </c>
      <c r="AC55" s="8" t="s">
        <v>127</v>
      </c>
      <c r="AD55" s="16"/>
      <c r="AE55" s="8"/>
      <c r="AF55" s="8"/>
      <c r="AG55" s="8"/>
      <c r="AH55" s="11"/>
      <c r="AI55" s="8"/>
      <c r="AJ55" s="11"/>
      <c r="AK55" s="8"/>
      <c r="AL55" s="12" t="s">
        <v>104</v>
      </c>
      <c r="AM55" s="14" t="s">
        <v>125</v>
      </c>
      <c r="AN55" s="14" t="s">
        <v>112</v>
      </c>
    </row>
    <row r="56" spans="1:40" ht="15" customHeight="1" x14ac:dyDescent="0.15">
      <c r="A56" s="10">
        <v>906001</v>
      </c>
      <c r="B56" s="10">
        <v>905000</v>
      </c>
      <c r="C56" s="10">
        <v>906001</v>
      </c>
      <c r="D56" s="12">
        <v>1</v>
      </c>
      <c r="E56" s="8">
        <v>0</v>
      </c>
      <c r="F56" s="8">
        <v>0</v>
      </c>
      <c r="G56" s="8">
        <v>1</v>
      </c>
      <c r="H56" s="8" t="str">
        <f t="shared" si="5"/>
        <v>经营附属领地</v>
      </c>
      <c r="I56" s="8">
        <v>0</v>
      </c>
      <c r="J56" s="8">
        <v>0</v>
      </c>
      <c r="K56" s="8">
        <v>0</v>
      </c>
      <c r="L56" s="8">
        <v>0</v>
      </c>
      <c r="M56" s="8"/>
      <c r="N56" s="8"/>
      <c r="O56" s="8"/>
      <c r="P56" s="8">
        <v>1</v>
      </c>
      <c r="Q56" s="8"/>
      <c r="R56" s="8"/>
      <c r="S56" s="8"/>
      <c r="T56" s="8">
        <v>0</v>
      </c>
      <c r="U56" s="8">
        <v>0</v>
      </c>
      <c r="V56" s="8">
        <v>0</v>
      </c>
      <c r="W56" s="8"/>
      <c r="X56" s="8"/>
      <c r="Y56" s="8"/>
      <c r="Z56" s="8">
        <v>0</v>
      </c>
      <c r="AA56" s="8"/>
      <c r="AB56" s="8">
        <v>1024</v>
      </c>
      <c r="AC56" s="8" t="s">
        <v>127</v>
      </c>
      <c r="AD56" s="16"/>
      <c r="AE56" s="8"/>
      <c r="AF56" s="8"/>
      <c r="AG56" s="8" t="s">
        <v>377</v>
      </c>
      <c r="AH56" s="11"/>
      <c r="AI56" s="8"/>
      <c r="AJ56" s="11"/>
      <c r="AK56" s="8"/>
      <c r="AL56" s="12" t="s">
        <v>126</v>
      </c>
      <c r="AM56" s="14" t="s">
        <v>355</v>
      </c>
      <c r="AN56" s="14" t="s">
        <v>113</v>
      </c>
    </row>
    <row r="57" spans="1:40" ht="15" customHeight="1" x14ac:dyDescent="0.15">
      <c r="A57" s="10">
        <v>907001</v>
      </c>
      <c r="B57" s="10">
        <v>905000</v>
      </c>
      <c r="C57" s="10">
        <v>905001</v>
      </c>
      <c r="D57" s="12">
        <v>1</v>
      </c>
      <c r="E57" s="8">
        <v>0</v>
      </c>
      <c r="F57" s="8">
        <v>0</v>
      </c>
      <c r="G57" s="8">
        <v>1</v>
      </c>
      <c r="H57" s="8" t="str">
        <f t="shared" si="5"/>
        <v>主动出击</v>
      </c>
      <c r="I57" s="8">
        <v>0</v>
      </c>
      <c r="J57" s="8">
        <v>0</v>
      </c>
      <c r="K57" s="8">
        <v>0</v>
      </c>
      <c r="L57" s="8">
        <v>0</v>
      </c>
      <c r="M57" s="8"/>
      <c r="N57" s="8"/>
      <c r="O57" s="8"/>
      <c r="P57" s="8">
        <v>1</v>
      </c>
      <c r="Q57" s="8"/>
      <c r="R57" s="8"/>
      <c r="S57" s="8"/>
      <c r="T57" s="8">
        <v>0</v>
      </c>
      <c r="U57" s="8">
        <v>0</v>
      </c>
      <c r="V57" s="8">
        <v>0</v>
      </c>
      <c r="W57" s="8"/>
      <c r="X57" s="8"/>
      <c r="Y57" s="8"/>
      <c r="Z57" s="8">
        <v>0</v>
      </c>
      <c r="AA57" s="8"/>
      <c r="AB57" s="8">
        <v>1001</v>
      </c>
      <c r="AC57" s="8" t="s">
        <v>127</v>
      </c>
      <c r="AD57" s="16"/>
      <c r="AE57" s="8"/>
      <c r="AF57" s="8"/>
      <c r="AG57" s="8"/>
      <c r="AH57" s="11"/>
      <c r="AI57" s="8"/>
      <c r="AJ57" s="11"/>
      <c r="AK57" s="8"/>
      <c r="AL57" s="12" t="s">
        <v>106</v>
      </c>
      <c r="AM57" s="14" t="s">
        <v>277</v>
      </c>
      <c r="AN57" s="14"/>
    </row>
    <row r="58" spans="1:40" ht="15" customHeight="1" x14ac:dyDescent="0.15">
      <c r="A58" s="10">
        <v>912001</v>
      </c>
      <c r="B58" s="10">
        <v>905000</v>
      </c>
      <c r="C58" s="10">
        <v>912001</v>
      </c>
      <c r="D58" s="12">
        <v>1</v>
      </c>
      <c r="E58" s="8">
        <v>0</v>
      </c>
      <c r="F58" s="8">
        <v>0</v>
      </c>
      <c r="G58" s="8">
        <v>1</v>
      </c>
      <c r="H58" s="8" t="str">
        <f t="shared" si="5"/>
        <v>建造战舰</v>
      </c>
      <c r="I58" s="8">
        <v>0</v>
      </c>
      <c r="J58" s="8">
        <v>0</v>
      </c>
      <c r="K58" s="8">
        <v>0</v>
      </c>
      <c r="L58" s="8">
        <v>0</v>
      </c>
      <c r="M58" s="8"/>
      <c r="N58" s="8"/>
      <c r="O58" s="8"/>
      <c r="P58" s="8"/>
      <c r="Q58" s="8"/>
      <c r="R58" s="8"/>
      <c r="S58" s="8"/>
      <c r="T58" s="8">
        <v>0</v>
      </c>
      <c r="U58" s="8">
        <v>0</v>
      </c>
      <c r="V58" s="8">
        <v>0</v>
      </c>
      <c r="W58" s="8"/>
      <c r="X58" s="8"/>
      <c r="Y58" s="8"/>
      <c r="Z58" s="8">
        <v>0</v>
      </c>
      <c r="AA58" s="8"/>
      <c r="AB58" s="8"/>
      <c r="AC58" s="8"/>
      <c r="AD58" s="16"/>
      <c r="AE58" s="8"/>
      <c r="AF58" s="8" t="s">
        <v>131</v>
      </c>
      <c r="AG58" s="8"/>
      <c r="AH58" s="11"/>
      <c r="AI58" s="8"/>
      <c r="AJ58" s="11"/>
      <c r="AK58" s="8"/>
      <c r="AL58" s="12" t="s">
        <v>107</v>
      </c>
      <c r="AM58" s="27" t="s">
        <v>351</v>
      </c>
      <c r="AN58" s="26" t="s">
        <v>278</v>
      </c>
    </row>
    <row r="59" spans="1:40" ht="15" customHeight="1" x14ac:dyDescent="0.15">
      <c r="A59" s="10">
        <v>913001</v>
      </c>
      <c r="B59" s="10">
        <v>905000</v>
      </c>
      <c r="C59" s="10">
        <v>905001</v>
      </c>
      <c r="D59" s="12">
        <v>1</v>
      </c>
      <c r="E59" s="8">
        <v>0</v>
      </c>
      <c r="F59" s="8">
        <v>0</v>
      </c>
      <c r="G59" s="8">
        <v>1</v>
      </c>
      <c r="H59" s="8" t="str">
        <f t="shared" si="5"/>
        <v>夺回海岛</v>
      </c>
      <c r="I59" s="8">
        <v>0</v>
      </c>
      <c r="J59" s="8">
        <v>0</v>
      </c>
      <c r="K59" s="8">
        <v>0</v>
      </c>
      <c r="L59" s="8">
        <v>0</v>
      </c>
      <c r="M59" s="8"/>
      <c r="N59" s="8"/>
      <c r="O59" s="8"/>
      <c r="P59" s="8">
        <v>1</v>
      </c>
      <c r="Q59" s="8"/>
      <c r="R59" s="8"/>
      <c r="S59" s="8"/>
      <c r="T59" s="8">
        <v>0</v>
      </c>
      <c r="U59" s="8">
        <v>0</v>
      </c>
      <c r="V59" s="8">
        <v>0</v>
      </c>
      <c r="W59" s="8"/>
      <c r="X59" s="8"/>
      <c r="Y59" s="8"/>
      <c r="Z59" s="8">
        <v>0</v>
      </c>
      <c r="AA59" s="8"/>
      <c r="AB59" s="8">
        <v>1062</v>
      </c>
      <c r="AC59" s="8" t="s">
        <v>127</v>
      </c>
      <c r="AD59" s="16"/>
      <c r="AE59" s="8"/>
      <c r="AF59" s="9"/>
      <c r="AG59" s="9"/>
      <c r="AH59" s="11"/>
      <c r="AI59" s="8"/>
      <c r="AJ59" s="11"/>
      <c r="AK59" s="8"/>
      <c r="AL59" s="12" t="s">
        <v>108</v>
      </c>
      <c r="AM59" s="14" t="s">
        <v>130</v>
      </c>
      <c r="AN59" s="26" t="s">
        <v>117</v>
      </c>
    </row>
    <row r="60" spans="1:40" ht="15" customHeight="1" x14ac:dyDescent="0.15">
      <c r="A60" s="10">
        <v>914001</v>
      </c>
      <c r="B60" s="10">
        <v>905000</v>
      </c>
      <c r="C60" s="10">
        <v>914001</v>
      </c>
      <c r="D60" s="12">
        <v>1</v>
      </c>
      <c r="E60" s="8">
        <v>0</v>
      </c>
      <c r="F60" s="8">
        <v>0</v>
      </c>
      <c r="G60" s="8">
        <v>1</v>
      </c>
      <c r="H60" s="8" t="str">
        <f t="shared" si="5"/>
        <v>外交纵横</v>
      </c>
      <c r="I60" s="8">
        <v>0</v>
      </c>
      <c r="J60" s="8">
        <v>0</v>
      </c>
      <c r="K60" s="8">
        <v>0</v>
      </c>
      <c r="L60" s="8">
        <v>0</v>
      </c>
      <c r="M60" s="8"/>
      <c r="N60" s="8"/>
      <c r="O60" s="8"/>
      <c r="P60" s="8">
        <v>1</v>
      </c>
      <c r="Q60" s="8"/>
      <c r="R60" s="8"/>
      <c r="S60" s="8"/>
      <c r="T60" s="8">
        <v>0</v>
      </c>
      <c r="U60" s="8">
        <v>0</v>
      </c>
      <c r="V60" s="8">
        <v>0</v>
      </c>
      <c r="W60" s="8"/>
      <c r="X60" s="8"/>
      <c r="Y60" s="8"/>
      <c r="Z60" s="8">
        <v>0</v>
      </c>
      <c r="AA60" s="8"/>
      <c r="AB60" s="8">
        <v>2005</v>
      </c>
      <c r="AC60" s="8" t="s">
        <v>127</v>
      </c>
      <c r="AD60" s="16"/>
      <c r="AE60" s="8"/>
      <c r="AF60" s="8"/>
      <c r="AG60" s="8"/>
      <c r="AH60" s="11"/>
      <c r="AI60" s="8"/>
      <c r="AJ60" s="11"/>
      <c r="AK60" s="8"/>
      <c r="AL60" s="12" t="s">
        <v>109</v>
      </c>
      <c r="AM60" s="14" t="s">
        <v>119</v>
      </c>
      <c r="AN60" s="26" t="s">
        <v>118</v>
      </c>
    </row>
    <row r="61" spans="1:40" ht="15" customHeight="1" x14ac:dyDescent="0.15">
      <c r="A61" s="10">
        <v>9001</v>
      </c>
      <c r="B61" s="10">
        <v>0</v>
      </c>
      <c r="C61" s="12">
        <v>0</v>
      </c>
      <c r="D61" s="12">
        <v>1</v>
      </c>
      <c r="E61" s="8">
        <v>0</v>
      </c>
      <c r="F61" s="8">
        <v>0</v>
      </c>
      <c r="G61" s="8">
        <v>1</v>
      </c>
      <c r="H61" s="8" t="str">
        <f t="shared" ref="H61:H62" si="7">AL61</f>
        <v>天下失序</v>
      </c>
      <c r="I61" s="8">
        <v>0</v>
      </c>
      <c r="J61" s="8">
        <v>0</v>
      </c>
      <c r="K61" s="8">
        <v>0</v>
      </c>
      <c r="L61" s="8">
        <v>0</v>
      </c>
      <c r="M61" s="8"/>
      <c r="N61" s="8"/>
      <c r="O61" s="8"/>
      <c r="P61" s="8"/>
      <c r="Q61" s="8"/>
      <c r="R61" s="8"/>
      <c r="S61" s="8"/>
      <c r="T61" s="8">
        <v>0</v>
      </c>
      <c r="U61" s="8">
        <v>0</v>
      </c>
      <c r="V61" s="8">
        <v>0</v>
      </c>
      <c r="W61" s="8"/>
      <c r="X61" s="8"/>
      <c r="Y61" s="8"/>
      <c r="Z61" s="8">
        <v>0</v>
      </c>
      <c r="AA61" s="8"/>
      <c r="AB61" s="16"/>
      <c r="AC61" s="16"/>
      <c r="AD61" s="8"/>
      <c r="AE61" s="8"/>
      <c r="AF61" s="8"/>
      <c r="AG61" s="8"/>
      <c r="AH61" s="11"/>
      <c r="AI61" s="8"/>
      <c r="AJ61" s="11"/>
      <c r="AK61" s="8"/>
      <c r="AL61" s="14" t="s">
        <v>274</v>
      </c>
      <c r="AM61" s="14" t="s">
        <v>275</v>
      </c>
      <c r="AN61" s="14"/>
    </row>
    <row r="62" spans="1:40" ht="27" customHeight="1" x14ac:dyDescent="0.15">
      <c r="A62" s="10">
        <v>9101</v>
      </c>
      <c r="B62" s="10">
        <v>9001</v>
      </c>
      <c r="C62" s="12">
        <v>1</v>
      </c>
      <c r="D62" s="12">
        <v>1</v>
      </c>
      <c r="E62" s="8">
        <v>0</v>
      </c>
      <c r="F62" s="8">
        <v>0</v>
      </c>
      <c r="G62" s="8">
        <v>1</v>
      </c>
      <c r="H62" s="8" t="str">
        <f t="shared" si="7"/>
        <v>国王的遗志</v>
      </c>
      <c r="I62" s="8">
        <v>0</v>
      </c>
      <c r="J62" s="8">
        <v>0</v>
      </c>
      <c r="K62" s="8">
        <v>0</v>
      </c>
      <c r="L62" s="8">
        <v>1</v>
      </c>
      <c r="M62" s="8"/>
      <c r="N62" s="14">
        <v>34</v>
      </c>
      <c r="O62" s="8"/>
      <c r="P62" s="8"/>
      <c r="Q62" s="8"/>
      <c r="R62" s="8"/>
      <c r="S62" s="8"/>
      <c r="T62" s="8">
        <v>0</v>
      </c>
      <c r="U62" s="8">
        <v>0</v>
      </c>
      <c r="V62" s="8">
        <v>0</v>
      </c>
      <c r="W62" s="8"/>
      <c r="X62" s="8"/>
      <c r="Y62" s="8"/>
      <c r="Z62" s="8">
        <v>0</v>
      </c>
      <c r="AA62" s="8"/>
      <c r="AB62" s="16"/>
      <c r="AC62" s="16"/>
      <c r="AD62" s="8"/>
      <c r="AE62" s="8"/>
      <c r="AF62" s="2" t="s">
        <v>356</v>
      </c>
      <c r="AG62" s="2" t="s">
        <v>358</v>
      </c>
      <c r="AH62" s="11"/>
      <c r="AI62" s="8"/>
      <c r="AJ62" s="11"/>
      <c r="AK62" s="8"/>
      <c r="AL62" s="14" t="s">
        <v>273</v>
      </c>
      <c r="AM62" s="27" t="s">
        <v>359</v>
      </c>
      <c r="AN62" s="27" t="s">
        <v>360</v>
      </c>
    </row>
    <row r="63" spans="1:40" ht="29.25" customHeight="1" x14ac:dyDescent="0.15">
      <c r="A63" s="10">
        <v>9201</v>
      </c>
      <c r="B63" s="10">
        <v>9001</v>
      </c>
      <c r="C63" s="12">
        <v>1</v>
      </c>
      <c r="D63" s="12">
        <v>1</v>
      </c>
      <c r="E63" s="8">
        <v>0</v>
      </c>
      <c r="F63" s="8">
        <v>0</v>
      </c>
      <c r="G63" s="8">
        <v>1</v>
      </c>
      <c r="H63" s="8" t="str">
        <f t="shared" ref="H63:H91" si="8">AL63</f>
        <v>平王集结军队</v>
      </c>
      <c r="I63" s="8">
        <v>0</v>
      </c>
      <c r="J63" s="8">
        <v>0</v>
      </c>
      <c r="K63" s="8">
        <v>1</v>
      </c>
      <c r="L63" s="8">
        <v>0</v>
      </c>
      <c r="M63" s="8">
        <v>9101</v>
      </c>
      <c r="N63" s="8"/>
      <c r="O63" s="8"/>
      <c r="P63" s="8"/>
      <c r="Q63" s="8"/>
      <c r="R63" s="8"/>
      <c r="S63" s="8"/>
      <c r="T63" s="8">
        <v>0</v>
      </c>
      <c r="U63" s="8">
        <v>0</v>
      </c>
      <c r="V63" s="8">
        <v>0</v>
      </c>
      <c r="W63" s="2" t="s">
        <v>367</v>
      </c>
      <c r="X63" s="2" t="s">
        <v>368</v>
      </c>
      <c r="Y63" s="8"/>
      <c r="Z63" s="8">
        <v>0</v>
      </c>
      <c r="AA63" s="8"/>
      <c r="AB63" s="16"/>
      <c r="AC63" s="16"/>
      <c r="AD63" s="8"/>
      <c r="AE63" s="8"/>
      <c r="AF63" s="2" t="s">
        <v>369</v>
      </c>
      <c r="AG63" s="2" t="s">
        <v>370</v>
      </c>
      <c r="AH63" s="11"/>
      <c r="AI63" s="8"/>
      <c r="AJ63" s="17">
        <v>101</v>
      </c>
      <c r="AK63" s="8"/>
      <c r="AL63" s="14" t="s">
        <v>362</v>
      </c>
      <c r="AM63" s="27" t="s">
        <v>364</v>
      </c>
      <c r="AN63" s="14"/>
    </row>
    <row r="64" spans="1:40" ht="15" customHeight="1" x14ac:dyDescent="0.15">
      <c r="A64" s="10">
        <v>9301</v>
      </c>
      <c r="B64" s="10">
        <v>9001</v>
      </c>
      <c r="C64" s="12">
        <v>1</v>
      </c>
      <c r="D64" s="12">
        <v>1</v>
      </c>
      <c r="E64" s="8">
        <v>0</v>
      </c>
      <c r="F64" s="8">
        <v>0</v>
      </c>
      <c r="G64" s="8">
        <v>1</v>
      </c>
      <c r="H64" s="8" t="str">
        <f t="shared" si="8"/>
        <v>宣王召集诸王</v>
      </c>
      <c r="I64" s="8">
        <v>0</v>
      </c>
      <c r="J64" s="8">
        <v>0</v>
      </c>
      <c r="K64" s="8">
        <v>1</v>
      </c>
      <c r="L64" s="8">
        <v>0</v>
      </c>
      <c r="M64" s="8">
        <v>9101</v>
      </c>
      <c r="N64" s="8"/>
      <c r="O64" s="8"/>
      <c r="P64" s="8"/>
      <c r="Q64" s="8"/>
      <c r="R64" s="8"/>
      <c r="S64" s="8"/>
      <c r="T64" s="8">
        <v>0</v>
      </c>
      <c r="U64" s="8">
        <v>0</v>
      </c>
      <c r="V64" s="8">
        <v>0</v>
      </c>
      <c r="W64" s="8"/>
      <c r="X64" s="8"/>
      <c r="Y64" s="14">
        <v>50</v>
      </c>
      <c r="Z64" s="8">
        <v>0</v>
      </c>
      <c r="AA64" s="8"/>
      <c r="AB64" s="16"/>
      <c r="AC64" s="16"/>
      <c r="AD64" s="8"/>
      <c r="AE64" s="8"/>
      <c r="AF64" s="8" t="s">
        <v>371</v>
      </c>
      <c r="AG64" s="8" t="s">
        <v>372</v>
      </c>
      <c r="AH64" s="11"/>
      <c r="AI64" s="8"/>
      <c r="AJ64" s="17">
        <v>102</v>
      </c>
      <c r="AK64" s="8"/>
      <c r="AL64" s="14" t="s">
        <v>361</v>
      </c>
      <c r="AM64" s="27" t="s">
        <v>366</v>
      </c>
      <c r="AN64" s="14"/>
    </row>
    <row r="65" spans="1:40" ht="41.25" customHeight="1" x14ac:dyDescent="0.15">
      <c r="A65" s="10">
        <v>9401</v>
      </c>
      <c r="B65" s="10">
        <v>9001</v>
      </c>
      <c r="C65" s="12">
        <v>1</v>
      </c>
      <c r="D65" s="12">
        <v>1</v>
      </c>
      <c r="E65" s="8">
        <v>0</v>
      </c>
      <c r="F65" s="8">
        <v>0</v>
      </c>
      <c r="G65" s="8">
        <v>1</v>
      </c>
      <c r="H65" s="8" t="str">
        <f t="shared" si="8"/>
        <v xml:space="preserve">商王严控贸易 </v>
      </c>
      <c r="I65" s="8">
        <v>0</v>
      </c>
      <c r="J65" s="8">
        <v>0</v>
      </c>
      <c r="K65" s="8">
        <v>1</v>
      </c>
      <c r="L65" s="8">
        <v>0</v>
      </c>
      <c r="M65" s="8">
        <v>9101</v>
      </c>
      <c r="N65" s="8"/>
      <c r="O65" s="8"/>
      <c r="P65" s="8"/>
      <c r="Q65" s="8"/>
      <c r="R65" s="8"/>
      <c r="S65" s="8"/>
      <c r="T65" s="8">
        <v>0</v>
      </c>
      <c r="U65" s="8">
        <v>0</v>
      </c>
      <c r="V65" s="8">
        <v>0</v>
      </c>
      <c r="W65" s="2" t="s">
        <v>376</v>
      </c>
      <c r="X65" s="2" t="s">
        <v>375</v>
      </c>
      <c r="Y65" s="8"/>
      <c r="Z65" s="8">
        <v>0</v>
      </c>
      <c r="AA65" s="8"/>
      <c r="AB65" s="16"/>
      <c r="AC65" s="16"/>
      <c r="AD65" s="8"/>
      <c r="AE65" s="8"/>
      <c r="AF65" s="2" t="s">
        <v>374</v>
      </c>
      <c r="AG65" s="2" t="s">
        <v>373</v>
      </c>
      <c r="AH65" s="11"/>
      <c r="AI65" s="8"/>
      <c r="AJ65" s="18" t="s">
        <v>303</v>
      </c>
      <c r="AK65" s="8"/>
      <c r="AL65" s="14" t="s">
        <v>363</v>
      </c>
      <c r="AM65" s="27" t="s">
        <v>365</v>
      </c>
      <c r="AN65" s="14"/>
    </row>
    <row r="66" spans="1:40" ht="27" customHeight="1" x14ac:dyDescent="0.15">
      <c r="A66" s="10">
        <v>10101</v>
      </c>
      <c r="B66" s="10">
        <v>0</v>
      </c>
      <c r="C66" s="12">
        <v>0</v>
      </c>
      <c r="D66" s="12">
        <v>1</v>
      </c>
      <c r="E66" s="8">
        <v>0</v>
      </c>
      <c r="F66" s="8">
        <v>0</v>
      </c>
      <c r="G66" s="8">
        <v>1</v>
      </c>
      <c r="H66" s="8" t="str">
        <f t="shared" si="8"/>
        <v>内忧外患</v>
      </c>
      <c r="I66" s="8">
        <v>0</v>
      </c>
      <c r="J66" s="8">
        <v>0</v>
      </c>
      <c r="K66" s="8">
        <v>0</v>
      </c>
      <c r="L66" s="8">
        <v>0</v>
      </c>
      <c r="M66" s="8"/>
      <c r="N66" s="8"/>
      <c r="O66" s="8"/>
      <c r="P66" s="8"/>
      <c r="Q66" s="8"/>
      <c r="R66" s="8"/>
      <c r="S66" s="8"/>
      <c r="T66" s="8">
        <v>0</v>
      </c>
      <c r="U66" s="8">
        <v>0</v>
      </c>
      <c r="V66" s="8">
        <v>0</v>
      </c>
      <c r="W66" s="8"/>
      <c r="X66" s="8"/>
      <c r="Y66" s="8"/>
      <c r="Z66" s="8">
        <v>0</v>
      </c>
      <c r="AA66" s="8"/>
      <c r="AB66" s="16"/>
      <c r="AC66" s="16"/>
      <c r="AD66" s="8"/>
      <c r="AE66" s="8"/>
      <c r="AF66" s="8"/>
      <c r="AG66" s="8"/>
      <c r="AH66" s="11"/>
      <c r="AI66" s="8"/>
      <c r="AJ66" s="11"/>
      <c r="AK66" s="8"/>
      <c r="AL66" s="14" t="s">
        <v>378</v>
      </c>
      <c r="AM66" s="14" t="s">
        <v>383</v>
      </c>
      <c r="AN66" s="14"/>
    </row>
    <row r="67" spans="1:40" ht="15" customHeight="1" x14ac:dyDescent="0.15">
      <c r="A67" s="10">
        <v>10102</v>
      </c>
      <c r="B67" s="10">
        <v>10101</v>
      </c>
      <c r="C67" s="8">
        <v>1</v>
      </c>
      <c r="D67" s="12">
        <v>1</v>
      </c>
      <c r="E67" s="8">
        <v>0</v>
      </c>
      <c r="F67" s="8">
        <v>0</v>
      </c>
      <c r="G67" s="8">
        <v>1</v>
      </c>
      <c r="H67" s="8" t="str">
        <f t="shared" si="8"/>
        <v>保卫王国</v>
      </c>
      <c r="I67" s="8">
        <v>0</v>
      </c>
      <c r="J67" s="8">
        <v>0</v>
      </c>
      <c r="K67" s="8">
        <v>0</v>
      </c>
      <c r="L67" s="8">
        <v>0</v>
      </c>
      <c r="M67" s="8"/>
      <c r="N67" s="14">
        <v>1015</v>
      </c>
      <c r="O67" s="8"/>
      <c r="P67" s="8"/>
      <c r="Q67" s="8"/>
      <c r="R67" s="8"/>
      <c r="S67" s="8"/>
      <c r="T67" s="8">
        <v>0</v>
      </c>
      <c r="U67" s="8">
        <v>0</v>
      </c>
      <c r="V67" s="8">
        <v>1</v>
      </c>
      <c r="W67" s="8"/>
      <c r="X67" s="8"/>
      <c r="Y67" s="8"/>
      <c r="Z67" s="8">
        <v>0</v>
      </c>
      <c r="AA67" s="8"/>
      <c r="AB67" s="8">
        <v>0</v>
      </c>
      <c r="AC67" s="8"/>
      <c r="AD67" s="8">
        <v>0</v>
      </c>
      <c r="AE67" s="8"/>
      <c r="AF67" s="8"/>
      <c r="AG67" s="8"/>
      <c r="AH67" s="11"/>
      <c r="AI67" s="8"/>
      <c r="AJ67" s="11"/>
      <c r="AK67" s="8"/>
      <c r="AL67" s="12" t="s">
        <v>9</v>
      </c>
      <c r="AM67" s="14" t="s">
        <v>388</v>
      </c>
      <c r="AN67" s="14" t="s">
        <v>30</v>
      </c>
    </row>
    <row r="68" spans="1:40" ht="15" customHeight="1" x14ac:dyDescent="0.15">
      <c r="A68" s="10">
        <v>10103</v>
      </c>
      <c r="B68" s="10">
        <v>10101</v>
      </c>
      <c r="C68" s="8">
        <v>1</v>
      </c>
      <c r="D68" s="12">
        <v>1</v>
      </c>
      <c r="E68" s="8">
        <v>0</v>
      </c>
      <c r="F68" s="8">
        <v>0</v>
      </c>
      <c r="G68" s="8">
        <v>1</v>
      </c>
      <c r="H68" s="8" t="str">
        <f t="shared" si="8"/>
        <v>转折之战</v>
      </c>
      <c r="I68" s="8">
        <v>0</v>
      </c>
      <c r="J68" s="8">
        <v>0</v>
      </c>
      <c r="K68" s="8">
        <v>0</v>
      </c>
      <c r="L68" s="8">
        <v>0</v>
      </c>
      <c r="M68" s="10">
        <v>10102</v>
      </c>
      <c r="N68" s="14">
        <v>1016</v>
      </c>
      <c r="O68" s="8"/>
      <c r="P68" s="8"/>
      <c r="Q68" s="8"/>
      <c r="R68" s="8"/>
      <c r="S68" s="8"/>
      <c r="T68" s="8">
        <v>0</v>
      </c>
      <c r="U68" s="8">
        <v>0</v>
      </c>
      <c r="V68" s="8">
        <v>1</v>
      </c>
      <c r="W68" s="8"/>
      <c r="X68" s="8"/>
      <c r="Y68" s="8"/>
      <c r="Z68" s="8">
        <v>0</v>
      </c>
      <c r="AA68" s="8"/>
      <c r="AB68" s="8">
        <v>0</v>
      </c>
      <c r="AC68" s="8"/>
      <c r="AD68" s="8"/>
      <c r="AE68" s="8"/>
      <c r="AF68" s="8"/>
      <c r="AG68" s="8"/>
      <c r="AH68" s="11"/>
      <c r="AI68" s="8"/>
      <c r="AJ68" s="11"/>
      <c r="AK68" s="8"/>
      <c r="AL68" s="12" t="s">
        <v>22</v>
      </c>
      <c r="AM68" s="14" t="s">
        <v>21</v>
      </c>
      <c r="AN68" s="14" t="s">
        <v>31</v>
      </c>
    </row>
    <row r="69" spans="1:40" ht="15" customHeight="1" x14ac:dyDescent="0.15">
      <c r="A69" s="10">
        <v>10104</v>
      </c>
      <c r="B69" s="10">
        <v>10101</v>
      </c>
      <c r="C69" s="8">
        <v>1</v>
      </c>
      <c r="D69" s="12">
        <v>1</v>
      </c>
      <c r="E69" s="8">
        <v>0</v>
      </c>
      <c r="F69" s="8">
        <v>0</v>
      </c>
      <c r="G69" s="8">
        <v>1</v>
      </c>
      <c r="H69" s="8" t="str">
        <f t="shared" si="8"/>
        <v>再次入侵</v>
      </c>
      <c r="I69" s="8">
        <v>0</v>
      </c>
      <c r="J69" s="8">
        <v>0</v>
      </c>
      <c r="K69" s="8">
        <v>0</v>
      </c>
      <c r="L69" s="8">
        <v>0</v>
      </c>
      <c r="M69" s="10">
        <v>10103</v>
      </c>
      <c r="N69" s="14">
        <v>1017</v>
      </c>
      <c r="O69" s="19"/>
      <c r="P69" s="19"/>
      <c r="Q69" s="19"/>
      <c r="R69" s="19"/>
      <c r="S69" s="19"/>
      <c r="T69" s="8">
        <v>0</v>
      </c>
      <c r="U69" s="8">
        <v>0</v>
      </c>
      <c r="V69" s="8">
        <v>1</v>
      </c>
      <c r="W69" s="19"/>
      <c r="X69" s="19"/>
      <c r="Y69" s="19"/>
      <c r="Z69" s="8">
        <v>0</v>
      </c>
      <c r="AA69" s="19"/>
      <c r="AB69" s="8">
        <v>0</v>
      </c>
      <c r="AC69" s="8"/>
      <c r="AD69" s="8"/>
      <c r="AE69" s="8"/>
      <c r="AF69" s="8"/>
      <c r="AG69" s="8"/>
      <c r="AH69" s="11"/>
      <c r="AI69" s="8"/>
      <c r="AJ69" s="11"/>
      <c r="AK69" s="8"/>
      <c r="AL69" s="12" t="s">
        <v>390</v>
      </c>
      <c r="AM69" s="27" t="s">
        <v>386</v>
      </c>
      <c r="AN69" s="14" t="s">
        <v>384</v>
      </c>
    </row>
    <row r="70" spans="1:40" ht="29.25" customHeight="1" x14ac:dyDescent="0.15">
      <c r="A70" s="10">
        <v>10105</v>
      </c>
      <c r="B70" s="10">
        <v>10101</v>
      </c>
      <c r="C70" s="8">
        <v>1</v>
      </c>
      <c r="D70" s="12">
        <v>1</v>
      </c>
      <c r="E70" s="8">
        <v>0</v>
      </c>
      <c r="F70" s="8">
        <v>0</v>
      </c>
      <c r="G70" s="8">
        <v>1</v>
      </c>
      <c r="H70" s="8" t="str">
        <f t="shared" si="8"/>
        <v>议和</v>
      </c>
      <c r="I70" s="8">
        <v>0</v>
      </c>
      <c r="J70" s="8">
        <v>0</v>
      </c>
      <c r="K70" s="8">
        <v>0</v>
      </c>
      <c r="L70" s="8">
        <v>1</v>
      </c>
      <c r="M70" s="10">
        <v>10104</v>
      </c>
      <c r="N70" s="14">
        <v>35</v>
      </c>
      <c r="O70" s="8"/>
      <c r="P70" s="8"/>
      <c r="Q70" s="8"/>
      <c r="R70" s="8"/>
      <c r="S70" s="8"/>
      <c r="T70" s="8">
        <v>0</v>
      </c>
      <c r="U70" s="8">
        <v>0</v>
      </c>
      <c r="V70" s="8">
        <v>0</v>
      </c>
      <c r="W70" s="8"/>
      <c r="X70" s="8"/>
      <c r="Y70" s="8"/>
      <c r="Z70" s="8">
        <v>0</v>
      </c>
      <c r="AA70" s="8"/>
      <c r="AB70" s="8">
        <v>0</v>
      </c>
      <c r="AC70" s="8"/>
      <c r="AD70" s="8"/>
      <c r="AE70" s="8"/>
      <c r="AF70" s="8"/>
      <c r="AG70" s="8"/>
      <c r="AH70" s="11"/>
      <c r="AI70" s="8"/>
      <c r="AJ70" s="11"/>
      <c r="AK70" s="8"/>
      <c r="AL70" s="12" t="s">
        <v>389</v>
      </c>
      <c r="AM70" s="27" t="s">
        <v>385</v>
      </c>
      <c r="AN70" s="14"/>
    </row>
    <row r="71" spans="1:40" ht="15" customHeight="1" x14ac:dyDescent="0.15">
      <c r="A71" s="10">
        <v>10106</v>
      </c>
      <c r="B71" s="10">
        <v>10101</v>
      </c>
      <c r="C71" s="8">
        <v>1</v>
      </c>
      <c r="D71" s="12">
        <v>1</v>
      </c>
      <c r="E71" s="8">
        <v>0</v>
      </c>
      <c r="F71" s="8">
        <v>0</v>
      </c>
      <c r="G71" s="8">
        <v>1</v>
      </c>
      <c r="H71" s="8" t="str">
        <f t="shared" si="8"/>
        <v>先头部队</v>
      </c>
      <c r="I71" s="8">
        <v>0</v>
      </c>
      <c r="J71" s="8">
        <v>1</v>
      </c>
      <c r="K71" s="8">
        <v>0</v>
      </c>
      <c r="L71" s="8">
        <v>0</v>
      </c>
      <c r="M71" s="10">
        <v>10105</v>
      </c>
      <c r="N71" s="14">
        <v>1067</v>
      </c>
      <c r="O71" s="8"/>
      <c r="P71" s="8"/>
      <c r="Q71" s="21"/>
      <c r="R71" s="21"/>
      <c r="S71" s="21"/>
      <c r="T71" s="8">
        <v>0</v>
      </c>
      <c r="U71" s="8">
        <v>0</v>
      </c>
      <c r="V71" s="8">
        <v>1</v>
      </c>
      <c r="W71" s="21"/>
      <c r="X71" s="21"/>
      <c r="Y71" s="21"/>
      <c r="Z71" s="8">
        <v>0</v>
      </c>
      <c r="AA71" s="21"/>
      <c r="AB71" s="8"/>
      <c r="AC71" s="8"/>
      <c r="AD71" s="8"/>
      <c r="AE71" s="8"/>
      <c r="AF71" s="8"/>
      <c r="AG71" s="8"/>
      <c r="AH71" s="11"/>
      <c r="AI71" s="8"/>
      <c r="AJ71" s="22"/>
      <c r="AK71" s="8"/>
      <c r="AL71" s="12" t="s">
        <v>98</v>
      </c>
      <c r="AM71" s="14" t="s">
        <v>99</v>
      </c>
      <c r="AN71" s="28" t="s">
        <v>97</v>
      </c>
    </row>
    <row r="72" spans="1:40" ht="15" customHeight="1" x14ac:dyDescent="0.15">
      <c r="A72" s="10">
        <v>10107</v>
      </c>
      <c r="B72" s="10">
        <v>10101</v>
      </c>
      <c r="C72" s="8">
        <v>1</v>
      </c>
      <c r="D72" s="12">
        <v>1</v>
      </c>
      <c r="E72" s="8">
        <v>0</v>
      </c>
      <c r="F72" s="8">
        <v>0</v>
      </c>
      <c r="G72" s="8">
        <v>1</v>
      </c>
      <c r="H72" s="8" t="str">
        <f t="shared" si="8"/>
        <v>第一波：被控制的怪物潮</v>
      </c>
      <c r="I72" s="8">
        <v>0</v>
      </c>
      <c r="J72" s="8">
        <v>1</v>
      </c>
      <c r="K72" s="8">
        <v>0</v>
      </c>
      <c r="L72" s="8">
        <v>0</v>
      </c>
      <c r="M72" s="10">
        <v>10106</v>
      </c>
      <c r="N72" s="14">
        <v>1054</v>
      </c>
      <c r="O72" s="8"/>
      <c r="P72" s="8"/>
      <c r="Q72" s="8"/>
      <c r="R72" s="8"/>
      <c r="S72" s="8"/>
      <c r="T72" s="8">
        <v>1</v>
      </c>
      <c r="U72" s="8">
        <v>0</v>
      </c>
      <c r="V72" s="8">
        <v>1</v>
      </c>
      <c r="W72" s="8"/>
      <c r="X72" s="8"/>
      <c r="Y72" s="8"/>
      <c r="Z72" s="8">
        <v>0</v>
      </c>
      <c r="AA72" s="8"/>
      <c r="AB72" s="8"/>
      <c r="AC72" s="8"/>
      <c r="AD72" s="8"/>
      <c r="AE72" s="8"/>
      <c r="AF72" s="8"/>
      <c r="AG72" s="8"/>
      <c r="AH72" s="11"/>
      <c r="AI72" s="8"/>
      <c r="AJ72" s="11"/>
      <c r="AK72" s="8"/>
      <c r="AL72" s="12" t="s">
        <v>96</v>
      </c>
      <c r="AM72" s="14" t="s">
        <v>40</v>
      </c>
      <c r="AN72" s="14" t="s">
        <v>44</v>
      </c>
    </row>
    <row r="73" spans="1:40" ht="15" customHeight="1" x14ac:dyDescent="0.15">
      <c r="A73" s="10">
        <v>10108</v>
      </c>
      <c r="B73" s="10">
        <v>10101</v>
      </c>
      <c r="C73" s="8">
        <v>1</v>
      </c>
      <c r="D73" s="12">
        <v>1</v>
      </c>
      <c r="E73" s="8">
        <v>0</v>
      </c>
      <c r="F73" s="8">
        <v>0</v>
      </c>
      <c r="G73" s="8">
        <v>1</v>
      </c>
      <c r="H73" s="8" t="str">
        <f t="shared" si="8"/>
        <v>第二波：泰坦军团</v>
      </c>
      <c r="I73" s="8">
        <v>0</v>
      </c>
      <c r="J73" s="8">
        <v>1</v>
      </c>
      <c r="K73" s="8">
        <v>0</v>
      </c>
      <c r="L73" s="8">
        <v>0</v>
      </c>
      <c r="M73" s="10">
        <v>10107</v>
      </c>
      <c r="N73" s="14">
        <v>1055</v>
      </c>
      <c r="O73" s="8"/>
      <c r="P73" s="8"/>
      <c r="Q73" s="8"/>
      <c r="R73" s="8"/>
      <c r="S73" s="8"/>
      <c r="T73" s="8">
        <v>0</v>
      </c>
      <c r="U73" s="8">
        <v>0</v>
      </c>
      <c r="V73" s="8">
        <v>1</v>
      </c>
      <c r="W73" s="8"/>
      <c r="X73" s="8"/>
      <c r="Y73" s="8"/>
      <c r="Z73" s="8">
        <v>0</v>
      </c>
      <c r="AA73" s="8"/>
      <c r="AB73" s="8"/>
      <c r="AC73" s="8"/>
      <c r="AD73" s="8"/>
      <c r="AE73" s="8"/>
      <c r="AF73" s="8"/>
      <c r="AG73" s="8"/>
      <c r="AH73" s="11"/>
      <c r="AI73" s="8"/>
      <c r="AJ73" s="11"/>
      <c r="AK73" s="8"/>
      <c r="AL73" s="12" t="s">
        <v>95</v>
      </c>
      <c r="AM73" s="14" t="s">
        <v>41</v>
      </c>
      <c r="AN73" s="14" t="s">
        <v>45</v>
      </c>
    </row>
    <row r="74" spans="1:40" ht="15" customHeight="1" x14ac:dyDescent="0.15">
      <c r="A74" s="10">
        <v>10109</v>
      </c>
      <c r="B74" s="10">
        <v>10101</v>
      </c>
      <c r="C74" s="8">
        <v>1</v>
      </c>
      <c r="D74" s="12">
        <v>1</v>
      </c>
      <c r="E74" s="8">
        <v>0</v>
      </c>
      <c r="F74" s="8">
        <v>0</v>
      </c>
      <c r="G74" s="8">
        <v>1</v>
      </c>
      <c r="H74" s="8" t="str">
        <f t="shared" si="8"/>
        <v>第三波：法师军团</v>
      </c>
      <c r="I74" s="8">
        <v>0</v>
      </c>
      <c r="J74" s="8">
        <v>1</v>
      </c>
      <c r="K74" s="8">
        <v>0</v>
      </c>
      <c r="L74" s="8">
        <v>0</v>
      </c>
      <c r="M74" s="10">
        <v>10108</v>
      </c>
      <c r="N74" s="14">
        <v>1056</v>
      </c>
      <c r="O74" s="8"/>
      <c r="P74" s="8"/>
      <c r="Q74" s="8"/>
      <c r="R74" s="8"/>
      <c r="S74" s="8"/>
      <c r="T74" s="8">
        <v>0</v>
      </c>
      <c r="U74" s="8">
        <v>0</v>
      </c>
      <c r="V74" s="8">
        <v>1</v>
      </c>
      <c r="W74" s="8"/>
      <c r="X74" s="8"/>
      <c r="Y74" s="8"/>
      <c r="Z74" s="8">
        <v>0</v>
      </c>
      <c r="AA74" s="8"/>
      <c r="AB74" s="8"/>
      <c r="AC74" s="8"/>
      <c r="AD74" s="8"/>
      <c r="AE74" s="8"/>
      <c r="AF74" s="8"/>
      <c r="AG74" s="8"/>
      <c r="AH74" s="11"/>
      <c r="AI74" s="8"/>
      <c r="AJ74" s="11"/>
      <c r="AK74" s="8"/>
      <c r="AL74" s="12" t="s">
        <v>94</v>
      </c>
      <c r="AM74" s="14" t="s">
        <v>42</v>
      </c>
      <c r="AN74" s="14" t="s">
        <v>46</v>
      </c>
    </row>
    <row r="75" spans="1:40" ht="15" customHeight="1" x14ac:dyDescent="0.15">
      <c r="A75" s="10">
        <v>10110</v>
      </c>
      <c r="B75" s="10">
        <v>10101</v>
      </c>
      <c r="C75" s="8">
        <v>1</v>
      </c>
      <c r="D75" s="12">
        <v>1</v>
      </c>
      <c r="E75" s="8">
        <v>0</v>
      </c>
      <c r="F75" s="8">
        <v>0</v>
      </c>
      <c r="G75" s="8">
        <v>1</v>
      </c>
      <c r="H75" s="8" t="str">
        <f t="shared" si="8"/>
        <v>第四波：野蛮人与强盗联军</v>
      </c>
      <c r="I75" s="8">
        <v>0</v>
      </c>
      <c r="J75" s="8">
        <v>1</v>
      </c>
      <c r="K75" s="8">
        <v>0</v>
      </c>
      <c r="L75" s="8">
        <v>0</v>
      </c>
      <c r="M75" s="10">
        <v>10109</v>
      </c>
      <c r="N75" s="14">
        <v>1057</v>
      </c>
      <c r="O75" s="8"/>
      <c r="P75" s="8"/>
      <c r="Q75" s="8"/>
      <c r="R75" s="8"/>
      <c r="S75" s="8"/>
      <c r="T75" s="8">
        <v>0</v>
      </c>
      <c r="U75" s="8">
        <v>1</v>
      </c>
      <c r="V75" s="8">
        <v>1</v>
      </c>
      <c r="W75" s="8"/>
      <c r="X75" s="8"/>
      <c r="Y75" s="8"/>
      <c r="Z75" s="8">
        <v>0</v>
      </c>
      <c r="AA75" s="8"/>
      <c r="AB75" s="8"/>
      <c r="AC75" s="8"/>
      <c r="AD75" s="8"/>
      <c r="AE75" s="8"/>
      <c r="AF75" s="8"/>
      <c r="AG75" s="8"/>
      <c r="AH75" s="11"/>
      <c r="AI75" s="8"/>
      <c r="AJ75" s="11"/>
      <c r="AK75" s="8"/>
      <c r="AL75" s="12" t="s">
        <v>93</v>
      </c>
      <c r="AM75" s="14" t="s">
        <v>43</v>
      </c>
      <c r="AN75" s="14" t="s">
        <v>47</v>
      </c>
    </row>
    <row r="76" spans="1:40" ht="15" customHeight="1" x14ac:dyDescent="0.15">
      <c r="A76" s="10">
        <v>10111</v>
      </c>
      <c r="B76" s="10">
        <v>10101</v>
      </c>
      <c r="C76" s="8">
        <v>1</v>
      </c>
      <c r="D76" s="12">
        <v>1</v>
      </c>
      <c r="E76" s="8">
        <v>0</v>
      </c>
      <c r="F76" s="8">
        <v>0</v>
      </c>
      <c r="G76" s="8">
        <v>1</v>
      </c>
      <c r="H76" s="8" t="str">
        <f t="shared" si="8"/>
        <v>第五波：无敌舰队来犯</v>
      </c>
      <c r="I76" s="8">
        <v>0</v>
      </c>
      <c r="J76" s="8">
        <v>1</v>
      </c>
      <c r="K76" s="8">
        <v>0</v>
      </c>
      <c r="L76" s="8">
        <v>0</v>
      </c>
      <c r="M76" s="10">
        <v>10110</v>
      </c>
      <c r="N76" s="14">
        <v>1053</v>
      </c>
      <c r="O76" s="8"/>
      <c r="P76" s="8"/>
      <c r="Q76" s="21"/>
      <c r="R76" s="21"/>
      <c r="S76" s="21"/>
      <c r="T76" s="8">
        <v>0</v>
      </c>
      <c r="U76" s="8">
        <v>0</v>
      </c>
      <c r="V76" s="8">
        <v>1</v>
      </c>
      <c r="W76" s="21"/>
      <c r="X76" s="21"/>
      <c r="Y76" s="21"/>
      <c r="Z76" s="8">
        <v>0</v>
      </c>
      <c r="AA76" s="21"/>
      <c r="AB76" s="21"/>
      <c r="AC76" s="9"/>
      <c r="AD76" s="8"/>
      <c r="AE76" s="8"/>
      <c r="AF76" s="8"/>
      <c r="AG76" s="21"/>
      <c r="AH76" s="22"/>
      <c r="AI76" s="8"/>
      <c r="AJ76" s="22"/>
      <c r="AK76" s="8"/>
      <c r="AL76" s="12" t="s">
        <v>92</v>
      </c>
      <c r="AM76" s="14" t="s">
        <v>39</v>
      </c>
      <c r="AN76" s="14" t="s">
        <v>48</v>
      </c>
    </row>
    <row r="77" spans="1:40" ht="57" customHeight="1" x14ac:dyDescent="0.15">
      <c r="A77" s="20">
        <v>102001</v>
      </c>
      <c r="B77" s="20">
        <v>0</v>
      </c>
      <c r="C77" s="8">
        <v>0</v>
      </c>
      <c r="D77" s="12">
        <v>1</v>
      </c>
      <c r="E77" s="8">
        <v>1</v>
      </c>
      <c r="F77" s="8">
        <v>0</v>
      </c>
      <c r="G77" s="8">
        <v>1</v>
      </c>
      <c r="H77" s="8" t="str">
        <f t="shared" si="8"/>
        <v>政变</v>
      </c>
      <c r="I77" s="8">
        <v>0</v>
      </c>
      <c r="J77" s="8">
        <v>0</v>
      </c>
      <c r="K77" s="8">
        <v>0</v>
      </c>
      <c r="L77" s="8">
        <v>0</v>
      </c>
      <c r="M77" s="8"/>
      <c r="N77" s="14">
        <v>1058</v>
      </c>
      <c r="O77" s="8"/>
      <c r="P77" s="8"/>
      <c r="Q77" s="8"/>
      <c r="R77" s="8"/>
      <c r="S77" s="8"/>
      <c r="T77" s="8">
        <v>0</v>
      </c>
      <c r="U77" s="8">
        <v>0</v>
      </c>
      <c r="V77" s="8">
        <v>0</v>
      </c>
      <c r="W77" s="8"/>
      <c r="X77" s="8"/>
      <c r="Y77" s="8"/>
      <c r="Z77" s="8">
        <v>0</v>
      </c>
      <c r="AA77" s="8"/>
      <c r="AB77" s="8"/>
      <c r="AC77" s="8"/>
      <c r="AD77" s="8"/>
      <c r="AE77" s="8"/>
      <c r="AF77" s="8"/>
      <c r="AG77" s="8"/>
      <c r="AH77" s="11"/>
      <c r="AI77" s="8"/>
      <c r="AJ77" s="11"/>
      <c r="AK77" s="8"/>
      <c r="AL77" s="12" t="s">
        <v>387</v>
      </c>
      <c r="AM77" s="27" t="s">
        <v>392</v>
      </c>
      <c r="AN77" s="14"/>
    </row>
    <row r="78" spans="1:40" ht="33" customHeight="1" x14ac:dyDescent="0.15">
      <c r="A78" s="20">
        <v>10200101</v>
      </c>
      <c r="B78" s="20">
        <v>102001</v>
      </c>
      <c r="C78" s="8">
        <v>16</v>
      </c>
      <c r="D78" s="12">
        <v>1</v>
      </c>
      <c r="E78" s="8">
        <v>1</v>
      </c>
      <c r="F78" s="8">
        <v>0</v>
      </c>
      <c r="G78" s="8">
        <v>1</v>
      </c>
      <c r="H78" s="8" t="str">
        <f t="shared" si="8"/>
        <v>讨伐平王</v>
      </c>
      <c r="I78" s="8">
        <v>0</v>
      </c>
      <c r="J78" s="8">
        <v>0</v>
      </c>
      <c r="K78" s="8">
        <v>0</v>
      </c>
      <c r="L78" s="8">
        <v>0</v>
      </c>
      <c r="M78" s="8"/>
      <c r="N78" s="8"/>
      <c r="O78" s="8"/>
      <c r="P78" s="8"/>
      <c r="Q78" s="8"/>
      <c r="R78" s="8"/>
      <c r="S78" s="8"/>
      <c r="T78" s="8">
        <v>0</v>
      </c>
      <c r="U78" s="8">
        <v>0</v>
      </c>
      <c r="V78" s="8">
        <v>0</v>
      </c>
      <c r="W78" s="8"/>
      <c r="X78" s="8"/>
      <c r="Y78" s="8"/>
      <c r="Z78" s="8">
        <v>0</v>
      </c>
      <c r="AA78" s="8"/>
      <c r="AB78" s="8">
        <v>101</v>
      </c>
      <c r="AC78" s="8" t="s">
        <v>65</v>
      </c>
      <c r="AD78" s="8"/>
      <c r="AE78" s="8"/>
      <c r="AF78" s="8"/>
      <c r="AG78" s="8"/>
      <c r="AH78" s="11"/>
      <c r="AI78" s="8"/>
      <c r="AJ78" s="11"/>
      <c r="AK78" s="8"/>
      <c r="AL78" s="8" t="s">
        <v>391</v>
      </c>
      <c r="AM78" s="27" t="s">
        <v>393</v>
      </c>
      <c r="AN78" s="14" t="s">
        <v>72</v>
      </c>
    </row>
    <row r="79" spans="1:40" ht="15" customHeight="1" x14ac:dyDescent="0.15">
      <c r="A79" s="20">
        <v>102002</v>
      </c>
      <c r="B79" s="20">
        <v>0</v>
      </c>
      <c r="C79" s="8">
        <v>0</v>
      </c>
      <c r="D79" s="12">
        <v>1</v>
      </c>
      <c r="E79" s="8">
        <v>1</v>
      </c>
      <c r="F79" s="8">
        <v>0</v>
      </c>
      <c r="G79" s="8">
        <v>1</v>
      </c>
      <c r="H79" s="8" t="str">
        <f t="shared" si="8"/>
        <v>登基为王</v>
      </c>
      <c r="I79" s="8">
        <v>0</v>
      </c>
      <c r="J79" s="8">
        <v>0</v>
      </c>
      <c r="K79" s="8">
        <v>0</v>
      </c>
      <c r="L79" s="8">
        <v>0</v>
      </c>
      <c r="M79" s="8"/>
      <c r="N79" s="8"/>
      <c r="O79" s="8"/>
      <c r="P79" s="8"/>
      <c r="Q79" s="8"/>
      <c r="R79" s="8"/>
      <c r="S79" s="8"/>
      <c r="T79" s="8">
        <v>0</v>
      </c>
      <c r="U79" s="8">
        <v>0</v>
      </c>
      <c r="V79" s="8">
        <v>0</v>
      </c>
      <c r="W79" s="8"/>
      <c r="X79" s="8"/>
      <c r="Y79" s="8"/>
      <c r="Z79" s="8">
        <v>0</v>
      </c>
      <c r="AA79" s="8"/>
      <c r="AB79" s="8"/>
      <c r="AC79" s="8"/>
      <c r="AD79" s="8"/>
      <c r="AE79" s="8"/>
      <c r="AF79" s="8"/>
      <c r="AG79" s="8"/>
      <c r="AH79" s="11"/>
      <c r="AI79" s="8"/>
      <c r="AJ79" s="11"/>
      <c r="AK79" s="8"/>
      <c r="AL79" s="8" t="s">
        <v>49</v>
      </c>
      <c r="AM79" s="14" t="s">
        <v>50</v>
      </c>
      <c r="AN79" s="14"/>
    </row>
    <row r="80" spans="1:40" ht="15" customHeight="1" x14ac:dyDescent="0.15">
      <c r="A80" s="20">
        <v>10200201</v>
      </c>
      <c r="B80" s="20">
        <v>102002</v>
      </c>
      <c r="C80" s="8">
        <v>16</v>
      </c>
      <c r="D80" s="12">
        <v>1</v>
      </c>
      <c r="E80" s="8">
        <v>1</v>
      </c>
      <c r="F80" s="8">
        <v>0</v>
      </c>
      <c r="G80" s="8">
        <v>1</v>
      </c>
      <c r="H80" s="8" t="str">
        <f t="shared" si="8"/>
        <v>征服宣王</v>
      </c>
      <c r="I80" s="8">
        <v>0</v>
      </c>
      <c r="J80" s="8">
        <v>0</v>
      </c>
      <c r="K80" s="8">
        <v>0</v>
      </c>
      <c r="L80" s="8">
        <v>0</v>
      </c>
      <c r="M80" s="8"/>
      <c r="N80" s="8"/>
      <c r="O80" s="8"/>
      <c r="P80" s="8"/>
      <c r="Q80" s="8"/>
      <c r="R80" s="8"/>
      <c r="S80" s="8"/>
      <c r="T80" s="8">
        <v>0</v>
      </c>
      <c r="U80" s="8">
        <v>0</v>
      </c>
      <c r="V80" s="8">
        <v>0</v>
      </c>
      <c r="W80" s="8"/>
      <c r="X80" s="8"/>
      <c r="Y80" s="8"/>
      <c r="Z80" s="8">
        <v>0</v>
      </c>
      <c r="AA80" s="8"/>
      <c r="AB80" s="8">
        <v>102</v>
      </c>
      <c r="AC80" s="8" t="s">
        <v>66</v>
      </c>
      <c r="AD80" s="8"/>
      <c r="AE80" s="8"/>
      <c r="AF80" s="8"/>
      <c r="AG80" s="8"/>
      <c r="AH80" s="11"/>
      <c r="AI80" s="8"/>
      <c r="AJ80" s="11"/>
      <c r="AK80" s="8"/>
      <c r="AL80" s="8" t="s">
        <v>51</v>
      </c>
      <c r="AM80" s="14" t="s">
        <v>57</v>
      </c>
      <c r="AN80" s="14" t="s">
        <v>59</v>
      </c>
    </row>
    <row r="81" spans="1:40" ht="15" customHeight="1" x14ac:dyDescent="0.15">
      <c r="A81" s="20">
        <v>10200202</v>
      </c>
      <c r="B81" s="20">
        <v>102002</v>
      </c>
      <c r="C81" s="8">
        <v>17</v>
      </c>
      <c r="D81" s="12">
        <v>1</v>
      </c>
      <c r="E81" s="8">
        <v>1</v>
      </c>
      <c r="F81" s="8">
        <v>0</v>
      </c>
      <c r="G81" s="8">
        <v>1</v>
      </c>
      <c r="H81" s="8" t="str">
        <f t="shared" si="8"/>
        <v>征服北王，或赢得他的支持</v>
      </c>
      <c r="I81" s="8">
        <v>0</v>
      </c>
      <c r="J81" s="8">
        <v>0</v>
      </c>
      <c r="K81" s="8">
        <v>0</v>
      </c>
      <c r="L81" s="8">
        <v>0</v>
      </c>
      <c r="M81" s="8"/>
      <c r="N81" s="8"/>
      <c r="O81" s="8"/>
      <c r="P81" s="8"/>
      <c r="Q81" s="8"/>
      <c r="R81" s="8"/>
      <c r="S81" s="8"/>
      <c r="T81" s="8">
        <v>0</v>
      </c>
      <c r="U81" s="8">
        <v>0</v>
      </c>
      <c r="V81" s="8">
        <v>0</v>
      </c>
      <c r="W81" s="8"/>
      <c r="X81" s="8"/>
      <c r="Y81" s="8"/>
      <c r="Z81" s="8">
        <v>0</v>
      </c>
      <c r="AA81" s="8"/>
      <c r="AB81" s="8">
        <v>103</v>
      </c>
      <c r="AC81" s="8" t="s">
        <v>67</v>
      </c>
      <c r="AD81" s="8"/>
      <c r="AE81" s="8"/>
      <c r="AF81" s="8"/>
      <c r="AG81" s="8"/>
      <c r="AH81" s="11"/>
      <c r="AI81" s="8"/>
      <c r="AJ81" s="11"/>
      <c r="AK81" s="8"/>
      <c r="AL81" s="8" t="s">
        <v>52</v>
      </c>
      <c r="AM81" s="14" t="s">
        <v>58</v>
      </c>
      <c r="AN81" s="14" t="s">
        <v>60</v>
      </c>
    </row>
    <row r="82" spans="1:40" ht="15" customHeight="1" x14ac:dyDescent="0.15">
      <c r="A82" s="20">
        <v>10200203</v>
      </c>
      <c r="B82" s="20">
        <v>102002</v>
      </c>
      <c r="C82" s="8">
        <v>17</v>
      </c>
      <c r="D82" s="12">
        <v>1</v>
      </c>
      <c r="E82" s="8">
        <v>1</v>
      </c>
      <c r="F82" s="8">
        <v>0</v>
      </c>
      <c r="G82" s="8">
        <v>1</v>
      </c>
      <c r="H82" s="8" t="str">
        <f t="shared" si="8"/>
        <v>征服逍遥王，或赢得他的支持</v>
      </c>
      <c r="I82" s="8">
        <v>0</v>
      </c>
      <c r="J82" s="8">
        <v>0</v>
      </c>
      <c r="K82" s="8">
        <v>0</v>
      </c>
      <c r="L82" s="8">
        <v>0</v>
      </c>
      <c r="M82" s="8"/>
      <c r="N82" s="8"/>
      <c r="O82" s="8"/>
      <c r="P82" s="8"/>
      <c r="Q82" s="8"/>
      <c r="R82" s="8"/>
      <c r="S82" s="8"/>
      <c r="T82" s="8">
        <v>0</v>
      </c>
      <c r="U82" s="8">
        <v>0</v>
      </c>
      <c r="V82" s="8">
        <v>0</v>
      </c>
      <c r="W82" s="8"/>
      <c r="X82" s="8"/>
      <c r="Y82" s="8"/>
      <c r="Z82" s="8">
        <v>0</v>
      </c>
      <c r="AA82" s="8"/>
      <c r="AB82" s="8">
        <v>104</v>
      </c>
      <c r="AC82" s="8" t="s">
        <v>68</v>
      </c>
      <c r="AD82" s="8"/>
      <c r="AE82" s="8"/>
      <c r="AF82" s="8"/>
      <c r="AG82" s="8"/>
      <c r="AH82" s="11"/>
      <c r="AI82" s="8"/>
      <c r="AJ82" s="11"/>
      <c r="AK82" s="8"/>
      <c r="AL82" s="8" t="s">
        <v>53</v>
      </c>
      <c r="AM82" s="14" t="s">
        <v>58</v>
      </c>
      <c r="AN82" s="14" t="s">
        <v>60</v>
      </c>
    </row>
    <row r="83" spans="1:40" ht="15" customHeight="1" x14ac:dyDescent="0.15">
      <c r="A83" s="20">
        <v>10200204</v>
      </c>
      <c r="B83" s="20">
        <v>102002</v>
      </c>
      <c r="C83" s="8">
        <v>17</v>
      </c>
      <c r="D83" s="12">
        <v>1</v>
      </c>
      <c r="E83" s="8">
        <v>1</v>
      </c>
      <c r="F83" s="8">
        <v>0</v>
      </c>
      <c r="G83" s="8">
        <v>1</v>
      </c>
      <c r="H83" s="8" t="str">
        <f t="shared" si="8"/>
        <v>征服南洋王，或赢得他的支持</v>
      </c>
      <c r="I83" s="8">
        <v>0</v>
      </c>
      <c r="J83" s="8">
        <v>0</v>
      </c>
      <c r="K83" s="8">
        <v>0</v>
      </c>
      <c r="L83" s="8">
        <v>0</v>
      </c>
      <c r="M83" s="8"/>
      <c r="N83" s="8"/>
      <c r="O83" s="8"/>
      <c r="P83" s="8"/>
      <c r="Q83" s="8"/>
      <c r="R83" s="8"/>
      <c r="S83" s="8"/>
      <c r="T83" s="8">
        <v>0</v>
      </c>
      <c r="U83" s="8">
        <v>0</v>
      </c>
      <c r="V83" s="8">
        <v>0</v>
      </c>
      <c r="W83" s="8"/>
      <c r="X83" s="8"/>
      <c r="Y83" s="8"/>
      <c r="Z83" s="8">
        <v>0</v>
      </c>
      <c r="AA83" s="8"/>
      <c r="AB83" s="8">
        <v>105</v>
      </c>
      <c r="AC83" s="8" t="s">
        <v>69</v>
      </c>
      <c r="AD83" s="8"/>
      <c r="AE83" s="8"/>
      <c r="AF83" s="8"/>
      <c r="AG83" s="8"/>
      <c r="AH83" s="11"/>
      <c r="AI83" s="8"/>
      <c r="AJ83" s="11"/>
      <c r="AK83" s="8"/>
      <c r="AL83" s="8" t="s">
        <v>54</v>
      </c>
      <c r="AM83" s="14" t="s">
        <v>58</v>
      </c>
      <c r="AN83" s="14" t="s">
        <v>60</v>
      </c>
    </row>
    <row r="84" spans="1:40" ht="15" customHeight="1" x14ac:dyDescent="0.15">
      <c r="A84" s="20">
        <v>10200205</v>
      </c>
      <c r="B84" s="20">
        <v>102002</v>
      </c>
      <c r="C84" s="8">
        <v>17</v>
      </c>
      <c r="D84" s="12">
        <v>1</v>
      </c>
      <c r="E84" s="8">
        <v>1</v>
      </c>
      <c r="F84" s="8">
        <v>0</v>
      </c>
      <c r="G84" s="8">
        <v>1</v>
      </c>
      <c r="H84" s="8" t="str">
        <f t="shared" si="8"/>
        <v>征服西洋王，或赢得他的支持</v>
      </c>
      <c r="I84" s="8">
        <v>0</v>
      </c>
      <c r="J84" s="8">
        <v>0</v>
      </c>
      <c r="K84" s="8">
        <v>0</v>
      </c>
      <c r="L84" s="8">
        <v>0</v>
      </c>
      <c r="M84" s="8"/>
      <c r="N84" s="8"/>
      <c r="O84" s="8"/>
      <c r="P84" s="8"/>
      <c r="Q84" s="8"/>
      <c r="R84" s="8"/>
      <c r="S84" s="8"/>
      <c r="T84" s="8">
        <v>0</v>
      </c>
      <c r="U84" s="8">
        <v>0</v>
      </c>
      <c r="V84" s="8">
        <v>0</v>
      </c>
      <c r="W84" s="8"/>
      <c r="X84" s="8"/>
      <c r="Y84" s="8"/>
      <c r="Z84" s="8">
        <v>0</v>
      </c>
      <c r="AA84" s="8"/>
      <c r="AB84" s="8">
        <v>106</v>
      </c>
      <c r="AC84" s="8" t="s">
        <v>70</v>
      </c>
      <c r="AD84" s="8"/>
      <c r="AE84" s="8"/>
      <c r="AF84" s="8"/>
      <c r="AG84" s="8"/>
      <c r="AH84" s="11"/>
      <c r="AI84" s="8"/>
      <c r="AJ84" s="11"/>
      <c r="AK84" s="8"/>
      <c r="AL84" s="8" t="s">
        <v>55</v>
      </c>
      <c r="AM84" s="14" t="s">
        <v>58</v>
      </c>
      <c r="AN84" s="14" t="s">
        <v>60</v>
      </c>
    </row>
    <row r="85" spans="1:40" ht="15" customHeight="1" x14ac:dyDescent="0.15">
      <c r="A85" s="20">
        <v>10200206</v>
      </c>
      <c r="B85" s="20">
        <v>102002</v>
      </c>
      <c r="C85" s="8">
        <v>17</v>
      </c>
      <c r="D85" s="12">
        <v>1</v>
      </c>
      <c r="E85" s="8">
        <v>1</v>
      </c>
      <c r="F85" s="8">
        <v>0</v>
      </c>
      <c r="G85" s="8">
        <v>1</v>
      </c>
      <c r="H85" s="8" t="str">
        <f t="shared" si="8"/>
        <v>征服商王，或赢得他的支持</v>
      </c>
      <c r="I85" s="8">
        <v>0</v>
      </c>
      <c r="J85" s="8">
        <v>0</v>
      </c>
      <c r="K85" s="8">
        <v>0</v>
      </c>
      <c r="L85" s="8">
        <v>0</v>
      </c>
      <c r="M85" s="8"/>
      <c r="N85" s="8"/>
      <c r="O85" s="8"/>
      <c r="P85" s="8"/>
      <c r="Q85" s="8"/>
      <c r="R85" s="8"/>
      <c r="S85" s="8"/>
      <c r="T85" s="8">
        <v>0</v>
      </c>
      <c r="U85" s="8">
        <v>0</v>
      </c>
      <c r="V85" s="8">
        <v>0</v>
      </c>
      <c r="W85" s="8"/>
      <c r="X85" s="8"/>
      <c r="Y85" s="8"/>
      <c r="Z85" s="8">
        <v>0</v>
      </c>
      <c r="AA85" s="8"/>
      <c r="AB85" s="8">
        <v>107</v>
      </c>
      <c r="AC85" s="8" t="s">
        <v>71</v>
      </c>
      <c r="AD85" s="8"/>
      <c r="AE85" s="8"/>
      <c r="AF85" s="8"/>
      <c r="AG85" s="8"/>
      <c r="AH85" s="11"/>
      <c r="AI85" s="8"/>
      <c r="AJ85" s="11"/>
      <c r="AK85" s="8"/>
      <c r="AL85" s="8" t="s">
        <v>56</v>
      </c>
      <c r="AM85" s="14" t="s">
        <v>58</v>
      </c>
      <c r="AN85" s="14" t="s">
        <v>60</v>
      </c>
    </row>
    <row r="86" spans="1:40" ht="42" customHeight="1" x14ac:dyDescent="0.15">
      <c r="A86" s="20">
        <v>10201</v>
      </c>
      <c r="B86" s="20">
        <v>0</v>
      </c>
      <c r="C86" s="8">
        <v>1</v>
      </c>
      <c r="D86" s="12">
        <v>1</v>
      </c>
      <c r="E86" s="8">
        <v>1</v>
      </c>
      <c r="F86" s="8">
        <v>0</v>
      </c>
      <c r="G86" s="8">
        <v>1</v>
      </c>
      <c r="H86" s="8" t="str">
        <f>AL86</f>
        <v>加冕登基</v>
      </c>
      <c r="I86" s="8">
        <v>0</v>
      </c>
      <c r="J86" s="8">
        <v>0</v>
      </c>
      <c r="K86" s="8">
        <v>0</v>
      </c>
      <c r="L86" s="8">
        <v>0</v>
      </c>
      <c r="M86" s="9"/>
      <c r="N86" s="8"/>
      <c r="O86" s="8"/>
      <c r="P86" s="8"/>
      <c r="Q86" s="8"/>
      <c r="R86" s="8"/>
      <c r="S86" s="8"/>
      <c r="T86" s="8">
        <v>0</v>
      </c>
      <c r="U86" s="8">
        <v>0</v>
      </c>
      <c r="V86" s="8">
        <v>0</v>
      </c>
      <c r="W86" s="2" t="s">
        <v>395</v>
      </c>
      <c r="X86" s="2" t="s">
        <v>357</v>
      </c>
      <c r="Y86" s="8"/>
      <c r="Z86" s="8">
        <v>0</v>
      </c>
      <c r="AA86" s="8"/>
      <c r="AB86" s="8"/>
      <c r="AC86" s="8"/>
      <c r="AD86" s="8"/>
      <c r="AE86" s="8"/>
      <c r="AF86" s="8"/>
      <c r="AG86" s="8"/>
      <c r="AH86" s="11"/>
      <c r="AI86" s="14" t="s">
        <v>409</v>
      </c>
      <c r="AJ86" s="11"/>
      <c r="AK86" s="8"/>
      <c r="AL86" s="8" t="s">
        <v>394</v>
      </c>
      <c r="AM86" s="27" t="s">
        <v>396</v>
      </c>
      <c r="AN86" s="14"/>
    </row>
    <row r="87" spans="1:40" ht="15" customHeight="1" x14ac:dyDescent="0.15">
      <c r="A87" s="20">
        <v>10202</v>
      </c>
      <c r="B87" s="20">
        <v>10201</v>
      </c>
      <c r="C87" s="8">
        <v>0</v>
      </c>
      <c r="D87" s="12">
        <v>1</v>
      </c>
      <c r="E87" s="8">
        <v>0</v>
      </c>
      <c r="F87" s="8">
        <v>0</v>
      </c>
      <c r="G87" s="8">
        <v>1</v>
      </c>
      <c r="H87" s="8" t="str">
        <f t="shared" si="8"/>
        <v>君临天下</v>
      </c>
      <c r="I87" s="8">
        <v>0</v>
      </c>
      <c r="J87" s="8">
        <v>0</v>
      </c>
      <c r="K87" s="8">
        <v>0</v>
      </c>
      <c r="L87" s="8">
        <v>0</v>
      </c>
      <c r="M87" s="8"/>
      <c r="N87" s="8"/>
      <c r="O87" s="8"/>
      <c r="P87" s="8"/>
      <c r="Q87" s="8"/>
      <c r="R87" s="8"/>
      <c r="S87" s="8"/>
      <c r="T87" s="8">
        <v>0</v>
      </c>
      <c r="U87" s="8">
        <v>0</v>
      </c>
      <c r="V87" s="8">
        <v>0</v>
      </c>
      <c r="W87" s="8"/>
      <c r="X87" s="8"/>
      <c r="Y87" s="8"/>
      <c r="Z87" s="8">
        <v>0</v>
      </c>
      <c r="AA87" s="8"/>
      <c r="AB87" s="8"/>
      <c r="AC87" s="8"/>
      <c r="AD87" s="8"/>
      <c r="AE87" s="8"/>
      <c r="AF87" s="8"/>
      <c r="AG87" s="8"/>
      <c r="AH87" s="11"/>
      <c r="AI87" s="8"/>
      <c r="AJ87" s="11"/>
      <c r="AK87" s="8"/>
      <c r="AL87" s="8" t="s">
        <v>379</v>
      </c>
      <c r="AM87" s="14" t="s">
        <v>380</v>
      </c>
      <c r="AN87" s="14"/>
    </row>
    <row r="88" spans="1:40" ht="15" customHeight="1" x14ac:dyDescent="0.15">
      <c r="A88" s="20">
        <v>10203</v>
      </c>
      <c r="B88" s="20">
        <v>10201</v>
      </c>
      <c r="C88" s="8">
        <v>14</v>
      </c>
      <c r="D88" s="12">
        <v>1</v>
      </c>
      <c r="E88" s="8">
        <v>0</v>
      </c>
      <c r="F88" s="8">
        <v>0</v>
      </c>
      <c r="G88" s="8">
        <v>1</v>
      </c>
      <c r="H88" s="8" t="str">
        <f t="shared" si="8"/>
        <v>乘胜追击，消灭野蛮人</v>
      </c>
      <c r="I88" s="8">
        <v>0</v>
      </c>
      <c r="J88" s="8">
        <v>0</v>
      </c>
      <c r="K88" s="8">
        <v>0</v>
      </c>
      <c r="L88" s="8">
        <v>0</v>
      </c>
      <c r="M88" s="20">
        <v>10202</v>
      </c>
      <c r="N88" s="8"/>
      <c r="O88" s="8"/>
      <c r="P88" s="8"/>
      <c r="Q88" s="8"/>
      <c r="R88" s="8"/>
      <c r="S88" s="8"/>
      <c r="T88" s="8">
        <v>0</v>
      </c>
      <c r="U88" s="8">
        <v>0</v>
      </c>
      <c r="V88" s="8">
        <v>0</v>
      </c>
      <c r="W88" s="8"/>
      <c r="X88" s="8"/>
      <c r="Y88" s="8"/>
      <c r="Z88" s="8">
        <v>0</v>
      </c>
      <c r="AA88" s="8"/>
      <c r="AB88" s="8"/>
      <c r="AC88" s="8"/>
      <c r="AD88" s="8"/>
      <c r="AE88" s="8"/>
      <c r="AF88" s="8"/>
      <c r="AG88" s="8"/>
      <c r="AH88" s="11"/>
      <c r="AI88" s="8"/>
      <c r="AJ88" s="11"/>
      <c r="AK88" s="8"/>
      <c r="AL88" s="8" t="s">
        <v>63</v>
      </c>
      <c r="AM88" s="14" t="s">
        <v>88</v>
      </c>
      <c r="AN88" s="14"/>
    </row>
    <row r="89" spans="1:40" ht="15" customHeight="1" x14ac:dyDescent="0.15">
      <c r="A89" s="20">
        <v>10204</v>
      </c>
      <c r="B89" s="20">
        <v>10201</v>
      </c>
      <c r="C89" s="8">
        <v>15</v>
      </c>
      <c r="D89" s="12">
        <v>1</v>
      </c>
      <c r="E89" s="8">
        <v>0</v>
      </c>
      <c r="F89" s="8">
        <v>0</v>
      </c>
      <c r="G89" s="8">
        <v>1</v>
      </c>
      <c r="H89" s="8" t="str">
        <f t="shared" si="8"/>
        <v>乘胜追击，消灭强盗</v>
      </c>
      <c r="I89" s="8">
        <v>0</v>
      </c>
      <c r="J89" s="8">
        <v>0</v>
      </c>
      <c r="K89" s="8">
        <v>0</v>
      </c>
      <c r="L89" s="8">
        <v>0</v>
      </c>
      <c r="M89" s="20">
        <v>10202</v>
      </c>
      <c r="N89" s="8"/>
      <c r="O89" s="8"/>
      <c r="P89" s="8"/>
      <c r="Q89" s="8"/>
      <c r="R89" s="8"/>
      <c r="S89" s="8"/>
      <c r="T89" s="8">
        <v>0</v>
      </c>
      <c r="U89" s="8">
        <v>0</v>
      </c>
      <c r="V89" s="8">
        <v>0</v>
      </c>
      <c r="W89" s="8"/>
      <c r="X89" s="8"/>
      <c r="Y89" s="8"/>
      <c r="Z89" s="8">
        <v>0</v>
      </c>
      <c r="AA89" s="8"/>
      <c r="AB89" s="8"/>
      <c r="AC89" s="8"/>
      <c r="AD89" s="8"/>
      <c r="AE89" s="8"/>
      <c r="AF89" s="8"/>
      <c r="AG89" s="8"/>
      <c r="AH89" s="11"/>
      <c r="AI89" s="8"/>
      <c r="AJ89" s="11"/>
      <c r="AK89" s="8"/>
      <c r="AL89" s="8" t="s">
        <v>64</v>
      </c>
      <c r="AM89" s="14" t="s">
        <v>89</v>
      </c>
      <c r="AN89" s="14"/>
    </row>
    <row r="90" spans="1:40" ht="15" customHeight="1" x14ac:dyDescent="0.15">
      <c r="A90" s="20">
        <v>10205</v>
      </c>
      <c r="B90" s="20">
        <v>10201</v>
      </c>
      <c r="C90" s="8">
        <v>20</v>
      </c>
      <c r="D90" s="12">
        <v>1</v>
      </c>
      <c r="E90" s="8">
        <v>0</v>
      </c>
      <c r="F90" s="8">
        <v>0</v>
      </c>
      <c r="G90" s="8">
        <v>1</v>
      </c>
      <c r="H90" s="8" t="str">
        <f t="shared" si="8"/>
        <v>乘胜追击，消灭怪物</v>
      </c>
      <c r="I90" s="8">
        <v>0</v>
      </c>
      <c r="J90" s="8">
        <v>0</v>
      </c>
      <c r="K90" s="8">
        <v>0</v>
      </c>
      <c r="L90" s="8">
        <v>0</v>
      </c>
      <c r="M90" s="20">
        <v>10202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11"/>
      <c r="AI90" s="8"/>
      <c r="AJ90" s="11"/>
      <c r="AK90" s="8"/>
      <c r="AL90" s="8" t="s">
        <v>381</v>
      </c>
      <c r="AM90" s="14" t="s">
        <v>382</v>
      </c>
      <c r="AN90" s="14"/>
    </row>
    <row r="91" spans="1:40" ht="17.25" customHeight="1" x14ac:dyDescent="0.15">
      <c r="A91" s="20">
        <v>103001</v>
      </c>
      <c r="B91" s="20">
        <v>0</v>
      </c>
      <c r="C91" s="8">
        <v>13</v>
      </c>
      <c r="D91" s="12">
        <v>1</v>
      </c>
      <c r="E91" s="8">
        <v>0</v>
      </c>
      <c r="F91" s="8">
        <v>0</v>
      </c>
      <c r="G91" s="8">
        <v>0</v>
      </c>
      <c r="H91" s="8" t="str">
        <f t="shared" si="8"/>
        <v>历史并未终结</v>
      </c>
      <c r="I91" s="8">
        <v>0</v>
      </c>
      <c r="J91" s="8">
        <v>0</v>
      </c>
      <c r="K91" s="8">
        <v>0</v>
      </c>
      <c r="L91" s="8">
        <v>0</v>
      </c>
      <c r="M91" s="8"/>
      <c r="N91" s="14">
        <v>1059</v>
      </c>
      <c r="O91" s="8"/>
      <c r="P91" s="8"/>
      <c r="Q91" s="8"/>
      <c r="R91" s="8"/>
      <c r="S91" s="8"/>
      <c r="T91" s="8">
        <v>0</v>
      </c>
      <c r="U91" s="8">
        <v>0</v>
      </c>
      <c r="V91" s="8">
        <v>0</v>
      </c>
      <c r="W91" s="8"/>
      <c r="X91" s="8"/>
      <c r="Y91" s="8"/>
      <c r="Z91" s="8">
        <v>0</v>
      </c>
      <c r="AA91" s="8"/>
      <c r="AB91" s="8"/>
      <c r="AC91" s="8"/>
      <c r="AD91" s="8"/>
      <c r="AE91" s="8"/>
      <c r="AF91" s="8"/>
      <c r="AG91" s="8"/>
      <c r="AH91" s="11"/>
      <c r="AI91" s="8"/>
      <c r="AJ91" s="11"/>
      <c r="AK91" s="8"/>
      <c r="AL91" s="8" t="s">
        <v>62</v>
      </c>
      <c r="AM91" s="27" t="s">
        <v>397</v>
      </c>
      <c r="AN91" s="14"/>
    </row>
    <row r="92" spans="1:40" ht="15" customHeight="1" x14ac:dyDescent="0.15">
      <c r="A92" s="20">
        <v>101115</v>
      </c>
      <c r="B92" s="10">
        <v>0</v>
      </c>
      <c r="C92" s="8">
        <v>0</v>
      </c>
      <c r="D92" s="8">
        <v>0</v>
      </c>
      <c r="E92" s="8">
        <v>1</v>
      </c>
      <c r="F92" s="8">
        <v>0</v>
      </c>
      <c r="G92" s="8">
        <v>1</v>
      </c>
      <c r="H92" s="8" t="str">
        <f t="shared" ref="H92:H113" si="9">AL92</f>
        <v>一统天下</v>
      </c>
      <c r="I92" s="8">
        <v>0</v>
      </c>
      <c r="J92" s="8">
        <v>0</v>
      </c>
      <c r="K92" s="8">
        <v>0</v>
      </c>
      <c r="L92" s="8">
        <v>0</v>
      </c>
      <c r="M92" s="8"/>
      <c r="N92" s="8"/>
      <c r="O92" s="8"/>
      <c r="P92" s="8"/>
      <c r="Q92" s="8"/>
      <c r="R92" s="8"/>
      <c r="S92" s="8"/>
      <c r="T92" s="8">
        <v>0</v>
      </c>
      <c r="U92" s="8">
        <v>0</v>
      </c>
      <c r="V92" s="8">
        <v>0</v>
      </c>
      <c r="W92" s="8"/>
      <c r="X92" s="8"/>
      <c r="Y92" s="8"/>
      <c r="Z92" s="8">
        <v>0</v>
      </c>
      <c r="AA92" s="8"/>
      <c r="AB92" s="8">
        <v>0</v>
      </c>
      <c r="AC92" s="8"/>
      <c r="AD92" s="8"/>
      <c r="AE92" s="8"/>
      <c r="AF92" s="8"/>
      <c r="AG92" s="8"/>
      <c r="AH92" s="11"/>
      <c r="AI92" s="8"/>
      <c r="AJ92" s="11"/>
      <c r="AK92" s="8"/>
      <c r="AL92" s="8" t="s">
        <v>32</v>
      </c>
      <c r="AM92" s="14" t="s">
        <v>82</v>
      </c>
      <c r="AN92" s="14"/>
    </row>
    <row r="93" spans="1:40" ht="15" customHeight="1" x14ac:dyDescent="0.15">
      <c r="A93" s="20">
        <v>10111501</v>
      </c>
      <c r="B93" s="20">
        <v>101115</v>
      </c>
      <c r="C93" s="8">
        <v>16</v>
      </c>
      <c r="D93" s="8">
        <v>0</v>
      </c>
      <c r="E93" s="8">
        <v>1</v>
      </c>
      <c r="F93" s="8">
        <v>0</v>
      </c>
      <c r="G93" s="8">
        <v>1</v>
      </c>
      <c r="H93" s="8" t="str">
        <f t="shared" si="9"/>
        <v>征服平王</v>
      </c>
      <c r="I93" s="8">
        <v>0</v>
      </c>
      <c r="J93" s="8">
        <v>0</v>
      </c>
      <c r="K93" s="8">
        <v>0</v>
      </c>
      <c r="L93" s="8">
        <v>0</v>
      </c>
      <c r="M93" s="8"/>
      <c r="N93" s="8"/>
      <c r="O93" s="8"/>
      <c r="P93" s="8"/>
      <c r="Q93" s="8"/>
      <c r="R93" s="8"/>
      <c r="S93" s="8"/>
      <c r="T93" s="8">
        <v>0</v>
      </c>
      <c r="U93" s="8">
        <v>0</v>
      </c>
      <c r="V93" s="8">
        <v>0</v>
      </c>
      <c r="W93" s="8"/>
      <c r="X93" s="8"/>
      <c r="Y93" s="8"/>
      <c r="Z93" s="8">
        <v>0</v>
      </c>
      <c r="AA93" s="8"/>
      <c r="AB93" s="8">
        <v>101</v>
      </c>
      <c r="AC93" s="8" t="s">
        <v>65</v>
      </c>
      <c r="AD93" s="8"/>
      <c r="AE93" s="8"/>
      <c r="AF93" s="8"/>
      <c r="AG93" s="8"/>
      <c r="AH93" s="11"/>
      <c r="AI93" s="8"/>
      <c r="AJ93" s="11"/>
      <c r="AK93" s="8"/>
      <c r="AL93" s="8" t="s">
        <v>61</v>
      </c>
      <c r="AM93" s="14" t="s">
        <v>81</v>
      </c>
      <c r="AN93" s="14" t="s">
        <v>59</v>
      </c>
    </row>
    <row r="94" spans="1:40" ht="15" customHeight="1" x14ac:dyDescent="0.15">
      <c r="A94" s="20">
        <v>10111502</v>
      </c>
      <c r="B94" s="20">
        <v>101115</v>
      </c>
      <c r="C94" s="8">
        <v>16</v>
      </c>
      <c r="D94" s="8">
        <v>0</v>
      </c>
      <c r="E94" s="8">
        <v>1</v>
      </c>
      <c r="F94" s="8">
        <v>0</v>
      </c>
      <c r="G94" s="8">
        <v>1</v>
      </c>
      <c r="H94" s="8" t="str">
        <f t="shared" si="9"/>
        <v>征服宣王</v>
      </c>
      <c r="I94" s="8">
        <v>0</v>
      </c>
      <c r="J94" s="8">
        <v>0</v>
      </c>
      <c r="K94" s="8">
        <v>0</v>
      </c>
      <c r="L94" s="8">
        <v>0</v>
      </c>
      <c r="M94" s="8"/>
      <c r="N94" s="8"/>
      <c r="O94" s="8"/>
      <c r="P94" s="8"/>
      <c r="Q94" s="8"/>
      <c r="R94" s="8"/>
      <c r="S94" s="8"/>
      <c r="T94" s="8">
        <v>0</v>
      </c>
      <c r="U94" s="8">
        <v>0</v>
      </c>
      <c r="V94" s="8">
        <v>0</v>
      </c>
      <c r="W94" s="8"/>
      <c r="X94" s="8"/>
      <c r="Y94" s="8"/>
      <c r="Z94" s="8">
        <v>0</v>
      </c>
      <c r="AA94" s="8"/>
      <c r="AB94" s="8">
        <v>102</v>
      </c>
      <c r="AC94" s="8" t="s">
        <v>66</v>
      </c>
      <c r="AD94" s="8"/>
      <c r="AE94" s="8"/>
      <c r="AF94" s="8"/>
      <c r="AG94" s="8"/>
      <c r="AH94" s="11"/>
      <c r="AI94" s="8"/>
      <c r="AJ94" s="11"/>
      <c r="AK94" s="8"/>
      <c r="AL94" s="8" t="s">
        <v>51</v>
      </c>
      <c r="AM94" s="14" t="s">
        <v>57</v>
      </c>
      <c r="AN94" s="14" t="s">
        <v>59</v>
      </c>
    </row>
    <row r="95" spans="1:40" ht="15" customHeight="1" x14ac:dyDescent="0.15">
      <c r="A95" s="20">
        <v>10111503</v>
      </c>
      <c r="B95" s="20">
        <v>101115</v>
      </c>
      <c r="C95" s="8">
        <v>17</v>
      </c>
      <c r="D95" s="8">
        <v>0</v>
      </c>
      <c r="E95" s="8">
        <v>1</v>
      </c>
      <c r="F95" s="8">
        <v>0</v>
      </c>
      <c r="G95" s="8">
        <v>1</v>
      </c>
      <c r="H95" s="8" t="str">
        <f t="shared" si="9"/>
        <v>征服北王，或赢得他的支持</v>
      </c>
      <c r="I95" s="8">
        <v>0</v>
      </c>
      <c r="J95" s="8">
        <v>0</v>
      </c>
      <c r="K95" s="8">
        <v>0</v>
      </c>
      <c r="L95" s="8">
        <v>0</v>
      </c>
      <c r="M95" s="8"/>
      <c r="N95" s="8"/>
      <c r="O95" s="8"/>
      <c r="P95" s="8"/>
      <c r="Q95" s="8"/>
      <c r="R95" s="8"/>
      <c r="S95" s="8"/>
      <c r="T95" s="8">
        <v>0</v>
      </c>
      <c r="U95" s="8">
        <v>0</v>
      </c>
      <c r="V95" s="8">
        <v>0</v>
      </c>
      <c r="W95" s="8"/>
      <c r="X95" s="8"/>
      <c r="Y95" s="8"/>
      <c r="Z95" s="8">
        <v>0</v>
      </c>
      <c r="AA95" s="8"/>
      <c r="AB95" s="8">
        <v>103</v>
      </c>
      <c r="AC95" s="8" t="s">
        <v>67</v>
      </c>
      <c r="AD95" s="8"/>
      <c r="AE95" s="8"/>
      <c r="AF95" s="8"/>
      <c r="AG95" s="8"/>
      <c r="AH95" s="11"/>
      <c r="AI95" s="8"/>
      <c r="AJ95" s="11"/>
      <c r="AK95" s="8"/>
      <c r="AL95" s="8" t="s">
        <v>52</v>
      </c>
      <c r="AM95" s="14" t="s">
        <v>58</v>
      </c>
      <c r="AN95" s="14" t="s">
        <v>60</v>
      </c>
    </row>
    <row r="96" spans="1:40" ht="15" customHeight="1" x14ac:dyDescent="0.15">
      <c r="A96" s="20">
        <v>10111504</v>
      </c>
      <c r="B96" s="20">
        <v>101115</v>
      </c>
      <c r="C96" s="8">
        <v>17</v>
      </c>
      <c r="D96" s="8">
        <v>0</v>
      </c>
      <c r="E96" s="8">
        <v>1</v>
      </c>
      <c r="F96" s="8">
        <v>0</v>
      </c>
      <c r="G96" s="8">
        <v>1</v>
      </c>
      <c r="H96" s="8" t="str">
        <f t="shared" si="9"/>
        <v>征服逍遥王，或赢得他的支持</v>
      </c>
      <c r="I96" s="8">
        <v>0</v>
      </c>
      <c r="J96" s="8">
        <v>0</v>
      </c>
      <c r="K96" s="8">
        <v>0</v>
      </c>
      <c r="L96" s="8">
        <v>0</v>
      </c>
      <c r="M96" s="8"/>
      <c r="N96" s="8"/>
      <c r="O96" s="8"/>
      <c r="P96" s="8"/>
      <c r="Q96" s="8"/>
      <c r="R96" s="8"/>
      <c r="S96" s="8"/>
      <c r="T96" s="8">
        <v>0</v>
      </c>
      <c r="U96" s="8">
        <v>0</v>
      </c>
      <c r="V96" s="8">
        <v>0</v>
      </c>
      <c r="W96" s="8"/>
      <c r="X96" s="8"/>
      <c r="Y96" s="8"/>
      <c r="Z96" s="8">
        <v>0</v>
      </c>
      <c r="AA96" s="8"/>
      <c r="AB96" s="8">
        <v>104</v>
      </c>
      <c r="AC96" s="8" t="s">
        <v>68</v>
      </c>
      <c r="AD96" s="8"/>
      <c r="AE96" s="8"/>
      <c r="AF96" s="8"/>
      <c r="AG96" s="8"/>
      <c r="AH96" s="11"/>
      <c r="AI96" s="8"/>
      <c r="AJ96" s="11"/>
      <c r="AK96" s="8"/>
      <c r="AL96" s="8" t="s">
        <v>53</v>
      </c>
      <c r="AM96" s="14" t="s">
        <v>58</v>
      </c>
      <c r="AN96" s="14" t="s">
        <v>60</v>
      </c>
    </row>
    <row r="97" spans="1:40" ht="15" customHeight="1" x14ac:dyDescent="0.15">
      <c r="A97" s="20">
        <v>10111505</v>
      </c>
      <c r="B97" s="20">
        <v>101115</v>
      </c>
      <c r="C97" s="8">
        <v>17</v>
      </c>
      <c r="D97" s="8">
        <v>0</v>
      </c>
      <c r="E97" s="8">
        <v>1</v>
      </c>
      <c r="F97" s="8">
        <v>0</v>
      </c>
      <c r="G97" s="8">
        <v>1</v>
      </c>
      <c r="H97" s="8" t="str">
        <f t="shared" si="9"/>
        <v>征服南洋王，或赢得他的支持</v>
      </c>
      <c r="I97" s="8">
        <v>0</v>
      </c>
      <c r="J97" s="8">
        <v>0</v>
      </c>
      <c r="K97" s="8">
        <v>0</v>
      </c>
      <c r="L97" s="8">
        <v>0</v>
      </c>
      <c r="M97" s="8"/>
      <c r="N97" s="8"/>
      <c r="O97" s="8"/>
      <c r="P97" s="8"/>
      <c r="Q97" s="8"/>
      <c r="R97" s="8"/>
      <c r="S97" s="8"/>
      <c r="T97" s="8">
        <v>0</v>
      </c>
      <c r="U97" s="8">
        <v>0</v>
      </c>
      <c r="V97" s="8">
        <v>0</v>
      </c>
      <c r="W97" s="8"/>
      <c r="X97" s="8"/>
      <c r="Y97" s="8"/>
      <c r="Z97" s="8">
        <v>0</v>
      </c>
      <c r="AA97" s="8"/>
      <c r="AB97" s="8">
        <v>105</v>
      </c>
      <c r="AC97" s="8" t="s">
        <v>69</v>
      </c>
      <c r="AD97" s="8"/>
      <c r="AE97" s="8"/>
      <c r="AF97" s="8"/>
      <c r="AG97" s="8"/>
      <c r="AH97" s="11"/>
      <c r="AI97" s="8"/>
      <c r="AJ97" s="11"/>
      <c r="AK97" s="8"/>
      <c r="AL97" s="8" t="s">
        <v>54</v>
      </c>
      <c r="AM97" s="14" t="s">
        <v>58</v>
      </c>
      <c r="AN97" s="14" t="s">
        <v>60</v>
      </c>
    </row>
    <row r="98" spans="1:40" ht="15" customHeight="1" x14ac:dyDescent="0.15">
      <c r="A98" s="20">
        <v>10111506</v>
      </c>
      <c r="B98" s="20">
        <v>101115</v>
      </c>
      <c r="C98" s="8">
        <v>17</v>
      </c>
      <c r="D98" s="8">
        <v>0</v>
      </c>
      <c r="E98" s="8">
        <v>1</v>
      </c>
      <c r="F98" s="8">
        <v>0</v>
      </c>
      <c r="G98" s="8">
        <v>1</v>
      </c>
      <c r="H98" s="8" t="str">
        <f t="shared" si="9"/>
        <v>征服西洋王，或赢得他的支持</v>
      </c>
      <c r="I98" s="8">
        <v>0</v>
      </c>
      <c r="J98" s="8">
        <v>0</v>
      </c>
      <c r="K98" s="8">
        <v>0</v>
      </c>
      <c r="L98" s="8">
        <v>0</v>
      </c>
      <c r="M98" s="8"/>
      <c r="N98" s="8"/>
      <c r="O98" s="8"/>
      <c r="P98" s="8"/>
      <c r="Q98" s="8"/>
      <c r="R98" s="8"/>
      <c r="S98" s="8"/>
      <c r="T98" s="8">
        <v>0</v>
      </c>
      <c r="U98" s="8">
        <v>0</v>
      </c>
      <c r="V98" s="8">
        <v>0</v>
      </c>
      <c r="W98" s="8"/>
      <c r="X98" s="8"/>
      <c r="Y98" s="8"/>
      <c r="Z98" s="8">
        <v>0</v>
      </c>
      <c r="AA98" s="8"/>
      <c r="AB98" s="8">
        <v>106</v>
      </c>
      <c r="AC98" s="8" t="s">
        <v>70</v>
      </c>
      <c r="AD98" s="8"/>
      <c r="AE98" s="8"/>
      <c r="AF98" s="8"/>
      <c r="AG98" s="8"/>
      <c r="AH98" s="11"/>
      <c r="AI98" s="8"/>
      <c r="AJ98" s="11"/>
      <c r="AK98" s="8"/>
      <c r="AL98" s="8" t="s">
        <v>55</v>
      </c>
      <c r="AM98" s="14" t="s">
        <v>58</v>
      </c>
      <c r="AN98" s="14" t="s">
        <v>60</v>
      </c>
    </row>
    <row r="99" spans="1:40" ht="15" customHeight="1" x14ac:dyDescent="0.15">
      <c r="A99" s="20">
        <v>10111507</v>
      </c>
      <c r="B99" s="20">
        <v>101115</v>
      </c>
      <c r="C99" s="8">
        <v>17</v>
      </c>
      <c r="D99" s="8">
        <v>0</v>
      </c>
      <c r="E99" s="8">
        <v>1</v>
      </c>
      <c r="F99" s="8">
        <v>0</v>
      </c>
      <c r="G99" s="8">
        <v>1</v>
      </c>
      <c r="H99" s="8" t="str">
        <f t="shared" si="9"/>
        <v>征服商王，或赢得他的支持</v>
      </c>
      <c r="I99" s="8">
        <v>0</v>
      </c>
      <c r="J99" s="8">
        <v>0</v>
      </c>
      <c r="K99" s="8">
        <v>0</v>
      </c>
      <c r="L99" s="8">
        <v>0</v>
      </c>
      <c r="M99" s="8"/>
      <c r="N99" s="8"/>
      <c r="O99" s="8"/>
      <c r="P99" s="8"/>
      <c r="Q99" s="8"/>
      <c r="R99" s="8"/>
      <c r="S99" s="8"/>
      <c r="T99" s="8">
        <v>0</v>
      </c>
      <c r="U99" s="8">
        <v>0</v>
      </c>
      <c r="V99" s="8">
        <v>0</v>
      </c>
      <c r="W99" s="8"/>
      <c r="X99" s="8"/>
      <c r="Y99" s="8"/>
      <c r="Z99" s="8">
        <v>0</v>
      </c>
      <c r="AA99" s="8"/>
      <c r="AB99" s="8">
        <v>107</v>
      </c>
      <c r="AC99" s="8" t="s">
        <v>71</v>
      </c>
      <c r="AD99" s="8"/>
      <c r="AE99" s="8"/>
      <c r="AF99" s="8"/>
      <c r="AG99" s="8"/>
      <c r="AH99" s="11"/>
      <c r="AI99" s="8"/>
      <c r="AJ99" s="11"/>
      <c r="AK99" s="8"/>
      <c r="AL99" s="8" t="s">
        <v>56</v>
      </c>
      <c r="AM99" s="14" t="s">
        <v>58</v>
      </c>
      <c r="AN99" s="14" t="s">
        <v>60</v>
      </c>
    </row>
    <row r="100" spans="1:40" ht="15" customHeight="1" x14ac:dyDescent="0.15">
      <c r="A100" s="20">
        <v>101116</v>
      </c>
      <c r="B100" s="20">
        <v>0</v>
      </c>
      <c r="C100" s="8">
        <v>1</v>
      </c>
      <c r="D100" s="8">
        <v>0</v>
      </c>
      <c r="E100" s="8">
        <v>1</v>
      </c>
      <c r="F100" s="8">
        <v>0</v>
      </c>
      <c r="G100" s="8">
        <v>1</v>
      </c>
      <c r="H100" s="8" t="str">
        <f t="shared" si="9"/>
        <v>新王登基</v>
      </c>
      <c r="I100" s="8">
        <v>0</v>
      </c>
      <c r="J100" s="8">
        <v>0</v>
      </c>
      <c r="K100" s="8">
        <v>0</v>
      </c>
      <c r="L100" s="8">
        <v>0</v>
      </c>
      <c r="M100" s="8"/>
      <c r="N100" s="8"/>
      <c r="O100" s="8"/>
      <c r="P100" s="8"/>
      <c r="Q100" s="8"/>
      <c r="R100" s="8"/>
      <c r="S100" s="8"/>
      <c r="T100" s="8">
        <v>0</v>
      </c>
      <c r="U100" s="8">
        <v>0</v>
      </c>
      <c r="V100" s="8">
        <v>0</v>
      </c>
      <c r="W100" s="2" t="s">
        <v>395</v>
      </c>
      <c r="X100" s="2" t="s">
        <v>357</v>
      </c>
      <c r="Y100" s="8"/>
      <c r="Z100" s="8">
        <v>0</v>
      </c>
      <c r="AA100" s="8"/>
      <c r="AB100" s="8"/>
      <c r="AC100" s="8"/>
      <c r="AD100" s="8"/>
      <c r="AE100" s="8"/>
      <c r="AF100" s="8"/>
      <c r="AG100" s="8"/>
      <c r="AH100" s="11"/>
      <c r="AI100" s="14" t="s">
        <v>409</v>
      </c>
      <c r="AJ100" s="11"/>
      <c r="AK100" s="8"/>
      <c r="AL100" s="8" t="s">
        <v>73</v>
      </c>
      <c r="AM100" s="27" t="s">
        <v>399</v>
      </c>
      <c r="AN100" s="28" t="s">
        <v>77</v>
      </c>
    </row>
    <row r="101" spans="1:40" ht="15" customHeight="1" x14ac:dyDescent="0.15">
      <c r="A101" s="20">
        <v>101117</v>
      </c>
      <c r="B101" s="10">
        <v>0</v>
      </c>
      <c r="C101" s="8">
        <v>0</v>
      </c>
      <c r="D101" s="8">
        <v>0</v>
      </c>
      <c r="E101" s="8">
        <v>0</v>
      </c>
      <c r="F101" s="8">
        <v>0</v>
      </c>
      <c r="G101" s="8">
        <v>1</v>
      </c>
      <c r="H101" s="8" t="str">
        <f t="shared" si="9"/>
        <v>野蛮人趁虚而入</v>
      </c>
      <c r="I101" s="8">
        <v>0</v>
      </c>
      <c r="J101" s="8">
        <v>0</v>
      </c>
      <c r="K101" s="8">
        <v>0</v>
      </c>
      <c r="L101" s="8">
        <v>0</v>
      </c>
      <c r="M101" s="8"/>
      <c r="N101" s="14">
        <v>1025</v>
      </c>
      <c r="O101" s="8"/>
      <c r="P101" s="8"/>
      <c r="Q101" s="8"/>
      <c r="R101" s="8"/>
      <c r="S101" s="8"/>
      <c r="T101" s="8">
        <v>0</v>
      </c>
      <c r="U101" s="8">
        <v>0</v>
      </c>
      <c r="V101" s="8">
        <v>0</v>
      </c>
      <c r="W101" s="8"/>
      <c r="X101" s="8"/>
      <c r="Y101" s="8"/>
      <c r="Z101" s="8">
        <v>0</v>
      </c>
      <c r="AA101" s="8"/>
      <c r="AB101" s="8">
        <v>0</v>
      </c>
      <c r="AC101" s="8"/>
      <c r="AD101" s="8"/>
      <c r="AE101" s="8"/>
      <c r="AF101" s="8"/>
      <c r="AG101" s="8"/>
      <c r="AH101" s="11"/>
      <c r="AI101" s="8"/>
      <c r="AJ101" s="11"/>
      <c r="AK101" s="8"/>
      <c r="AL101" s="8" t="s">
        <v>74</v>
      </c>
      <c r="AM101" s="14" t="s">
        <v>75</v>
      </c>
      <c r="AN101" s="14"/>
    </row>
    <row r="102" spans="1:40" ht="15" customHeight="1" x14ac:dyDescent="0.15">
      <c r="A102" s="20">
        <v>101118</v>
      </c>
      <c r="B102" s="20">
        <v>101117</v>
      </c>
      <c r="C102" s="8">
        <v>1</v>
      </c>
      <c r="D102" s="8">
        <v>0</v>
      </c>
      <c r="E102" s="8">
        <v>0</v>
      </c>
      <c r="F102" s="8">
        <v>0</v>
      </c>
      <c r="G102" s="8">
        <v>1</v>
      </c>
      <c r="H102" s="8" t="str">
        <f t="shared" si="9"/>
        <v>先头部队</v>
      </c>
      <c r="I102" s="8">
        <v>0</v>
      </c>
      <c r="J102" s="8">
        <v>1</v>
      </c>
      <c r="K102" s="8">
        <v>0</v>
      </c>
      <c r="L102" s="8">
        <v>0</v>
      </c>
      <c r="M102" s="20"/>
      <c r="N102" s="14">
        <v>1066</v>
      </c>
      <c r="O102" s="8"/>
      <c r="P102" s="8"/>
      <c r="Q102" s="21"/>
      <c r="R102" s="21"/>
      <c r="S102" s="21"/>
      <c r="T102" s="8">
        <v>0</v>
      </c>
      <c r="U102" s="8">
        <v>0</v>
      </c>
      <c r="V102" s="8">
        <v>1</v>
      </c>
      <c r="W102" s="21"/>
      <c r="X102" s="21"/>
      <c r="Y102" s="21"/>
      <c r="Z102" s="8">
        <v>0</v>
      </c>
      <c r="AA102" s="21"/>
      <c r="AB102" s="21"/>
      <c r="AC102" s="9"/>
      <c r="AD102" s="8"/>
      <c r="AE102" s="8"/>
      <c r="AF102" s="8"/>
      <c r="AG102" s="21"/>
      <c r="AH102" s="22"/>
      <c r="AI102" s="8"/>
      <c r="AJ102" s="22"/>
      <c r="AK102" s="8"/>
      <c r="AL102" s="8" t="s">
        <v>98</v>
      </c>
      <c r="AM102" s="14" t="s">
        <v>99</v>
      </c>
      <c r="AN102" s="28" t="s">
        <v>97</v>
      </c>
    </row>
    <row r="103" spans="1:40" ht="15" customHeight="1" x14ac:dyDescent="0.15">
      <c r="A103" s="20">
        <v>101119</v>
      </c>
      <c r="B103" s="20">
        <v>101117</v>
      </c>
      <c r="C103" s="8">
        <v>1</v>
      </c>
      <c r="D103" s="8">
        <v>0</v>
      </c>
      <c r="E103" s="8">
        <v>0</v>
      </c>
      <c r="F103" s="8">
        <v>0</v>
      </c>
      <c r="G103" s="8">
        <v>1</v>
      </c>
      <c r="H103" s="8" t="str">
        <f t="shared" si="9"/>
        <v>第一波：被控制的怪物潮</v>
      </c>
      <c r="I103" s="8">
        <v>0</v>
      </c>
      <c r="J103" s="8">
        <v>1</v>
      </c>
      <c r="K103" s="8">
        <v>0</v>
      </c>
      <c r="L103" s="8">
        <v>0</v>
      </c>
      <c r="M103" s="20">
        <v>101118</v>
      </c>
      <c r="N103" s="14">
        <v>1062</v>
      </c>
      <c r="O103" s="8"/>
      <c r="P103" s="8"/>
      <c r="Q103" s="8"/>
      <c r="R103" s="8"/>
      <c r="S103" s="8"/>
      <c r="T103" s="8">
        <v>1</v>
      </c>
      <c r="U103" s="8">
        <v>0</v>
      </c>
      <c r="V103" s="8">
        <v>1</v>
      </c>
      <c r="W103" s="8"/>
      <c r="X103" s="8"/>
      <c r="Y103" s="8"/>
      <c r="Z103" s="8">
        <v>0</v>
      </c>
      <c r="AA103" s="8"/>
      <c r="AB103" s="8"/>
      <c r="AC103" s="8"/>
      <c r="AD103" s="8"/>
      <c r="AE103" s="8"/>
      <c r="AF103" s="8"/>
      <c r="AG103" s="8"/>
      <c r="AH103" s="11"/>
      <c r="AI103" s="8"/>
      <c r="AJ103" s="11"/>
      <c r="AK103" s="8"/>
      <c r="AL103" s="8" t="s">
        <v>96</v>
      </c>
      <c r="AM103" s="14" t="s">
        <v>40</v>
      </c>
      <c r="AN103" s="14" t="s">
        <v>44</v>
      </c>
    </row>
    <row r="104" spans="1:40" ht="15" customHeight="1" x14ac:dyDescent="0.15">
      <c r="A104" s="20">
        <v>101120</v>
      </c>
      <c r="B104" s="20">
        <v>101117</v>
      </c>
      <c r="C104" s="8">
        <v>1</v>
      </c>
      <c r="D104" s="8">
        <v>0</v>
      </c>
      <c r="E104" s="8">
        <v>0</v>
      </c>
      <c r="F104" s="8">
        <v>0</v>
      </c>
      <c r="G104" s="8">
        <v>1</v>
      </c>
      <c r="H104" s="8" t="str">
        <f t="shared" si="9"/>
        <v>第二波：泰坦军团</v>
      </c>
      <c r="I104" s="8">
        <v>0</v>
      </c>
      <c r="J104" s="8">
        <v>1</v>
      </c>
      <c r="K104" s="8">
        <v>0</v>
      </c>
      <c r="L104" s="8">
        <v>0</v>
      </c>
      <c r="M104" s="20">
        <v>101119</v>
      </c>
      <c r="N104" s="14">
        <v>1063</v>
      </c>
      <c r="O104" s="8"/>
      <c r="P104" s="8"/>
      <c r="Q104" s="8"/>
      <c r="R104" s="8"/>
      <c r="S104" s="8"/>
      <c r="T104" s="8">
        <v>0</v>
      </c>
      <c r="U104" s="8">
        <v>0</v>
      </c>
      <c r="V104" s="8">
        <v>1</v>
      </c>
      <c r="W104" s="8"/>
      <c r="X104" s="8"/>
      <c r="Y104" s="8"/>
      <c r="Z104" s="8">
        <v>0</v>
      </c>
      <c r="AA104" s="8"/>
      <c r="AB104" s="8"/>
      <c r="AC104" s="8"/>
      <c r="AD104" s="8"/>
      <c r="AE104" s="8"/>
      <c r="AF104" s="8"/>
      <c r="AG104" s="8"/>
      <c r="AH104" s="11"/>
      <c r="AI104" s="8"/>
      <c r="AJ104" s="11"/>
      <c r="AK104" s="8"/>
      <c r="AL104" s="8" t="s">
        <v>95</v>
      </c>
      <c r="AM104" s="14" t="s">
        <v>41</v>
      </c>
      <c r="AN104" s="14" t="s">
        <v>45</v>
      </c>
    </row>
    <row r="105" spans="1:40" ht="15" customHeight="1" x14ac:dyDescent="0.15">
      <c r="A105" s="20">
        <v>101121</v>
      </c>
      <c r="B105" s="20">
        <v>101117</v>
      </c>
      <c r="C105" s="8">
        <v>1</v>
      </c>
      <c r="D105" s="8">
        <v>0</v>
      </c>
      <c r="E105" s="8">
        <v>0</v>
      </c>
      <c r="F105" s="8">
        <v>0</v>
      </c>
      <c r="G105" s="8">
        <v>1</v>
      </c>
      <c r="H105" s="8" t="str">
        <f t="shared" si="9"/>
        <v>第三波：法师军团</v>
      </c>
      <c r="I105" s="8">
        <v>0</v>
      </c>
      <c r="J105" s="8">
        <v>1</v>
      </c>
      <c r="K105" s="8">
        <v>0</v>
      </c>
      <c r="L105" s="8">
        <v>0</v>
      </c>
      <c r="M105" s="20">
        <v>101120</v>
      </c>
      <c r="N105" s="14">
        <v>1064</v>
      </c>
      <c r="O105" s="8"/>
      <c r="P105" s="8"/>
      <c r="Q105" s="8"/>
      <c r="R105" s="8"/>
      <c r="S105" s="8"/>
      <c r="T105" s="8">
        <v>0</v>
      </c>
      <c r="U105" s="8">
        <v>0</v>
      </c>
      <c r="V105" s="8">
        <v>1</v>
      </c>
      <c r="W105" s="8"/>
      <c r="X105" s="8"/>
      <c r="Y105" s="8"/>
      <c r="Z105" s="8">
        <v>0</v>
      </c>
      <c r="AA105" s="8"/>
      <c r="AB105" s="8"/>
      <c r="AC105" s="8"/>
      <c r="AD105" s="8"/>
      <c r="AE105" s="8"/>
      <c r="AF105" s="8"/>
      <c r="AG105" s="8"/>
      <c r="AH105" s="11"/>
      <c r="AI105" s="8"/>
      <c r="AJ105" s="11"/>
      <c r="AK105" s="8"/>
      <c r="AL105" s="8" t="s">
        <v>94</v>
      </c>
      <c r="AM105" s="14" t="s">
        <v>42</v>
      </c>
      <c r="AN105" s="14" t="s">
        <v>46</v>
      </c>
    </row>
    <row r="106" spans="1:40" ht="15" customHeight="1" x14ac:dyDescent="0.15">
      <c r="A106" s="20">
        <v>101122</v>
      </c>
      <c r="B106" s="20">
        <v>101117</v>
      </c>
      <c r="C106" s="8">
        <v>1</v>
      </c>
      <c r="D106" s="8">
        <v>0</v>
      </c>
      <c r="E106" s="8">
        <v>0</v>
      </c>
      <c r="F106" s="8">
        <v>0</v>
      </c>
      <c r="G106" s="8">
        <v>1</v>
      </c>
      <c r="H106" s="8" t="str">
        <f t="shared" si="9"/>
        <v>第四波：野蛮人与强盗联军</v>
      </c>
      <c r="I106" s="8">
        <v>0</v>
      </c>
      <c r="J106" s="8">
        <v>1</v>
      </c>
      <c r="K106" s="8">
        <v>0</v>
      </c>
      <c r="L106" s="8">
        <v>0</v>
      </c>
      <c r="M106" s="20">
        <v>101121</v>
      </c>
      <c r="N106" s="14">
        <v>1065</v>
      </c>
      <c r="O106" s="8"/>
      <c r="P106" s="8"/>
      <c r="Q106" s="8"/>
      <c r="R106" s="8"/>
      <c r="S106" s="8"/>
      <c r="T106" s="8">
        <v>0</v>
      </c>
      <c r="U106" s="8">
        <v>1</v>
      </c>
      <c r="V106" s="8">
        <v>1</v>
      </c>
      <c r="W106" s="8"/>
      <c r="X106" s="8"/>
      <c r="Y106" s="8"/>
      <c r="Z106" s="8">
        <v>0</v>
      </c>
      <c r="AA106" s="8"/>
      <c r="AB106" s="8"/>
      <c r="AC106" s="8"/>
      <c r="AD106" s="8"/>
      <c r="AE106" s="8"/>
      <c r="AF106" s="8"/>
      <c r="AG106" s="8"/>
      <c r="AH106" s="11"/>
      <c r="AI106" s="8"/>
      <c r="AJ106" s="11"/>
      <c r="AK106" s="8"/>
      <c r="AL106" s="8" t="s">
        <v>93</v>
      </c>
      <c r="AM106" s="14" t="s">
        <v>43</v>
      </c>
      <c r="AN106" s="14" t="s">
        <v>47</v>
      </c>
    </row>
    <row r="107" spans="1:40" ht="15" customHeight="1" x14ac:dyDescent="0.15">
      <c r="A107" s="20">
        <v>1011220</v>
      </c>
      <c r="B107" s="20">
        <v>101117</v>
      </c>
      <c r="C107" s="8">
        <v>1</v>
      </c>
      <c r="D107" s="8">
        <v>0</v>
      </c>
      <c r="E107" s="8">
        <v>0</v>
      </c>
      <c r="F107" s="8">
        <v>0</v>
      </c>
      <c r="G107" s="8">
        <v>1</v>
      </c>
      <c r="H107" s="8" t="str">
        <f t="shared" si="9"/>
        <v>第五波：无敌舰队来犯</v>
      </c>
      <c r="I107" s="8">
        <v>0</v>
      </c>
      <c r="J107" s="8">
        <v>1</v>
      </c>
      <c r="K107" s="8">
        <v>0</v>
      </c>
      <c r="L107" s="8">
        <v>0</v>
      </c>
      <c r="M107" s="20">
        <v>101122</v>
      </c>
      <c r="N107" s="14">
        <v>1061</v>
      </c>
      <c r="O107" s="8"/>
      <c r="P107" s="8"/>
      <c r="Q107" s="21"/>
      <c r="R107" s="21"/>
      <c r="S107" s="21"/>
      <c r="T107" s="8">
        <v>0</v>
      </c>
      <c r="U107" s="8">
        <v>0</v>
      </c>
      <c r="V107" s="8">
        <v>1</v>
      </c>
      <c r="W107" s="21"/>
      <c r="X107" s="21"/>
      <c r="Y107" s="21"/>
      <c r="Z107" s="8">
        <v>0</v>
      </c>
      <c r="AA107" s="21"/>
      <c r="AB107" s="21"/>
      <c r="AC107" s="9"/>
      <c r="AD107" s="8"/>
      <c r="AE107" s="8"/>
      <c r="AF107" s="8"/>
      <c r="AG107" s="21"/>
      <c r="AH107" s="22"/>
      <c r="AI107" s="8"/>
      <c r="AJ107" s="22"/>
      <c r="AK107" s="8"/>
      <c r="AL107" s="8" t="s">
        <v>92</v>
      </c>
      <c r="AM107" s="14" t="s">
        <v>39</v>
      </c>
      <c r="AN107" s="14" t="s">
        <v>48</v>
      </c>
    </row>
    <row r="108" spans="1:40" ht="15" customHeight="1" x14ac:dyDescent="0.15">
      <c r="A108" s="20">
        <v>1011230</v>
      </c>
      <c r="B108" s="20">
        <v>0</v>
      </c>
      <c r="C108" s="8">
        <v>0</v>
      </c>
      <c r="D108" s="8">
        <v>0</v>
      </c>
      <c r="E108" s="8">
        <v>0</v>
      </c>
      <c r="F108" s="8">
        <v>0</v>
      </c>
      <c r="G108" s="8">
        <v>1</v>
      </c>
      <c r="H108" s="8" t="str">
        <f t="shared" si="9"/>
        <v>君临天下</v>
      </c>
      <c r="I108" s="8">
        <v>0</v>
      </c>
      <c r="J108" s="8">
        <v>0</v>
      </c>
      <c r="K108" s="8">
        <v>0</v>
      </c>
      <c r="L108" s="8">
        <v>0</v>
      </c>
      <c r="M108" s="8"/>
      <c r="N108" s="8"/>
      <c r="O108" s="8"/>
      <c r="P108" s="8"/>
      <c r="Q108" s="8"/>
      <c r="R108" s="8"/>
      <c r="S108" s="8"/>
      <c r="T108" s="8">
        <v>0</v>
      </c>
      <c r="U108" s="8">
        <v>0</v>
      </c>
      <c r="V108" s="8">
        <v>0</v>
      </c>
      <c r="W108" s="8"/>
      <c r="X108" s="8"/>
      <c r="Y108" s="8"/>
      <c r="Z108" s="8">
        <v>0</v>
      </c>
      <c r="AA108" s="8"/>
      <c r="AB108" s="8"/>
      <c r="AC108" s="8"/>
      <c r="AD108" s="8"/>
      <c r="AE108" s="8"/>
      <c r="AF108" s="8"/>
      <c r="AG108" s="8"/>
      <c r="AH108" s="11"/>
      <c r="AI108" s="8"/>
      <c r="AJ108" s="11"/>
      <c r="AK108" s="8"/>
      <c r="AL108" s="8" t="s">
        <v>379</v>
      </c>
      <c r="AM108" s="14" t="s">
        <v>403</v>
      </c>
      <c r="AN108" s="14"/>
    </row>
    <row r="109" spans="1:40" ht="15" customHeight="1" x14ac:dyDescent="0.15">
      <c r="A109" s="20">
        <v>101123</v>
      </c>
      <c r="B109" s="20">
        <v>1011230</v>
      </c>
      <c r="C109" s="8">
        <v>14</v>
      </c>
      <c r="D109" s="8">
        <v>0</v>
      </c>
      <c r="E109" s="8">
        <v>0</v>
      </c>
      <c r="F109" s="8">
        <v>0</v>
      </c>
      <c r="G109" s="8">
        <v>1</v>
      </c>
      <c r="H109" s="8" t="str">
        <f t="shared" si="9"/>
        <v>乘胜追击，消灭野蛮人</v>
      </c>
      <c r="I109" s="8">
        <v>0</v>
      </c>
      <c r="J109" s="8">
        <v>0</v>
      </c>
      <c r="K109" s="8">
        <v>0</v>
      </c>
      <c r="L109" s="8">
        <v>0</v>
      </c>
      <c r="M109" s="8"/>
      <c r="N109" s="8"/>
      <c r="O109" s="8"/>
      <c r="P109" s="8"/>
      <c r="Q109" s="8"/>
      <c r="R109" s="8"/>
      <c r="S109" s="8"/>
      <c r="T109" s="8">
        <v>0</v>
      </c>
      <c r="U109" s="8">
        <v>0</v>
      </c>
      <c r="V109" s="8">
        <v>0</v>
      </c>
      <c r="W109" s="8"/>
      <c r="X109" s="8"/>
      <c r="Y109" s="8"/>
      <c r="Z109" s="8">
        <v>0</v>
      </c>
      <c r="AA109" s="8"/>
      <c r="AB109" s="8"/>
      <c r="AC109" s="8"/>
      <c r="AD109" s="8"/>
      <c r="AE109" s="8"/>
      <c r="AF109" s="8"/>
      <c r="AG109" s="8"/>
      <c r="AH109" s="11"/>
      <c r="AI109" s="8"/>
      <c r="AJ109" s="11"/>
      <c r="AK109" s="8"/>
      <c r="AL109" s="23" t="s">
        <v>63</v>
      </c>
      <c r="AM109" s="14" t="s">
        <v>88</v>
      </c>
      <c r="AN109" s="14"/>
    </row>
    <row r="110" spans="1:40" ht="15" customHeight="1" x14ac:dyDescent="0.15">
      <c r="A110" s="20">
        <v>101124</v>
      </c>
      <c r="B110" s="20">
        <v>1011230</v>
      </c>
      <c r="C110" s="8">
        <v>15</v>
      </c>
      <c r="D110" s="8">
        <v>0</v>
      </c>
      <c r="E110" s="8">
        <v>0</v>
      </c>
      <c r="F110" s="8">
        <v>0</v>
      </c>
      <c r="G110" s="8">
        <v>1</v>
      </c>
      <c r="H110" s="8" t="str">
        <f t="shared" si="9"/>
        <v>乘胜追击，消灭强盗</v>
      </c>
      <c r="I110" s="8">
        <v>0</v>
      </c>
      <c r="J110" s="8">
        <v>0</v>
      </c>
      <c r="K110" s="8">
        <v>0</v>
      </c>
      <c r="L110" s="8">
        <v>0</v>
      </c>
      <c r="M110" s="8"/>
      <c r="N110" s="8"/>
      <c r="O110" s="8"/>
      <c r="P110" s="8"/>
      <c r="Q110" s="8"/>
      <c r="R110" s="8"/>
      <c r="S110" s="8"/>
      <c r="T110" s="8">
        <v>0</v>
      </c>
      <c r="U110" s="8">
        <v>0</v>
      </c>
      <c r="V110" s="8">
        <v>0</v>
      </c>
      <c r="W110" s="8"/>
      <c r="X110" s="8"/>
      <c r="Y110" s="8"/>
      <c r="Z110" s="8">
        <v>0</v>
      </c>
      <c r="AA110" s="8"/>
      <c r="AB110" s="8"/>
      <c r="AC110" s="8"/>
      <c r="AD110" s="8"/>
      <c r="AE110" s="8"/>
      <c r="AF110" s="8"/>
      <c r="AG110" s="8"/>
      <c r="AH110" s="11"/>
      <c r="AI110" s="8"/>
      <c r="AJ110" s="11"/>
      <c r="AK110" s="8"/>
      <c r="AL110" s="8" t="s">
        <v>64</v>
      </c>
      <c r="AM110" s="14" t="s">
        <v>89</v>
      </c>
      <c r="AN110" s="14"/>
    </row>
    <row r="111" spans="1:40" ht="15" customHeight="1" x14ac:dyDescent="0.15">
      <c r="A111" s="20">
        <v>1011240</v>
      </c>
      <c r="B111" s="20">
        <v>1011230</v>
      </c>
      <c r="C111" s="8">
        <v>20</v>
      </c>
      <c r="D111" s="8">
        <v>0</v>
      </c>
      <c r="E111" s="8">
        <v>0</v>
      </c>
      <c r="F111" s="8">
        <v>0</v>
      </c>
      <c r="G111" s="8">
        <v>1</v>
      </c>
      <c r="H111" s="8" t="str">
        <f t="shared" si="9"/>
        <v>乘胜追击，消灭怪物</v>
      </c>
      <c r="I111" s="8">
        <v>0</v>
      </c>
      <c r="J111" s="8">
        <v>0</v>
      </c>
      <c r="K111" s="8">
        <v>0</v>
      </c>
      <c r="L111" s="8">
        <v>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11"/>
      <c r="AI111" s="8"/>
      <c r="AJ111" s="11"/>
      <c r="AK111" s="8"/>
      <c r="AL111" s="8" t="s">
        <v>381</v>
      </c>
      <c r="AM111" s="14" t="s">
        <v>382</v>
      </c>
      <c r="AN111" s="14"/>
    </row>
    <row r="112" spans="1:40" ht="51.75" customHeight="1" x14ac:dyDescent="0.15">
      <c r="A112" s="20">
        <v>101125</v>
      </c>
      <c r="B112" s="20">
        <v>1011230</v>
      </c>
      <c r="C112" s="8">
        <v>0</v>
      </c>
      <c r="D112" s="8">
        <v>0</v>
      </c>
      <c r="E112" s="8">
        <v>0</v>
      </c>
      <c r="F112" s="8">
        <v>0</v>
      </c>
      <c r="G112" s="8">
        <v>1</v>
      </c>
      <c r="H112" s="8" t="str">
        <f t="shared" si="9"/>
        <v>大获全胜</v>
      </c>
      <c r="I112" s="8">
        <v>0</v>
      </c>
      <c r="J112" s="8">
        <v>0</v>
      </c>
      <c r="K112" s="8">
        <v>0</v>
      </c>
      <c r="L112" s="8">
        <v>0</v>
      </c>
      <c r="M112" s="8"/>
      <c r="N112" s="14">
        <v>1025</v>
      </c>
      <c r="O112" s="8"/>
      <c r="P112" s="8"/>
      <c r="Q112" s="8"/>
      <c r="R112" s="8"/>
      <c r="S112" s="8"/>
      <c r="T112" s="8">
        <v>0</v>
      </c>
      <c r="U112" s="8">
        <v>0</v>
      </c>
      <c r="V112" s="8">
        <v>0</v>
      </c>
      <c r="W112" s="24"/>
      <c r="X112" s="25"/>
      <c r="Y112" s="8"/>
      <c r="Z112" s="8">
        <v>0</v>
      </c>
      <c r="AA112" s="8"/>
      <c r="AB112" s="8">
        <v>0</v>
      </c>
      <c r="AC112" s="8"/>
      <c r="AD112" s="8"/>
      <c r="AE112" s="8"/>
      <c r="AF112" s="2" t="s">
        <v>400</v>
      </c>
      <c r="AG112" s="2" t="s">
        <v>401</v>
      </c>
      <c r="AH112" s="11"/>
      <c r="AI112" s="8"/>
      <c r="AJ112" s="11"/>
      <c r="AK112" s="8"/>
      <c r="AL112" s="8" t="s">
        <v>76</v>
      </c>
      <c r="AM112" s="27" t="s">
        <v>402</v>
      </c>
      <c r="AN112" s="27" t="s">
        <v>78</v>
      </c>
    </row>
    <row r="113" spans="1:40" ht="15" customHeight="1" x14ac:dyDescent="0.15">
      <c r="A113" s="20">
        <v>101126</v>
      </c>
      <c r="B113" s="20">
        <v>0</v>
      </c>
      <c r="C113" s="8">
        <v>13</v>
      </c>
      <c r="D113" s="8">
        <v>0</v>
      </c>
      <c r="E113" s="8">
        <v>0</v>
      </c>
      <c r="F113" s="8">
        <v>0</v>
      </c>
      <c r="G113" s="8">
        <v>0</v>
      </c>
      <c r="H113" s="8" t="str">
        <f t="shared" si="9"/>
        <v>历史并未终结</v>
      </c>
      <c r="I113" s="8">
        <v>0</v>
      </c>
      <c r="J113" s="8">
        <v>0</v>
      </c>
      <c r="K113" s="8">
        <v>0</v>
      </c>
      <c r="L113" s="8">
        <v>0</v>
      </c>
      <c r="M113" s="8"/>
      <c r="N113" s="14">
        <v>1060</v>
      </c>
      <c r="O113" s="8"/>
      <c r="P113" s="8"/>
      <c r="Q113" s="8"/>
      <c r="R113" s="8"/>
      <c r="S113" s="8"/>
      <c r="T113" s="8">
        <v>0</v>
      </c>
      <c r="U113" s="8">
        <v>0</v>
      </c>
      <c r="V113" s="8">
        <v>0</v>
      </c>
      <c r="W113" s="8"/>
      <c r="X113" s="8"/>
      <c r="Y113" s="8"/>
      <c r="Z113" s="8">
        <v>0</v>
      </c>
      <c r="AA113" s="8"/>
      <c r="AB113" s="8"/>
      <c r="AC113" s="8"/>
      <c r="AD113" s="8"/>
      <c r="AE113" s="8"/>
      <c r="AF113" s="8"/>
      <c r="AG113" s="8"/>
      <c r="AH113" s="11"/>
      <c r="AI113" s="8"/>
      <c r="AJ113" s="11"/>
      <c r="AK113" s="8"/>
      <c r="AL113" s="8" t="s">
        <v>62</v>
      </c>
      <c r="AM113" s="27" t="s">
        <v>398</v>
      </c>
      <c r="AN113" s="14"/>
    </row>
    <row r="123" spans="1:40" ht="15" customHeight="1" x14ac:dyDescent="0.15">
      <c r="AK123" s="7"/>
    </row>
  </sheetData>
  <autoFilter ref="C1:C113" xr:uid="{00000000-0001-0000-0000-000000000000}"/>
  <phoneticPr fontId="1" type="noConversion"/>
  <conditionalFormatting sqref="D1:D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E1:F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E1:G104857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:J1048576">
    <cfRule type="colorScale" priority="5">
      <colorScale>
        <cfvo type="min"/>
        <cfvo type="max"/>
        <color rgb="FFFCFCFF"/>
        <color rgb="FFF8696B"/>
      </colorScale>
    </cfRule>
  </conditionalFormatting>
  <conditionalFormatting sqref="K1:K1048576">
    <cfRule type="colorScale" priority="6">
      <colorScale>
        <cfvo type="min"/>
        <cfvo type="max"/>
        <color rgb="FFFCFCFF"/>
        <color rgb="FF63BE7B"/>
      </colorScale>
    </cfRule>
  </conditionalFormatting>
  <conditionalFormatting sqref="L1:L1048576">
    <cfRule type="colorScale" priority="13">
      <colorScale>
        <cfvo type="min"/>
        <cfvo type="max"/>
        <color rgb="FFFCFCFF"/>
        <color rgb="FF63BE7B"/>
      </colorScale>
    </cfRule>
  </conditionalFormatting>
  <conditionalFormatting sqref="O1:O1048576">
    <cfRule type="colorScale" priority="9">
      <colorScale>
        <cfvo type="min"/>
        <cfvo type="max"/>
        <color rgb="FF63BE7B"/>
        <color rgb="FFFCFCFF"/>
      </colorScale>
    </cfRule>
  </conditionalFormatting>
  <conditionalFormatting sqref="P1:P1048576">
    <cfRule type="colorScale" priority="8">
      <colorScale>
        <cfvo type="min"/>
        <cfvo type="max"/>
        <color rgb="FFFCFCFF"/>
        <color rgb="FF63BE7B"/>
      </colorScale>
    </cfRule>
  </conditionalFormatting>
  <conditionalFormatting sqref="T1:V1048576">
    <cfRule type="colorScale" priority="4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 MI</dc:creator>
  <cp:lastModifiedBy>Looming MI</cp:lastModifiedBy>
  <dcterms:created xsi:type="dcterms:W3CDTF">2022-10-01T01:10:36Z</dcterms:created>
  <dcterms:modified xsi:type="dcterms:W3CDTF">2026-02-24T07:50:19Z</dcterms:modified>
</cp:coreProperties>
</file>