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G:\Territory\数值表\"/>
    </mc:Choice>
  </mc:AlternateContent>
  <xr:revisionPtr revIDLastSave="0" documentId="13_ncr:1_{A1DF0AA3-0C83-48F0-83DA-91F8BAC763A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mmary_notice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5" i="1" l="1"/>
  <c r="C34" i="1"/>
  <c r="C33" i="1"/>
  <c r="C32" i="1"/>
  <c r="C31" i="1"/>
  <c r="C4" i="1"/>
  <c r="C5" i="1"/>
  <c r="C6" i="1"/>
  <c r="C7" i="1"/>
  <c r="C8" i="1"/>
  <c r="C9" i="1"/>
  <c r="C11" i="1"/>
  <c r="C12" i="1"/>
  <c r="C13" i="1"/>
  <c r="C14" i="1"/>
  <c r="C16" i="1"/>
  <c r="C17" i="1"/>
  <c r="C15" i="1"/>
  <c r="C18" i="1"/>
  <c r="C19" i="1"/>
  <c r="C20" i="1"/>
  <c r="C23" i="1"/>
  <c r="C24" i="1"/>
  <c r="C25" i="1"/>
  <c r="C26" i="1"/>
  <c r="C27" i="1"/>
  <c r="C21" i="1"/>
  <c r="C22" i="1"/>
  <c r="C10" i="1"/>
  <c r="C28" i="1"/>
  <c r="C29" i="1"/>
  <c r="C30" i="1"/>
  <c r="C3" i="1"/>
  <c r="J2" i="1"/>
</calcChain>
</file>

<file path=xl/sharedStrings.xml><?xml version="1.0" encoding="utf-8"?>
<sst xmlns="http://schemas.openxmlformats.org/spreadsheetml/2006/main" count="149" uniqueCount="115">
  <si>
    <t>summary_notice_id#int</t>
    <phoneticPr fontId="1" type="noConversion"/>
  </si>
  <si>
    <t>通知ID</t>
    <phoneticPr fontId="1" type="noConversion"/>
  </si>
  <si>
    <t>通知阀值</t>
    <phoneticPr fontId="1" type="noConversion"/>
  </si>
  <si>
    <t>threshold#int</t>
    <phoneticPr fontId="1" type="noConversion"/>
  </si>
  <si>
    <t>zh-CN</t>
  </si>
  <si>
    <t>未建造研究台</t>
    <phoneticPr fontId="1" type="noConversion"/>
  </si>
  <si>
    <t>未分配建筑工</t>
    <phoneticPr fontId="1" type="noConversion"/>
  </si>
  <si>
    <t>农田无水灌溉，需建取水点或水井</t>
    <phoneticPr fontId="1" type="noConversion"/>
  </si>
  <si>
    <t>无水酿酒，需建取水点或水井</t>
    <phoneticPr fontId="1" type="noConversion"/>
  </si>
  <si>
    <t>杂工从事采集/搬运/生火/救人等工作，需保持一定数量</t>
    <phoneticPr fontId="1" type="noConversion"/>
  </si>
  <si>
    <t>军营缺少后勤兵</t>
  </si>
  <si>
    <t>通知icon</t>
    <phoneticPr fontId="1" type="noConversion"/>
  </si>
  <si>
    <t>ic#str</t>
    <phoneticPr fontId="1" type="noConversion"/>
  </si>
  <si>
    <t>通知消息中是否显示数值</t>
    <phoneticPr fontId="1" type="noConversion"/>
  </si>
  <si>
    <t>show_num_on_tip_msg#int</t>
    <phoneticPr fontId="1" type="noConversion"/>
  </si>
  <si>
    <t>!tmp</t>
    <phoneticPr fontId="1" type="noConversion"/>
  </si>
  <si>
    <t>JOB_IMPROPER</t>
  </si>
  <si>
    <t>NPC_NO_HOUSE</t>
  </si>
  <si>
    <t>NPC_NO_TOOL</t>
  </si>
  <si>
    <t>NPC_NO_CLOTHES</t>
  </si>
  <si>
    <t>NPC_NO_WORK</t>
  </si>
  <si>
    <t>NPC_COLD</t>
  </si>
  <si>
    <t>NPC_ILL</t>
  </si>
  <si>
    <t>NPC_HUNGER</t>
  </si>
  <si>
    <t>NPC_INNUTRITION</t>
  </si>
  <si>
    <t>STUFF_ON_MAP_COUNT1</t>
  </si>
  <si>
    <t>STUFF_ON_MAP_COUNT2</t>
  </si>
  <si>
    <t>COLLECT_JOB_COUNT1</t>
  </si>
  <si>
    <t>COLLECT_JOB_COUNT2</t>
  </si>
  <si>
    <t>STUFF_ON_MAP_COUNT_OF_BATTLE_DROP</t>
  </si>
  <si>
    <t>NPC_DEAD_BODY_COUNT</t>
  </si>
  <si>
    <t>NPC_NOBLE_SINGLE</t>
  </si>
  <si>
    <t>ANIMAL_NOT_IN_FACILITY</t>
  </si>
  <si>
    <t>FACILITY_NO_RESEARCH_TABLE</t>
  </si>
  <si>
    <t>FACILITY_NO_ARCHITECT</t>
  </si>
  <si>
    <t>FACILITY_LACK_WATER_FOR_FARMLAND</t>
  </si>
  <si>
    <t>FACILITY_LACK_WATER_FOR_TAVERN</t>
  </si>
  <si>
    <t>has_prison_escaping</t>
  </si>
  <si>
    <t>NO_HANDYMAN</t>
  </si>
  <si>
    <t>SPEED_UP_ON_DRY_WEATHER_TO_PICK_UP_STUFF</t>
  </si>
  <si>
    <t>看着满地鱼虾，村民们充满干劲，行动速度 x2</t>
  </si>
  <si>
    <t>缺少床，睡地上 x</t>
  </si>
  <si>
    <t>破烂衣服，不保暖 x</t>
  </si>
  <si>
    <t>人员闲置 x</t>
  </si>
  <si>
    <t>挨饿 x</t>
  </si>
  <si>
    <t>吃生食，消化不良(有患肠胃炎风险) x</t>
    <phoneticPr fontId="1" type="noConversion"/>
  </si>
  <si>
    <t>地面物品 x</t>
    <phoneticPr fontId="1" type="noConversion"/>
  </si>
  <si>
    <t>采集任务 x</t>
  </si>
  <si>
    <t>地面战斗掉落物品 x</t>
  </si>
  <si>
    <t>未收拾的尸体 x</t>
    <phoneticPr fontId="1" type="noConversion"/>
  </si>
  <si>
    <t>单身贵族 x</t>
    <phoneticPr fontId="1" type="noConversion"/>
  </si>
  <si>
    <t>未被牧场圈养的动物 x</t>
    <phoneticPr fontId="1" type="noConversion"/>
  </si>
  <si>
    <t>因幸福度较低(未超60)，而不愿成家 x</t>
    <phoneticPr fontId="1" type="noConversion"/>
  </si>
  <si>
    <t>FAMINE_BREAKS_OUT</t>
    <phoneticPr fontId="1" type="noConversion"/>
  </si>
  <si>
    <t>饥荒爆发,
建筑工忍饥挨饿，加紧建造,
搬运工忍饥挨饿，加紧运输,
渔夫/农夫/采集工加紧生产，并优先享用食物</t>
    <phoneticPr fontId="1" type="noConversion"/>
  </si>
  <si>
    <t>ui_summary_notice_improper</t>
  </si>
  <si>
    <t>ui_summary_notice_no_house</t>
    <phoneticPr fontId="1" type="noConversion"/>
  </si>
  <si>
    <t>ui_summary_notice_no_tools</t>
    <phoneticPr fontId="1" type="noConversion"/>
  </si>
  <si>
    <t>ui_summary_notice_no_clothes</t>
    <phoneticPr fontId="1" type="noConversion"/>
  </si>
  <si>
    <t>ui_summary_notice_npc_no_work</t>
    <phoneticPr fontId="1" type="noConversion"/>
  </si>
  <si>
    <t>ui_summary_notice_cold</t>
    <phoneticPr fontId="1" type="noConversion"/>
  </si>
  <si>
    <t>ui_summary_notice_npc_ill</t>
    <phoneticPr fontId="1" type="noConversion"/>
  </si>
  <si>
    <t>ui_summary_notice_hunger</t>
    <phoneticPr fontId="1" type="noConversion"/>
  </si>
  <si>
    <t>ui_summary_notice_gastroenteritis</t>
    <phoneticPr fontId="1" type="noConversion"/>
  </si>
  <si>
    <t>图标颜色</t>
    <phoneticPr fontId="1" type="noConversion"/>
  </si>
  <si>
    <t>ui_summary_notice_collect</t>
    <phoneticPr fontId="1" type="noConversion"/>
  </si>
  <si>
    <t>gray</t>
    <phoneticPr fontId="1" type="noConversion"/>
  </si>
  <si>
    <t>yellow</t>
    <phoneticPr fontId="1" type="noConversion"/>
  </si>
  <si>
    <t>red</t>
    <phoneticPr fontId="1" type="noConversion"/>
  </si>
  <si>
    <t>ui_summary_notice_stuff</t>
    <phoneticPr fontId="1" type="noConversion"/>
  </si>
  <si>
    <t>ui_summary_notice_stuff_battle</t>
    <phoneticPr fontId="1" type="noConversion"/>
  </si>
  <si>
    <t>ui_summary_notice_dead_body</t>
    <phoneticPr fontId="1" type="noConversion"/>
  </si>
  <si>
    <t>ui_summary_notice_noble</t>
    <phoneticPr fontId="1" type="noConversion"/>
  </si>
  <si>
    <t>ui_summary_notice_animal</t>
    <phoneticPr fontId="1" type="noConversion"/>
  </si>
  <si>
    <t>ui_summary_notice_research</t>
    <phoneticPr fontId="1" type="noConversion"/>
  </si>
  <si>
    <t>ui_summary_notice_build</t>
    <phoneticPr fontId="1" type="noConversion"/>
  </si>
  <si>
    <t>ui_summary_notice_famine</t>
    <phoneticPr fontId="1" type="noConversion"/>
  </si>
  <si>
    <t>ui_summary_notice_watering</t>
    <phoneticPr fontId="1" type="noConversion"/>
  </si>
  <si>
    <t>ui_summary_notice_wine_aking</t>
    <phoneticPr fontId="1" type="noConversion"/>
  </si>
  <si>
    <t>has_npc_not_marry_for_low_happiness</t>
    <phoneticPr fontId="1" type="noConversion"/>
  </si>
  <si>
    <t>ui_summary_notice_has_npc_not_marry</t>
    <phoneticPr fontId="1" type="noConversion"/>
  </si>
  <si>
    <t>囚犯无人看管中 x</t>
    <phoneticPr fontId="1" type="noConversion"/>
  </si>
  <si>
    <t>ui_summary_notice_prisoner</t>
    <phoneticPr fontId="1" type="noConversion"/>
  </si>
  <si>
    <t>得传染病 x</t>
    <phoneticPr fontId="1" type="noConversion"/>
  </si>
  <si>
    <t>has_npc_ill_by_infectious_disease</t>
    <phoneticPr fontId="1" type="noConversion"/>
  </si>
  <si>
    <t>NO_SOLDIER_ORDERLY</t>
    <phoneticPr fontId="1" type="noConversion"/>
  </si>
  <si>
    <t>ui_summary_notice_barracks</t>
    <phoneticPr fontId="1" type="noConversion"/>
  </si>
  <si>
    <t>ui_summary_notice_walk_fast</t>
    <phoneticPr fontId="1" type="noConversion"/>
  </si>
  <si>
    <t>color#str</t>
    <phoneticPr fontId="1" type="noConversion"/>
  </si>
  <si>
    <t>green</t>
    <phoneticPr fontId="1" type="noConversion"/>
  </si>
  <si>
    <t>ui_summary_notice_no_handyman</t>
    <phoneticPr fontId="1" type="noConversion"/>
  </si>
  <si>
    <t>生病 x</t>
    <phoneticPr fontId="1" type="noConversion"/>
  </si>
  <si>
    <t>是否可点击</t>
    <phoneticPr fontId="1" type="noConversion"/>
  </si>
  <si>
    <t>clickable#int</t>
    <phoneticPr fontId="1" type="noConversion"/>
  </si>
  <si>
    <t>threshold_max#int</t>
    <phoneticPr fontId="1" type="noConversion"/>
  </si>
  <si>
    <t>MINE_EMPTY</t>
    <phoneticPr fontId="1" type="noConversion"/>
  </si>
  <si>
    <t>ui_summary_notice_mine_empty</t>
    <phoneticPr fontId="1" type="noConversion"/>
  </si>
  <si>
    <t>矿井已被采空 x</t>
    <phoneticPr fontId="1" type="noConversion"/>
  </si>
  <si>
    <t>NPC_HAS_NO_BELIEF</t>
    <phoneticPr fontId="1" type="noConversion"/>
  </si>
  <si>
    <t>ui_summary_notice_npc_has_no_belief</t>
    <phoneticPr fontId="1" type="noConversion"/>
  </si>
  <si>
    <t>工作岗位超员 x</t>
    <phoneticPr fontId="1" type="noConversion"/>
  </si>
  <si>
    <t>缺少工具，效率低 x</t>
    <phoneticPr fontId="1" type="noConversion"/>
  </si>
  <si>
    <t>挨冻 x</t>
    <phoneticPr fontId="1" type="noConversion"/>
  </si>
  <si>
    <t>捡物品任务繁重，地面物品 x</t>
    <phoneticPr fontId="1" type="noConversion"/>
  </si>
  <si>
    <t>采集任务繁重，采集任务 x</t>
    <phoneticPr fontId="1" type="noConversion"/>
  </si>
  <si>
    <t>无信仰，需建造布道台 x</t>
    <phoneticPr fontId="1" type="noConversion"/>
  </si>
  <si>
    <t>ABANDONED_ENEMY_CAMP</t>
    <phoneticPr fontId="1" type="noConversion"/>
  </si>
  <si>
    <t>ui_summary_notice_abandoned_enemy_camp</t>
    <phoneticPr fontId="1" type="noConversion"/>
  </si>
  <si>
    <t>敌人放弃的营地 x</t>
    <phoneticPr fontId="1" type="noConversion"/>
  </si>
  <si>
    <t>QUARRY_EMPTY</t>
    <phoneticPr fontId="1" type="noConversion"/>
  </si>
  <si>
    <t>ui_summary_notice_quarry_empty</t>
    <phoneticPr fontId="1" type="noConversion"/>
  </si>
  <si>
    <t>采石场已被采空 x</t>
    <phoneticPr fontId="1" type="noConversion"/>
  </si>
  <si>
    <t>NPC_SHOCKED</t>
    <phoneticPr fontId="1" type="noConversion"/>
  </si>
  <si>
    <t>ui_summary_notice_npc_shocked</t>
    <phoneticPr fontId="1" type="noConversion"/>
  </si>
  <si>
    <t>晕倒的居民 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</si>
</sst>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Arial"/>
      <family val="2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0" fillId="0" borderId="1" xfId="0" applyBorder="1"/>
    <xf numFmtId="0" fontId="0" fillId="0" borderId="1" xfId="0" applyBorder="1" applyAlignment="1">
      <alignment horizontal="left"/>
    </xf>
    <xf numFmtId="0" fontId="3" fillId="0" borderId="1" xfId="0" applyFont="1" applyBorder="1" applyAlignment="1">
      <alignment horizontal="left"/>
    </xf>
    <xf numFmtId="0" fontId="0" fillId="0" borderId="1" xfId="0" applyBorder="1" applyAlignment="1">
      <alignment horizontal="left" wrapText="1"/>
    </xf>
  </cellXfs>
  <cellStyles count="2">
    <cellStyle name="常规" xfId="0" builtinId="0"/>
    <cellStyle name="常规 3" xfId="1" xr:uid="{2E265EE9-4444-4258-BD56-AB109B03181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5"/>
  <sheetViews>
    <sheetView tabSelected="1" workbookViewId="0">
      <selection activeCell="N15" sqref="N15"/>
    </sheetView>
  </sheetViews>
  <sheetFormatPr defaultRowHeight="14.25" x14ac:dyDescent="0.2"/>
  <cols>
    <col min="1" max="1" width="23.125" customWidth="1"/>
    <col min="2" max="2" width="4.25" customWidth="1"/>
    <col min="3" max="3" width="4.875" customWidth="1"/>
    <col min="4" max="5" width="13.25" customWidth="1"/>
    <col min="6" max="7" width="12.25" customWidth="1"/>
    <col min="8" max="8" width="35.375" customWidth="1"/>
    <col min="9" max="9" width="12.25" customWidth="1"/>
    <col min="10" max="10" width="43.375" customWidth="1"/>
  </cols>
  <sheetData>
    <row r="1" spans="1:10" x14ac:dyDescent="0.2">
      <c r="A1" s="2" t="s">
        <v>1</v>
      </c>
      <c r="B1" s="2"/>
      <c r="C1" s="2"/>
      <c r="D1" s="2" t="s">
        <v>2</v>
      </c>
      <c r="E1" s="2" t="s">
        <v>2</v>
      </c>
      <c r="F1" s="2" t="s">
        <v>13</v>
      </c>
      <c r="G1" s="2" t="s">
        <v>92</v>
      </c>
      <c r="H1" s="2" t="s">
        <v>11</v>
      </c>
      <c r="I1" s="2" t="s">
        <v>64</v>
      </c>
      <c r="J1" s="1" t="s">
        <v>4</v>
      </c>
    </row>
    <row r="2" spans="1:10" x14ac:dyDescent="0.2">
      <c r="A2" s="2" t="s">
        <v>0</v>
      </c>
      <c r="B2" s="2" t="s">
        <v>15</v>
      </c>
      <c r="C2" s="2" t="s">
        <v>15</v>
      </c>
      <c r="D2" s="2" t="s">
        <v>3</v>
      </c>
      <c r="E2" s="2" t="s">
        <v>94</v>
      </c>
      <c r="F2" s="2" t="s">
        <v>14</v>
      </c>
      <c r="G2" s="2" t="s">
        <v>93</v>
      </c>
      <c r="H2" s="2" t="s">
        <v>12</v>
      </c>
      <c r="I2" s="2" t="s">
        <v>88</v>
      </c>
      <c r="J2" s="2" t="str">
        <f>CONCATENATE("msg_",J1,"#str")</f>
        <v>msg_zh-CN#str</v>
      </c>
    </row>
    <row r="3" spans="1:10" x14ac:dyDescent="0.2">
      <c r="A3" s="2">
        <v>110</v>
      </c>
      <c r="B3" s="2" t="s">
        <v>16</v>
      </c>
      <c r="C3" s="2" t="str">
        <f>CONCATENATE("public const int ",B3," = ",A3,";")</f>
        <v>public const int JOB_IMPROPER = 110;</v>
      </c>
      <c r="D3" s="2">
        <v>0</v>
      </c>
      <c r="E3" s="2">
        <v>0</v>
      </c>
      <c r="F3" s="2">
        <v>1</v>
      </c>
      <c r="G3" s="2">
        <v>1</v>
      </c>
      <c r="H3" s="2" t="s">
        <v>55</v>
      </c>
      <c r="I3" s="2" t="s">
        <v>66</v>
      </c>
      <c r="J3" s="3" t="s">
        <v>100</v>
      </c>
    </row>
    <row r="4" spans="1:10" x14ac:dyDescent="0.2">
      <c r="A4" s="2">
        <v>120</v>
      </c>
      <c r="B4" s="2" t="s">
        <v>17</v>
      </c>
      <c r="C4" s="2" t="str">
        <f t="shared" ref="C4:C33" si="0">CONCATENATE("public const int ",B4," = ",A4,";")</f>
        <v>public const int NPC_NO_HOUSE = 120;</v>
      </c>
      <c r="D4" s="2">
        <v>0</v>
      </c>
      <c r="E4" s="2">
        <v>0</v>
      </c>
      <c r="F4" s="2">
        <v>1</v>
      </c>
      <c r="G4" s="2">
        <v>1</v>
      </c>
      <c r="H4" s="2" t="s">
        <v>56</v>
      </c>
      <c r="I4" s="2" t="s">
        <v>68</v>
      </c>
      <c r="J4" s="3" t="s">
        <v>41</v>
      </c>
    </row>
    <row r="5" spans="1:10" x14ac:dyDescent="0.2">
      <c r="A5" s="2">
        <v>130</v>
      </c>
      <c r="B5" s="2" t="s">
        <v>18</v>
      </c>
      <c r="C5" s="2" t="str">
        <f t="shared" si="0"/>
        <v>public const int NPC_NO_TOOL = 130;</v>
      </c>
      <c r="D5" s="2">
        <v>0</v>
      </c>
      <c r="E5" s="2">
        <v>0</v>
      </c>
      <c r="F5" s="2">
        <v>1</v>
      </c>
      <c r="G5" s="2">
        <v>1</v>
      </c>
      <c r="H5" s="2" t="s">
        <v>57</v>
      </c>
      <c r="I5" s="2" t="s">
        <v>67</v>
      </c>
      <c r="J5" s="3" t="s">
        <v>101</v>
      </c>
    </row>
    <row r="6" spans="1:10" x14ac:dyDescent="0.2">
      <c r="A6" s="2">
        <v>140</v>
      </c>
      <c r="B6" s="2" t="s">
        <v>19</v>
      </c>
      <c r="C6" s="2" t="str">
        <f t="shared" si="0"/>
        <v>public const int NPC_NO_CLOTHES = 140;</v>
      </c>
      <c r="D6" s="2">
        <v>0</v>
      </c>
      <c r="E6" s="2">
        <v>0</v>
      </c>
      <c r="F6" s="2">
        <v>1</v>
      </c>
      <c r="G6" s="2">
        <v>1</v>
      </c>
      <c r="H6" s="2" t="s">
        <v>58</v>
      </c>
      <c r="I6" s="2" t="s">
        <v>67</v>
      </c>
      <c r="J6" s="3" t="s">
        <v>42</v>
      </c>
    </row>
    <row r="7" spans="1:10" x14ac:dyDescent="0.2">
      <c r="A7" s="2">
        <v>150</v>
      </c>
      <c r="B7" s="2" t="s">
        <v>20</v>
      </c>
      <c r="C7" s="2" t="str">
        <f t="shared" si="0"/>
        <v>public const int NPC_NO_WORK = 150;</v>
      </c>
      <c r="D7" s="2">
        <v>0</v>
      </c>
      <c r="E7" s="2">
        <v>0</v>
      </c>
      <c r="F7" s="2">
        <v>1</v>
      </c>
      <c r="G7" s="2">
        <v>1</v>
      </c>
      <c r="H7" s="2" t="s">
        <v>59</v>
      </c>
      <c r="I7" s="2" t="s">
        <v>67</v>
      </c>
      <c r="J7" s="3" t="s">
        <v>43</v>
      </c>
    </row>
    <row r="8" spans="1:10" x14ac:dyDescent="0.2">
      <c r="A8" s="2">
        <v>160</v>
      </c>
      <c r="B8" s="2" t="s">
        <v>21</v>
      </c>
      <c r="C8" s="2" t="str">
        <f t="shared" si="0"/>
        <v>public const int NPC_COLD = 160;</v>
      </c>
      <c r="D8" s="2">
        <v>0</v>
      </c>
      <c r="E8" s="2">
        <v>0</v>
      </c>
      <c r="F8" s="2">
        <v>1</v>
      </c>
      <c r="G8" s="2">
        <v>1</v>
      </c>
      <c r="H8" s="2" t="s">
        <v>60</v>
      </c>
      <c r="I8" s="2" t="s">
        <v>68</v>
      </c>
      <c r="J8" s="3" t="s">
        <v>102</v>
      </c>
    </row>
    <row r="9" spans="1:10" x14ac:dyDescent="0.2">
      <c r="A9" s="2">
        <v>170</v>
      </c>
      <c r="B9" s="2" t="s">
        <v>22</v>
      </c>
      <c r="C9" s="2" t="str">
        <f t="shared" si="0"/>
        <v>public const int NPC_ILL = 170;</v>
      </c>
      <c r="D9" s="2">
        <v>0</v>
      </c>
      <c r="E9" s="2">
        <v>0</v>
      </c>
      <c r="F9" s="2">
        <v>1</v>
      </c>
      <c r="G9" s="2">
        <v>1</v>
      </c>
      <c r="H9" s="2" t="s">
        <v>61</v>
      </c>
      <c r="I9" s="2" t="s">
        <v>67</v>
      </c>
      <c r="J9" s="3" t="s">
        <v>91</v>
      </c>
    </row>
    <row r="10" spans="1:10" x14ac:dyDescent="0.2">
      <c r="A10" s="2">
        <v>180</v>
      </c>
      <c r="B10" s="2" t="s">
        <v>84</v>
      </c>
      <c r="C10" s="2" t="str">
        <f>CONCATENATE("public const int ",B10," = ",A10,";")</f>
        <v>public const int has_npc_ill_by_infectious_disease = 180;</v>
      </c>
      <c r="D10" s="2">
        <v>0</v>
      </c>
      <c r="E10" s="2">
        <v>0</v>
      </c>
      <c r="F10" s="2">
        <v>1</v>
      </c>
      <c r="G10" s="2">
        <v>1</v>
      </c>
      <c r="H10" s="2" t="s">
        <v>61</v>
      </c>
      <c r="I10" s="2" t="s">
        <v>68</v>
      </c>
      <c r="J10" s="3" t="s">
        <v>83</v>
      </c>
    </row>
    <row r="11" spans="1:10" x14ac:dyDescent="0.2">
      <c r="A11" s="2">
        <v>190</v>
      </c>
      <c r="B11" s="2" t="s">
        <v>23</v>
      </c>
      <c r="C11" s="2" t="str">
        <f t="shared" si="0"/>
        <v>public const int NPC_HUNGER = 190;</v>
      </c>
      <c r="D11" s="2">
        <v>0</v>
      </c>
      <c r="E11" s="2">
        <v>0</v>
      </c>
      <c r="F11" s="2">
        <v>1</v>
      </c>
      <c r="G11" s="2">
        <v>1</v>
      </c>
      <c r="H11" s="2" t="s">
        <v>62</v>
      </c>
      <c r="I11" s="2" t="s">
        <v>68</v>
      </c>
      <c r="J11" s="3" t="s">
        <v>44</v>
      </c>
    </row>
    <row r="12" spans="1:10" x14ac:dyDescent="0.2">
      <c r="A12" s="2">
        <v>200</v>
      </c>
      <c r="B12" s="2" t="s">
        <v>24</v>
      </c>
      <c r="C12" s="2" t="str">
        <f t="shared" si="0"/>
        <v>public const int NPC_INNUTRITION = 200;</v>
      </c>
      <c r="D12" s="2">
        <v>0</v>
      </c>
      <c r="E12" s="2">
        <v>0</v>
      </c>
      <c r="F12" s="2">
        <v>1</v>
      </c>
      <c r="G12" s="2">
        <v>1</v>
      </c>
      <c r="H12" s="2" t="s">
        <v>63</v>
      </c>
      <c r="I12" s="2" t="s">
        <v>68</v>
      </c>
      <c r="J12" s="3" t="s">
        <v>45</v>
      </c>
    </row>
    <row r="13" spans="1:10" x14ac:dyDescent="0.2">
      <c r="A13" s="2">
        <v>210</v>
      </c>
      <c r="B13" s="2" t="s">
        <v>25</v>
      </c>
      <c r="C13" s="2" t="str">
        <f t="shared" si="0"/>
        <v>public const int STUFF_ON_MAP_COUNT1 = 210;</v>
      </c>
      <c r="D13" s="2">
        <v>50</v>
      </c>
      <c r="E13" s="2">
        <v>200</v>
      </c>
      <c r="F13" s="2">
        <v>1</v>
      </c>
      <c r="G13" s="2">
        <v>1</v>
      </c>
      <c r="H13" s="2" t="s">
        <v>69</v>
      </c>
      <c r="I13" s="2" t="s">
        <v>66</v>
      </c>
      <c r="J13" s="3" t="s">
        <v>46</v>
      </c>
    </row>
    <row r="14" spans="1:10" x14ac:dyDescent="0.2">
      <c r="A14" s="2">
        <v>220</v>
      </c>
      <c r="B14" s="2" t="s">
        <v>26</v>
      </c>
      <c r="C14" s="2" t="str">
        <f t="shared" si="0"/>
        <v>public const int STUFF_ON_MAP_COUNT2 = 220;</v>
      </c>
      <c r="D14" s="2">
        <v>200</v>
      </c>
      <c r="E14" s="2">
        <v>0</v>
      </c>
      <c r="F14" s="2">
        <v>1</v>
      </c>
      <c r="G14" s="2">
        <v>1</v>
      </c>
      <c r="H14" s="2" t="s">
        <v>69</v>
      </c>
      <c r="I14" s="2" t="s">
        <v>67</v>
      </c>
      <c r="J14" s="3" t="s">
        <v>103</v>
      </c>
    </row>
    <row r="15" spans="1:10" x14ac:dyDescent="0.2">
      <c r="A15" s="2">
        <v>230</v>
      </c>
      <c r="B15" s="2" t="s">
        <v>29</v>
      </c>
      <c r="C15" s="2" t="str">
        <f>CONCATENATE("public const int ",B15," = ",A15,";")</f>
        <v>public const int STUFF_ON_MAP_COUNT_OF_BATTLE_DROP = 230;</v>
      </c>
      <c r="D15" s="2">
        <v>50</v>
      </c>
      <c r="E15" s="2">
        <v>0</v>
      </c>
      <c r="F15" s="2">
        <v>1</v>
      </c>
      <c r="G15" s="2">
        <v>1</v>
      </c>
      <c r="H15" s="2" t="s">
        <v>70</v>
      </c>
      <c r="I15" s="2" t="s">
        <v>66</v>
      </c>
      <c r="J15" s="3" t="s">
        <v>48</v>
      </c>
    </row>
    <row r="16" spans="1:10" x14ac:dyDescent="0.2">
      <c r="A16" s="2">
        <v>240</v>
      </c>
      <c r="B16" s="2" t="s">
        <v>27</v>
      </c>
      <c r="C16" s="2" t="str">
        <f t="shared" si="0"/>
        <v>public const int COLLECT_JOB_COUNT1 = 240;</v>
      </c>
      <c r="D16" s="2">
        <v>100</v>
      </c>
      <c r="E16" s="2">
        <v>200</v>
      </c>
      <c r="F16" s="2">
        <v>1</v>
      </c>
      <c r="G16" s="2">
        <v>1</v>
      </c>
      <c r="H16" s="2" t="s">
        <v>65</v>
      </c>
      <c r="I16" s="2" t="s">
        <v>66</v>
      </c>
      <c r="J16" s="3" t="s">
        <v>47</v>
      </c>
    </row>
    <row r="17" spans="1:10" x14ac:dyDescent="0.2">
      <c r="A17" s="2">
        <v>250</v>
      </c>
      <c r="B17" s="2" t="s">
        <v>28</v>
      </c>
      <c r="C17" s="2" t="str">
        <f t="shared" si="0"/>
        <v>public const int COLLECT_JOB_COUNT2 = 250;</v>
      </c>
      <c r="D17" s="2">
        <v>200</v>
      </c>
      <c r="E17" s="2">
        <v>0</v>
      </c>
      <c r="F17" s="2">
        <v>1</v>
      </c>
      <c r="G17" s="2">
        <v>1</v>
      </c>
      <c r="H17" s="2" t="s">
        <v>65</v>
      </c>
      <c r="I17" s="2" t="s">
        <v>67</v>
      </c>
      <c r="J17" s="3" t="s">
        <v>104</v>
      </c>
    </row>
    <row r="18" spans="1:10" x14ac:dyDescent="0.2">
      <c r="A18" s="2">
        <v>260</v>
      </c>
      <c r="B18" s="2" t="s">
        <v>30</v>
      </c>
      <c r="C18" s="2" t="str">
        <f t="shared" si="0"/>
        <v>public const int NPC_DEAD_BODY_COUNT = 260;</v>
      </c>
      <c r="D18" s="2">
        <v>0</v>
      </c>
      <c r="E18" s="2">
        <v>0</v>
      </c>
      <c r="F18" s="2">
        <v>1</v>
      </c>
      <c r="G18" s="2">
        <v>1</v>
      </c>
      <c r="H18" s="2" t="s">
        <v>71</v>
      </c>
      <c r="I18" s="2" t="s">
        <v>66</v>
      </c>
      <c r="J18" s="3" t="s">
        <v>49</v>
      </c>
    </row>
    <row r="19" spans="1:10" x14ac:dyDescent="0.2">
      <c r="A19" s="2">
        <v>270</v>
      </c>
      <c r="B19" s="2" t="s">
        <v>31</v>
      </c>
      <c r="C19" s="2" t="str">
        <f t="shared" si="0"/>
        <v>public const int NPC_NOBLE_SINGLE = 270;</v>
      </c>
      <c r="D19" s="2">
        <v>0</v>
      </c>
      <c r="E19" s="2">
        <v>0</v>
      </c>
      <c r="F19" s="2">
        <v>1</v>
      </c>
      <c r="G19" s="2">
        <v>1</v>
      </c>
      <c r="H19" s="2" t="s">
        <v>72</v>
      </c>
      <c r="I19" s="2" t="s">
        <v>66</v>
      </c>
      <c r="J19" s="3" t="s">
        <v>50</v>
      </c>
    </row>
    <row r="20" spans="1:10" x14ac:dyDescent="0.2">
      <c r="A20" s="2">
        <v>280</v>
      </c>
      <c r="B20" s="2" t="s">
        <v>32</v>
      </c>
      <c r="C20" s="2" t="str">
        <f t="shared" si="0"/>
        <v>public const int ANIMAL_NOT_IN_FACILITY = 280;</v>
      </c>
      <c r="D20" s="2">
        <v>0</v>
      </c>
      <c r="E20" s="2">
        <v>0</v>
      </c>
      <c r="F20" s="2">
        <v>1</v>
      </c>
      <c r="G20" s="2">
        <v>1</v>
      </c>
      <c r="H20" s="2" t="s">
        <v>73</v>
      </c>
      <c r="I20" s="2" t="s">
        <v>66</v>
      </c>
      <c r="J20" s="3" t="s">
        <v>51</v>
      </c>
    </row>
    <row r="21" spans="1:10" x14ac:dyDescent="0.2">
      <c r="A21" s="2">
        <v>290</v>
      </c>
      <c r="B21" s="2" t="s">
        <v>79</v>
      </c>
      <c r="C21" s="2" t="str">
        <f>CONCATENATE("public const int ",B21," = ",A21,";")</f>
        <v>public const int has_npc_not_marry_for_low_happiness = 290;</v>
      </c>
      <c r="D21" s="2">
        <v>0</v>
      </c>
      <c r="E21" s="2">
        <v>0</v>
      </c>
      <c r="F21" s="2">
        <v>1</v>
      </c>
      <c r="G21" s="2">
        <v>1</v>
      </c>
      <c r="H21" s="2" t="s">
        <v>80</v>
      </c>
      <c r="I21" s="2" t="s">
        <v>66</v>
      </c>
      <c r="J21" s="4" t="s">
        <v>52</v>
      </c>
    </row>
    <row r="22" spans="1:10" x14ac:dyDescent="0.2">
      <c r="A22" s="2">
        <v>300</v>
      </c>
      <c r="B22" s="2" t="s">
        <v>37</v>
      </c>
      <c r="C22" s="2" t="str">
        <f>CONCATENATE("public const int ",B22," = ",A22,";")</f>
        <v>public const int has_prison_escaping = 300;</v>
      </c>
      <c r="D22" s="2">
        <v>0</v>
      </c>
      <c r="E22" s="2">
        <v>0</v>
      </c>
      <c r="F22" s="2">
        <v>1</v>
      </c>
      <c r="G22" s="2">
        <v>1</v>
      </c>
      <c r="H22" s="2" t="s">
        <v>82</v>
      </c>
      <c r="I22" s="2" t="s">
        <v>66</v>
      </c>
      <c r="J22" s="3" t="s">
        <v>81</v>
      </c>
    </row>
    <row r="23" spans="1:10" x14ac:dyDescent="0.2">
      <c r="A23" s="2">
        <v>310</v>
      </c>
      <c r="B23" s="2" t="s">
        <v>33</v>
      </c>
      <c r="C23" s="2" t="str">
        <f t="shared" si="0"/>
        <v>public const int FACILITY_NO_RESEARCH_TABLE = 310;</v>
      </c>
      <c r="D23" s="2">
        <v>0</v>
      </c>
      <c r="E23" s="2">
        <v>0</v>
      </c>
      <c r="F23" s="2">
        <v>0</v>
      </c>
      <c r="G23" s="2">
        <v>0</v>
      </c>
      <c r="H23" s="2" t="s">
        <v>74</v>
      </c>
      <c r="I23" s="2" t="s">
        <v>67</v>
      </c>
      <c r="J23" s="3" t="s">
        <v>5</v>
      </c>
    </row>
    <row r="24" spans="1:10" x14ac:dyDescent="0.2">
      <c r="A24" s="2">
        <v>320</v>
      </c>
      <c r="B24" s="2" t="s">
        <v>34</v>
      </c>
      <c r="C24" s="2" t="str">
        <f t="shared" si="0"/>
        <v>public const int FACILITY_NO_ARCHITECT = 320;</v>
      </c>
      <c r="D24" s="2">
        <v>0</v>
      </c>
      <c r="E24" s="2">
        <v>0</v>
      </c>
      <c r="F24" s="2">
        <v>0</v>
      </c>
      <c r="G24" s="2">
        <v>0</v>
      </c>
      <c r="H24" s="2" t="s">
        <v>75</v>
      </c>
      <c r="I24" s="2" t="s">
        <v>67</v>
      </c>
      <c r="J24" s="3" t="s">
        <v>6</v>
      </c>
    </row>
    <row r="25" spans="1:10" ht="57" x14ac:dyDescent="0.2">
      <c r="A25" s="2">
        <v>330</v>
      </c>
      <c r="B25" s="2" t="s">
        <v>53</v>
      </c>
      <c r="C25" s="2" t="str">
        <f t="shared" si="0"/>
        <v>public const int FAMINE_BREAKS_OUT = 330;</v>
      </c>
      <c r="D25" s="2">
        <v>0</v>
      </c>
      <c r="E25" s="2">
        <v>0</v>
      </c>
      <c r="F25" s="2">
        <v>0</v>
      </c>
      <c r="G25" s="2">
        <v>0</v>
      </c>
      <c r="H25" s="2" t="s">
        <v>76</v>
      </c>
      <c r="I25" s="2" t="s">
        <v>67</v>
      </c>
      <c r="J25" s="5" t="s">
        <v>54</v>
      </c>
    </row>
    <row r="26" spans="1:10" x14ac:dyDescent="0.2">
      <c r="A26" s="2">
        <v>340</v>
      </c>
      <c r="B26" s="2" t="s">
        <v>35</v>
      </c>
      <c r="C26" s="2" t="str">
        <f t="shared" si="0"/>
        <v>public const int FACILITY_LACK_WATER_FOR_FARMLAND = 340;</v>
      </c>
      <c r="D26" s="2">
        <v>0</v>
      </c>
      <c r="E26" s="2">
        <v>0</v>
      </c>
      <c r="F26" s="2">
        <v>0</v>
      </c>
      <c r="G26" s="2">
        <v>0</v>
      </c>
      <c r="H26" s="2" t="s">
        <v>77</v>
      </c>
      <c r="I26" s="2" t="s">
        <v>66</v>
      </c>
      <c r="J26" s="3" t="s">
        <v>7</v>
      </c>
    </row>
    <row r="27" spans="1:10" x14ac:dyDescent="0.2">
      <c r="A27" s="2">
        <v>350</v>
      </c>
      <c r="B27" s="2" t="s">
        <v>36</v>
      </c>
      <c r="C27" s="2" t="str">
        <f t="shared" si="0"/>
        <v>public const int FACILITY_LACK_WATER_FOR_TAVERN = 350;</v>
      </c>
      <c r="D27" s="2">
        <v>0</v>
      </c>
      <c r="E27" s="2">
        <v>0</v>
      </c>
      <c r="F27" s="2">
        <v>0</v>
      </c>
      <c r="G27" s="2">
        <v>0</v>
      </c>
      <c r="H27" s="2" t="s">
        <v>78</v>
      </c>
      <c r="I27" s="2" t="s">
        <v>66</v>
      </c>
      <c r="J27" s="3" t="s">
        <v>8</v>
      </c>
    </row>
    <row r="28" spans="1:10" x14ac:dyDescent="0.2">
      <c r="A28" s="2">
        <v>360</v>
      </c>
      <c r="B28" s="2" t="s">
        <v>38</v>
      </c>
      <c r="C28" s="2" t="str">
        <f t="shared" si="0"/>
        <v>public const int NO_HANDYMAN = 360;</v>
      </c>
      <c r="D28" s="2">
        <v>0</v>
      </c>
      <c r="E28" s="2">
        <v>0</v>
      </c>
      <c r="F28" s="2">
        <v>0</v>
      </c>
      <c r="G28" s="2">
        <v>0</v>
      </c>
      <c r="H28" s="2" t="s">
        <v>90</v>
      </c>
      <c r="I28" s="2" t="s">
        <v>68</v>
      </c>
      <c r="J28" s="3" t="s">
        <v>9</v>
      </c>
    </row>
    <row r="29" spans="1:10" x14ac:dyDescent="0.2">
      <c r="A29" s="2">
        <v>370</v>
      </c>
      <c r="B29" s="2" t="s">
        <v>85</v>
      </c>
      <c r="C29" s="2" t="str">
        <f t="shared" si="0"/>
        <v>public const int NO_SOLDIER_ORDERLY = 370;</v>
      </c>
      <c r="D29" s="2">
        <v>0</v>
      </c>
      <c r="E29" s="2">
        <v>0</v>
      </c>
      <c r="F29" s="2">
        <v>0</v>
      </c>
      <c r="G29" s="2">
        <v>0</v>
      </c>
      <c r="H29" s="2" t="s">
        <v>86</v>
      </c>
      <c r="I29" s="2" t="s">
        <v>68</v>
      </c>
      <c r="J29" s="3" t="s">
        <v>10</v>
      </c>
    </row>
    <row r="30" spans="1:10" x14ac:dyDescent="0.2">
      <c r="A30" s="2">
        <v>380</v>
      </c>
      <c r="B30" s="2" t="s">
        <v>39</v>
      </c>
      <c r="C30" s="2" t="str">
        <f t="shared" si="0"/>
        <v>public const int SPEED_UP_ON_DRY_WEATHER_TO_PICK_UP_STUFF = 380;</v>
      </c>
      <c r="D30" s="2">
        <v>0</v>
      </c>
      <c r="E30" s="2">
        <v>0</v>
      </c>
      <c r="F30" s="2">
        <v>0</v>
      </c>
      <c r="G30" s="2">
        <v>0</v>
      </c>
      <c r="H30" s="2" t="s">
        <v>87</v>
      </c>
      <c r="I30" s="2" t="s">
        <v>89</v>
      </c>
      <c r="J30" s="3" t="s">
        <v>40</v>
      </c>
    </row>
    <row r="31" spans="1:10" x14ac:dyDescent="0.2">
      <c r="A31" s="2">
        <v>390</v>
      </c>
      <c r="B31" s="2" t="s">
        <v>95</v>
      </c>
      <c r="C31" s="2" t="str">
        <f t="shared" si="0"/>
        <v>public const int MINE_EMPTY = 390;</v>
      </c>
      <c r="D31" s="2">
        <v>0</v>
      </c>
      <c r="E31" s="2">
        <v>0</v>
      </c>
      <c r="F31" s="2">
        <v>1</v>
      </c>
      <c r="G31" s="2">
        <v>1</v>
      </c>
      <c r="H31" s="2" t="s">
        <v>96</v>
      </c>
      <c r="I31" s="2" t="s">
        <v>66</v>
      </c>
      <c r="J31" s="3" t="s">
        <v>97</v>
      </c>
    </row>
    <row r="32" spans="1:10" x14ac:dyDescent="0.2">
      <c r="A32" s="2">
        <v>400</v>
      </c>
      <c r="B32" s="2" t="s">
        <v>98</v>
      </c>
      <c r="C32" s="2" t="str">
        <f t="shared" si="0"/>
        <v>public const int NPC_HAS_NO_BELIEF = 400;</v>
      </c>
      <c r="D32" s="2">
        <v>0</v>
      </c>
      <c r="E32" s="2">
        <v>0</v>
      </c>
      <c r="F32" s="2">
        <v>1</v>
      </c>
      <c r="G32" s="2">
        <v>1</v>
      </c>
      <c r="H32" s="2" t="s">
        <v>99</v>
      </c>
      <c r="I32" s="2" t="s">
        <v>66</v>
      </c>
      <c r="J32" s="3" t="s">
        <v>105</v>
      </c>
    </row>
    <row r="33" spans="1:10" x14ac:dyDescent="0.2">
      <c r="A33" s="2">
        <v>410</v>
      </c>
      <c r="B33" s="2" t="s">
        <v>106</v>
      </c>
      <c r="C33" s="2" t="str">
        <f t="shared" si="0"/>
        <v>public const int ABANDONED_ENEMY_CAMP = 410;</v>
      </c>
      <c r="D33" s="2">
        <v>0</v>
      </c>
      <c r="E33" s="2">
        <v>0</v>
      </c>
      <c r="F33" s="2">
        <v>1</v>
      </c>
      <c r="G33" s="2">
        <v>1</v>
      </c>
      <c r="H33" s="2" t="s">
        <v>107</v>
      </c>
      <c r="I33" s="2" t="s">
        <v>89</v>
      </c>
      <c r="J33" s="3" t="s">
        <v>108</v>
      </c>
    </row>
    <row r="34" spans="1:10" x14ac:dyDescent="0.2">
      <c r="A34" s="2">
        <v>420</v>
      </c>
      <c r="B34" s="2" t="s">
        <v>109</v>
      </c>
      <c r="C34" s="2" t="str">
        <f t="shared" ref="C34:C35" si="1">CONCATENATE("public const int ",B34," = ",A34,";")</f>
        <v>public const int QUARRY_EMPTY = 420;</v>
      </c>
      <c r="D34" s="2">
        <v>0</v>
      </c>
      <c r="E34" s="2">
        <v>0</v>
      </c>
      <c r="F34" s="2">
        <v>1</v>
      </c>
      <c r="G34" s="2">
        <v>1</v>
      </c>
      <c r="H34" s="2" t="s">
        <v>110</v>
      </c>
      <c r="I34" s="2" t="s">
        <v>66</v>
      </c>
      <c r="J34" s="3" t="s">
        <v>111</v>
      </c>
    </row>
    <row r="35" spans="1:10" x14ac:dyDescent="0.2">
      <c r="A35" s="2">
        <v>430</v>
      </c>
      <c r="B35" s="2" t="s">
        <v>112</v>
      </c>
      <c r="C35" s="2" t="str">
        <f t="shared" si="1"/>
        <v>public const int NPC_SHOCKED = 430;</v>
      </c>
      <c r="D35" s="2">
        <v>0</v>
      </c>
      <c r="E35" s="2">
        <v>0</v>
      </c>
      <c r="F35" s="2">
        <v>1</v>
      </c>
      <c r="G35" s="2">
        <v>1</v>
      </c>
      <c r="H35" s="2" t="s">
        <v>113</v>
      </c>
      <c r="I35" s="2" t="s">
        <v>68</v>
      </c>
      <c r="J35" s="3" t="s">
        <v>114</v>
      </c>
    </row>
  </sheetData>
  <phoneticPr fontId="1" type="noConversion"/>
  <conditionalFormatting sqref="F1:G104857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summary_notice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Looming MI</cp:lastModifiedBy>
  <dcterms:created xsi:type="dcterms:W3CDTF">2015-06-05T18:17:20Z</dcterms:created>
  <dcterms:modified xsi:type="dcterms:W3CDTF">2026-01-04T13:57:51Z</dcterms:modified>
</cp:coreProperties>
</file>