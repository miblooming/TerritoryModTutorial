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C81C2CCA-606A-46B1-9CA5-C6B3430CD4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key_name" sheetId="1" r:id="rId1"/>
  </sheets>
  <calcPr calcId="181029"/>
</workbook>
</file>

<file path=xl/calcChain.xml><?xml version="1.0" encoding="utf-8"?>
<calcChain xmlns="http://schemas.openxmlformats.org/spreadsheetml/2006/main">
  <c r="D396" i="1" l="1"/>
  <c r="D395" i="1"/>
  <c r="D389" i="1"/>
  <c r="D390" i="1"/>
  <c r="D391" i="1"/>
  <c r="D392" i="1"/>
  <c r="D393" i="1"/>
  <c r="D394" i="1"/>
  <c r="D388" i="1"/>
  <c r="D387" i="1"/>
  <c r="C387" i="1"/>
  <c r="C359" i="1"/>
  <c r="C358" i="1"/>
  <c r="C357" i="1"/>
  <c r="C339" i="1"/>
  <c r="C338" i="1"/>
  <c r="C337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97" i="1"/>
  <c r="C115" i="1"/>
  <c r="C6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186" i="1"/>
  <c r="D185" i="1"/>
  <c r="D184" i="1"/>
  <c r="D183" i="1"/>
  <c r="D182" i="1"/>
  <c r="D181" i="1"/>
  <c r="D180" i="1"/>
  <c r="D179" i="1"/>
  <c r="D178" i="1"/>
  <c r="D177" i="1"/>
  <c r="D156" i="1"/>
  <c r="D155" i="1"/>
  <c r="D154" i="1"/>
  <c r="D153" i="1"/>
  <c r="D152" i="1"/>
  <c r="D151" i="1"/>
  <c r="D150" i="1"/>
  <c r="D149" i="1"/>
  <c r="D148" i="1"/>
  <c r="D147" i="1"/>
  <c r="D126" i="1"/>
  <c r="D125" i="1"/>
  <c r="D124" i="1"/>
  <c r="D123" i="1"/>
  <c r="D122" i="1"/>
  <c r="D121" i="1"/>
  <c r="D120" i="1"/>
  <c r="D119" i="1"/>
  <c r="D118" i="1"/>
  <c r="D117" i="1"/>
  <c r="D96" i="1"/>
  <c r="D95" i="1"/>
  <c r="C95" i="1"/>
  <c r="D94" i="1"/>
  <c r="D93" i="1"/>
  <c r="D92" i="1"/>
  <c r="C92" i="1"/>
  <c r="D91" i="1"/>
  <c r="D90" i="1"/>
  <c r="D89" i="1"/>
  <c r="D88" i="1"/>
  <c r="D87" i="1"/>
  <c r="C8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C105" i="1"/>
  <c r="D104" i="1"/>
  <c r="D103" i="1"/>
  <c r="D102" i="1"/>
  <c r="D101" i="1"/>
  <c r="D100" i="1"/>
  <c r="D99" i="1"/>
  <c r="D98" i="1"/>
  <c r="D97" i="1"/>
  <c r="D86" i="1"/>
  <c r="D85" i="1"/>
  <c r="C85" i="1"/>
  <c r="D84" i="1"/>
  <c r="D83" i="1"/>
  <c r="D82" i="1"/>
  <c r="C82" i="1"/>
  <c r="D81" i="1"/>
  <c r="D80" i="1"/>
  <c r="D79" i="1"/>
  <c r="D78" i="1"/>
  <c r="D77" i="1"/>
  <c r="C77" i="1"/>
  <c r="D76" i="1"/>
  <c r="C76" i="1"/>
  <c r="D75" i="1"/>
  <c r="C75" i="1"/>
  <c r="D74" i="1"/>
  <c r="D73" i="1"/>
  <c r="D72" i="1"/>
  <c r="C72" i="1"/>
  <c r="D71" i="1"/>
  <c r="C71" i="1"/>
  <c r="D70" i="1"/>
  <c r="C70" i="1"/>
  <c r="D69" i="1"/>
  <c r="C69" i="1"/>
  <c r="D68" i="1"/>
  <c r="C68" i="1"/>
  <c r="D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3" i="1"/>
  <c r="D54" i="1"/>
  <c r="D55" i="1"/>
  <c r="D56" i="1"/>
  <c r="D52" i="1"/>
  <c r="C81" i="1" l="1"/>
  <c r="C80" i="1"/>
  <c r="C91" i="1"/>
  <c r="C74" i="1"/>
  <c r="C73" i="1"/>
  <c r="C112" i="1"/>
  <c r="C127" i="1"/>
  <c r="C86" i="1"/>
  <c r="C102" i="1"/>
  <c r="C79" i="1"/>
  <c r="C78" i="1"/>
  <c r="C107" i="1"/>
  <c r="C117" i="1"/>
  <c r="D51" i="1"/>
  <c r="C51" i="1"/>
  <c r="C137" i="1" l="1"/>
  <c r="C89" i="1"/>
  <c r="C96" i="1"/>
  <c r="C83" i="1"/>
  <c r="C125" i="1"/>
  <c r="C88" i="1"/>
  <c r="C122" i="1"/>
  <c r="C84" i="1"/>
  <c r="C101" i="1"/>
  <c r="C9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" i="1"/>
  <c r="E2" i="1"/>
  <c r="C100" i="1" l="1"/>
  <c r="C94" i="1"/>
  <c r="C98" i="1"/>
  <c r="C93" i="1"/>
  <c r="C111" i="1"/>
  <c r="C135" i="1"/>
  <c r="C99" i="1"/>
  <c r="C132" i="1"/>
  <c r="C106" i="1"/>
  <c r="C147" i="1"/>
  <c r="D50" i="1"/>
  <c r="C116" i="1" l="1"/>
  <c r="C145" i="1"/>
  <c r="C142" i="1"/>
  <c r="C121" i="1"/>
  <c r="C110" i="1"/>
  <c r="C157" i="1"/>
  <c r="C109" i="1"/>
  <c r="C103" i="1"/>
  <c r="C108" i="1"/>
  <c r="C104" i="1"/>
  <c r="D49" i="1"/>
  <c r="D48" i="1"/>
  <c r="C113" i="1" l="1"/>
  <c r="C114" i="1"/>
  <c r="C118" i="1"/>
  <c r="C119" i="1"/>
  <c r="C120" i="1"/>
  <c r="C152" i="1"/>
  <c r="C167" i="1"/>
  <c r="C131" i="1"/>
  <c r="C155" i="1"/>
  <c r="C126" i="1"/>
  <c r="D47" i="1"/>
  <c r="C141" i="1" l="1"/>
  <c r="C177" i="1"/>
  <c r="C136" i="1"/>
  <c r="C165" i="1"/>
  <c r="C162" i="1"/>
  <c r="C129" i="1"/>
  <c r="C130" i="1"/>
  <c r="C128" i="1"/>
  <c r="C124" i="1"/>
  <c r="C123" i="1"/>
  <c r="D46" i="1"/>
  <c r="C134" i="1" l="1"/>
  <c r="C140" i="1"/>
  <c r="C172" i="1"/>
  <c r="C133" i="1"/>
  <c r="C139" i="1"/>
  <c r="C146" i="1"/>
  <c r="C138" i="1"/>
  <c r="C175" i="1"/>
  <c r="C187" i="1"/>
  <c r="C15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3" i="1"/>
  <c r="C156" i="1" l="1"/>
  <c r="C197" i="1"/>
  <c r="C148" i="1"/>
  <c r="C150" i="1"/>
  <c r="C185" i="1"/>
  <c r="C182" i="1"/>
  <c r="C161" i="1"/>
  <c r="C149" i="1"/>
  <c r="C143" i="1"/>
  <c r="C144" i="1"/>
  <c r="C159" i="1" l="1"/>
  <c r="C154" i="1"/>
  <c r="C195" i="1"/>
  <c r="C153" i="1"/>
  <c r="C158" i="1"/>
  <c r="C192" i="1"/>
  <c r="C160" i="1"/>
  <c r="C171" i="1"/>
  <c r="C207" i="1"/>
  <c r="C166" i="1"/>
  <c r="C217" i="1" l="1"/>
  <c r="C202" i="1"/>
  <c r="C181" i="1"/>
  <c r="C205" i="1"/>
  <c r="C176" i="1"/>
  <c r="C170" i="1"/>
  <c r="C168" i="1"/>
  <c r="C163" i="1"/>
  <c r="C164" i="1"/>
  <c r="C169" i="1"/>
  <c r="C178" i="1" l="1"/>
  <c r="C215" i="1"/>
  <c r="C173" i="1"/>
  <c r="C186" i="1"/>
  <c r="C179" i="1"/>
  <c r="C174" i="1"/>
  <c r="C180" i="1"/>
  <c r="C191" i="1"/>
  <c r="C212" i="1"/>
  <c r="C227" i="1"/>
  <c r="C222" i="1" l="1"/>
  <c r="C189" i="1"/>
  <c r="C201" i="1"/>
  <c r="C196" i="1"/>
  <c r="C225" i="1"/>
  <c r="C190" i="1"/>
  <c r="C183" i="1"/>
  <c r="C237" i="1"/>
  <c r="C184" i="1"/>
  <c r="C188" i="1"/>
  <c r="C247" i="1" l="1"/>
  <c r="C206" i="1"/>
  <c r="C194" i="1"/>
  <c r="C211" i="1"/>
  <c r="C200" i="1"/>
  <c r="C199" i="1"/>
  <c r="C198" i="1"/>
  <c r="C193" i="1"/>
  <c r="C235" i="1"/>
  <c r="C232" i="1"/>
  <c r="C209" i="1" l="1"/>
  <c r="C245" i="1"/>
  <c r="C208" i="1"/>
  <c r="C242" i="1"/>
  <c r="C210" i="1"/>
  <c r="C216" i="1"/>
  <c r="C203" i="1"/>
  <c r="C221" i="1"/>
  <c r="C204" i="1"/>
  <c r="C257" i="1"/>
  <c r="C220" i="1" l="1"/>
  <c r="C214" i="1"/>
  <c r="C218" i="1"/>
  <c r="C267" i="1"/>
  <c r="C231" i="1"/>
  <c r="C226" i="1"/>
  <c r="C255" i="1"/>
  <c r="C252" i="1"/>
  <c r="C213" i="1"/>
  <c r="C219" i="1"/>
  <c r="C236" i="1" l="1"/>
  <c r="C229" i="1"/>
  <c r="C262" i="1"/>
  <c r="C277" i="1"/>
  <c r="C224" i="1"/>
  <c r="C230" i="1"/>
  <c r="C223" i="1"/>
  <c r="C265" i="1"/>
  <c r="C241" i="1"/>
  <c r="C228" i="1"/>
  <c r="C275" i="1" l="1"/>
  <c r="C238" i="1"/>
  <c r="C251" i="1"/>
  <c r="C239" i="1"/>
  <c r="C233" i="1"/>
  <c r="C234" i="1"/>
  <c r="C272" i="1"/>
  <c r="C240" i="1"/>
  <c r="C287" i="1"/>
  <c r="C246" i="1"/>
  <c r="C297" i="1" l="1"/>
  <c r="C282" i="1"/>
  <c r="C243" i="1"/>
  <c r="C261" i="1"/>
  <c r="C256" i="1"/>
  <c r="C250" i="1"/>
  <c r="C244" i="1"/>
  <c r="C249" i="1"/>
  <c r="C248" i="1"/>
  <c r="C285" i="1"/>
  <c r="C259" i="1" l="1"/>
  <c r="C260" i="1"/>
  <c r="C295" i="1"/>
  <c r="C254" i="1"/>
  <c r="C266" i="1"/>
  <c r="C258" i="1"/>
  <c r="C271" i="1"/>
  <c r="C253" i="1"/>
  <c r="C292" i="1"/>
  <c r="C307" i="1"/>
  <c r="C263" i="1" l="1"/>
  <c r="C276" i="1"/>
  <c r="C268" i="1"/>
  <c r="C305" i="1"/>
  <c r="C302" i="1"/>
  <c r="C264" i="1"/>
  <c r="C270" i="1"/>
  <c r="C317" i="1"/>
  <c r="C281" i="1"/>
  <c r="C269" i="1"/>
  <c r="C274" i="1" l="1"/>
  <c r="C315" i="1"/>
  <c r="C291" i="1"/>
  <c r="C280" i="1"/>
  <c r="C312" i="1"/>
  <c r="C279" i="1"/>
  <c r="C327" i="1"/>
  <c r="C278" i="1"/>
  <c r="C286" i="1"/>
  <c r="C273" i="1"/>
  <c r="C296" i="1" l="1"/>
  <c r="C288" i="1"/>
  <c r="C347" i="1"/>
  <c r="C322" i="1"/>
  <c r="C283" i="1"/>
  <c r="C289" i="1"/>
  <c r="C290" i="1"/>
  <c r="C301" i="1"/>
  <c r="C325" i="1"/>
  <c r="C284" i="1"/>
  <c r="C299" i="1" l="1"/>
  <c r="C294" i="1"/>
  <c r="C300" i="1"/>
  <c r="C311" i="1"/>
  <c r="C293" i="1"/>
  <c r="C332" i="1"/>
  <c r="C335" i="1"/>
  <c r="C298" i="1"/>
  <c r="C306" i="1"/>
  <c r="C308" i="1" l="1"/>
  <c r="C316" i="1"/>
  <c r="C342" i="1"/>
  <c r="C352" i="1"/>
  <c r="C321" i="1"/>
  <c r="C310" i="1"/>
  <c r="C355" i="1"/>
  <c r="C345" i="1"/>
  <c r="C303" i="1"/>
  <c r="C304" i="1"/>
  <c r="C309" i="1"/>
  <c r="C314" i="1" l="1"/>
  <c r="C320" i="1"/>
  <c r="C319" i="1"/>
  <c r="C313" i="1"/>
  <c r="C331" i="1"/>
  <c r="C326" i="1"/>
  <c r="C318" i="1"/>
  <c r="C336" i="1" l="1"/>
  <c r="C341" i="1"/>
  <c r="C351" i="1"/>
  <c r="C330" i="1"/>
  <c r="C328" i="1"/>
  <c r="C323" i="1"/>
  <c r="C329" i="1"/>
  <c r="C324" i="1"/>
  <c r="C349" i="1" l="1"/>
  <c r="C334" i="1"/>
  <c r="C350" i="1"/>
  <c r="C340" i="1"/>
  <c r="C333" i="1"/>
  <c r="C348" i="1"/>
  <c r="C356" i="1"/>
  <c r="C346" i="1"/>
  <c r="C343" i="1" l="1"/>
  <c r="C353" i="1"/>
  <c r="C344" i="1"/>
  <c r="C354" i="1"/>
</calcChain>
</file>

<file path=xl/sharedStrings.xml><?xml version="1.0" encoding="utf-8"?>
<sst xmlns="http://schemas.openxmlformats.org/spreadsheetml/2006/main" count="591" uniqueCount="507">
  <si>
    <t>data_key#str</t>
    <phoneticPr fontId="3" type="noConversion"/>
  </si>
  <si>
    <t>字段名称</t>
    <phoneticPr fontId="3" type="noConversion"/>
  </si>
  <si>
    <t>数量字段key</t>
    <phoneticPr fontId="3" type="noConversion"/>
  </si>
  <si>
    <t>年</t>
  </si>
  <si>
    <t>成年人</t>
  </si>
  <si>
    <t>学生</t>
  </si>
  <si>
    <t>儿童</t>
  </si>
  <si>
    <t>家庭</t>
  </si>
  <si>
    <t>date_year</t>
    <phoneticPr fontId="3" type="noConversion"/>
  </si>
  <si>
    <t>date_month</t>
    <phoneticPr fontId="3" type="noConversion"/>
  </si>
  <si>
    <t>people_count</t>
    <phoneticPr fontId="3" type="noConversion"/>
  </si>
  <si>
    <t>people_count_adult</t>
    <phoneticPr fontId="3" type="noConversion"/>
  </si>
  <si>
    <t>people_count_student</t>
    <phoneticPr fontId="3" type="noConversion"/>
  </si>
  <si>
    <t>people_count_child</t>
    <phoneticPr fontId="3" type="noConversion"/>
  </si>
  <si>
    <t>avg_health_percent</t>
    <phoneticPr fontId="3" type="noConversion"/>
  </si>
  <si>
    <t>avg_happiness_percent</t>
    <phoneticPr fontId="3" type="noConversion"/>
  </si>
  <si>
    <t>double_bed</t>
    <phoneticPr fontId="3" type="noConversion"/>
  </si>
  <si>
    <t>single_bed</t>
    <phoneticPr fontId="3" type="noConversion"/>
  </si>
  <si>
    <t>family_count</t>
    <phoneticPr fontId="3" type="noConversion"/>
  </si>
  <si>
    <t>教育率</t>
    <phoneticPr fontId="3" type="noConversion"/>
  </si>
  <si>
    <t>clothes_rate</t>
    <phoneticPr fontId="3" type="noConversion"/>
  </si>
  <si>
    <t>education_rate</t>
    <phoneticPr fontId="3" type="noConversion"/>
  </si>
  <si>
    <t>衣物</t>
    <phoneticPr fontId="3" type="noConversion"/>
  </si>
  <si>
    <t>people_male_age0_count</t>
    <phoneticPr fontId="3" type="noConversion"/>
  </si>
  <si>
    <t>people_male_age10_count</t>
    <phoneticPr fontId="3" type="noConversion"/>
  </si>
  <si>
    <t>people_male_age20_count</t>
  </si>
  <si>
    <t>people_male_age30_count</t>
  </si>
  <si>
    <t>people_male_age40_count</t>
  </si>
  <si>
    <t>people_male_age50_count</t>
  </si>
  <si>
    <t>people_male_age60_count</t>
  </si>
  <si>
    <t>people_male_age70_count</t>
  </si>
  <si>
    <t>people_male_age80_count</t>
  </si>
  <si>
    <t>people_male_age90_count</t>
  </si>
  <si>
    <t>people_age0_count</t>
    <phoneticPr fontId="3" type="noConversion"/>
  </si>
  <si>
    <t>people_age10_count</t>
    <phoneticPr fontId="3" type="noConversion"/>
  </si>
  <si>
    <t>people_age20_count</t>
  </si>
  <si>
    <t>people_age30_count</t>
  </si>
  <si>
    <t>people_age40_count</t>
  </si>
  <si>
    <t>people_age50_count</t>
  </si>
  <si>
    <t>people_age60_count</t>
  </si>
  <si>
    <t>people_age70_count</t>
  </si>
  <si>
    <t>people_age80_count</t>
  </si>
  <si>
    <t>people_age90_count</t>
  </si>
  <si>
    <t>people_female_age0_count</t>
    <phoneticPr fontId="3" type="noConversion"/>
  </si>
  <si>
    <t>people_female_age10_count</t>
    <phoneticPr fontId="3" type="noConversion"/>
  </si>
  <si>
    <t>people_female_age20_count</t>
  </si>
  <si>
    <t>people_female_age30_count</t>
  </si>
  <si>
    <t>people_female_age40_count</t>
  </si>
  <si>
    <t>people_female_age50_count</t>
  </si>
  <si>
    <t>people_female_age60_count</t>
  </si>
  <si>
    <t>people_female_age70_count</t>
  </si>
  <si>
    <t>people_female_age80_count</t>
  </si>
  <si>
    <t>people_female_age90_count</t>
  </si>
  <si>
    <t>平均幸福</t>
    <phoneticPr fontId="3" type="noConversion"/>
  </si>
  <si>
    <t>平均健康</t>
    <phoneticPr fontId="3" type="noConversion"/>
  </si>
  <si>
    <t>总人口</t>
    <phoneticPr fontId="3" type="noConversion"/>
  </si>
  <si>
    <t>字段ID</t>
    <phoneticPr fontId="3" type="noConversion"/>
  </si>
  <si>
    <t>临时</t>
    <phoneticPr fontId="3" type="noConversion"/>
  </si>
  <si>
    <t>!code</t>
    <phoneticPr fontId="3" type="noConversion"/>
  </si>
  <si>
    <r>
      <t>a</t>
    </r>
    <r>
      <rPr>
        <sz val="11"/>
        <color theme="1"/>
        <rFont val="宋体"/>
        <family val="3"/>
        <charset val="134"/>
        <scheme val="minor"/>
      </rPr>
      <t>vg_age</t>
    </r>
    <phoneticPr fontId="3" type="noConversion"/>
  </si>
  <si>
    <t>平均年龄</t>
    <phoneticPr fontId="3" type="noConversion"/>
  </si>
  <si>
    <t>data_id#int</t>
    <phoneticPr fontId="3" type="noConversion"/>
  </si>
  <si>
    <t>平均婚龄</t>
    <phoneticPr fontId="3" type="noConversion"/>
  </si>
  <si>
    <t>avg_marry_age</t>
    <phoneticPr fontId="3" type="noConversion"/>
  </si>
  <si>
    <t>已婚丧偶</t>
  </si>
  <si>
    <r>
      <t>widowe</t>
    </r>
    <r>
      <rPr>
        <sz val="11"/>
        <color theme="1"/>
        <rFont val="宋体"/>
        <family val="3"/>
        <charset val="134"/>
        <scheme val="minor"/>
      </rPr>
      <t>_count</t>
    </r>
    <phoneticPr fontId="3" type="noConversion"/>
  </si>
  <si>
    <t>适龄未婚</t>
    <phoneticPr fontId="3" type="noConversion"/>
  </si>
  <si>
    <r>
      <t>age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appropriate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unmarried</t>
    </r>
    <phoneticPr fontId="3" type="noConversion"/>
  </si>
  <si>
    <r>
      <t>gd</t>
    </r>
    <r>
      <rPr>
        <sz val="11"/>
        <color theme="1"/>
        <rFont val="宋体"/>
        <family val="3"/>
        <charset val="134"/>
        <scheme val="minor"/>
      </rPr>
      <t>p</t>
    </r>
    <phoneticPr fontId="3" type="noConversion"/>
  </si>
  <si>
    <t>生产总值</t>
    <phoneticPr fontId="3" type="noConversion"/>
  </si>
  <si>
    <t>大床</t>
    <phoneticPr fontId="3" type="noConversion"/>
  </si>
  <si>
    <t>小床</t>
    <phoneticPr fontId="3" type="noConversion"/>
  </si>
  <si>
    <t>zh-CN</t>
  </si>
  <si>
    <t>10+</t>
  </si>
  <si>
    <t>20+</t>
  </si>
  <si>
    <t>30+</t>
  </si>
  <si>
    <t>40+</t>
  </si>
  <si>
    <t>50+</t>
  </si>
  <si>
    <t>60+</t>
  </si>
  <si>
    <t>70+</t>
  </si>
  <si>
    <t>80+</t>
  </si>
  <si>
    <t>90+</t>
  </si>
  <si>
    <t>月</t>
    <phoneticPr fontId="3" type="noConversion"/>
  </si>
  <si>
    <t>10-</t>
    <phoneticPr fontId="3" type="noConversion"/>
  </si>
  <si>
    <r>
      <t>hired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worker</t>
    </r>
    <phoneticPr fontId="3" type="noConversion"/>
  </si>
  <si>
    <t>雇工数量</t>
    <phoneticPr fontId="3" type="noConversion"/>
  </si>
  <si>
    <t>债务</t>
    <phoneticPr fontId="3" type="noConversion"/>
  </si>
  <si>
    <t>债务</t>
    <phoneticPr fontId="3" type="noConversion"/>
  </si>
  <si>
    <t>debt</t>
    <phoneticPr fontId="3" type="noConversion"/>
  </si>
  <si>
    <t>10-</t>
  </si>
  <si>
    <t>cumulative_number_of_birth</t>
    <phoneticPr fontId="3" type="noConversion"/>
  </si>
  <si>
    <t>cumulative_number_of_death</t>
    <phoneticPr fontId="3" type="noConversion"/>
  </si>
  <si>
    <t>cumulative_number_of_reception_of_refugees</t>
    <phoneticPr fontId="3" type="noConversion"/>
  </si>
  <si>
    <t>cumulative_number_of_exile</t>
    <phoneticPr fontId="3" type="noConversion"/>
  </si>
  <si>
    <t>累计出生</t>
    <phoneticPr fontId="3" type="noConversion"/>
  </si>
  <si>
    <t>累计死亡</t>
    <phoneticPr fontId="3" type="noConversion"/>
  </si>
  <si>
    <t>累计接收流民</t>
    <phoneticPr fontId="3" type="noConversion"/>
  </si>
  <si>
    <t>累计流放居民</t>
    <phoneticPr fontId="3" type="noConversion"/>
  </si>
  <si>
    <r>
      <t>people_age0_count</t>
    </r>
    <r>
      <rPr>
        <sz val="11"/>
        <color theme="1"/>
        <rFont val="宋体"/>
        <family val="3"/>
        <charset val="134"/>
        <scheme val="minor"/>
      </rPr>
      <t>_0</t>
    </r>
    <phoneticPr fontId="3" type="noConversion"/>
  </si>
  <si>
    <t>people_age10_count_0</t>
  </si>
  <si>
    <t>people_age20_count_0</t>
  </si>
  <si>
    <t>people_age30_count_0</t>
  </si>
  <si>
    <t>people_age40_count_0</t>
  </si>
  <si>
    <t>people_age50_count_0</t>
  </si>
  <si>
    <t>people_age60_count_0</t>
  </si>
  <si>
    <t>people_age70_count_0</t>
  </si>
  <si>
    <t>people_age80_count_0</t>
  </si>
  <si>
    <t>people_age90_count_0</t>
  </si>
  <si>
    <t>people_male_age0_count_0</t>
  </si>
  <si>
    <t>people_male_age10_count_0</t>
  </si>
  <si>
    <t>people_male_age20_count_0</t>
  </si>
  <si>
    <t>people_male_age30_count_0</t>
  </si>
  <si>
    <t>people_male_age40_count_0</t>
  </si>
  <si>
    <t>people_male_age50_count_0</t>
  </si>
  <si>
    <t>people_male_age60_count_0</t>
  </si>
  <si>
    <t>people_male_age70_count_0</t>
  </si>
  <si>
    <t>people_male_age80_count_0</t>
  </si>
  <si>
    <t>people_male_age90_count_0</t>
  </si>
  <si>
    <t>people_female_age0_count_0</t>
  </si>
  <si>
    <t>people_female_age10_count_0</t>
  </si>
  <si>
    <t>people_female_age20_count_0</t>
  </si>
  <si>
    <t>people_female_age30_count_0</t>
  </si>
  <si>
    <t>people_female_age40_count_0</t>
  </si>
  <si>
    <t>people_female_age50_count_0</t>
  </si>
  <si>
    <t>people_female_age60_count_0</t>
  </si>
  <si>
    <t>people_female_age70_count_0</t>
  </si>
  <si>
    <t>people_female_age80_count_0</t>
  </si>
  <si>
    <t>people_female_age90_count_0</t>
  </si>
  <si>
    <t>people_male_age0_count_2</t>
  </si>
  <si>
    <t>people_male_age0_count_3</t>
  </si>
  <si>
    <t>people_male_age0_count_4</t>
  </si>
  <si>
    <t>people_age0_count_1</t>
  </si>
  <si>
    <t>people_age0_count_2</t>
  </si>
  <si>
    <t>people_age0_count_3</t>
  </si>
  <si>
    <t>people_age0_count_4</t>
  </si>
  <si>
    <t>people_age0_count_5</t>
  </si>
  <si>
    <t>people_age0_count_6</t>
  </si>
  <si>
    <t>people_age0_count_7</t>
  </si>
  <si>
    <t>people_age0_count_8</t>
  </si>
  <si>
    <t>people_age0_count_9</t>
  </si>
  <si>
    <t>people_age10_count_1</t>
  </si>
  <si>
    <t>people_age20_count_1</t>
  </si>
  <si>
    <t>people_age30_count_1</t>
  </si>
  <si>
    <t>people_age40_count_1</t>
  </si>
  <si>
    <t>people_age50_count_1</t>
  </si>
  <si>
    <t>people_age60_count_1</t>
  </si>
  <si>
    <t>people_age70_count_1</t>
  </si>
  <si>
    <t>people_age80_count_1</t>
  </si>
  <si>
    <t>people_age90_count_1</t>
  </si>
  <si>
    <t>people_male_age0_count_1</t>
  </si>
  <si>
    <t>people_male_age10_count_1</t>
  </si>
  <si>
    <t>people_male_age20_count_1</t>
  </si>
  <si>
    <t>people_male_age30_count_1</t>
  </si>
  <si>
    <t>people_male_age40_count_1</t>
  </si>
  <si>
    <t>people_male_age50_count_1</t>
  </si>
  <si>
    <t>people_male_age60_count_1</t>
  </si>
  <si>
    <t>people_male_age70_count_1</t>
  </si>
  <si>
    <t>people_male_age80_count_1</t>
  </si>
  <si>
    <t>people_male_age90_count_1</t>
  </si>
  <si>
    <t>people_female_age0_count_1</t>
  </si>
  <si>
    <t>people_female_age10_count_1</t>
  </si>
  <si>
    <t>people_female_age20_count_1</t>
  </si>
  <si>
    <t>people_female_age30_count_1</t>
  </si>
  <si>
    <t>people_female_age40_count_1</t>
  </si>
  <si>
    <t>people_female_age50_count_1</t>
  </si>
  <si>
    <t>people_female_age60_count_1</t>
  </si>
  <si>
    <t>people_female_age70_count_1</t>
  </si>
  <si>
    <t>people_female_age80_count_1</t>
  </si>
  <si>
    <t>people_female_age90_count_1</t>
  </si>
  <si>
    <t>people_age10_count_2</t>
  </si>
  <si>
    <t>people_age20_count_2</t>
  </si>
  <si>
    <t>people_age30_count_2</t>
  </si>
  <si>
    <t>people_age40_count_2</t>
  </si>
  <si>
    <t>people_age50_count_2</t>
  </si>
  <si>
    <t>people_age60_count_2</t>
  </si>
  <si>
    <t>people_age70_count_2</t>
  </si>
  <si>
    <t>people_age80_count_2</t>
  </si>
  <si>
    <t>people_age90_count_2</t>
  </si>
  <si>
    <t>people_male_age10_count_2</t>
  </si>
  <si>
    <t>people_male_age20_count_2</t>
  </si>
  <si>
    <t>people_male_age30_count_2</t>
  </si>
  <si>
    <t>people_male_age40_count_2</t>
  </si>
  <si>
    <t>people_male_age50_count_2</t>
  </si>
  <si>
    <t>people_male_age60_count_2</t>
  </si>
  <si>
    <t>people_male_age70_count_2</t>
  </si>
  <si>
    <t>people_male_age80_count_2</t>
  </si>
  <si>
    <t>people_male_age90_count_2</t>
  </si>
  <si>
    <t>people_female_age0_count_2</t>
  </si>
  <si>
    <t>people_female_age10_count_2</t>
  </si>
  <si>
    <t>people_female_age20_count_2</t>
  </si>
  <si>
    <t>people_female_age30_count_2</t>
  </si>
  <si>
    <t>people_female_age40_count_2</t>
  </si>
  <si>
    <t>people_female_age50_count_2</t>
  </si>
  <si>
    <t>people_female_age60_count_2</t>
  </si>
  <si>
    <t>people_female_age70_count_2</t>
  </si>
  <si>
    <t>people_female_age80_count_2</t>
  </si>
  <si>
    <t>people_female_age90_count_2</t>
  </si>
  <si>
    <t>people_age10_count_3</t>
  </si>
  <si>
    <t>people_age20_count_3</t>
  </si>
  <si>
    <t>people_age30_count_3</t>
  </si>
  <si>
    <t>people_age40_count_3</t>
  </si>
  <si>
    <t>people_age50_count_3</t>
  </si>
  <si>
    <t>people_age60_count_3</t>
  </si>
  <si>
    <t>people_age70_count_3</t>
  </si>
  <si>
    <t>people_age80_count_3</t>
  </si>
  <si>
    <t>people_age90_count_3</t>
  </si>
  <si>
    <t>people_male_age10_count_3</t>
  </si>
  <si>
    <t>people_male_age20_count_3</t>
  </si>
  <si>
    <t>people_male_age30_count_3</t>
  </si>
  <si>
    <t>people_male_age40_count_3</t>
  </si>
  <si>
    <t>people_male_age50_count_3</t>
  </si>
  <si>
    <t>people_male_age60_count_3</t>
  </si>
  <si>
    <t>people_male_age70_count_3</t>
  </si>
  <si>
    <t>people_male_age80_count_3</t>
  </si>
  <si>
    <t>people_male_age90_count_3</t>
  </si>
  <si>
    <t>people_female_age0_count_3</t>
  </si>
  <si>
    <t>people_female_age10_count_3</t>
  </si>
  <si>
    <t>people_female_age20_count_3</t>
  </si>
  <si>
    <t>people_female_age30_count_3</t>
  </si>
  <si>
    <t>people_female_age40_count_3</t>
  </si>
  <si>
    <t>people_female_age50_count_3</t>
  </si>
  <si>
    <t>people_female_age60_count_3</t>
  </si>
  <si>
    <t>people_female_age70_count_3</t>
  </si>
  <si>
    <t>people_female_age80_count_3</t>
  </si>
  <si>
    <t>people_female_age90_count_3</t>
  </si>
  <si>
    <t>people_age10_count_4</t>
  </si>
  <si>
    <t>people_age20_count_4</t>
  </si>
  <si>
    <t>people_age30_count_4</t>
  </si>
  <si>
    <t>people_age40_count_4</t>
  </si>
  <si>
    <t>people_age50_count_4</t>
  </si>
  <si>
    <t>people_age60_count_4</t>
  </si>
  <si>
    <t>people_age70_count_4</t>
  </si>
  <si>
    <t>people_age80_count_4</t>
  </si>
  <si>
    <t>people_age90_count_4</t>
  </si>
  <si>
    <t>people_male_age10_count_4</t>
  </si>
  <si>
    <t>people_male_age20_count_4</t>
  </si>
  <si>
    <t>people_male_age30_count_4</t>
  </si>
  <si>
    <t>people_male_age40_count_4</t>
  </si>
  <si>
    <t>people_male_age50_count_4</t>
  </si>
  <si>
    <t>people_male_age60_count_4</t>
  </si>
  <si>
    <t>people_male_age70_count_4</t>
  </si>
  <si>
    <t>people_male_age80_count_4</t>
  </si>
  <si>
    <t>people_male_age90_count_4</t>
  </si>
  <si>
    <t>people_female_age0_count_4</t>
  </si>
  <si>
    <t>people_female_age10_count_4</t>
  </si>
  <si>
    <t>people_female_age20_count_4</t>
  </si>
  <si>
    <t>people_female_age30_count_4</t>
  </si>
  <si>
    <t>people_female_age40_count_4</t>
  </si>
  <si>
    <t>people_female_age50_count_4</t>
  </si>
  <si>
    <t>people_female_age60_count_4</t>
  </si>
  <si>
    <t>people_female_age70_count_4</t>
  </si>
  <si>
    <t>people_female_age80_count_4</t>
  </si>
  <si>
    <t>people_female_age90_count_4</t>
  </si>
  <si>
    <t>people_age10_count_5</t>
  </si>
  <si>
    <t>people_age20_count_5</t>
  </si>
  <si>
    <t>people_age30_count_5</t>
  </si>
  <si>
    <t>people_age40_count_5</t>
  </si>
  <si>
    <t>people_age50_count_5</t>
  </si>
  <si>
    <t>people_age60_count_5</t>
  </si>
  <si>
    <t>people_age70_count_5</t>
  </si>
  <si>
    <t>people_age80_count_5</t>
  </si>
  <si>
    <t>people_age90_count_5</t>
  </si>
  <si>
    <t>people_male_age0_count_5</t>
  </si>
  <si>
    <t>people_male_age10_count_5</t>
  </si>
  <si>
    <t>people_male_age20_count_5</t>
  </si>
  <si>
    <t>people_male_age30_count_5</t>
  </si>
  <si>
    <t>people_male_age40_count_5</t>
  </si>
  <si>
    <t>people_male_age50_count_5</t>
  </si>
  <si>
    <t>people_male_age60_count_5</t>
  </si>
  <si>
    <t>people_male_age70_count_5</t>
  </si>
  <si>
    <t>people_male_age80_count_5</t>
  </si>
  <si>
    <t>people_male_age90_count_5</t>
  </si>
  <si>
    <t>people_female_age0_count_5</t>
  </si>
  <si>
    <t>people_female_age10_count_5</t>
  </si>
  <si>
    <t>people_female_age20_count_5</t>
  </si>
  <si>
    <t>people_female_age30_count_5</t>
  </si>
  <si>
    <t>people_female_age40_count_5</t>
  </si>
  <si>
    <t>people_female_age50_count_5</t>
  </si>
  <si>
    <t>people_female_age60_count_5</t>
  </si>
  <si>
    <t>people_female_age70_count_5</t>
  </si>
  <si>
    <t>people_female_age80_count_5</t>
  </si>
  <si>
    <t>people_female_age90_count_5</t>
  </si>
  <si>
    <t>people_age10_count_6</t>
  </si>
  <si>
    <t>people_age20_count_6</t>
  </si>
  <si>
    <t>people_age30_count_6</t>
  </si>
  <si>
    <t>people_age40_count_6</t>
  </si>
  <si>
    <t>people_age50_count_6</t>
  </si>
  <si>
    <t>people_age60_count_6</t>
  </si>
  <si>
    <t>people_age70_count_6</t>
  </si>
  <si>
    <t>people_age80_count_6</t>
  </si>
  <si>
    <t>people_age90_count_6</t>
  </si>
  <si>
    <t>people_male_age0_count_6</t>
  </si>
  <si>
    <t>people_male_age10_count_6</t>
  </si>
  <si>
    <t>people_male_age20_count_6</t>
  </si>
  <si>
    <t>people_male_age30_count_6</t>
  </si>
  <si>
    <t>people_male_age40_count_6</t>
  </si>
  <si>
    <t>people_male_age50_count_6</t>
  </si>
  <si>
    <t>people_male_age60_count_6</t>
  </si>
  <si>
    <t>people_male_age70_count_6</t>
  </si>
  <si>
    <t>people_male_age80_count_6</t>
  </si>
  <si>
    <t>people_male_age90_count_6</t>
  </si>
  <si>
    <t>people_female_age0_count_6</t>
  </si>
  <si>
    <t>people_female_age10_count_6</t>
  </si>
  <si>
    <t>people_female_age20_count_6</t>
  </si>
  <si>
    <t>people_female_age30_count_6</t>
  </si>
  <si>
    <t>people_female_age40_count_6</t>
  </si>
  <si>
    <t>people_female_age50_count_6</t>
  </si>
  <si>
    <t>people_female_age60_count_6</t>
  </si>
  <si>
    <t>people_female_age70_count_6</t>
  </si>
  <si>
    <t>people_female_age80_count_6</t>
  </si>
  <si>
    <t>people_female_age90_count_6</t>
  </si>
  <si>
    <t>people_age10_count_7</t>
  </si>
  <si>
    <t>people_age20_count_7</t>
  </si>
  <si>
    <t>people_age30_count_7</t>
  </si>
  <si>
    <t>people_age40_count_7</t>
  </si>
  <si>
    <t>people_age50_count_7</t>
  </si>
  <si>
    <t>people_age60_count_7</t>
  </si>
  <si>
    <t>people_age70_count_7</t>
  </si>
  <si>
    <t>people_age80_count_7</t>
  </si>
  <si>
    <t>people_age90_count_7</t>
  </si>
  <si>
    <t>people_male_age0_count_7</t>
  </si>
  <si>
    <t>people_male_age10_count_7</t>
  </si>
  <si>
    <t>people_male_age20_count_7</t>
  </si>
  <si>
    <t>people_male_age30_count_7</t>
  </si>
  <si>
    <t>people_male_age40_count_7</t>
  </si>
  <si>
    <t>people_male_age50_count_7</t>
  </si>
  <si>
    <t>people_male_age60_count_7</t>
  </si>
  <si>
    <t>people_male_age70_count_7</t>
  </si>
  <si>
    <t>people_male_age80_count_7</t>
  </si>
  <si>
    <t>people_male_age90_count_7</t>
  </si>
  <si>
    <t>people_female_age0_count_7</t>
  </si>
  <si>
    <t>people_female_age10_count_7</t>
  </si>
  <si>
    <t>people_female_age20_count_7</t>
  </si>
  <si>
    <t>people_female_age30_count_7</t>
  </si>
  <si>
    <t>people_female_age40_count_7</t>
  </si>
  <si>
    <t>people_female_age50_count_7</t>
  </si>
  <si>
    <t>people_female_age60_count_7</t>
  </si>
  <si>
    <t>people_female_age70_count_7</t>
  </si>
  <si>
    <t>people_female_age80_count_7</t>
  </si>
  <si>
    <t>people_female_age90_count_7</t>
  </si>
  <si>
    <t>people_age10_count_8</t>
  </si>
  <si>
    <t>people_age20_count_8</t>
  </si>
  <si>
    <t>people_age30_count_8</t>
  </si>
  <si>
    <t>people_age40_count_8</t>
  </si>
  <si>
    <t>people_age50_count_8</t>
  </si>
  <si>
    <t>people_age60_count_8</t>
  </si>
  <si>
    <t>people_age70_count_8</t>
  </si>
  <si>
    <t>people_age80_count_8</t>
  </si>
  <si>
    <t>people_age90_count_8</t>
  </si>
  <si>
    <t>people_male_age0_count_8</t>
  </si>
  <si>
    <t>people_male_age10_count_8</t>
  </si>
  <si>
    <t>people_male_age20_count_8</t>
  </si>
  <si>
    <t>people_male_age30_count_8</t>
  </si>
  <si>
    <t>people_male_age40_count_8</t>
  </si>
  <si>
    <t>people_male_age50_count_8</t>
  </si>
  <si>
    <t>people_male_age60_count_8</t>
  </si>
  <si>
    <t>people_male_age70_count_8</t>
  </si>
  <si>
    <t>people_male_age80_count_8</t>
  </si>
  <si>
    <t>people_male_age90_count_8</t>
  </si>
  <si>
    <t>people_female_age0_count_8</t>
  </si>
  <si>
    <t>people_female_age10_count_8</t>
  </si>
  <si>
    <t>people_female_age20_count_8</t>
  </si>
  <si>
    <t>people_female_age30_count_8</t>
  </si>
  <si>
    <t>people_female_age40_count_8</t>
  </si>
  <si>
    <t>people_female_age50_count_8</t>
  </si>
  <si>
    <t>people_female_age60_count_8</t>
  </si>
  <si>
    <t>people_female_age70_count_8</t>
  </si>
  <si>
    <t>people_female_age80_count_8</t>
  </si>
  <si>
    <t>people_female_age90_count_8</t>
  </si>
  <si>
    <t>people_age10_count_9</t>
  </si>
  <si>
    <t>people_age20_count_9</t>
  </si>
  <si>
    <t>people_age30_count_9</t>
  </si>
  <si>
    <t>people_age40_count_9</t>
  </si>
  <si>
    <t>people_age50_count_9</t>
  </si>
  <si>
    <t>people_age60_count_9</t>
  </si>
  <si>
    <t>people_age70_count_9</t>
  </si>
  <si>
    <t>people_age80_count_9</t>
  </si>
  <si>
    <t>people_age90_count_9</t>
  </si>
  <si>
    <t>people_male_age0_count_9</t>
  </si>
  <si>
    <t>people_male_age10_count_9</t>
  </si>
  <si>
    <t>people_male_age20_count_9</t>
  </si>
  <si>
    <t>people_male_age30_count_9</t>
  </si>
  <si>
    <t>people_male_age40_count_9</t>
  </si>
  <si>
    <t>people_male_age50_count_9</t>
  </si>
  <si>
    <t>people_male_age60_count_9</t>
  </si>
  <si>
    <t>people_male_age70_count_9</t>
  </si>
  <si>
    <t>people_male_age80_count_9</t>
  </si>
  <si>
    <t>people_male_age90_count_9</t>
  </si>
  <si>
    <t>people_female_age0_count_9</t>
  </si>
  <si>
    <t>people_female_age10_count_9</t>
  </si>
  <si>
    <t>people_female_age20_count_9</t>
  </si>
  <si>
    <t>people_female_age30_count_9</t>
  </si>
  <si>
    <t>people_female_age40_count_9</t>
  </si>
  <si>
    <t>people_female_age50_count_9</t>
  </si>
  <si>
    <t>people_female_age60_count_9</t>
  </si>
  <si>
    <t>people_female_age70_count_9</t>
  </si>
  <si>
    <t>people_female_age80_count_9</t>
  </si>
  <si>
    <t>people_female_age90_count_9</t>
  </si>
  <si>
    <t>5-</t>
    <phoneticPr fontId="3" type="noConversion"/>
  </si>
  <si>
    <t>10+</t>
    <phoneticPr fontId="3" type="noConversion"/>
  </si>
  <si>
    <t>15+</t>
  </si>
  <si>
    <t>25+</t>
  </si>
  <si>
    <t>35+</t>
  </si>
  <si>
    <t>45+</t>
  </si>
  <si>
    <t>5+</t>
    <phoneticPr fontId="3" type="noConversion"/>
  </si>
  <si>
    <t>30-</t>
    <phoneticPr fontId="3" type="noConversion"/>
  </si>
  <si>
    <t>20-</t>
    <phoneticPr fontId="3" type="noConversion"/>
  </si>
  <si>
    <t>30+</t>
    <phoneticPr fontId="3" type="noConversion"/>
  </si>
  <si>
    <t>60+</t>
    <phoneticPr fontId="3" type="noConversion"/>
  </si>
  <si>
    <t>120+</t>
  </si>
  <si>
    <t>150+</t>
  </si>
  <si>
    <t>180+</t>
  </si>
  <si>
    <t>210+</t>
  </si>
  <si>
    <t>240+</t>
  </si>
  <si>
    <t>270+</t>
  </si>
  <si>
    <t>20+</t>
    <phoneticPr fontId="3" type="noConversion"/>
  </si>
  <si>
    <t>40+</t>
    <phoneticPr fontId="3" type="noConversion"/>
  </si>
  <si>
    <t>100+</t>
  </si>
  <si>
    <t>140+</t>
  </si>
  <si>
    <t>160+</t>
  </si>
  <si>
    <r>
      <t>people_count_adult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</si>
  <si>
    <r>
      <t>people_count_student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</si>
  <si>
    <r>
      <t>people_count_child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</si>
  <si>
    <r>
      <t>people_count_adult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</si>
  <si>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</si>
  <si>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</si>
  <si>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</si>
  <si>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</si>
  <si>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</si>
  <si>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</si>
  <si>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</si>
  <si>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</si>
  <si>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</si>
  <si>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</si>
  <si>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</si>
  <si>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</si>
  <si>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</si>
  <si>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</si>
  <si>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</si>
  <si>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</si>
  <si>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</si>
  <si>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</si>
  <si>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</si>
  <si>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</si>
  <si>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</si>
  <si>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</si>
  <si>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2"/>
        <scheme val="minor"/>
      </rPr>
      <t/>
    </r>
  </si>
  <si>
    <r>
      <t>people_count_adult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2"/>
        <scheme val="minor"/>
      </rPr>
      <t/>
    </r>
  </si>
  <si>
    <r>
      <t>people_count_student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2"/>
        <scheme val="minor"/>
      </rPr>
      <t/>
    </r>
  </si>
  <si>
    <r>
      <t>people_count_child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2"/>
        <scheme val="minor"/>
      </rPr>
      <t/>
    </r>
  </si>
  <si>
    <t>矮人成年人</t>
    <phoneticPr fontId="3" type="noConversion"/>
  </si>
  <si>
    <t>矮人学生</t>
    <phoneticPr fontId="3" type="noConversion"/>
  </si>
  <si>
    <t>矮人儿童</t>
    <phoneticPr fontId="3" type="noConversion"/>
  </si>
  <si>
    <t>蚁人成年人</t>
    <phoneticPr fontId="3" type="noConversion"/>
  </si>
  <si>
    <t>蚁人学生</t>
    <phoneticPr fontId="3" type="noConversion"/>
  </si>
  <si>
    <t>蚁人儿童</t>
    <phoneticPr fontId="3" type="noConversion"/>
  </si>
  <si>
    <t>鼠人成年人</t>
    <phoneticPr fontId="3" type="noConversion"/>
  </si>
  <si>
    <t>鼠人学生</t>
    <phoneticPr fontId="3" type="noConversion"/>
  </si>
  <si>
    <t>鼠人儿童</t>
    <phoneticPr fontId="3" type="noConversion"/>
  </si>
  <si>
    <t>猫人成年人</t>
    <phoneticPr fontId="3" type="noConversion"/>
  </si>
  <si>
    <t>猫人学生</t>
    <phoneticPr fontId="3" type="noConversion"/>
  </si>
  <si>
    <t>猫人儿童</t>
    <phoneticPr fontId="3" type="noConversion"/>
  </si>
  <si>
    <t>羊人成年人</t>
    <phoneticPr fontId="3" type="noConversion"/>
  </si>
  <si>
    <t>羊人学生</t>
    <phoneticPr fontId="3" type="noConversion"/>
  </si>
  <si>
    <t>羊人儿童</t>
    <phoneticPr fontId="3" type="noConversion"/>
  </si>
  <si>
    <t>狼人成年人</t>
    <phoneticPr fontId="3" type="noConversion"/>
  </si>
  <si>
    <t>狼人学生</t>
    <phoneticPr fontId="3" type="noConversion"/>
  </si>
  <si>
    <t>狼人儿童</t>
    <phoneticPr fontId="3" type="noConversion"/>
  </si>
  <si>
    <t>猪人成年人</t>
    <phoneticPr fontId="3" type="noConversion"/>
  </si>
  <si>
    <t>猪人学生</t>
    <phoneticPr fontId="3" type="noConversion"/>
  </si>
  <si>
    <t>猪人儿童</t>
    <phoneticPr fontId="3" type="noConversion"/>
  </si>
  <si>
    <t>精灵族成年人</t>
    <phoneticPr fontId="3" type="noConversion"/>
  </si>
  <si>
    <t>精灵族学生</t>
    <phoneticPr fontId="3" type="noConversion"/>
  </si>
  <si>
    <t>精灵族儿童</t>
    <phoneticPr fontId="3" type="noConversion"/>
  </si>
  <si>
    <t>三眼人成年人</t>
    <phoneticPr fontId="3" type="noConversion"/>
  </si>
  <si>
    <t>三眼人学生</t>
    <phoneticPr fontId="3" type="noConversion"/>
  </si>
  <si>
    <t>三眼人儿童</t>
    <phoneticPr fontId="3" type="noConversion"/>
  </si>
  <si>
    <t>蜥蜴人成年人</t>
    <phoneticPr fontId="3" type="noConversion"/>
  </si>
  <si>
    <t>蜥蜴人学生</t>
    <phoneticPr fontId="3" type="noConversion"/>
  </si>
  <si>
    <t>蜥蜴人儿童</t>
    <phoneticPr fontId="3" type="noConversion"/>
  </si>
  <si>
    <t>gdp_per_capita</t>
    <phoneticPr fontId="3" type="noConversion"/>
  </si>
  <si>
    <t>人均生产总值</t>
    <phoneticPr fontId="3" type="noConversion"/>
  </si>
  <si>
    <r>
      <t>tr</t>
    </r>
    <r>
      <rPr>
        <sz val="11"/>
        <color theme="1"/>
        <rFont val="宋体"/>
        <family val="3"/>
        <charset val="134"/>
        <scheme val="minor"/>
      </rPr>
      <t>ade_scale</t>
    </r>
    <phoneticPr fontId="3" type="noConversion"/>
  </si>
  <si>
    <t>历史最大贸易规模</t>
  </si>
  <si>
    <t>累计消灭怪物</t>
  </si>
  <si>
    <t>累计消灭怪物</t>
    <phoneticPr fontId="3" type="noConversion"/>
  </si>
  <si>
    <t>累计消灭敌人</t>
  </si>
  <si>
    <t>累计消灭敌人</t>
    <phoneticPr fontId="3" type="noConversion"/>
  </si>
  <si>
    <t>累计抓获俘虏</t>
  </si>
  <si>
    <t>累计抓获俘虏</t>
    <phoneticPr fontId="3" type="noConversion"/>
  </si>
  <si>
    <t>累计骷髅士兵</t>
  </si>
  <si>
    <t>累计骷髅士兵</t>
    <phoneticPr fontId="3" type="noConversion"/>
  </si>
  <si>
    <t>累计矿井挖矿</t>
    <phoneticPr fontId="3" type="noConversion"/>
  </si>
  <si>
    <t>累计地表采集</t>
  </si>
  <si>
    <t>累计地表采集</t>
    <phoneticPr fontId="3" type="noConversion"/>
  </si>
  <si>
    <t>累计挖矿</t>
  </si>
  <si>
    <t>cumulative_number_of_prisoners_captured</t>
  </si>
  <si>
    <t>cumulative_number_of_skeleton_soldiers</t>
  </si>
  <si>
    <t>cumulative_number_of_surface_collections</t>
  </si>
  <si>
    <t>cumulative_number_of_mining</t>
  </si>
  <si>
    <t>累计释放俘虏</t>
    <phoneticPr fontId="3" type="noConversion"/>
  </si>
  <si>
    <t>累计处决俘虏</t>
    <phoneticPr fontId="3" type="noConversion"/>
  </si>
  <si>
    <t>cumulative_number_of_execute_prisoner</t>
    <phoneticPr fontId="3" type="noConversion"/>
  </si>
  <si>
    <t>cumulative_number_of_release_prisoner</t>
    <phoneticPr fontId="3" type="noConversion"/>
  </si>
  <si>
    <t>cumulative_number_of_enemies_killed</t>
    <phoneticPr fontId="3" type="noConversion"/>
  </si>
  <si>
    <t>cumulative_number_of_monsters_killed</t>
    <phoneticPr fontId="3" type="noConversion"/>
  </si>
  <si>
    <t>!data_name#str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</si>
</sst>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right" wrapText="1"/>
    </xf>
    <xf numFmtId="49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left"/>
    </xf>
    <xf numFmtId="176" fontId="0" fillId="0" borderId="1" xfId="0" applyNumberFormat="1" applyBorder="1" applyAlignment="1">
      <alignment horizontal="left" wrapText="1"/>
    </xf>
    <xf numFmtId="176" fontId="0" fillId="0" borderId="0" xfId="0" applyNumberFormat="1" applyAlignment="1">
      <alignment horizontal="left"/>
    </xf>
    <xf numFmtId="176" fontId="4" fillId="0" borderId="1" xfId="0" applyNumberFormat="1" applyFont="1" applyBorder="1" applyAlignment="1">
      <alignment horizontal="left"/>
    </xf>
    <xf numFmtId="176" fontId="4" fillId="0" borderId="1" xfId="0" applyNumberFormat="1" applyFont="1" applyBorder="1" applyAlignment="1">
      <alignment horizontal="left" wrapText="1"/>
    </xf>
    <xf numFmtId="0" fontId="0" fillId="0" borderId="1" xfId="0" applyBorder="1"/>
    <xf numFmtId="49" fontId="4" fillId="0" borderId="2" xfId="0" applyNumberFormat="1" applyFont="1" applyBorder="1"/>
    <xf numFmtId="49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0" fillId="0" borderId="3" xfId="0" applyBorder="1"/>
    <xf numFmtId="0" fontId="5" fillId="2" borderId="1" xfId="0" applyFont="1" applyFill="1" applyBorder="1" applyAlignment="1">
      <alignment vertical="center" wrapText="1"/>
    </xf>
    <xf numFmtId="49" fontId="0" fillId="0" borderId="3" xfId="0" applyNumberFormat="1" applyBorder="1" applyAlignment="1">
      <alignment horizontal="right"/>
    </xf>
    <xf numFmtId="176" fontId="0" fillId="0" borderId="3" xfId="0" applyNumberFormat="1" applyBorder="1" applyAlignment="1">
      <alignment horizontal="left" wrapText="1"/>
    </xf>
    <xf numFmtId="176" fontId="0" fillId="0" borderId="3" xfId="0" applyNumberFormat="1" applyBorder="1" applyAlignment="1">
      <alignment horizontal="left"/>
    </xf>
    <xf numFmtId="0" fontId="4" fillId="0" borderId="3" xfId="0" applyFont="1" applyBorder="1"/>
  </cellXfs>
  <cellStyles count="2">
    <cellStyle name="常规" xfId="0" builtinId="0"/>
    <cellStyle name="常规 2" xfId="1" xr:uid="{DF675477-7E2B-441B-B98E-4C6FB31D7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"/>
  <sheetViews>
    <sheetView tabSelected="1" workbookViewId="0">
      <selection activeCell="K21" sqref="K21"/>
    </sheetView>
  </sheetViews>
  <sheetFormatPr defaultColWidth="9" defaultRowHeight="16.5" x14ac:dyDescent="0.3"/>
  <cols>
    <col min="2" max="2" width="28.5" style="1" customWidth="1"/>
    <col min="3" max="3" width="16.625" style="6" customWidth="1"/>
  </cols>
  <sheetData>
    <row r="1" spans="1:5" ht="12.75" customHeight="1" x14ac:dyDescent="0.15">
      <c r="A1" s="9" t="s">
        <v>56</v>
      </c>
      <c r="B1" s="2" t="s">
        <v>2</v>
      </c>
      <c r="C1" s="4" t="s">
        <v>1</v>
      </c>
      <c r="D1" s="10" t="s">
        <v>57</v>
      </c>
      <c r="E1" s="14" t="s">
        <v>72</v>
      </c>
    </row>
    <row r="2" spans="1:5" ht="14.25" customHeight="1" x14ac:dyDescent="0.15">
      <c r="A2" s="12" t="s">
        <v>61</v>
      </c>
      <c r="B2" s="2" t="s">
        <v>0</v>
      </c>
      <c r="C2" s="7" t="s">
        <v>506</v>
      </c>
      <c r="D2" s="10" t="s">
        <v>58</v>
      </c>
      <c r="E2" s="9" t="str">
        <f>CONCATENATE("data_name_",E1,"#str")</f>
        <v>data_name_zh-CN#str</v>
      </c>
    </row>
    <row r="3" spans="1:5" ht="13.5" x14ac:dyDescent="0.15">
      <c r="A3" s="9">
        <v>10001</v>
      </c>
      <c r="B3" s="3" t="s">
        <v>8</v>
      </c>
      <c r="C3" s="5" t="str">
        <f>E3</f>
        <v>年</v>
      </c>
      <c r="D3" t="str">
        <f>CONCATENATE("public const int ",B3," = ",A3,";")</f>
        <v>public const int date_year = 10001;</v>
      </c>
      <c r="E3" s="5" t="s">
        <v>3</v>
      </c>
    </row>
    <row r="4" spans="1:5" ht="13.5" x14ac:dyDescent="0.15">
      <c r="A4" s="9">
        <v>10002</v>
      </c>
      <c r="B4" s="3" t="s">
        <v>9</v>
      </c>
      <c r="C4" s="5" t="str">
        <f t="shared" ref="C4:C50" si="0">E4</f>
        <v>月</v>
      </c>
      <c r="D4" t="str">
        <f t="shared" ref="D4:D45" si="1">CONCATENATE("public const int ",B4," = ",A4,";")</f>
        <v>public const int date_month = 10002;</v>
      </c>
      <c r="E4" s="8" t="s">
        <v>82</v>
      </c>
    </row>
    <row r="5" spans="1:5" ht="13.5" x14ac:dyDescent="0.15">
      <c r="A5" s="9">
        <v>10003</v>
      </c>
      <c r="B5" s="3" t="s">
        <v>10</v>
      </c>
      <c r="C5" s="5" t="str">
        <f t="shared" si="0"/>
        <v>总人口</v>
      </c>
      <c r="D5" t="str">
        <f t="shared" si="1"/>
        <v>public const int people_count = 10003;</v>
      </c>
      <c r="E5" s="8" t="s">
        <v>55</v>
      </c>
    </row>
    <row r="6" spans="1:5" ht="13.5" x14ac:dyDescent="0.15">
      <c r="A6" s="9">
        <v>10004</v>
      </c>
      <c r="B6" s="3" t="s">
        <v>18</v>
      </c>
      <c r="C6" s="5" t="str">
        <f t="shared" si="0"/>
        <v>家庭</v>
      </c>
      <c r="D6" t="str">
        <f t="shared" si="1"/>
        <v>public const int family_count = 10004;</v>
      </c>
      <c r="E6" s="4" t="s">
        <v>7</v>
      </c>
    </row>
    <row r="7" spans="1:5" ht="13.5" x14ac:dyDescent="0.15">
      <c r="A7" s="9">
        <v>10005</v>
      </c>
      <c r="B7" s="3" t="s">
        <v>11</v>
      </c>
      <c r="C7" s="5" t="str">
        <f t="shared" si="0"/>
        <v>成年人</v>
      </c>
      <c r="D7" t="str">
        <f t="shared" si="1"/>
        <v>public const int people_count_adult = 10005;</v>
      </c>
      <c r="E7" s="4" t="s">
        <v>4</v>
      </c>
    </row>
    <row r="8" spans="1:5" ht="13.5" x14ac:dyDescent="0.15">
      <c r="A8" s="9">
        <v>10006</v>
      </c>
      <c r="B8" s="3" t="s">
        <v>12</v>
      </c>
      <c r="C8" s="5" t="str">
        <f t="shared" si="0"/>
        <v>学生</v>
      </c>
      <c r="D8" t="str">
        <f t="shared" si="1"/>
        <v>public const int people_count_student = 10006;</v>
      </c>
      <c r="E8" s="4" t="s">
        <v>5</v>
      </c>
    </row>
    <row r="9" spans="1:5" ht="13.5" x14ac:dyDescent="0.15">
      <c r="A9" s="9">
        <v>10007</v>
      </c>
      <c r="B9" s="3" t="s">
        <v>13</v>
      </c>
      <c r="C9" s="5" t="str">
        <f t="shared" si="0"/>
        <v>儿童</v>
      </c>
      <c r="D9" t="str">
        <f t="shared" si="1"/>
        <v>public const int people_count_child = 10007;</v>
      </c>
      <c r="E9" s="4" t="s">
        <v>6</v>
      </c>
    </row>
    <row r="10" spans="1:5" ht="13.5" x14ac:dyDescent="0.15">
      <c r="A10" s="9">
        <v>10008</v>
      </c>
      <c r="B10" s="3" t="s">
        <v>15</v>
      </c>
      <c r="C10" s="5" t="str">
        <f t="shared" si="0"/>
        <v>平均幸福</v>
      </c>
      <c r="D10" t="str">
        <f t="shared" si="1"/>
        <v>public const int avg_happiness_percent = 10008;</v>
      </c>
      <c r="E10" s="7" t="s">
        <v>53</v>
      </c>
    </row>
    <row r="11" spans="1:5" ht="13.5" x14ac:dyDescent="0.15">
      <c r="A11" s="9">
        <v>10009</v>
      </c>
      <c r="B11" s="3" t="s">
        <v>14</v>
      </c>
      <c r="C11" s="5" t="str">
        <f t="shared" si="0"/>
        <v>平均健康</v>
      </c>
      <c r="D11" t="str">
        <f t="shared" si="1"/>
        <v>public const int avg_health_percent = 10009;</v>
      </c>
      <c r="E11" s="7" t="s">
        <v>54</v>
      </c>
    </row>
    <row r="12" spans="1:5" ht="13.5" x14ac:dyDescent="0.15">
      <c r="A12" s="9">
        <v>10010</v>
      </c>
      <c r="B12" s="3" t="s">
        <v>16</v>
      </c>
      <c r="C12" s="5" t="str">
        <f t="shared" si="0"/>
        <v>大床</v>
      </c>
      <c r="D12" t="str">
        <f t="shared" si="1"/>
        <v>public const int double_bed = 10010;</v>
      </c>
      <c r="E12" s="7" t="s">
        <v>70</v>
      </c>
    </row>
    <row r="13" spans="1:5" ht="13.5" x14ac:dyDescent="0.15">
      <c r="A13" s="9">
        <v>10011</v>
      </c>
      <c r="B13" s="3" t="s">
        <v>17</v>
      </c>
      <c r="C13" s="5" t="str">
        <f t="shared" si="0"/>
        <v>小床</v>
      </c>
      <c r="D13" t="str">
        <f t="shared" si="1"/>
        <v>public const int single_bed = 10011;</v>
      </c>
      <c r="E13" s="7" t="s">
        <v>71</v>
      </c>
    </row>
    <row r="14" spans="1:5" ht="13.5" x14ac:dyDescent="0.15">
      <c r="A14" s="9">
        <v>10012</v>
      </c>
      <c r="B14" s="3" t="s">
        <v>20</v>
      </c>
      <c r="C14" s="5" t="str">
        <f t="shared" si="0"/>
        <v>衣物</v>
      </c>
      <c r="D14" t="str">
        <f t="shared" si="1"/>
        <v>public const int clothes_rate = 10012;</v>
      </c>
      <c r="E14" s="4" t="s">
        <v>22</v>
      </c>
    </row>
    <row r="15" spans="1:5" ht="13.5" x14ac:dyDescent="0.15">
      <c r="A15" s="9">
        <v>10013</v>
      </c>
      <c r="B15" s="3" t="s">
        <v>21</v>
      </c>
      <c r="C15" s="5" t="str">
        <f t="shared" si="0"/>
        <v>教育率</v>
      </c>
      <c r="D15" t="str">
        <f t="shared" si="1"/>
        <v>public const int education_rate = 10013;</v>
      </c>
      <c r="E15" s="4" t="s">
        <v>19</v>
      </c>
    </row>
    <row r="16" spans="1:5" ht="13.5" x14ac:dyDescent="0.15">
      <c r="A16" s="9">
        <v>10014</v>
      </c>
      <c r="B16" s="3" t="s">
        <v>33</v>
      </c>
      <c r="C16" s="5" t="str">
        <f t="shared" si="0"/>
        <v>10-</v>
      </c>
      <c r="D16" t="str">
        <f t="shared" si="1"/>
        <v>public const int people_age0_count = 10014;</v>
      </c>
      <c r="E16" s="12" t="s">
        <v>83</v>
      </c>
    </row>
    <row r="17" spans="1:5" ht="13.5" x14ac:dyDescent="0.15">
      <c r="A17" s="9">
        <v>10015</v>
      </c>
      <c r="B17" s="3" t="s">
        <v>34</v>
      </c>
      <c r="C17" s="5" t="str">
        <f t="shared" si="0"/>
        <v>10+</v>
      </c>
      <c r="D17" t="str">
        <f t="shared" si="1"/>
        <v>public const int people_age10_count = 10015;</v>
      </c>
      <c r="E17" s="9" t="s">
        <v>73</v>
      </c>
    </row>
    <row r="18" spans="1:5" ht="13.5" x14ac:dyDescent="0.15">
      <c r="A18" s="9">
        <v>10016</v>
      </c>
      <c r="B18" s="3" t="s">
        <v>35</v>
      </c>
      <c r="C18" s="5" t="str">
        <f t="shared" si="0"/>
        <v>20+</v>
      </c>
      <c r="D18" t="str">
        <f t="shared" si="1"/>
        <v>public const int people_age20_count = 10016;</v>
      </c>
      <c r="E18" s="9" t="s">
        <v>74</v>
      </c>
    </row>
    <row r="19" spans="1:5" ht="13.5" x14ac:dyDescent="0.15">
      <c r="A19" s="9">
        <v>10017</v>
      </c>
      <c r="B19" s="3" t="s">
        <v>36</v>
      </c>
      <c r="C19" s="5" t="str">
        <f t="shared" si="0"/>
        <v>30+</v>
      </c>
      <c r="D19" t="str">
        <f t="shared" si="1"/>
        <v>public const int people_age30_count = 10017;</v>
      </c>
      <c r="E19" s="9" t="s">
        <v>75</v>
      </c>
    </row>
    <row r="20" spans="1:5" ht="13.5" x14ac:dyDescent="0.15">
      <c r="A20" s="9">
        <v>10018</v>
      </c>
      <c r="B20" s="3" t="s">
        <v>37</v>
      </c>
      <c r="C20" s="5" t="str">
        <f t="shared" si="0"/>
        <v>40+</v>
      </c>
      <c r="D20" t="str">
        <f t="shared" si="1"/>
        <v>public const int people_age40_count = 10018;</v>
      </c>
      <c r="E20" s="9" t="s">
        <v>76</v>
      </c>
    </row>
    <row r="21" spans="1:5" ht="13.5" x14ac:dyDescent="0.15">
      <c r="A21" s="9">
        <v>10019</v>
      </c>
      <c r="B21" s="3" t="s">
        <v>38</v>
      </c>
      <c r="C21" s="5" t="str">
        <f t="shared" si="0"/>
        <v>50+</v>
      </c>
      <c r="D21" t="str">
        <f t="shared" si="1"/>
        <v>public const int people_age50_count = 10019;</v>
      </c>
      <c r="E21" s="9" t="s">
        <v>77</v>
      </c>
    </row>
    <row r="22" spans="1:5" ht="13.5" x14ac:dyDescent="0.15">
      <c r="A22" s="9">
        <v>10020</v>
      </c>
      <c r="B22" s="3" t="s">
        <v>39</v>
      </c>
      <c r="C22" s="5" t="str">
        <f t="shared" si="0"/>
        <v>60+</v>
      </c>
      <c r="D22" t="str">
        <f t="shared" si="1"/>
        <v>public const int people_age60_count = 10020;</v>
      </c>
      <c r="E22" s="9" t="s">
        <v>78</v>
      </c>
    </row>
    <row r="23" spans="1:5" ht="13.5" x14ac:dyDescent="0.15">
      <c r="A23" s="9">
        <v>10021</v>
      </c>
      <c r="B23" s="3" t="s">
        <v>40</v>
      </c>
      <c r="C23" s="5" t="str">
        <f t="shared" si="0"/>
        <v>70+</v>
      </c>
      <c r="D23" t="str">
        <f t="shared" si="1"/>
        <v>public const int people_age70_count = 10021;</v>
      </c>
      <c r="E23" s="9" t="s">
        <v>79</v>
      </c>
    </row>
    <row r="24" spans="1:5" ht="13.5" x14ac:dyDescent="0.15">
      <c r="A24" s="9">
        <v>10022</v>
      </c>
      <c r="B24" s="3" t="s">
        <v>41</v>
      </c>
      <c r="C24" s="5" t="str">
        <f t="shared" si="0"/>
        <v>80+</v>
      </c>
      <c r="D24" t="str">
        <f t="shared" si="1"/>
        <v>public const int people_age80_count = 10022;</v>
      </c>
      <c r="E24" s="9" t="s">
        <v>80</v>
      </c>
    </row>
    <row r="25" spans="1:5" ht="13.5" x14ac:dyDescent="0.15">
      <c r="A25" s="9">
        <v>10023</v>
      </c>
      <c r="B25" s="3" t="s">
        <v>42</v>
      </c>
      <c r="C25" s="5" t="str">
        <f t="shared" si="0"/>
        <v>90+</v>
      </c>
      <c r="D25" t="str">
        <f t="shared" si="1"/>
        <v>public const int people_age90_count = 10023;</v>
      </c>
      <c r="E25" s="9" t="s">
        <v>81</v>
      </c>
    </row>
    <row r="26" spans="1:5" ht="13.5" x14ac:dyDescent="0.15">
      <c r="A26" s="9">
        <v>10024</v>
      </c>
      <c r="B26" s="3" t="s">
        <v>23</v>
      </c>
      <c r="C26" s="5">
        <f t="shared" si="0"/>
        <v>0</v>
      </c>
      <c r="D26" t="str">
        <f t="shared" si="1"/>
        <v>public const int people_male_age0_count = 10024;</v>
      </c>
      <c r="E26" s="4"/>
    </row>
    <row r="27" spans="1:5" ht="13.5" x14ac:dyDescent="0.15">
      <c r="A27" s="9">
        <v>10025</v>
      </c>
      <c r="B27" s="3" t="s">
        <v>24</v>
      </c>
      <c r="C27" s="5">
        <f t="shared" si="0"/>
        <v>0</v>
      </c>
      <c r="D27" t="str">
        <f t="shared" si="1"/>
        <v>public const int people_male_age10_count = 10025;</v>
      </c>
      <c r="E27" s="4"/>
    </row>
    <row r="28" spans="1:5" ht="13.5" x14ac:dyDescent="0.15">
      <c r="A28" s="9">
        <v>10026</v>
      </c>
      <c r="B28" s="3" t="s">
        <v>25</v>
      </c>
      <c r="C28" s="5">
        <f t="shared" si="0"/>
        <v>0</v>
      </c>
      <c r="D28" t="str">
        <f t="shared" si="1"/>
        <v>public const int people_male_age20_count = 10026;</v>
      </c>
      <c r="E28" s="4"/>
    </row>
    <row r="29" spans="1:5" ht="13.5" x14ac:dyDescent="0.15">
      <c r="A29" s="9">
        <v>10027</v>
      </c>
      <c r="B29" s="3" t="s">
        <v>26</v>
      </c>
      <c r="C29" s="5">
        <f t="shared" si="0"/>
        <v>0</v>
      </c>
      <c r="D29" t="str">
        <f t="shared" si="1"/>
        <v>public const int people_male_age30_count = 10027;</v>
      </c>
      <c r="E29" s="4"/>
    </row>
    <row r="30" spans="1:5" ht="13.5" x14ac:dyDescent="0.15">
      <c r="A30" s="9">
        <v>10028</v>
      </c>
      <c r="B30" s="3" t="s">
        <v>27</v>
      </c>
      <c r="C30" s="5">
        <f t="shared" si="0"/>
        <v>0</v>
      </c>
      <c r="D30" t="str">
        <f t="shared" si="1"/>
        <v>public const int people_male_age40_count = 10028;</v>
      </c>
      <c r="E30" s="4"/>
    </row>
    <row r="31" spans="1:5" ht="13.5" x14ac:dyDescent="0.15">
      <c r="A31" s="9">
        <v>10029</v>
      </c>
      <c r="B31" s="3" t="s">
        <v>28</v>
      </c>
      <c r="C31" s="5">
        <f t="shared" si="0"/>
        <v>0</v>
      </c>
      <c r="D31" t="str">
        <f t="shared" si="1"/>
        <v>public const int people_male_age50_count = 10029;</v>
      </c>
      <c r="E31" s="4"/>
    </row>
    <row r="32" spans="1:5" ht="13.5" x14ac:dyDescent="0.15">
      <c r="A32" s="9">
        <v>10030</v>
      </c>
      <c r="B32" s="3" t="s">
        <v>29</v>
      </c>
      <c r="C32" s="5">
        <f t="shared" si="0"/>
        <v>0</v>
      </c>
      <c r="D32" t="str">
        <f t="shared" si="1"/>
        <v>public const int people_male_age60_count = 10030;</v>
      </c>
      <c r="E32" s="4"/>
    </row>
    <row r="33" spans="1:5" ht="13.5" x14ac:dyDescent="0.15">
      <c r="A33" s="9">
        <v>10031</v>
      </c>
      <c r="B33" s="3" t="s">
        <v>30</v>
      </c>
      <c r="C33" s="5">
        <f t="shared" si="0"/>
        <v>0</v>
      </c>
      <c r="D33" t="str">
        <f t="shared" si="1"/>
        <v>public const int people_male_age70_count = 10031;</v>
      </c>
      <c r="E33" s="4"/>
    </row>
    <row r="34" spans="1:5" ht="13.5" x14ac:dyDescent="0.15">
      <c r="A34" s="9">
        <v>10032</v>
      </c>
      <c r="B34" s="3" t="s">
        <v>31</v>
      </c>
      <c r="C34" s="5">
        <f t="shared" si="0"/>
        <v>0</v>
      </c>
      <c r="D34" t="str">
        <f t="shared" si="1"/>
        <v>public const int people_male_age80_count = 10032;</v>
      </c>
      <c r="E34" s="4"/>
    </row>
    <row r="35" spans="1:5" ht="13.5" x14ac:dyDescent="0.15">
      <c r="A35" s="9">
        <v>10033</v>
      </c>
      <c r="B35" s="3" t="s">
        <v>32</v>
      </c>
      <c r="C35" s="5">
        <f t="shared" si="0"/>
        <v>0</v>
      </c>
      <c r="D35" t="str">
        <f t="shared" si="1"/>
        <v>public const int people_male_age90_count = 10033;</v>
      </c>
      <c r="E35" s="4"/>
    </row>
    <row r="36" spans="1:5" ht="13.5" x14ac:dyDescent="0.15">
      <c r="A36" s="9">
        <v>10034</v>
      </c>
      <c r="B36" s="3" t="s">
        <v>43</v>
      </c>
      <c r="C36" s="5">
        <f t="shared" si="0"/>
        <v>0</v>
      </c>
      <c r="D36" t="str">
        <f t="shared" si="1"/>
        <v>public const int people_female_age0_count = 10034;</v>
      </c>
      <c r="E36" s="4"/>
    </row>
    <row r="37" spans="1:5" ht="13.5" x14ac:dyDescent="0.15">
      <c r="A37" s="9">
        <v>10035</v>
      </c>
      <c r="B37" s="3" t="s">
        <v>44</v>
      </c>
      <c r="C37" s="5">
        <f t="shared" si="0"/>
        <v>0</v>
      </c>
      <c r="D37" t="str">
        <f t="shared" si="1"/>
        <v>public const int people_female_age10_count = 10035;</v>
      </c>
      <c r="E37" s="4"/>
    </row>
    <row r="38" spans="1:5" ht="13.5" x14ac:dyDescent="0.15">
      <c r="A38" s="9">
        <v>10036</v>
      </c>
      <c r="B38" s="3" t="s">
        <v>45</v>
      </c>
      <c r="C38" s="5">
        <f t="shared" si="0"/>
        <v>0</v>
      </c>
      <c r="D38" t="str">
        <f t="shared" si="1"/>
        <v>public const int people_female_age20_count = 10036;</v>
      </c>
      <c r="E38" s="4"/>
    </row>
    <row r="39" spans="1:5" ht="13.5" x14ac:dyDescent="0.15">
      <c r="A39" s="9">
        <v>10037</v>
      </c>
      <c r="B39" s="3" t="s">
        <v>46</v>
      </c>
      <c r="C39" s="5">
        <f t="shared" si="0"/>
        <v>0</v>
      </c>
      <c r="D39" t="str">
        <f t="shared" si="1"/>
        <v>public const int people_female_age30_count = 10037;</v>
      </c>
      <c r="E39" s="4"/>
    </row>
    <row r="40" spans="1:5" ht="13.5" x14ac:dyDescent="0.15">
      <c r="A40" s="9">
        <v>10038</v>
      </c>
      <c r="B40" s="3" t="s">
        <v>47</v>
      </c>
      <c r="C40" s="5">
        <f t="shared" si="0"/>
        <v>0</v>
      </c>
      <c r="D40" t="str">
        <f t="shared" si="1"/>
        <v>public const int people_female_age40_count = 10038;</v>
      </c>
      <c r="E40" s="4"/>
    </row>
    <row r="41" spans="1:5" ht="13.5" x14ac:dyDescent="0.15">
      <c r="A41" s="9">
        <v>10039</v>
      </c>
      <c r="B41" s="3" t="s">
        <v>48</v>
      </c>
      <c r="C41" s="5">
        <f t="shared" si="0"/>
        <v>0</v>
      </c>
      <c r="D41" t="str">
        <f t="shared" si="1"/>
        <v>public const int people_female_age50_count = 10039;</v>
      </c>
      <c r="E41" s="4"/>
    </row>
    <row r="42" spans="1:5" ht="13.5" x14ac:dyDescent="0.15">
      <c r="A42" s="9">
        <v>10040</v>
      </c>
      <c r="B42" s="3" t="s">
        <v>49</v>
      </c>
      <c r="C42" s="5">
        <f t="shared" si="0"/>
        <v>0</v>
      </c>
      <c r="D42" t="str">
        <f t="shared" si="1"/>
        <v>public const int people_female_age60_count = 10040;</v>
      </c>
      <c r="E42" s="4"/>
    </row>
    <row r="43" spans="1:5" ht="13.5" x14ac:dyDescent="0.15">
      <c r="A43" s="9">
        <v>10041</v>
      </c>
      <c r="B43" s="3" t="s">
        <v>50</v>
      </c>
      <c r="C43" s="5">
        <f t="shared" si="0"/>
        <v>0</v>
      </c>
      <c r="D43" t="str">
        <f t="shared" si="1"/>
        <v>public const int people_female_age70_count = 10041;</v>
      </c>
      <c r="E43" s="4"/>
    </row>
    <row r="44" spans="1:5" ht="13.5" x14ac:dyDescent="0.15">
      <c r="A44" s="9">
        <v>10042</v>
      </c>
      <c r="B44" s="3" t="s">
        <v>51</v>
      </c>
      <c r="C44" s="5">
        <f t="shared" si="0"/>
        <v>0</v>
      </c>
      <c r="D44" t="str">
        <f t="shared" si="1"/>
        <v>public const int people_female_age80_count = 10042;</v>
      </c>
      <c r="E44" s="4"/>
    </row>
    <row r="45" spans="1:5" ht="13.5" x14ac:dyDescent="0.15">
      <c r="A45" s="9">
        <v>10043</v>
      </c>
      <c r="B45" s="15" t="s">
        <v>52</v>
      </c>
      <c r="C45" s="16">
        <f t="shared" si="0"/>
        <v>0</v>
      </c>
      <c r="D45" t="str">
        <f t="shared" si="1"/>
        <v>public const int people_female_age90_count = 10043;</v>
      </c>
      <c r="E45" s="17"/>
    </row>
    <row r="46" spans="1:5" ht="13.5" x14ac:dyDescent="0.15">
      <c r="A46" s="13">
        <v>10044</v>
      </c>
      <c r="B46" s="11" t="s">
        <v>59</v>
      </c>
      <c r="C46" s="5" t="str">
        <f t="shared" si="0"/>
        <v>平均年龄</v>
      </c>
      <c r="D46" s="9" t="str">
        <f t="shared" ref="D46:D86" si="2">CONCATENATE("public const int ",B46," = ",A46,";")</f>
        <v>public const int avg_age = 10044;</v>
      </c>
      <c r="E46" s="7" t="s">
        <v>60</v>
      </c>
    </row>
    <row r="47" spans="1:5" ht="13.5" x14ac:dyDescent="0.15">
      <c r="A47" s="9">
        <v>10045</v>
      </c>
      <c r="B47" s="11" t="s">
        <v>63</v>
      </c>
      <c r="C47" s="5" t="str">
        <f t="shared" si="0"/>
        <v>平均婚龄</v>
      </c>
      <c r="D47" s="9" t="str">
        <f t="shared" si="2"/>
        <v>public const int avg_marry_age = 10045;</v>
      </c>
      <c r="E47" s="7" t="s">
        <v>62</v>
      </c>
    </row>
    <row r="48" spans="1:5" ht="13.5" x14ac:dyDescent="0.15">
      <c r="A48" s="9">
        <v>10046</v>
      </c>
      <c r="B48" s="11" t="s">
        <v>65</v>
      </c>
      <c r="C48" s="5" t="str">
        <f t="shared" si="0"/>
        <v>已婚丧偶</v>
      </c>
      <c r="D48" s="9" t="str">
        <f t="shared" si="2"/>
        <v>public const int widowe_count = 10046;</v>
      </c>
      <c r="E48" s="4" t="s">
        <v>64</v>
      </c>
    </row>
    <row r="49" spans="1:5" ht="13.5" x14ac:dyDescent="0.15">
      <c r="A49" s="9">
        <v>10047</v>
      </c>
      <c r="B49" s="11" t="s">
        <v>67</v>
      </c>
      <c r="C49" s="5" t="str">
        <f t="shared" si="0"/>
        <v>适龄未婚</v>
      </c>
      <c r="D49" s="9" t="str">
        <f t="shared" si="2"/>
        <v>public const int age_appropriate_unmarried = 10047;</v>
      </c>
      <c r="E49" s="7" t="s">
        <v>66</v>
      </c>
    </row>
    <row r="50" spans="1:5" ht="13.5" x14ac:dyDescent="0.15">
      <c r="A50" s="9">
        <v>10048</v>
      </c>
      <c r="B50" s="11" t="s">
        <v>68</v>
      </c>
      <c r="C50" s="5" t="str">
        <f t="shared" si="0"/>
        <v>生产总值</v>
      </c>
      <c r="D50" s="9" t="str">
        <f t="shared" si="2"/>
        <v>public const int gdp = 10048;</v>
      </c>
      <c r="E50" s="7" t="s">
        <v>69</v>
      </c>
    </row>
    <row r="51" spans="1:5" ht="13.5" x14ac:dyDescent="0.15">
      <c r="A51" s="9">
        <v>10049</v>
      </c>
      <c r="B51" s="11" t="s">
        <v>84</v>
      </c>
      <c r="C51" s="5" t="str">
        <f t="shared" ref="C51" si="3">E51</f>
        <v>雇工数量</v>
      </c>
      <c r="D51" s="9" t="str">
        <f t="shared" si="2"/>
        <v>public const int hired_worker = 10049;</v>
      </c>
      <c r="E51" s="7" t="s">
        <v>85</v>
      </c>
    </row>
    <row r="52" spans="1:5" ht="13.5" x14ac:dyDescent="0.15">
      <c r="A52" s="9">
        <v>10050</v>
      </c>
      <c r="B52" s="11" t="s">
        <v>88</v>
      </c>
      <c r="C52" s="7" t="s">
        <v>86</v>
      </c>
      <c r="D52" s="9" t="str">
        <f t="shared" si="2"/>
        <v>public const int debt = 10050;</v>
      </c>
      <c r="E52" s="12" t="s">
        <v>87</v>
      </c>
    </row>
    <row r="53" spans="1:5" ht="13.5" x14ac:dyDescent="0.15">
      <c r="A53" s="9">
        <v>10051</v>
      </c>
      <c r="B53" s="11" t="s">
        <v>90</v>
      </c>
      <c r="C53" s="7" t="s">
        <v>94</v>
      </c>
      <c r="D53" s="9" t="str">
        <f t="shared" si="2"/>
        <v>public const int cumulative_number_of_birth = 10051;</v>
      </c>
      <c r="E53" s="7" t="s">
        <v>94</v>
      </c>
    </row>
    <row r="54" spans="1:5" ht="13.5" x14ac:dyDescent="0.15">
      <c r="A54" s="9">
        <v>10052</v>
      </c>
      <c r="B54" s="11" t="s">
        <v>91</v>
      </c>
      <c r="C54" s="7" t="s">
        <v>95</v>
      </c>
      <c r="D54" s="9" t="str">
        <f t="shared" si="2"/>
        <v>public const int cumulative_number_of_death = 10052;</v>
      </c>
      <c r="E54" s="7" t="s">
        <v>95</v>
      </c>
    </row>
    <row r="55" spans="1:5" ht="13.5" x14ac:dyDescent="0.15">
      <c r="A55" s="9">
        <v>10053</v>
      </c>
      <c r="B55" s="11" t="s">
        <v>92</v>
      </c>
      <c r="C55" s="7" t="s">
        <v>96</v>
      </c>
      <c r="D55" s="9" t="str">
        <f t="shared" si="2"/>
        <v>public const int cumulative_number_of_reception_of_refugees = 10053;</v>
      </c>
      <c r="E55" s="7" t="s">
        <v>96</v>
      </c>
    </row>
    <row r="56" spans="1:5" ht="13.5" x14ac:dyDescent="0.15">
      <c r="A56" s="9">
        <v>10054</v>
      </c>
      <c r="B56" s="11" t="s">
        <v>93</v>
      </c>
      <c r="C56" s="7" t="s">
        <v>97</v>
      </c>
      <c r="D56" s="9" t="str">
        <f t="shared" si="2"/>
        <v>public const int cumulative_number_of_exile = 10054;</v>
      </c>
      <c r="E56" s="7" t="s">
        <v>97</v>
      </c>
    </row>
    <row r="57" spans="1:5" ht="13.5" x14ac:dyDescent="0.15">
      <c r="A57" s="9">
        <v>10055</v>
      </c>
      <c r="B57" s="11" t="s">
        <v>98</v>
      </c>
      <c r="C57" s="5" t="str">
        <f t="shared" ref="C57:C86" si="4">E57</f>
        <v>10-</v>
      </c>
      <c r="D57" t="str">
        <f t="shared" si="2"/>
        <v>public const int people_age0_count_0 = 10055;</v>
      </c>
      <c r="E57" s="12" t="s">
        <v>83</v>
      </c>
    </row>
    <row r="58" spans="1:5" ht="13.5" x14ac:dyDescent="0.15">
      <c r="A58" s="9">
        <v>10056</v>
      </c>
      <c r="B58" s="3" t="s">
        <v>99</v>
      </c>
      <c r="C58" s="5" t="str">
        <f t="shared" si="4"/>
        <v>10+</v>
      </c>
      <c r="D58" t="str">
        <f t="shared" si="2"/>
        <v>public const int people_age10_count_0 = 10056;</v>
      </c>
      <c r="E58" s="9" t="s">
        <v>73</v>
      </c>
    </row>
    <row r="59" spans="1:5" ht="13.5" x14ac:dyDescent="0.15">
      <c r="A59" s="9">
        <v>10057</v>
      </c>
      <c r="B59" s="3" t="s">
        <v>100</v>
      </c>
      <c r="C59" s="5" t="str">
        <f t="shared" si="4"/>
        <v>20+</v>
      </c>
      <c r="D59" t="str">
        <f t="shared" si="2"/>
        <v>public const int people_age20_count_0 = 10057;</v>
      </c>
      <c r="E59" s="9" t="s">
        <v>74</v>
      </c>
    </row>
    <row r="60" spans="1:5" ht="13.5" x14ac:dyDescent="0.15">
      <c r="A60" s="9">
        <v>10058</v>
      </c>
      <c r="B60" s="3" t="s">
        <v>101</v>
      </c>
      <c r="C60" s="5" t="str">
        <f t="shared" si="4"/>
        <v>30+</v>
      </c>
      <c r="D60" t="str">
        <f t="shared" si="2"/>
        <v>public const int people_age30_count_0 = 10058;</v>
      </c>
      <c r="E60" s="9" t="s">
        <v>75</v>
      </c>
    </row>
    <row r="61" spans="1:5" ht="13.5" x14ac:dyDescent="0.15">
      <c r="A61" s="9">
        <v>10059</v>
      </c>
      <c r="B61" s="3" t="s">
        <v>102</v>
      </c>
      <c r="C61" s="5" t="str">
        <f t="shared" si="4"/>
        <v>40+</v>
      </c>
      <c r="D61" t="str">
        <f t="shared" si="2"/>
        <v>public const int people_age40_count_0 = 10059;</v>
      </c>
      <c r="E61" s="9" t="s">
        <v>76</v>
      </c>
    </row>
    <row r="62" spans="1:5" ht="13.5" x14ac:dyDescent="0.15">
      <c r="A62" s="9">
        <v>10060</v>
      </c>
      <c r="B62" s="3" t="s">
        <v>103</v>
      </c>
      <c r="C62" s="5" t="str">
        <f t="shared" si="4"/>
        <v>50+</v>
      </c>
      <c r="D62" t="str">
        <f t="shared" si="2"/>
        <v>public const int people_age50_count_0 = 10060;</v>
      </c>
      <c r="E62" s="9" t="s">
        <v>77</v>
      </c>
    </row>
    <row r="63" spans="1:5" ht="13.5" x14ac:dyDescent="0.15">
      <c r="A63" s="9">
        <v>10061</v>
      </c>
      <c r="B63" s="3" t="s">
        <v>104</v>
      </c>
      <c r="C63" s="5" t="str">
        <f t="shared" si="4"/>
        <v>60+</v>
      </c>
      <c r="D63" t="str">
        <f t="shared" si="2"/>
        <v>public const int people_age60_count_0 = 10061;</v>
      </c>
      <c r="E63" s="9" t="s">
        <v>78</v>
      </c>
    </row>
    <row r="64" spans="1:5" ht="13.5" x14ac:dyDescent="0.15">
      <c r="A64" s="9">
        <v>10062</v>
      </c>
      <c r="B64" s="3" t="s">
        <v>105</v>
      </c>
      <c r="C64" s="5" t="str">
        <f t="shared" si="4"/>
        <v>70+</v>
      </c>
      <c r="D64" t="str">
        <f t="shared" si="2"/>
        <v>public const int people_age70_count_0 = 10062;</v>
      </c>
      <c r="E64" s="9" t="s">
        <v>79</v>
      </c>
    </row>
    <row r="65" spans="1:5" ht="13.5" x14ac:dyDescent="0.15">
      <c r="A65" s="9">
        <v>10063</v>
      </c>
      <c r="B65" s="3" t="s">
        <v>106</v>
      </c>
      <c r="C65" s="5" t="str">
        <f t="shared" si="4"/>
        <v>80+</v>
      </c>
      <c r="D65" t="str">
        <f t="shared" si="2"/>
        <v>public const int people_age80_count_0 = 10063;</v>
      </c>
      <c r="E65" s="9" t="s">
        <v>80</v>
      </c>
    </row>
    <row r="66" spans="1:5" ht="13.5" x14ac:dyDescent="0.15">
      <c r="A66" s="9">
        <v>10064</v>
      </c>
      <c r="B66" s="3" t="s">
        <v>107</v>
      </c>
      <c r="C66" s="5" t="str">
        <f t="shared" si="4"/>
        <v>90+</v>
      </c>
      <c r="D66" t="str">
        <f t="shared" si="2"/>
        <v>public const int people_age90_count_0 = 10064;</v>
      </c>
      <c r="E66" s="9" t="s">
        <v>81</v>
      </c>
    </row>
    <row r="67" spans="1:5" ht="13.5" x14ac:dyDescent="0.15">
      <c r="A67" s="9">
        <v>10065</v>
      </c>
      <c r="B67" s="3" t="s">
        <v>108</v>
      </c>
      <c r="C67" s="5">
        <f t="shared" si="4"/>
        <v>0</v>
      </c>
      <c r="D67" t="str">
        <f t="shared" si="2"/>
        <v>public const int people_male_age0_count_0 = 10065;</v>
      </c>
      <c r="E67" s="7"/>
    </row>
    <row r="68" spans="1:5" ht="13.5" x14ac:dyDescent="0.15">
      <c r="A68" s="9">
        <v>10066</v>
      </c>
      <c r="B68" s="3" t="s">
        <v>109</v>
      </c>
      <c r="C68" s="5">
        <f t="shared" si="4"/>
        <v>0</v>
      </c>
      <c r="D68" t="str">
        <f t="shared" si="2"/>
        <v>public const int people_male_age10_count_0 = 10066;</v>
      </c>
      <c r="E68" s="7"/>
    </row>
    <row r="69" spans="1:5" ht="13.5" x14ac:dyDescent="0.15">
      <c r="A69" s="9">
        <v>10067</v>
      </c>
      <c r="B69" s="3" t="s">
        <v>110</v>
      </c>
      <c r="C69" s="5">
        <f t="shared" si="4"/>
        <v>0</v>
      </c>
      <c r="D69" t="str">
        <f t="shared" si="2"/>
        <v>public const int people_male_age20_count_0 = 10067;</v>
      </c>
      <c r="E69" s="7"/>
    </row>
    <row r="70" spans="1:5" ht="13.5" x14ac:dyDescent="0.15">
      <c r="A70" s="9">
        <v>10068</v>
      </c>
      <c r="B70" s="3" t="s">
        <v>111</v>
      </c>
      <c r="C70" s="5">
        <f t="shared" si="4"/>
        <v>0</v>
      </c>
      <c r="D70" t="str">
        <f t="shared" si="2"/>
        <v>public const int people_male_age30_count_0 = 10068;</v>
      </c>
      <c r="E70" s="7"/>
    </row>
    <row r="71" spans="1:5" ht="13.5" x14ac:dyDescent="0.15">
      <c r="A71" s="9">
        <v>10069</v>
      </c>
      <c r="B71" s="3" t="s">
        <v>112</v>
      </c>
      <c r="C71" s="5">
        <f t="shared" si="4"/>
        <v>0</v>
      </c>
      <c r="D71" t="str">
        <f t="shared" si="2"/>
        <v>public const int people_male_age40_count_0 = 10069;</v>
      </c>
      <c r="E71" s="7"/>
    </row>
    <row r="72" spans="1:5" ht="13.5" x14ac:dyDescent="0.15">
      <c r="A72" s="9">
        <v>10070</v>
      </c>
      <c r="B72" s="3" t="s">
        <v>113</v>
      </c>
      <c r="C72" s="5">
        <f t="shared" si="4"/>
        <v>0</v>
      </c>
      <c r="D72" t="str">
        <f t="shared" si="2"/>
        <v>public const int people_male_age50_count_0 = 10070;</v>
      </c>
      <c r="E72" s="7"/>
    </row>
    <row r="73" spans="1:5" ht="13.5" x14ac:dyDescent="0.15">
      <c r="A73" s="9">
        <v>10071</v>
      </c>
      <c r="B73" s="3" t="s">
        <v>114</v>
      </c>
      <c r="C73" s="5">
        <f t="shared" si="4"/>
        <v>0</v>
      </c>
      <c r="D73" t="str">
        <f t="shared" si="2"/>
        <v>public const int people_male_age60_count_0 = 10071;</v>
      </c>
      <c r="E73" s="7"/>
    </row>
    <row r="74" spans="1:5" ht="13.5" x14ac:dyDescent="0.15">
      <c r="A74" s="9">
        <v>10072</v>
      </c>
      <c r="B74" s="3" t="s">
        <v>115</v>
      </c>
      <c r="C74" s="5">
        <f t="shared" si="4"/>
        <v>0</v>
      </c>
      <c r="D74" t="str">
        <f t="shared" si="2"/>
        <v>public const int people_male_age70_count_0 = 10072;</v>
      </c>
      <c r="E74" s="7"/>
    </row>
    <row r="75" spans="1:5" ht="13.5" x14ac:dyDescent="0.15">
      <c r="A75" s="9">
        <v>10073</v>
      </c>
      <c r="B75" s="3" t="s">
        <v>116</v>
      </c>
      <c r="C75" s="5">
        <f t="shared" si="4"/>
        <v>0</v>
      </c>
      <c r="D75" t="str">
        <f t="shared" si="2"/>
        <v>public const int people_male_age80_count_0 = 10073;</v>
      </c>
      <c r="E75" s="7"/>
    </row>
    <row r="76" spans="1:5" ht="13.5" x14ac:dyDescent="0.15">
      <c r="A76" s="9">
        <v>10074</v>
      </c>
      <c r="B76" s="3" t="s">
        <v>117</v>
      </c>
      <c r="C76" s="5">
        <f t="shared" si="4"/>
        <v>0</v>
      </c>
      <c r="D76" t="str">
        <f t="shared" si="2"/>
        <v>public const int people_male_age90_count_0 = 10074;</v>
      </c>
      <c r="E76" s="7"/>
    </row>
    <row r="77" spans="1:5" ht="13.5" x14ac:dyDescent="0.15">
      <c r="A77" s="9">
        <v>10075</v>
      </c>
      <c r="B77" s="3" t="s">
        <v>118</v>
      </c>
      <c r="C77" s="5">
        <f t="shared" si="4"/>
        <v>0</v>
      </c>
      <c r="D77" t="str">
        <f t="shared" si="2"/>
        <v>public const int people_female_age0_count_0 = 10075;</v>
      </c>
      <c r="E77" s="7"/>
    </row>
    <row r="78" spans="1:5" ht="13.5" x14ac:dyDescent="0.15">
      <c r="A78" s="9">
        <v>10076</v>
      </c>
      <c r="B78" s="3" t="s">
        <v>119</v>
      </c>
      <c r="C78" s="5">
        <f t="shared" si="4"/>
        <v>0</v>
      </c>
      <c r="D78" t="str">
        <f t="shared" si="2"/>
        <v>public const int people_female_age10_count_0 = 10076;</v>
      </c>
      <c r="E78" s="7"/>
    </row>
    <row r="79" spans="1:5" ht="13.5" x14ac:dyDescent="0.15">
      <c r="A79" s="9">
        <v>10077</v>
      </c>
      <c r="B79" s="3" t="s">
        <v>120</v>
      </c>
      <c r="C79" s="5">
        <f t="shared" si="4"/>
        <v>0</v>
      </c>
      <c r="D79" t="str">
        <f t="shared" si="2"/>
        <v>public const int people_female_age20_count_0 = 10077;</v>
      </c>
      <c r="E79" s="7"/>
    </row>
    <row r="80" spans="1:5" ht="13.5" x14ac:dyDescent="0.15">
      <c r="A80" s="9">
        <v>10078</v>
      </c>
      <c r="B80" s="3" t="s">
        <v>121</v>
      </c>
      <c r="C80" s="5">
        <f t="shared" si="4"/>
        <v>0</v>
      </c>
      <c r="D80" t="str">
        <f t="shared" si="2"/>
        <v>public const int people_female_age30_count_0 = 10078;</v>
      </c>
      <c r="E80" s="7"/>
    </row>
    <row r="81" spans="1:5" ht="13.5" x14ac:dyDescent="0.15">
      <c r="A81" s="9">
        <v>10079</v>
      </c>
      <c r="B81" s="3" t="s">
        <v>122</v>
      </c>
      <c r="C81" s="5">
        <f t="shared" si="4"/>
        <v>0</v>
      </c>
      <c r="D81" t="str">
        <f t="shared" si="2"/>
        <v>public const int people_female_age40_count_0 = 10079;</v>
      </c>
      <c r="E81" s="7"/>
    </row>
    <row r="82" spans="1:5" ht="13.5" x14ac:dyDescent="0.15">
      <c r="A82" s="9">
        <v>10080</v>
      </c>
      <c r="B82" s="3" t="s">
        <v>123</v>
      </c>
      <c r="C82" s="5">
        <f t="shared" si="4"/>
        <v>0</v>
      </c>
      <c r="D82" t="str">
        <f t="shared" si="2"/>
        <v>public const int people_female_age50_count_0 = 10080;</v>
      </c>
      <c r="E82" s="7"/>
    </row>
    <row r="83" spans="1:5" ht="13.5" x14ac:dyDescent="0.15">
      <c r="A83" s="9">
        <v>10081</v>
      </c>
      <c r="B83" s="3" t="s">
        <v>124</v>
      </c>
      <c r="C83" s="5">
        <f t="shared" si="4"/>
        <v>0</v>
      </c>
      <c r="D83" t="str">
        <f t="shared" si="2"/>
        <v>public const int people_female_age60_count_0 = 10081;</v>
      </c>
      <c r="E83" s="7"/>
    </row>
    <row r="84" spans="1:5" ht="13.5" x14ac:dyDescent="0.15">
      <c r="A84" s="9">
        <v>10082</v>
      </c>
      <c r="B84" s="3" t="s">
        <v>125</v>
      </c>
      <c r="C84" s="5">
        <f t="shared" si="4"/>
        <v>0</v>
      </c>
      <c r="D84" t="str">
        <f t="shared" si="2"/>
        <v>public const int people_female_age70_count_0 = 10082;</v>
      </c>
      <c r="E84" s="7"/>
    </row>
    <row r="85" spans="1:5" ht="13.5" x14ac:dyDescent="0.15">
      <c r="A85" s="9">
        <v>10083</v>
      </c>
      <c r="B85" s="3" t="s">
        <v>126</v>
      </c>
      <c r="C85" s="5">
        <f t="shared" si="4"/>
        <v>0</v>
      </c>
      <c r="D85" t="str">
        <f t="shared" si="2"/>
        <v>public const int people_female_age80_count_0 = 10083;</v>
      </c>
      <c r="E85" s="7"/>
    </row>
    <row r="86" spans="1:5" ht="13.5" x14ac:dyDescent="0.15">
      <c r="A86" s="9">
        <v>10084</v>
      </c>
      <c r="B86" s="15" t="s">
        <v>127</v>
      </c>
      <c r="C86" s="16">
        <f t="shared" si="4"/>
        <v>0</v>
      </c>
      <c r="D86" t="str">
        <f t="shared" si="2"/>
        <v>public const int people_female_age90_count_0 = 10084;</v>
      </c>
      <c r="E86" s="7"/>
    </row>
    <row r="87" spans="1:5" ht="13.5" x14ac:dyDescent="0.15">
      <c r="A87" s="9">
        <v>10085</v>
      </c>
      <c r="B87" s="11" t="s">
        <v>131</v>
      </c>
      <c r="C87" s="5" t="str">
        <f t="shared" ref="C87:C96" si="5">E87</f>
        <v>5-</v>
      </c>
      <c r="D87" t="str">
        <f t="shared" ref="D87:D96" si="6">CONCATENATE("public const int ",B87," = ",A87,";")</f>
        <v>public const int people_age0_count_1 = 10085;</v>
      </c>
      <c r="E87" s="7" t="s">
        <v>398</v>
      </c>
    </row>
    <row r="88" spans="1:5" ht="13.5" x14ac:dyDescent="0.15">
      <c r="A88" s="9">
        <v>10086</v>
      </c>
      <c r="B88" s="3" t="s">
        <v>140</v>
      </c>
      <c r="C88" s="5" t="str">
        <f t="shared" si="5"/>
        <v>5+</v>
      </c>
      <c r="D88" t="str">
        <f t="shared" si="6"/>
        <v>public const int people_age10_count_1 = 10086;</v>
      </c>
      <c r="E88" s="7" t="s">
        <v>404</v>
      </c>
    </row>
    <row r="89" spans="1:5" ht="13.5" x14ac:dyDescent="0.15">
      <c r="A89" s="9">
        <v>10087</v>
      </c>
      <c r="B89" s="3" t="s">
        <v>141</v>
      </c>
      <c r="C89" s="5" t="str">
        <f t="shared" si="5"/>
        <v>10+</v>
      </c>
      <c r="D89" t="str">
        <f t="shared" si="6"/>
        <v>public const int people_age20_count_1 = 10087;</v>
      </c>
      <c r="E89" s="7" t="s">
        <v>399</v>
      </c>
    </row>
    <row r="90" spans="1:5" ht="13.5" x14ac:dyDescent="0.15">
      <c r="A90" s="9">
        <v>10088</v>
      </c>
      <c r="B90" s="3" t="s">
        <v>142</v>
      </c>
      <c r="C90" s="5" t="str">
        <f t="shared" si="5"/>
        <v>15+</v>
      </c>
      <c r="D90" t="str">
        <f t="shared" si="6"/>
        <v>public const int people_age30_count_1 = 10088;</v>
      </c>
      <c r="E90" s="7" t="s">
        <v>400</v>
      </c>
    </row>
    <row r="91" spans="1:5" ht="13.5" x14ac:dyDescent="0.15">
      <c r="A91" s="9">
        <v>10089</v>
      </c>
      <c r="B91" s="3" t="s">
        <v>143</v>
      </c>
      <c r="C91" s="5" t="str">
        <f t="shared" si="5"/>
        <v>20+</v>
      </c>
      <c r="D91" t="str">
        <f t="shared" si="6"/>
        <v>public const int people_age40_count_1 = 10089;</v>
      </c>
      <c r="E91" s="7" t="s">
        <v>74</v>
      </c>
    </row>
    <row r="92" spans="1:5" ht="13.5" x14ac:dyDescent="0.15">
      <c r="A92" s="9">
        <v>10090</v>
      </c>
      <c r="B92" s="3" t="s">
        <v>144</v>
      </c>
      <c r="C92" s="5" t="str">
        <f t="shared" si="5"/>
        <v>25+</v>
      </c>
      <c r="D92" t="str">
        <f t="shared" si="6"/>
        <v>public const int people_age50_count_1 = 10090;</v>
      </c>
      <c r="E92" s="7" t="s">
        <v>401</v>
      </c>
    </row>
    <row r="93" spans="1:5" ht="13.5" x14ac:dyDescent="0.15">
      <c r="A93" s="9">
        <v>10091</v>
      </c>
      <c r="B93" s="3" t="s">
        <v>145</v>
      </c>
      <c r="C93" s="5" t="str">
        <f t="shared" si="5"/>
        <v>30+</v>
      </c>
      <c r="D93" t="str">
        <f t="shared" si="6"/>
        <v>public const int people_age60_count_1 = 10091;</v>
      </c>
      <c r="E93" s="7" t="s">
        <v>75</v>
      </c>
    </row>
    <row r="94" spans="1:5" ht="13.5" x14ac:dyDescent="0.15">
      <c r="A94" s="9">
        <v>10092</v>
      </c>
      <c r="B94" s="3" t="s">
        <v>146</v>
      </c>
      <c r="C94" s="5" t="str">
        <f t="shared" si="5"/>
        <v>35+</v>
      </c>
      <c r="D94" t="str">
        <f t="shared" si="6"/>
        <v>public const int people_age70_count_1 = 10092;</v>
      </c>
      <c r="E94" s="7" t="s">
        <v>402</v>
      </c>
    </row>
    <row r="95" spans="1:5" ht="13.5" x14ac:dyDescent="0.15">
      <c r="A95" s="9">
        <v>10093</v>
      </c>
      <c r="B95" s="3" t="s">
        <v>147</v>
      </c>
      <c r="C95" s="5" t="str">
        <f t="shared" si="5"/>
        <v>40+</v>
      </c>
      <c r="D95" t="str">
        <f t="shared" si="6"/>
        <v>public const int people_age80_count_1 = 10093;</v>
      </c>
      <c r="E95" s="7" t="s">
        <v>76</v>
      </c>
    </row>
    <row r="96" spans="1:5" ht="13.5" x14ac:dyDescent="0.15">
      <c r="A96" s="9">
        <v>10094</v>
      </c>
      <c r="B96" s="3" t="s">
        <v>148</v>
      </c>
      <c r="C96" s="5" t="str">
        <f t="shared" si="5"/>
        <v>45+</v>
      </c>
      <c r="D96" t="str">
        <f t="shared" si="6"/>
        <v>public const int people_age90_count_1 = 10094;</v>
      </c>
      <c r="E96" s="7" t="s">
        <v>403</v>
      </c>
    </row>
    <row r="97" spans="1:5" ht="13.5" x14ac:dyDescent="0.15">
      <c r="A97" s="9">
        <v>10095</v>
      </c>
      <c r="B97" s="11" t="s">
        <v>149</v>
      </c>
      <c r="C97" s="5">
        <f t="shared" ref="C97:C126" si="7">E97</f>
        <v>0</v>
      </c>
      <c r="D97" t="str">
        <f t="shared" ref="D97:D126" si="8">CONCATENATE("public const int ",B97," = ",A97,";")</f>
        <v>public const int people_male_age0_count_1 = 10095;</v>
      </c>
      <c r="E97" s="7"/>
    </row>
    <row r="98" spans="1:5" ht="13.5" x14ac:dyDescent="0.15">
      <c r="A98" s="9">
        <v>10096</v>
      </c>
      <c r="B98" s="3" t="s">
        <v>150</v>
      </c>
      <c r="C98" s="5">
        <f t="shared" si="7"/>
        <v>0</v>
      </c>
      <c r="D98" t="str">
        <f t="shared" si="8"/>
        <v>public const int people_male_age10_count_1 = 10096;</v>
      </c>
      <c r="E98" s="7"/>
    </row>
    <row r="99" spans="1:5" ht="13.5" x14ac:dyDescent="0.15">
      <c r="A99" s="9">
        <v>10097</v>
      </c>
      <c r="B99" s="3" t="s">
        <v>151</v>
      </c>
      <c r="C99" s="5">
        <f t="shared" si="7"/>
        <v>0</v>
      </c>
      <c r="D99" t="str">
        <f t="shared" si="8"/>
        <v>public const int people_male_age20_count_1 = 10097;</v>
      </c>
      <c r="E99" s="7"/>
    </row>
    <row r="100" spans="1:5" ht="13.5" x14ac:dyDescent="0.15">
      <c r="A100" s="9">
        <v>10098</v>
      </c>
      <c r="B100" s="3" t="s">
        <v>152</v>
      </c>
      <c r="C100" s="5">
        <f t="shared" si="7"/>
        <v>0</v>
      </c>
      <c r="D100" t="str">
        <f t="shared" si="8"/>
        <v>public const int people_male_age30_count_1 = 10098;</v>
      </c>
      <c r="E100" s="7"/>
    </row>
    <row r="101" spans="1:5" ht="13.5" x14ac:dyDescent="0.15">
      <c r="A101" s="9">
        <v>10099</v>
      </c>
      <c r="B101" s="3" t="s">
        <v>153</v>
      </c>
      <c r="C101" s="5">
        <f t="shared" si="7"/>
        <v>0</v>
      </c>
      <c r="D101" t="str">
        <f t="shared" si="8"/>
        <v>public const int people_male_age40_count_1 = 10099;</v>
      </c>
      <c r="E101" s="7"/>
    </row>
    <row r="102" spans="1:5" ht="13.5" x14ac:dyDescent="0.15">
      <c r="A102" s="9">
        <v>10100</v>
      </c>
      <c r="B102" s="3" t="s">
        <v>154</v>
      </c>
      <c r="C102" s="5">
        <f t="shared" si="7"/>
        <v>0</v>
      </c>
      <c r="D102" t="str">
        <f t="shared" si="8"/>
        <v>public const int people_male_age50_count_1 = 10100;</v>
      </c>
      <c r="E102" s="7"/>
    </row>
    <row r="103" spans="1:5" ht="13.5" x14ac:dyDescent="0.15">
      <c r="A103" s="9">
        <v>10101</v>
      </c>
      <c r="B103" s="3" t="s">
        <v>155</v>
      </c>
      <c r="C103" s="5">
        <f t="shared" si="7"/>
        <v>0</v>
      </c>
      <c r="D103" t="str">
        <f t="shared" si="8"/>
        <v>public const int people_male_age60_count_1 = 10101;</v>
      </c>
      <c r="E103" s="7"/>
    </row>
    <row r="104" spans="1:5" ht="13.5" x14ac:dyDescent="0.15">
      <c r="A104" s="9">
        <v>10102</v>
      </c>
      <c r="B104" s="3" t="s">
        <v>156</v>
      </c>
      <c r="C104" s="5">
        <f t="shared" si="7"/>
        <v>0</v>
      </c>
      <c r="D104" t="str">
        <f t="shared" si="8"/>
        <v>public const int people_male_age70_count_1 = 10102;</v>
      </c>
      <c r="E104" s="7"/>
    </row>
    <row r="105" spans="1:5" ht="13.5" x14ac:dyDescent="0.15">
      <c r="A105" s="9">
        <v>10103</v>
      </c>
      <c r="B105" s="3" t="s">
        <v>157</v>
      </c>
      <c r="C105" s="5">
        <f t="shared" si="7"/>
        <v>0</v>
      </c>
      <c r="D105" t="str">
        <f t="shared" si="8"/>
        <v>public const int people_male_age80_count_1 = 10103;</v>
      </c>
      <c r="E105" s="7"/>
    </row>
    <row r="106" spans="1:5" ht="13.5" x14ac:dyDescent="0.15">
      <c r="A106" s="9">
        <v>10104</v>
      </c>
      <c r="B106" s="3" t="s">
        <v>158</v>
      </c>
      <c r="C106" s="5">
        <f t="shared" si="7"/>
        <v>0</v>
      </c>
      <c r="D106" t="str">
        <f t="shared" si="8"/>
        <v>public const int people_male_age90_count_1 = 10104;</v>
      </c>
      <c r="E106" s="7"/>
    </row>
    <row r="107" spans="1:5" ht="13.5" x14ac:dyDescent="0.15">
      <c r="A107" s="9">
        <v>10105</v>
      </c>
      <c r="B107" s="3" t="s">
        <v>159</v>
      </c>
      <c r="C107" s="5">
        <f t="shared" si="7"/>
        <v>0</v>
      </c>
      <c r="D107" t="str">
        <f t="shared" si="8"/>
        <v>public const int people_female_age0_count_1 = 10105;</v>
      </c>
      <c r="E107" s="7"/>
    </row>
    <row r="108" spans="1:5" ht="13.5" x14ac:dyDescent="0.15">
      <c r="A108" s="9">
        <v>10106</v>
      </c>
      <c r="B108" s="3" t="s">
        <v>160</v>
      </c>
      <c r="C108" s="5">
        <f t="shared" si="7"/>
        <v>0</v>
      </c>
      <c r="D108" t="str">
        <f t="shared" si="8"/>
        <v>public const int people_female_age10_count_1 = 10106;</v>
      </c>
      <c r="E108" s="7"/>
    </row>
    <row r="109" spans="1:5" ht="13.5" x14ac:dyDescent="0.15">
      <c r="A109" s="9">
        <v>10107</v>
      </c>
      <c r="B109" s="3" t="s">
        <v>161</v>
      </c>
      <c r="C109" s="5">
        <f t="shared" si="7"/>
        <v>0</v>
      </c>
      <c r="D109" t="str">
        <f t="shared" si="8"/>
        <v>public const int people_female_age20_count_1 = 10107;</v>
      </c>
      <c r="E109" s="7"/>
    </row>
    <row r="110" spans="1:5" ht="13.5" x14ac:dyDescent="0.15">
      <c r="A110" s="9">
        <v>10108</v>
      </c>
      <c r="B110" s="3" t="s">
        <v>162</v>
      </c>
      <c r="C110" s="5">
        <f t="shared" si="7"/>
        <v>0</v>
      </c>
      <c r="D110" t="str">
        <f t="shared" si="8"/>
        <v>public const int people_female_age30_count_1 = 10108;</v>
      </c>
      <c r="E110" s="7"/>
    </row>
    <row r="111" spans="1:5" ht="13.5" x14ac:dyDescent="0.15">
      <c r="A111" s="9">
        <v>10109</v>
      </c>
      <c r="B111" s="3" t="s">
        <v>163</v>
      </c>
      <c r="C111" s="5">
        <f t="shared" si="7"/>
        <v>0</v>
      </c>
      <c r="D111" t="str">
        <f t="shared" si="8"/>
        <v>public const int people_female_age40_count_1 = 10109;</v>
      </c>
      <c r="E111" s="7"/>
    </row>
    <row r="112" spans="1:5" ht="13.5" x14ac:dyDescent="0.15">
      <c r="A112" s="9">
        <v>10110</v>
      </c>
      <c r="B112" s="3" t="s">
        <v>164</v>
      </c>
      <c r="C112" s="5">
        <f t="shared" si="7"/>
        <v>0</v>
      </c>
      <c r="D112" t="str">
        <f t="shared" si="8"/>
        <v>public const int people_female_age50_count_1 = 10110;</v>
      </c>
      <c r="E112" s="7"/>
    </row>
    <row r="113" spans="1:5" ht="13.5" x14ac:dyDescent="0.15">
      <c r="A113" s="9">
        <v>10111</v>
      </c>
      <c r="B113" s="3" t="s">
        <v>165</v>
      </c>
      <c r="C113" s="5">
        <f t="shared" si="7"/>
        <v>0</v>
      </c>
      <c r="D113" t="str">
        <f t="shared" si="8"/>
        <v>public const int people_female_age60_count_1 = 10111;</v>
      </c>
      <c r="E113" s="7"/>
    </row>
    <row r="114" spans="1:5" ht="13.5" x14ac:dyDescent="0.15">
      <c r="A114" s="9">
        <v>10112</v>
      </c>
      <c r="B114" s="3" t="s">
        <v>166</v>
      </c>
      <c r="C114" s="5">
        <f t="shared" si="7"/>
        <v>0</v>
      </c>
      <c r="D114" t="str">
        <f t="shared" si="8"/>
        <v>public const int people_female_age70_count_1 = 10112;</v>
      </c>
      <c r="E114" s="7"/>
    </row>
    <row r="115" spans="1:5" ht="13.5" x14ac:dyDescent="0.15">
      <c r="A115" s="9">
        <v>10113</v>
      </c>
      <c r="B115" s="3" t="s">
        <v>167</v>
      </c>
      <c r="C115" s="5">
        <f t="shared" si="7"/>
        <v>0</v>
      </c>
      <c r="D115" t="str">
        <f t="shared" si="8"/>
        <v>public const int people_female_age80_count_1 = 10113;</v>
      </c>
      <c r="E115" s="7"/>
    </row>
    <row r="116" spans="1:5" ht="13.5" x14ac:dyDescent="0.15">
      <c r="A116" s="9">
        <v>10114</v>
      </c>
      <c r="B116" s="15" t="s">
        <v>168</v>
      </c>
      <c r="C116" s="16">
        <f t="shared" si="7"/>
        <v>0</v>
      </c>
      <c r="D116" t="str">
        <f t="shared" si="8"/>
        <v>public const int people_female_age90_count_1 = 10114;</v>
      </c>
      <c r="E116" s="7"/>
    </row>
    <row r="117" spans="1:5" ht="13.5" x14ac:dyDescent="0.15">
      <c r="A117" s="9">
        <v>10115</v>
      </c>
      <c r="B117" s="11" t="s">
        <v>132</v>
      </c>
      <c r="C117" s="5" t="str">
        <f t="shared" si="7"/>
        <v>5-</v>
      </c>
      <c r="D117" t="str">
        <f t="shared" si="8"/>
        <v>public const int people_age0_count_2 = 10115;</v>
      </c>
      <c r="E117" s="7" t="s">
        <v>398</v>
      </c>
    </row>
    <row r="118" spans="1:5" ht="13.5" x14ac:dyDescent="0.15">
      <c r="A118" s="9">
        <v>10116</v>
      </c>
      <c r="B118" s="3" t="s">
        <v>169</v>
      </c>
      <c r="C118" s="5" t="str">
        <f t="shared" si="7"/>
        <v>5+</v>
      </c>
      <c r="D118" t="str">
        <f t="shared" si="8"/>
        <v>public const int people_age10_count_2 = 10116;</v>
      </c>
      <c r="E118" s="7" t="s">
        <v>404</v>
      </c>
    </row>
    <row r="119" spans="1:5" ht="13.5" x14ac:dyDescent="0.15">
      <c r="A119" s="9">
        <v>10117</v>
      </c>
      <c r="B119" s="3" t="s">
        <v>170</v>
      </c>
      <c r="C119" s="5" t="str">
        <f t="shared" si="7"/>
        <v>10+</v>
      </c>
      <c r="D119" t="str">
        <f t="shared" si="8"/>
        <v>public const int people_age20_count_2 = 10117;</v>
      </c>
      <c r="E119" s="7" t="s">
        <v>399</v>
      </c>
    </row>
    <row r="120" spans="1:5" ht="13.5" x14ac:dyDescent="0.15">
      <c r="A120" s="9">
        <v>10118</v>
      </c>
      <c r="B120" s="3" t="s">
        <v>171</v>
      </c>
      <c r="C120" s="5" t="str">
        <f t="shared" si="7"/>
        <v>15+</v>
      </c>
      <c r="D120" t="str">
        <f t="shared" si="8"/>
        <v>public const int people_age30_count_2 = 10118;</v>
      </c>
      <c r="E120" s="7" t="s">
        <v>400</v>
      </c>
    </row>
    <row r="121" spans="1:5" ht="13.5" x14ac:dyDescent="0.15">
      <c r="A121" s="9">
        <v>10119</v>
      </c>
      <c r="B121" s="3" t="s">
        <v>172</v>
      </c>
      <c r="C121" s="5" t="str">
        <f t="shared" si="7"/>
        <v>20+</v>
      </c>
      <c r="D121" t="str">
        <f t="shared" si="8"/>
        <v>public const int people_age40_count_2 = 10119;</v>
      </c>
      <c r="E121" s="7" t="s">
        <v>74</v>
      </c>
    </row>
    <row r="122" spans="1:5" ht="13.5" x14ac:dyDescent="0.15">
      <c r="A122" s="9">
        <v>10120</v>
      </c>
      <c r="B122" s="3" t="s">
        <v>173</v>
      </c>
      <c r="C122" s="5" t="str">
        <f t="shared" si="7"/>
        <v>25+</v>
      </c>
      <c r="D122" t="str">
        <f t="shared" si="8"/>
        <v>public const int people_age50_count_2 = 10120;</v>
      </c>
      <c r="E122" s="7" t="s">
        <v>401</v>
      </c>
    </row>
    <row r="123" spans="1:5" ht="13.5" x14ac:dyDescent="0.15">
      <c r="A123" s="9">
        <v>10121</v>
      </c>
      <c r="B123" s="3" t="s">
        <v>174</v>
      </c>
      <c r="C123" s="5" t="str">
        <f t="shared" si="7"/>
        <v>30+</v>
      </c>
      <c r="D123" t="str">
        <f t="shared" si="8"/>
        <v>public const int people_age60_count_2 = 10121;</v>
      </c>
      <c r="E123" s="7" t="s">
        <v>75</v>
      </c>
    </row>
    <row r="124" spans="1:5" ht="13.5" x14ac:dyDescent="0.15">
      <c r="A124" s="9">
        <v>10122</v>
      </c>
      <c r="B124" s="3" t="s">
        <v>175</v>
      </c>
      <c r="C124" s="5" t="str">
        <f t="shared" si="7"/>
        <v>35+</v>
      </c>
      <c r="D124" t="str">
        <f t="shared" si="8"/>
        <v>public const int people_age70_count_2 = 10122;</v>
      </c>
      <c r="E124" s="7" t="s">
        <v>402</v>
      </c>
    </row>
    <row r="125" spans="1:5" ht="13.5" x14ac:dyDescent="0.15">
      <c r="A125" s="9">
        <v>10123</v>
      </c>
      <c r="B125" s="3" t="s">
        <v>176</v>
      </c>
      <c r="C125" s="5" t="str">
        <f t="shared" si="7"/>
        <v>40+</v>
      </c>
      <c r="D125" t="str">
        <f t="shared" si="8"/>
        <v>public const int people_age80_count_2 = 10123;</v>
      </c>
      <c r="E125" s="7" t="s">
        <v>76</v>
      </c>
    </row>
    <row r="126" spans="1:5" ht="13.5" x14ac:dyDescent="0.15">
      <c r="A126" s="9">
        <v>10124</v>
      </c>
      <c r="B126" s="3" t="s">
        <v>177</v>
      </c>
      <c r="C126" s="5" t="str">
        <f t="shared" si="7"/>
        <v>45+</v>
      </c>
      <c r="D126" t="str">
        <f t="shared" si="8"/>
        <v>public const int people_age90_count_2 = 10124;</v>
      </c>
      <c r="E126" s="7" t="s">
        <v>403</v>
      </c>
    </row>
    <row r="127" spans="1:5" ht="13.5" x14ac:dyDescent="0.15">
      <c r="A127" s="9">
        <v>10125</v>
      </c>
      <c r="B127" s="11" t="s">
        <v>128</v>
      </c>
      <c r="C127" s="5">
        <f t="shared" ref="C127:C156" si="9">E127</f>
        <v>0</v>
      </c>
      <c r="D127" t="str">
        <f t="shared" ref="D127:D156" si="10">CONCATENATE("public const int ",B127," = ",A127,";")</f>
        <v>public const int people_male_age0_count_2 = 10125;</v>
      </c>
      <c r="E127" s="7"/>
    </row>
    <row r="128" spans="1:5" ht="13.5" x14ac:dyDescent="0.15">
      <c r="A128" s="9">
        <v>10126</v>
      </c>
      <c r="B128" s="3" t="s">
        <v>178</v>
      </c>
      <c r="C128" s="5">
        <f t="shared" si="9"/>
        <v>0</v>
      </c>
      <c r="D128" t="str">
        <f t="shared" si="10"/>
        <v>public const int people_male_age10_count_2 = 10126;</v>
      </c>
      <c r="E128" s="7"/>
    </row>
    <row r="129" spans="1:5" ht="13.5" x14ac:dyDescent="0.15">
      <c r="A129" s="9">
        <v>10127</v>
      </c>
      <c r="B129" s="3" t="s">
        <v>179</v>
      </c>
      <c r="C129" s="5">
        <f t="shared" si="9"/>
        <v>0</v>
      </c>
      <c r="D129" t="str">
        <f t="shared" si="10"/>
        <v>public const int people_male_age20_count_2 = 10127;</v>
      </c>
      <c r="E129" s="7"/>
    </row>
    <row r="130" spans="1:5" ht="13.5" x14ac:dyDescent="0.15">
      <c r="A130" s="9">
        <v>10128</v>
      </c>
      <c r="B130" s="3" t="s">
        <v>180</v>
      </c>
      <c r="C130" s="5">
        <f t="shared" si="9"/>
        <v>0</v>
      </c>
      <c r="D130" t="str">
        <f t="shared" si="10"/>
        <v>public const int people_male_age30_count_2 = 10128;</v>
      </c>
      <c r="E130" s="7"/>
    </row>
    <row r="131" spans="1:5" ht="13.5" x14ac:dyDescent="0.15">
      <c r="A131" s="9">
        <v>10129</v>
      </c>
      <c r="B131" s="3" t="s">
        <v>181</v>
      </c>
      <c r="C131" s="5">
        <f t="shared" si="9"/>
        <v>0</v>
      </c>
      <c r="D131" t="str">
        <f t="shared" si="10"/>
        <v>public const int people_male_age40_count_2 = 10129;</v>
      </c>
      <c r="E131" s="7"/>
    </row>
    <row r="132" spans="1:5" ht="13.5" x14ac:dyDescent="0.15">
      <c r="A132" s="9">
        <v>10130</v>
      </c>
      <c r="B132" s="3" t="s">
        <v>182</v>
      </c>
      <c r="C132" s="5">
        <f t="shared" si="9"/>
        <v>0</v>
      </c>
      <c r="D132" t="str">
        <f t="shared" si="10"/>
        <v>public const int people_male_age50_count_2 = 10130;</v>
      </c>
      <c r="E132" s="7"/>
    </row>
    <row r="133" spans="1:5" ht="13.5" x14ac:dyDescent="0.15">
      <c r="A133" s="9">
        <v>10131</v>
      </c>
      <c r="B133" s="3" t="s">
        <v>183</v>
      </c>
      <c r="C133" s="5">
        <f t="shared" si="9"/>
        <v>0</v>
      </c>
      <c r="D133" t="str">
        <f t="shared" si="10"/>
        <v>public const int people_male_age60_count_2 = 10131;</v>
      </c>
      <c r="E133" s="7"/>
    </row>
    <row r="134" spans="1:5" ht="13.5" x14ac:dyDescent="0.15">
      <c r="A134" s="9">
        <v>10132</v>
      </c>
      <c r="B134" s="3" t="s">
        <v>184</v>
      </c>
      <c r="C134" s="5">
        <f t="shared" si="9"/>
        <v>0</v>
      </c>
      <c r="D134" t="str">
        <f t="shared" si="10"/>
        <v>public const int people_male_age70_count_2 = 10132;</v>
      </c>
      <c r="E134" s="7"/>
    </row>
    <row r="135" spans="1:5" ht="13.5" x14ac:dyDescent="0.15">
      <c r="A135" s="9">
        <v>10133</v>
      </c>
      <c r="B135" s="3" t="s">
        <v>185</v>
      </c>
      <c r="C135" s="5">
        <f t="shared" si="9"/>
        <v>0</v>
      </c>
      <c r="D135" t="str">
        <f t="shared" si="10"/>
        <v>public const int people_male_age80_count_2 = 10133;</v>
      </c>
      <c r="E135" s="7"/>
    </row>
    <row r="136" spans="1:5" ht="13.5" x14ac:dyDescent="0.15">
      <c r="A136" s="9">
        <v>10134</v>
      </c>
      <c r="B136" s="3" t="s">
        <v>186</v>
      </c>
      <c r="C136" s="5">
        <f t="shared" si="9"/>
        <v>0</v>
      </c>
      <c r="D136" t="str">
        <f t="shared" si="10"/>
        <v>public const int people_male_age90_count_2 = 10134;</v>
      </c>
      <c r="E136" s="7"/>
    </row>
    <row r="137" spans="1:5" ht="13.5" x14ac:dyDescent="0.15">
      <c r="A137" s="9">
        <v>10135</v>
      </c>
      <c r="B137" s="3" t="s">
        <v>187</v>
      </c>
      <c r="C137" s="5">
        <f t="shared" si="9"/>
        <v>0</v>
      </c>
      <c r="D137" t="str">
        <f t="shared" si="10"/>
        <v>public const int people_female_age0_count_2 = 10135;</v>
      </c>
      <c r="E137" s="7"/>
    </row>
    <row r="138" spans="1:5" ht="13.5" x14ac:dyDescent="0.15">
      <c r="A138" s="9">
        <v>10136</v>
      </c>
      <c r="B138" s="3" t="s">
        <v>188</v>
      </c>
      <c r="C138" s="5">
        <f t="shared" si="9"/>
        <v>0</v>
      </c>
      <c r="D138" t="str">
        <f t="shared" si="10"/>
        <v>public const int people_female_age10_count_2 = 10136;</v>
      </c>
      <c r="E138" s="7"/>
    </row>
    <row r="139" spans="1:5" ht="13.5" x14ac:dyDescent="0.15">
      <c r="A139" s="9">
        <v>10137</v>
      </c>
      <c r="B139" s="3" t="s">
        <v>189</v>
      </c>
      <c r="C139" s="5">
        <f t="shared" si="9"/>
        <v>0</v>
      </c>
      <c r="D139" t="str">
        <f t="shared" si="10"/>
        <v>public const int people_female_age20_count_2 = 10137;</v>
      </c>
      <c r="E139" s="7"/>
    </row>
    <row r="140" spans="1:5" ht="13.5" x14ac:dyDescent="0.15">
      <c r="A140" s="9">
        <v>10138</v>
      </c>
      <c r="B140" s="3" t="s">
        <v>190</v>
      </c>
      <c r="C140" s="5">
        <f t="shared" si="9"/>
        <v>0</v>
      </c>
      <c r="D140" t="str">
        <f t="shared" si="10"/>
        <v>public const int people_female_age30_count_2 = 10138;</v>
      </c>
      <c r="E140" s="7"/>
    </row>
    <row r="141" spans="1:5" ht="13.5" x14ac:dyDescent="0.15">
      <c r="A141" s="9">
        <v>10139</v>
      </c>
      <c r="B141" s="3" t="s">
        <v>191</v>
      </c>
      <c r="C141" s="5">
        <f t="shared" si="9"/>
        <v>0</v>
      </c>
      <c r="D141" t="str">
        <f t="shared" si="10"/>
        <v>public const int people_female_age40_count_2 = 10139;</v>
      </c>
      <c r="E141" s="7"/>
    </row>
    <row r="142" spans="1:5" ht="13.5" x14ac:dyDescent="0.15">
      <c r="A142" s="9">
        <v>10140</v>
      </c>
      <c r="B142" s="3" t="s">
        <v>192</v>
      </c>
      <c r="C142" s="5">
        <f t="shared" si="9"/>
        <v>0</v>
      </c>
      <c r="D142" t="str">
        <f t="shared" si="10"/>
        <v>public const int people_female_age50_count_2 = 10140;</v>
      </c>
      <c r="E142" s="7"/>
    </row>
    <row r="143" spans="1:5" ht="13.5" x14ac:dyDescent="0.15">
      <c r="A143" s="9">
        <v>10141</v>
      </c>
      <c r="B143" s="3" t="s">
        <v>193</v>
      </c>
      <c r="C143" s="5">
        <f t="shared" si="9"/>
        <v>0</v>
      </c>
      <c r="D143" t="str">
        <f t="shared" si="10"/>
        <v>public const int people_female_age60_count_2 = 10141;</v>
      </c>
      <c r="E143" s="7"/>
    </row>
    <row r="144" spans="1:5" ht="13.5" x14ac:dyDescent="0.15">
      <c r="A144" s="9">
        <v>10142</v>
      </c>
      <c r="B144" s="3" t="s">
        <v>194</v>
      </c>
      <c r="C144" s="5">
        <f t="shared" si="9"/>
        <v>0</v>
      </c>
      <c r="D144" t="str">
        <f t="shared" si="10"/>
        <v>public const int people_female_age70_count_2 = 10142;</v>
      </c>
      <c r="E144" s="7"/>
    </row>
    <row r="145" spans="1:5" ht="13.5" x14ac:dyDescent="0.15">
      <c r="A145" s="9">
        <v>10143</v>
      </c>
      <c r="B145" s="3" t="s">
        <v>195</v>
      </c>
      <c r="C145" s="5">
        <f t="shared" si="9"/>
        <v>0</v>
      </c>
      <c r="D145" t="str">
        <f t="shared" si="10"/>
        <v>public const int people_female_age80_count_2 = 10143;</v>
      </c>
      <c r="E145" s="7"/>
    </row>
    <row r="146" spans="1:5" ht="13.5" x14ac:dyDescent="0.15">
      <c r="A146" s="9">
        <v>10144</v>
      </c>
      <c r="B146" s="15" t="s">
        <v>196</v>
      </c>
      <c r="C146" s="16">
        <f t="shared" si="9"/>
        <v>0</v>
      </c>
      <c r="D146" t="str">
        <f t="shared" si="10"/>
        <v>public const int people_female_age90_count_2 = 10144;</v>
      </c>
      <c r="E146" s="7"/>
    </row>
    <row r="147" spans="1:5" ht="13.5" x14ac:dyDescent="0.15">
      <c r="A147" s="9">
        <v>10145</v>
      </c>
      <c r="B147" s="11" t="s">
        <v>133</v>
      </c>
      <c r="C147" s="5" t="str">
        <f t="shared" si="9"/>
        <v>10-</v>
      </c>
      <c r="D147" t="str">
        <f t="shared" si="10"/>
        <v>public const int people_age0_count_3 = 10145;</v>
      </c>
      <c r="E147" s="7" t="s">
        <v>89</v>
      </c>
    </row>
    <row r="148" spans="1:5" ht="13.5" x14ac:dyDescent="0.15">
      <c r="A148" s="9">
        <v>10146</v>
      </c>
      <c r="B148" s="3" t="s">
        <v>197</v>
      </c>
      <c r="C148" s="5" t="str">
        <f t="shared" si="9"/>
        <v>10+</v>
      </c>
      <c r="D148" t="str">
        <f t="shared" si="10"/>
        <v>public const int people_age10_count_3 = 10146;</v>
      </c>
      <c r="E148" s="7" t="s">
        <v>73</v>
      </c>
    </row>
    <row r="149" spans="1:5" ht="13.5" x14ac:dyDescent="0.15">
      <c r="A149" s="9">
        <v>10147</v>
      </c>
      <c r="B149" s="3" t="s">
        <v>198</v>
      </c>
      <c r="C149" s="5" t="str">
        <f t="shared" si="9"/>
        <v>20+</v>
      </c>
      <c r="D149" t="str">
        <f t="shared" si="10"/>
        <v>public const int people_age20_count_3 = 10147;</v>
      </c>
      <c r="E149" s="7" t="s">
        <v>74</v>
      </c>
    </row>
    <row r="150" spans="1:5" ht="13.5" x14ac:dyDescent="0.15">
      <c r="A150" s="9">
        <v>10148</v>
      </c>
      <c r="B150" s="3" t="s">
        <v>199</v>
      </c>
      <c r="C150" s="5" t="str">
        <f t="shared" si="9"/>
        <v>30+</v>
      </c>
      <c r="D150" t="str">
        <f t="shared" si="10"/>
        <v>public const int people_age30_count_3 = 10148;</v>
      </c>
      <c r="E150" s="7" t="s">
        <v>75</v>
      </c>
    </row>
    <row r="151" spans="1:5" ht="13.5" x14ac:dyDescent="0.15">
      <c r="A151" s="9">
        <v>10149</v>
      </c>
      <c r="B151" s="3" t="s">
        <v>200</v>
      </c>
      <c r="C151" s="5" t="str">
        <f t="shared" si="9"/>
        <v>40+</v>
      </c>
      <c r="D151" t="str">
        <f t="shared" si="10"/>
        <v>public const int people_age40_count_3 = 10149;</v>
      </c>
      <c r="E151" s="7" t="s">
        <v>76</v>
      </c>
    </row>
    <row r="152" spans="1:5" ht="13.5" x14ac:dyDescent="0.15">
      <c r="A152" s="9">
        <v>10150</v>
      </c>
      <c r="B152" s="3" t="s">
        <v>201</v>
      </c>
      <c r="C152" s="5" t="str">
        <f t="shared" si="9"/>
        <v>50+</v>
      </c>
      <c r="D152" t="str">
        <f t="shared" si="10"/>
        <v>public const int people_age50_count_3 = 10150;</v>
      </c>
      <c r="E152" s="7" t="s">
        <v>77</v>
      </c>
    </row>
    <row r="153" spans="1:5" ht="13.5" x14ac:dyDescent="0.15">
      <c r="A153" s="9">
        <v>10151</v>
      </c>
      <c r="B153" s="3" t="s">
        <v>202</v>
      </c>
      <c r="C153" s="5" t="str">
        <f t="shared" si="9"/>
        <v>60+</v>
      </c>
      <c r="D153" t="str">
        <f t="shared" si="10"/>
        <v>public const int people_age60_count_3 = 10151;</v>
      </c>
      <c r="E153" s="7" t="s">
        <v>78</v>
      </c>
    </row>
    <row r="154" spans="1:5" ht="13.5" x14ac:dyDescent="0.15">
      <c r="A154" s="9">
        <v>10152</v>
      </c>
      <c r="B154" s="3" t="s">
        <v>203</v>
      </c>
      <c r="C154" s="5" t="str">
        <f t="shared" si="9"/>
        <v>70+</v>
      </c>
      <c r="D154" t="str">
        <f t="shared" si="10"/>
        <v>public const int people_age70_count_3 = 10152;</v>
      </c>
      <c r="E154" s="7" t="s">
        <v>79</v>
      </c>
    </row>
    <row r="155" spans="1:5" ht="13.5" x14ac:dyDescent="0.15">
      <c r="A155" s="9">
        <v>10153</v>
      </c>
      <c r="B155" s="3" t="s">
        <v>204</v>
      </c>
      <c r="C155" s="5" t="str">
        <f t="shared" si="9"/>
        <v>80+</v>
      </c>
      <c r="D155" t="str">
        <f t="shared" si="10"/>
        <v>public const int people_age80_count_3 = 10153;</v>
      </c>
      <c r="E155" s="7" t="s">
        <v>80</v>
      </c>
    </row>
    <row r="156" spans="1:5" ht="13.5" x14ac:dyDescent="0.15">
      <c r="A156" s="9">
        <v>10154</v>
      </c>
      <c r="B156" s="3" t="s">
        <v>205</v>
      </c>
      <c r="C156" s="5" t="str">
        <f t="shared" si="9"/>
        <v>90+</v>
      </c>
      <c r="D156" t="str">
        <f t="shared" si="10"/>
        <v>public const int people_age90_count_3 = 10154;</v>
      </c>
      <c r="E156" s="7" t="s">
        <v>81</v>
      </c>
    </row>
    <row r="157" spans="1:5" ht="13.5" x14ac:dyDescent="0.15">
      <c r="A157" s="9">
        <v>10155</v>
      </c>
      <c r="B157" s="11" t="s">
        <v>129</v>
      </c>
      <c r="C157" s="5">
        <f t="shared" ref="C157:C186" si="11">E157</f>
        <v>0</v>
      </c>
      <c r="D157" t="str">
        <f t="shared" ref="D157:D186" si="12">CONCATENATE("public const int ",B157," = ",A157,";")</f>
        <v>public const int people_male_age0_count_3 = 10155;</v>
      </c>
      <c r="E157" s="7"/>
    </row>
    <row r="158" spans="1:5" ht="13.5" x14ac:dyDescent="0.15">
      <c r="A158" s="9">
        <v>10156</v>
      </c>
      <c r="B158" s="3" t="s">
        <v>206</v>
      </c>
      <c r="C158" s="5">
        <f t="shared" si="11"/>
        <v>0</v>
      </c>
      <c r="D158" t="str">
        <f t="shared" si="12"/>
        <v>public const int people_male_age10_count_3 = 10156;</v>
      </c>
      <c r="E158" s="7"/>
    </row>
    <row r="159" spans="1:5" ht="13.5" x14ac:dyDescent="0.15">
      <c r="A159" s="9">
        <v>10157</v>
      </c>
      <c r="B159" s="3" t="s">
        <v>207</v>
      </c>
      <c r="C159" s="5">
        <f t="shared" si="11"/>
        <v>0</v>
      </c>
      <c r="D159" t="str">
        <f t="shared" si="12"/>
        <v>public const int people_male_age20_count_3 = 10157;</v>
      </c>
      <c r="E159" s="7"/>
    </row>
    <row r="160" spans="1:5" ht="13.5" x14ac:dyDescent="0.15">
      <c r="A160" s="9">
        <v>10158</v>
      </c>
      <c r="B160" s="3" t="s">
        <v>208</v>
      </c>
      <c r="C160" s="5">
        <f t="shared" si="11"/>
        <v>0</v>
      </c>
      <c r="D160" t="str">
        <f t="shared" si="12"/>
        <v>public const int people_male_age30_count_3 = 10158;</v>
      </c>
      <c r="E160" s="7"/>
    </row>
    <row r="161" spans="1:5" ht="13.5" x14ac:dyDescent="0.15">
      <c r="A161" s="9">
        <v>10159</v>
      </c>
      <c r="B161" s="3" t="s">
        <v>209</v>
      </c>
      <c r="C161" s="5">
        <f t="shared" si="11"/>
        <v>0</v>
      </c>
      <c r="D161" t="str">
        <f t="shared" si="12"/>
        <v>public const int people_male_age40_count_3 = 10159;</v>
      </c>
      <c r="E161" s="7"/>
    </row>
    <row r="162" spans="1:5" ht="13.5" x14ac:dyDescent="0.15">
      <c r="A162" s="9">
        <v>10160</v>
      </c>
      <c r="B162" s="3" t="s">
        <v>210</v>
      </c>
      <c r="C162" s="5">
        <f t="shared" si="11"/>
        <v>0</v>
      </c>
      <c r="D162" t="str">
        <f t="shared" si="12"/>
        <v>public const int people_male_age50_count_3 = 10160;</v>
      </c>
      <c r="E162" s="7"/>
    </row>
    <row r="163" spans="1:5" ht="13.5" x14ac:dyDescent="0.15">
      <c r="A163" s="9">
        <v>10161</v>
      </c>
      <c r="B163" s="3" t="s">
        <v>211</v>
      </c>
      <c r="C163" s="5">
        <f t="shared" si="11"/>
        <v>0</v>
      </c>
      <c r="D163" t="str">
        <f t="shared" si="12"/>
        <v>public const int people_male_age60_count_3 = 10161;</v>
      </c>
      <c r="E163" s="7"/>
    </row>
    <row r="164" spans="1:5" ht="13.5" x14ac:dyDescent="0.15">
      <c r="A164" s="9">
        <v>10162</v>
      </c>
      <c r="B164" s="3" t="s">
        <v>212</v>
      </c>
      <c r="C164" s="5">
        <f t="shared" si="11"/>
        <v>0</v>
      </c>
      <c r="D164" t="str">
        <f t="shared" si="12"/>
        <v>public const int people_male_age70_count_3 = 10162;</v>
      </c>
      <c r="E164" s="7"/>
    </row>
    <row r="165" spans="1:5" ht="13.5" x14ac:dyDescent="0.15">
      <c r="A165" s="9">
        <v>10163</v>
      </c>
      <c r="B165" s="3" t="s">
        <v>213</v>
      </c>
      <c r="C165" s="5">
        <f t="shared" si="11"/>
        <v>0</v>
      </c>
      <c r="D165" t="str">
        <f t="shared" si="12"/>
        <v>public const int people_male_age80_count_3 = 10163;</v>
      </c>
      <c r="E165" s="7"/>
    </row>
    <row r="166" spans="1:5" ht="13.5" x14ac:dyDescent="0.15">
      <c r="A166" s="9">
        <v>10164</v>
      </c>
      <c r="B166" s="3" t="s">
        <v>214</v>
      </c>
      <c r="C166" s="5">
        <f t="shared" si="11"/>
        <v>0</v>
      </c>
      <c r="D166" t="str">
        <f t="shared" si="12"/>
        <v>public const int people_male_age90_count_3 = 10164;</v>
      </c>
      <c r="E166" s="7"/>
    </row>
    <row r="167" spans="1:5" ht="13.5" x14ac:dyDescent="0.15">
      <c r="A167" s="9">
        <v>10165</v>
      </c>
      <c r="B167" s="3" t="s">
        <v>215</v>
      </c>
      <c r="C167" s="5">
        <f t="shared" si="11"/>
        <v>0</v>
      </c>
      <c r="D167" t="str">
        <f t="shared" si="12"/>
        <v>public const int people_female_age0_count_3 = 10165;</v>
      </c>
      <c r="E167" s="7"/>
    </row>
    <row r="168" spans="1:5" ht="13.5" x14ac:dyDescent="0.15">
      <c r="A168" s="9">
        <v>10166</v>
      </c>
      <c r="B168" s="3" t="s">
        <v>216</v>
      </c>
      <c r="C168" s="5">
        <f t="shared" si="11"/>
        <v>0</v>
      </c>
      <c r="D168" t="str">
        <f t="shared" si="12"/>
        <v>public const int people_female_age10_count_3 = 10166;</v>
      </c>
      <c r="E168" s="7"/>
    </row>
    <row r="169" spans="1:5" ht="13.5" x14ac:dyDescent="0.15">
      <c r="A169" s="9">
        <v>10167</v>
      </c>
      <c r="B169" s="3" t="s">
        <v>217</v>
      </c>
      <c r="C169" s="5">
        <f t="shared" si="11"/>
        <v>0</v>
      </c>
      <c r="D169" t="str">
        <f t="shared" si="12"/>
        <v>public const int people_female_age20_count_3 = 10167;</v>
      </c>
      <c r="E169" s="7"/>
    </row>
    <row r="170" spans="1:5" ht="13.5" x14ac:dyDescent="0.15">
      <c r="A170" s="9">
        <v>10168</v>
      </c>
      <c r="B170" s="3" t="s">
        <v>218</v>
      </c>
      <c r="C170" s="5">
        <f t="shared" si="11"/>
        <v>0</v>
      </c>
      <c r="D170" t="str">
        <f t="shared" si="12"/>
        <v>public const int people_female_age30_count_3 = 10168;</v>
      </c>
      <c r="E170" s="7"/>
    </row>
    <row r="171" spans="1:5" ht="13.5" x14ac:dyDescent="0.15">
      <c r="A171" s="9">
        <v>10169</v>
      </c>
      <c r="B171" s="3" t="s">
        <v>219</v>
      </c>
      <c r="C171" s="5">
        <f t="shared" si="11"/>
        <v>0</v>
      </c>
      <c r="D171" t="str">
        <f t="shared" si="12"/>
        <v>public const int people_female_age40_count_3 = 10169;</v>
      </c>
      <c r="E171" s="7"/>
    </row>
    <row r="172" spans="1:5" ht="13.5" x14ac:dyDescent="0.15">
      <c r="A172" s="9">
        <v>10170</v>
      </c>
      <c r="B172" s="3" t="s">
        <v>220</v>
      </c>
      <c r="C172" s="5">
        <f t="shared" si="11"/>
        <v>0</v>
      </c>
      <c r="D172" t="str">
        <f t="shared" si="12"/>
        <v>public const int people_female_age50_count_3 = 10170;</v>
      </c>
      <c r="E172" s="7"/>
    </row>
    <row r="173" spans="1:5" ht="13.5" x14ac:dyDescent="0.15">
      <c r="A173" s="9">
        <v>10171</v>
      </c>
      <c r="B173" s="3" t="s">
        <v>221</v>
      </c>
      <c r="C173" s="5">
        <f t="shared" si="11"/>
        <v>0</v>
      </c>
      <c r="D173" t="str">
        <f t="shared" si="12"/>
        <v>public const int people_female_age60_count_3 = 10171;</v>
      </c>
      <c r="E173" s="7"/>
    </row>
    <row r="174" spans="1:5" ht="13.5" x14ac:dyDescent="0.15">
      <c r="A174" s="9">
        <v>10172</v>
      </c>
      <c r="B174" s="3" t="s">
        <v>222</v>
      </c>
      <c r="C174" s="5">
        <f t="shared" si="11"/>
        <v>0</v>
      </c>
      <c r="D174" t="str">
        <f t="shared" si="12"/>
        <v>public const int people_female_age70_count_3 = 10172;</v>
      </c>
      <c r="E174" s="7"/>
    </row>
    <row r="175" spans="1:5" ht="13.5" x14ac:dyDescent="0.15">
      <c r="A175" s="9">
        <v>10173</v>
      </c>
      <c r="B175" s="3" t="s">
        <v>223</v>
      </c>
      <c r="C175" s="5">
        <f t="shared" si="11"/>
        <v>0</v>
      </c>
      <c r="D175" t="str">
        <f t="shared" si="12"/>
        <v>public const int people_female_age80_count_3 = 10173;</v>
      </c>
      <c r="E175" s="7"/>
    </row>
    <row r="176" spans="1:5" ht="13.5" x14ac:dyDescent="0.15">
      <c r="A176" s="9">
        <v>10174</v>
      </c>
      <c r="B176" s="15" t="s">
        <v>224</v>
      </c>
      <c r="C176" s="16">
        <f t="shared" si="11"/>
        <v>0</v>
      </c>
      <c r="D176" t="str">
        <f t="shared" si="12"/>
        <v>public const int people_female_age90_count_3 = 10174;</v>
      </c>
      <c r="E176" s="7"/>
    </row>
    <row r="177" spans="1:5" ht="13.5" x14ac:dyDescent="0.15">
      <c r="A177" s="9">
        <v>10175</v>
      </c>
      <c r="B177" s="11" t="s">
        <v>134</v>
      </c>
      <c r="C177" s="5" t="str">
        <f t="shared" si="11"/>
        <v>10-</v>
      </c>
      <c r="D177" t="str">
        <f t="shared" si="12"/>
        <v>public const int people_age0_count_4 = 10175;</v>
      </c>
      <c r="E177" s="7" t="s">
        <v>89</v>
      </c>
    </row>
    <row r="178" spans="1:5" ht="13.5" x14ac:dyDescent="0.15">
      <c r="A178" s="9">
        <v>10176</v>
      </c>
      <c r="B178" s="3" t="s">
        <v>225</v>
      </c>
      <c r="C178" s="5" t="str">
        <f t="shared" si="11"/>
        <v>10+</v>
      </c>
      <c r="D178" t="str">
        <f t="shared" si="12"/>
        <v>public const int people_age10_count_4 = 10176;</v>
      </c>
      <c r="E178" s="7" t="s">
        <v>73</v>
      </c>
    </row>
    <row r="179" spans="1:5" ht="13.5" x14ac:dyDescent="0.15">
      <c r="A179" s="9">
        <v>10177</v>
      </c>
      <c r="B179" s="3" t="s">
        <v>226</v>
      </c>
      <c r="C179" s="5" t="str">
        <f t="shared" si="11"/>
        <v>20+</v>
      </c>
      <c r="D179" t="str">
        <f t="shared" si="12"/>
        <v>public const int people_age20_count_4 = 10177;</v>
      </c>
      <c r="E179" s="7" t="s">
        <v>74</v>
      </c>
    </row>
    <row r="180" spans="1:5" ht="13.5" x14ac:dyDescent="0.15">
      <c r="A180" s="9">
        <v>10178</v>
      </c>
      <c r="B180" s="3" t="s">
        <v>227</v>
      </c>
      <c r="C180" s="5" t="str">
        <f t="shared" si="11"/>
        <v>30+</v>
      </c>
      <c r="D180" t="str">
        <f t="shared" si="12"/>
        <v>public const int people_age30_count_4 = 10178;</v>
      </c>
      <c r="E180" s="7" t="s">
        <v>75</v>
      </c>
    </row>
    <row r="181" spans="1:5" ht="13.5" x14ac:dyDescent="0.15">
      <c r="A181" s="9">
        <v>10179</v>
      </c>
      <c r="B181" s="3" t="s">
        <v>228</v>
      </c>
      <c r="C181" s="5" t="str">
        <f t="shared" si="11"/>
        <v>40+</v>
      </c>
      <c r="D181" t="str">
        <f t="shared" si="12"/>
        <v>public const int people_age40_count_4 = 10179;</v>
      </c>
      <c r="E181" s="7" t="s">
        <v>76</v>
      </c>
    </row>
    <row r="182" spans="1:5" ht="13.5" x14ac:dyDescent="0.15">
      <c r="A182" s="9">
        <v>10180</v>
      </c>
      <c r="B182" s="3" t="s">
        <v>229</v>
      </c>
      <c r="C182" s="5" t="str">
        <f t="shared" si="11"/>
        <v>50+</v>
      </c>
      <c r="D182" t="str">
        <f t="shared" si="12"/>
        <v>public const int people_age50_count_4 = 10180;</v>
      </c>
      <c r="E182" s="7" t="s">
        <v>77</v>
      </c>
    </row>
    <row r="183" spans="1:5" ht="13.5" x14ac:dyDescent="0.15">
      <c r="A183" s="9">
        <v>10181</v>
      </c>
      <c r="B183" s="3" t="s">
        <v>230</v>
      </c>
      <c r="C183" s="5" t="str">
        <f t="shared" si="11"/>
        <v>60+</v>
      </c>
      <c r="D183" t="str">
        <f t="shared" si="12"/>
        <v>public const int people_age60_count_4 = 10181;</v>
      </c>
      <c r="E183" s="7" t="s">
        <v>78</v>
      </c>
    </row>
    <row r="184" spans="1:5" ht="13.5" x14ac:dyDescent="0.15">
      <c r="A184" s="9">
        <v>10182</v>
      </c>
      <c r="B184" s="3" t="s">
        <v>231</v>
      </c>
      <c r="C184" s="5" t="str">
        <f t="shared" si="11"/>
        <v>70+</v>
      </c>
      <c r="D184" t="str">
        <f t="shared" si="12"/>
        <v>public const int people_age70_count_4 = 10182;</v>
      </c>
      <c r="E184" s="7" t="s">
        <v>79</v>
      </c>
    </row>
    <row r="185" spans="1:5" ht="13.5" x14ac:dyDescent="0.15">
      <c r="A185" s="9">
        <v>10183</v>
      </c>
      <c r="B185" s="3" t="s">
        <v>232</v>
      </c>
      <c r="C185" s="5" t="str">
        <f t="shared" si="11"/>
        <v>80+</v>
      </c>
      <c r="D185" t="str">
        <f t="shared" si="12"/>
        <v>public const int people_age80_count_4 = 10183;</v>
      </c>
      <c r="E185" s="7" t="s">
        <v>80</v>
      </c>
    </row>
    <row r="186" spans="1:5" ht="13.5" x14ac:dyDescent="0.15">
      <c r="A186" s="9">
        <v>10184</v>
      </c>
      <c r="B186" s="3" t="s">
        <v>233</v>
      </c>
      <c r="C186" s="5" t="str">
        <f t="shared" si="11"/>
        <v>90+</v>
      </c>
      <c r="D186" t="str">
        <f t="shared" si="12"/>
        <v>public const int people_age90_count_4 = 10184;</v>
      </c>
      <c r="E186" s="7" t="s">
        <v>81</v>
      </c>
    </row>
    <row r="187" spans="1:5" ht="13.5" x14ac:dyDescent="0.15">
      <c r="A187" s="9">
        <v>10185</v>
      </c>
      <c r="B187" s="11" t="s">
        <v>130</v>
      </c>
      <c r="C187" s="5">
        <f t="shared" ref="C187:C250" si="13">E187</f>
        <v>0</v>
      </c>
      <c r="D187" t="str">
        <f t="shared" ref="D187:D250" si="14">CONCATENATE("public const int ",B187," = ",A187,";")</f>
        <v>public const int people_male_age0_count_4 = 10185;</v>
      </c>
      <c r="E187" s="7"/>
    </row>
    <row r="188" spans="1:5" ht="13.5" x14ac:dyDescent="0.15">
      <c r="A188" s="9">
        <v>10186</v>
      </c>
      <c r="B188" s="3" t="s">
        <v>234</v>
      </c>
      <c r="C188" s="5">
        <f t="shared" si="13"/>
        <v>0</v>
      </c>
      <c r="D188" t="str">
        <f t="shared" si="14"/>
        <v>public const int people_male_age10_count_4 = 10186;</v>
      </c>
      <c r="E188" s="7"/>
    </row>
    <row r="189" spans="1:5" ht="13.5" x14ac:dyDescent="0.15">
      <c r="A189" s="9">
        <v>10187</v>
      </c>
      <c r="B189" s="3" t="s">
        <v>235</v>
      </c>
      <c r="C189" s="5">
        <f t="shared" si="13"/>
        <v>0</v>
      </c>
      <c r="D189" t="str">
        <f t="shared" si="14"/>
        <v>public const int people_male_age20_count_4 = 10187;</v>
      </c>
      <c r="E189" s="7"/>
    </row>
    <row r="190" spans="1:5" ht="13.5" x14ac:dyDescent="0.15">
      <c r="A190" s="9">
        <v>10188</v>
      </c>
      <c r="B190" s="3" t="s">
        <v>236</v>
      </c>
      <c r="C190" s="5">
        <f t="shared" si="13"/>
        <v>0</v>
      </c>
      <c r="D190" t="str">
        <f t="shared" si="14"/>
        <v>public const int people_male_age30_count_4 = 10188;</v>
      </c>
      <c r="E190" s="7"/>
    </row>
    <row r="191" spans="1:5" ht="13.5" x14ac:dyDescent="0.15">
      <c r="A191" s="9">
        <v>10189</v>
      </c>
      <c r="B191" s="3" t="s">
        <v>237</v>
      </c>
      <c r="C191" s="5">
        <f t="shared" si="13"/>
        <v>0</v>
      </c>
      <c r="D191" t="str">
        <f t="shared" si="14"/>
        <v>public const int people_male_age40_count_4 = 10189;</v>
      </c>
      <c r="E191" s="7"/>
    </row>
    <row r="192" spans="1:5" ht="13.5" x14ac:dyDescent="0.15">
      <c r="A192" s="9">
        <v>10190</v>
      </c>
      <c r="B192" s="3" t="s">
        <v>238</v>
      </c>
      <c r="C192" s="5">
        <f t="shared" si="13"/>
        <v>0</v>
      </c>
      <c r="D192" t="str">
        <f t="shared" si="14"/>
        <v>public const int people_male_age50_count_4 = 10190;</v>
      </c>
      <c r="E192" s="7"/>
    </row>
    <row r="193" spans="1:5" ht="13.5" x14ac:dyDescent="0.15">
      <c r="A193" s="9">
        <v>10191</v>
      </c>
      <c r="B193" s="3" t="s">
        <v>239</v>
      </c>
      <c r="C193" s="5">
        <f t="shared" si="13"/>
        <v>0</v>
      </c>
      <c r="D193" t="str">
        <f t="shared" si="14"/>
        <v>public const int people_male_age60_count_4 = 10191;</v>
      </c>
      <c r="E193" s="7"/>
    </row>
    <row r="194" spans="1:5" ht="13.5" x14ac:dyDescent="0.15">
      <c r="A194" s="9">
        <v>10192</v>
      </c>
      <c r="B194" s="3" t="s">
        <v>240</v>
      </c>
      <c r="C194" s="5">
        <f t="shared" si="13"/>
        <v>0</v>
      </c>
      <c r="D194" t="str">
        <f t="shared" si="14"/>
        <v>public const int people_male_age70_count_4 = 10192;</v>
      </c>
      <c r="E194" s="7"/>
    </row>
    <row r="195" spans="1:5" ht="13.5" x14ac:dyDescent="0.15">
      <c r="A195" s="9">
        <v>10193</v>
      </c>
      <c r="B195" s="3" t="s">
        <v>241</v>
      </c>
      <c r="C195" s="5">
        <f t="shared" si="13"/>
        <v>0</v>
      </c>
      <c r="D195" t="str">
        <f t="shared" si="14"/>
        <v>public const int people_male_age80_count_4 = 10193;</v>
      </c>
      <c r="E195" s="7"/>
    </row>
    <row r="196" spans="1:5" ht="13.5" x14ac:dyDescent="0.15">
      <c r="A196" s="9">
        <v>10194</v>
      </c>
      <c r="B196" s="3" t="s">
        <v>242</v>
      </c>
      <c r="C196" s="5">
        <f t="shared" si="13"/>
        <v>0</v>
      </c>
      <c r="D196" t="str">
        <f t="shared" si="14"/>
        <v>public const int people_male_age90_count_4 = 10194;</v>
      </c>
      <c r="E196" s="7"/>
    </row>
    <row r="197" spans="1:5" ht="13.5" x14ac:dyDescent="0.15">
      <c r="A197" s="9">
        <v>10195</v>
      </c>
      <c r="B197" s="3" t="s">
        <v>243</v>
      </c>
      <c r="C197" s="5">
        <f t="shared" si="13"/>
        <v>0</v>
      </c>
      <c r="D197" t="str">
        <f t="shared" si="14"/>
        <v>public const int people_female_age0_count_4 = 10195;</v>
      </c>
      <c r="E197" s="7"/>
    </row>
    <row r="198" spans="1:5" ht="13.5" x14ac:dyDescent="0.15">
      <c r="A198" s="9">
        <v>10196</v>
      </c>
      <c r="B198" s="3" t="s">
        <v>244</v>
      </c>
      <c r="C198" s="5">
        <f t="shared" si="13"/>
        <v>0</v>
      </c>
      <c r="D198" t="str">
        <f t="shared" si="14"/>
        <v>public const int people_female_age10_count_4 = 10196;</v>
      </c>
      <c r="E198" s="7"/>
    </row>
    <row r="199" spans="1:5" ht="13.5" x14ac:dyDescent="0.15">
      <c r="A199" s="9">
        <v>10197</v>
      </c>
      <c r="B199" s="3" t="s">
        <v>245</v>
      </c>
      <c r="C199" s="5">
        <f t="shared" si="13"/>
        <v>0</v>
      </c>
      <c r="D199" t="str">
        <f t="shared" si="14"/>
        <v>public const int people_female_age20_count_4 = 10197;</v>
      </c>
      <c r="E199" s="7"/>
    </row>
    <row r="200" spans="1:5" ht="13.5" x14ac:dyDescent="0.15">
      <c r="A200" s="9">
        <v>10198</v>
      </c>
      <c r="B200" s="3" t="s">
        <v>246</v>
      </c>
      <c r="C200" s="5">
        <f t="shared" si="13"/>
        <v>0</v>
      </c>
      <c r="D200" t="str">
        <f t="shared" si="14"/>
        <v>public const int people_female_age30_count_4 = 10198;</v>
      </c>
      <c r="E200" s="7"/>
    </row>
    <row r="201" spans="1:5" ht="13.5" x14ac:dyDescent="0.15">
      <c r="A201" s="9">
        <v>10199</v>
      </c>
      <c r="B201" s="3" t="s">
        <v>247</v>
      </c>
      <c r="C201" s="5">
        <f t="shared" si="13"/>
        <v>0</v>
      </c>
      <c r="D201" t="str">
        <f t="shared" si="14"/>
        <v>public const int people_female_age40_count_4 = 10199;</v>
      </c>
      <c r="E201" s="7"/>
    </row>
    <row r="202" spans="1:5" ht="13.5" x14ac:dyDescent="0.15">
      <c r="A202" s="9">
        <v>10200</v>
      </c>
      <c r="B202" s="3" t="s">
        <v>248</v>
      </c>
      <c r="C202" s="5">
        <f t="shared" si="13"/>
        <v>0</v>
      </c>
      <c r="D202" t="str">
        <f t="shared" si="14"/>
        <v>public const int people_female_age50_count_4 = 10200;</v>
      </c>
      <c r="E202" s="7"/>
    </row>
    <row r="203" spans="1:5" ht="13.5" x14ac:dyDescent="0.15">
      <c r="A203" s="9">
        <v>10201</v>
      </c>
      <c r="B203" s="3" t="s">
        <v>249</v>
      </c>
      <c r="C203" s="5">
        <f t="shared" si="13"/>
        <v>0</v>
      </c>
      <c r="D203" t="str">
        <f t="shared" si="14"/>
        <v>public const int people_female_age60_count_4 = 10201;</v>
      </c>
      <c r="E203" s="7"/>
    </row>
    <row r="204" spans="1:5" ht="13.5" x14ac:dyDescent="0.15">
      <c r="A204" s="9">
        <v>10202</v>
      </c>
      <c r="B204" s="3" t="s">
        <v>250</v>
      </c>
      <c r="C204" s="5">
        <f t="shared" si="13"/>
        <v>0</v>
      </c>
      <c r="D204" t="str">
        <f t="shared" si="14"/>
        <v>public const int people_female_age70_count_4 = 10202;</v>
      </c>
      <c r="E204" s="7"/>
    </row>
    <row r="205" spans="1:5" ht="13.5" x14ac:dyDescent="0.15">
      <c r="A205" s="9">
        <v>10203</v>
      </c>
      <c r="B205" s="3" t="s">
        <v>251</v>
      </c>
      <c r="C205" s="5">
        <f t="shared" si="13"/>
        <v>0</v>
      </c>
      <c r="D205" t="str">
        <f t="shared" si="14"/>
        <v>public const int people_female_age80_count_4 = 10203;</v>
      </c>
      <c r="E205" s="7"/>
    </row>
    <row r="206" spans="1:5" ht="13.5" x14ac:dyDescent="0.15">
      <c r="A206" s="9">
        <v>10204</v>
      </c>
      <c r="B206" s="15" t="s">
        <v>252</v>
      </c>
      <c r="C206" s="16">
        <f t="shared" si="13"/>
        <v>0</v>
      </c>
      <c r="D206" t="str">
        <f t="shared" si="14"/>
        <v>public const int people_female_age90_count_4 = 10204;</v>
      </c>
      <c r="E206" s="7"/>
    </row>
    <row r="207" spans="1:5" ht="13.5" x14ac:dyDescent="0.15">
      <c r="A207" s="9">
        <v>10205</v>
      </c>
      <c r="B207" s="11" t="s">
        <v>135</v>
      </c>
      <c r="C207" s="5" t="str">
        <f t="shared" si="13"/>
        <v>10-</v>
      </c>
      <c r="D207" t="str">
        <f t="shared" si="14"/>
        <v>public const int people_age0_count_5 = 10205;</v>
      </c>
      <c r="E207" s="7" t="s">
        <v>89</v>
      </c>
    </row>
    <row r="208" spans="1:5" ht="13.5" x14ac:dyDescent="0.15">
      <c r="A208" s="9">
        <v>10206</v>
      </c>
      <c r="B208" s="3" t="s">
        <v>253</v>
      </c>
      <c r="C208" s="5" t="str">
        <f t="shared" si="13"/>
        <v>10+</v>
      </c>
      <c r="D208" t="str">
        <f t="shared" si="14"/>
        <v>public const int people_age10_count_5 = 10206;</v>
      </c>
      <c r="E208" s="7" t="s">
        <v>73</v>
      </c>
    </row>
    <row r="209" spans="1:5" ht="13.5" x14ac:dyDescent="0.15">
      <c r="A209" s="9">
        <v>10207</v>
      </c>
      <c r="B209" s="3" t="s">
        <v>254</v>
      </c>
      <c r="C209" s="5" t="str">
        <f t="shared" si="13"/>
        <v>20+</v>
      </c>
      <c r="D209" t="str">
        <f t="shared" si="14"/>
        <v>public const int people_age20_count_5 = 10207;</v>
      </c>
      <c r="E209" s="7" t="s">
        <v>74</v>
      </c>
    </row>
    <row r="210" spans="1:5" ht="13.5" x14ac:dyDescent="0.15">
      <c r="A210" s="9">
        <v>10208</v>
      </c>
      <c r="B210" s="3" t="s">
        <v>255</v>
      </c>
      <c r="C210" s="5" t="str">
        <f t="shared" si="13"/>
        <v>30+</v>
      </c>
      <c r="D210" t="str">
        <f t="shared" si="14"/>
        <v>public const int people_age30_count_5 = 10208;</v>
      </c>
      <c r="E210" s="7" t="s">
        <v>75</v>
      </c>
    </row>
    <row r="211" spans="1:5" ht="13.5" x14ac:dyDescent="0.15">
      <c r="A211" s="9">
        <v>10209</v>
      </c>
      <c r="B211" s="3" t="s">
        <v>256</v>
      </c>
      <c r="C211" s="5" t="str">
        <f t="shared" si="13"/>
        <v>40+</v>
      </c>
      <c r="D211" t="str">
        <f t="shared" si="14"/>
        <v>public const int people_age40_count_5 = 10209;</v>
      </c>
      <c r="E211" s="7" t="s">
        <v>76</v>
      </c>
    </row>
    <row r="212" spans="1:5" ht="13.5" x14ac:dyDescent="0.15">
      <c r="A212" s="9">
        <v>10210</v>
      </c>
      <c r="B212" s="3" t="s">
        <v>257</v>
      </c>
      <c r="C212" s="5" t="str">
        <f t="shared" si="13"/>
        <v>50+</v>
      </c>
      <c r="D212" t="str">
        <f t="shared" si="14"/>
        <v>public const int people_age50_count_5 = 10210;</v>
      </c>
      <c r="E212" s="7" t="s">
        <v>77</v>
      </c>
    </row>
    <row r="213" spans="1:5" ht="13.5" x14ac:dyDescent="0.15">
      <c r="A213" s="9">
        <v>10211</v>
      </c>
      <c r="B213" s="3" t="s">
        <v>258</v>
      </c>
      <c r="C213" s="5" t="str">
        <f t="shared" si="13"/>
        <v>60+</v>
      </c>
      <c r="D213" t="str">
        <f t="shared" si="14"/>
        <v>public const int people_age60_count_5 = 10211;</v>
      </c>
      <c r="E213" s="7" t="s">
        <v>78</v>
      </c>
    </row>
    <row r="214" spans="1:5" ht="13.5" x14ac:dyDescent="0.15">
      <c r="A214" s="9">
        <v>10212</v>
      </c>
      <c r="B214" s="3" t="s">
        <v>259</v>
      </c>
      <c r="C214" s="5" t="str">
        <f t="shared" si="13"/>
        <v>70+</v>
      </c>
      <c r="D214" t="str">
        <f t="shared" si="14"/>
        <v>public const int people_age70_count_5 = 10212;</v>
      </c>
      <c r="E214" s="7" t="s">
        <v>79</v>
      </c>
    </row>
    <row r="215" spans="1:5" ht="13.5" x14ac:dyDescent="0.15">
      <c r="A215" s="9">
        <v>10213</v>
      </c>
      <c r="B215" s="3" t="s">
        <v>260</v>
      </c>
      <c r="C215" s="5" t="str">
        <f t="shared" si="13"/>
        <v>80+</v>
      </c>
      <c r="D215" t="str">
        <f t="shared" si="14"/>
        <v>public const int people_age80_count_5 = 10213;</v>
      </c>
      <c r="E215" s="7" t="s">
        <v>80</v>
      </c>
    </row>
    <row r="216" spans="1:5" ht="13.5" x14ac:dyDescent="0.15">
      <c r="A216" s="9">
        <v>10214</v>
      </c>
      <c r="B216" s="3" t="s">
        <v>261</v>
      </c>
      <c r="C216" s="5" t="str">
        <f t="shared" si="13"/>
        <v>90+</v>
      </c>
      <c r="D216" t="str">
        <f t="shared" si="14"/>
        <v>public const int people_age90_count_5 = 10214;</v>
      </c>
      <c r="E216" s="7" t="s">
        <v>81</v>
      </c>
    </row>
    <row r="217" spans="1:5" ht="13.5" x14ac:dyDescent="0.15">
      <c r="A217" s="9">
        <v>10215</v>
      </c>
      <c r="B217" s="3" t="s">
        <v>262</v>
      </c>
      <c r="C217" s="5">
        <f t="shared" si="13"/>
        <v>0</v>
      </c>
      <c r="D217" t="str">
        <f t="shared" si="14"/>
        <v>public const int people_male_age0_count_5 = 10215;</v>
      </c>
      <c r="E217" s="7"/>
    </row>
    <row r="218" spans="1:5" ht="13.5" x14ac:dyDescent="0.15">
      <c r="A218" s="9">
        <v>10216</v>
      </c>
      <c r="B218" s="3" t="s">
        <v>263</v>
      </c>
      <c r="C218" s="5">
        <f t="shared" si="13"/>
        <v>0</v>
      </c>
      <c r="D218" t="str">
        <f t="shared" si="14"/>
        <v>public const int people_male_age10_count_5 = 10216;</v>
      </c>
      <c r="E218" s="7"/>
    </row>
    <row r="219" spans="1:5" ht="13.5" x14ac:dyDescent="0.15">
      <c r="A219" s="9">
        <v>10217</v>
      </c>
      <c r="B219" s="3" t="s">
        <v>264</v>
      </c>
      <c r="C219" s="5">
        <f t="shared" si="13"/>
        <v>0</v>
      </c>
      <c r="D219" t="str">
        <f t="shared" si="14"/>
        <v>public const int people_male_age20_count_5 = 10217;</v>
      </c>
      <c r="E219" s="7"/>
    </row>
    <row r="220" spans="1:5" ht="13.5" x14ac:dyDescent="0.15">
      <c r="A220" s="9">
        <v>10218</v>
      </c>
      <c r="B220" s="3" t="s">
        <v>265</v>
      </c>
      <c r="C220" s="5">
        <f t="shared" si="13"/>
        <v>0</v>
      </c>
      <c r="D220" t="str">
        <f t="shared" si="14"/>
        <v>public const int people_male_age30_count_5 = 10218;</v>
      </c>
      <c r="E220" s="7"/>
    </row>
    <row r="221" spans="1:5" ht="13.5" x14ac:dyDescent="0.15">
      <c r="A221" s="9">
        <v>10219</v>
      </c>
      <c r="B221" s="3" t="s">
        <v>266</v>
      </c>
      <c r="C221" s="5">
        <f t="shared" si="13"/>
        <v>0</v>
      </c>
      <c r="D221" t="str">
        <f t="shared" si="14"/>
        <v>public const int people_male_age40_count_5 = 10219;</v>
      </c>
      <c r="E221" s="7"/>
    </row>
    <row r="222" spans="1:5" ht="13.5" x14ac:dyDescent="0.15">
      <c r="A222" s="9">
        <v>10220</v>
      </c>
      <c r="B222" s="3" t="s">
        <v>267</v>
      </c>
      <c r="C222" s="5">
        <f t="shared" si="13"/>
        <v>0</v>
      </c>
      <c r="D222" t="str">
        <f t="shared" si="14"/>
        <v>public const int people_male_age50_count_5 = 10220;</v>
      </c>
      <c r="E222" s="7"/>
    </row>
    <row r="223" spans="1:5" ht="13.5" x14ac:dyDescent="0.15">
      <c r="A223" s="9">
        <v>10221</v>
      </c>
      <c r="B223" s="3" t="s">
        <v>268</v>
      </c>
      <c r="C223" s="5">
        <f t="shared" si="13"/>
        <v>0</v>
      </c>
      <c r="D223" t="str">
        <f t="shared" si="14"/>
        <v>public const int people_male_age60_count_5 = 10221;</v>
      </c>
      <c r="E223" s="7"/>
    </row>
    <row r="224" spans="1:5" ht="13.5" x14ac:dyDescent="0.15">
      <c r="A224" s="9">
        <v>10222</v>
      </c>
      <c r="B224" s="3" t="s">
        <v>269</v>
      </c>
      <c r="C224" s="5">
        <f t="shared" si="13"/>
        <v>0</v>
      </c>
      <c r="D224" t="str">
        <f t="shared" si="14"/>
        <v>public const int people_male_age70_count_5 = 10222;</v>
      </c>
      <c r="E224" s="7"/>
    </row>
    <row r="225" spans="1:5" ht="13.5" x14ac:dyDescent="0.15">
      <c r="A225" s="9">
        <v>10223</v>
      </c>
      <c r="B225" s="3" t="s">
        <v>270</v>
      </c>
      <c r="C225" s="5">
        <f t="shared" si="13"/>
        <v>0</v>
      </c>
      <c r="D225" t="str">
        <f t="shared" si="14"/>
        <v>public const int people_male_age80_count_5 = 10223;</v>
      </c>
      <c r="E225" s="7"/>
    </row>
    <row r="226" spans="1:5" ht="13.5" x14ac:dyDescent="0.15">
      <c r="A226" s="9">
        <v>10224</v>
      </c>
      <c r="B226" s="3" t="s">
        <v>271</v>
      </c>
      <c r="C226" s="5">
        <f t="shared" si="13"/>
        <v>0</v>
      </c>
      <c r="D226" t="str">
        <f t="shared" si="14"/>
        <v>public const int people_male_age90_count_5 = 10224;</v>
      </c>
      <c r="E226" s="7"/>
    </row>
    <row r="227" spans="1:5" ht="13.5" x14ac:dyDescent="0.15">
      <c r="A227" s="9">
        <v>10225</v>
      </c>
      <c r="B227" s="3" t="s">
        <v>272</v>
      </c>
      <c r="C227" s="5">
        <f t="shared" si="13"/>
        <v>0</v>
      </c>
      <c r="D227" t="str">
        <f t="shared" si="14"/>
        <v>public const int people_female_age0_count_5 = 10225;</v>
      </c>
      <c r="E227" s="7"/>
    </row>
    <row r="228" spans="1:5" ht="13.5" x14ac:dyDescent="0.15">
      <c r="A228" s="9">
        <v>10226</v>
      </c>
      <c r="B228" s="3" t="s">
        <v>273</v>
      </c>
      <c r="C228" s="5">
        <f t="shared" si="13"/>
        <v>0</v>
      </c>
      <c r="D228" t="str">
        <f t="shared" si="14"/>
        <v>public const int people_female_age10_count_5 = 10226;</v>
      </c>
      <c r="E228" s="7"/>
    </row>
    <row r="229" spans="1:5" ht="13.5" x14ac:dyDescent="0.15">
      <c r="A229" s="9">
        <v>10227</v>
      </c>
      <c r="B229" s="3" t="s">
        <v>274</v>
      </c>
      <c r="C229" s="5">
        <f t="shared" si="13"/>
        <v>0</v>
      </c>
      <c r="D229" t="str">
        <f t="shared" si="14"/>
        <v>public const int people_female_age20_count_5 = 10227;</v>
      </c>
      <c r="E229" s="7"/>
    </row>
    <row r="230" spans="1:5" ht="13.5" x14ac:dyDescent="0.15">
      <c r="A230" s="9">
        <v>10228</v>
      </c>
      <c r="B230" s="3" t="s">
        <v>275</v>
      </c>
      <c r="C230" s="5">
        <f t="shared" si="13"/>
        <v>0</v>
      </c>
      <c r="D230" t="str">
        <f t="shared" si="14"/>
        <v>public const int people_female_age30_count_5 = 10228;</v>
      </c>
      <c r="E230" s="7"/>
    </row>
    <row r="231" spans="1:5" ht="13.5" x14ac:dyDescent="0.15">
      <c r="A231" s="9">
        <v>10229</v>
      </c>
      <c r="B231" s="3" t="s">
        <v>276</v>
      </c>
      <c r="C231" s="5">
        <f t="shared" si="13"/>
        <v>0</v>
      </c>
      <c r="D231" t="str">
        <f t="shared" si="14"/>
        <v>public const int people_female_age40_count_5 = 10229;</v>
      </c>
      <c r="E231" s="7"/>
    </row>
    <row r="232" spans="1:5" ht="13.5" x14ac:dyDescent="0.15">
      <c r="A232" s="9">
        <v>10230</v>
      </c>
      <c r="B232" s="3" t="s">
        <v>277</v>
      </c>
      <c r="C232" s="5">
        <f t="shared" si="13"/>
        <v>0</v>
      </c>
      <c r="D232" t="str">
        <f t="shared" si="14"/>
        <v>public const int people_female_age50_count_5 = 10230;</v>
      </c>
      <c r="E232" s="7"/>
    </row>
    <row r="233" spans="1:5" ht="13.5" x14ac:dyDescent="0.15">
      <c r="A233" s="9">
        <v>10231</v>
      </c>
      <c r="B233" s="3" t="s">
        <v>278</v>
      </c>
      <c r="C233" s="5">
        <f t="shared" si="13"/>
        <v>0</v>
      </c>
      <c r="D233" t="str">
        <f t="shared" si="14"/>
        <v>public const int people_female_age60_count_5 = 10231;</v>
      </c>
      <c r="E233" s="7"/>
    </row>
    <row r="234" spans="1:5" ht="13.5" x14ac:dyDescent="0.15">
      <c r="A234" s="9">
        <v>10232</v>
      </c>
      <c r="B234" s="3" t="s">
        <v>279</v>
      </c>
      <c r="C234" s="5">
        <f t="shared" si="13"/>
        <v>0</v>
      </c>
      <c r="D234" t="str">
        <f t="shared" si="14"/>
        <v>public const int people_female_age70_count_5 = 10232;</v>
      </c>
      <c r="E234" s="7"/>
    </row>
    <row r="235" spans="1:5" ht="13.5" x14ac:dyDescent="0.15">
      <c r="A235" s="9">
        <v>10233</v>
      </c>
      <c r="B235" s="3" t="s">
        <v>280</v>
      </c>
      <c r="C235" s="5">
        <f t="shared" si="13"/>
        <v>0</v>
      </c>
      <c r="D235" t="str">
        <f t="shared" si="14"/>
        <v>public const int people_female_age80_count_5 = 10233;</v>
      </c>
      <c r="E235" s="7"/>
    </row>
    <row r="236" spans="1:5" ht="13.5" x14ac:dyDescent="0.15">
      <c r="A236" s="9">
        <v>10234</v>
      </c>
      <c r="B236" s="15" t="s">
        <v>281</v>
      </c>
      <c r="C236" s="16">
        <f t="shared" si="13"/>
        <v>0</v>
      </c>
      <c r="D236" t="str">
        <f t="shared" si="14"/>
        <v>public const int people_female_age90_count_5 = 10234;</v>
      </c>
      <c r="E236" s="7"/>
    </row>
    <row r="237" spans="1:5" ht="13.5" x14ac:dyDescent="0.15">
      <c r="A237" s="9">
        <v>10235</v>
      </c>
      <c r="B237" s="11" t="s">
        <v>136</v>
      </c>
      <c r="C237" s="5" t="str">
        <f t="shared" si="13"/>
        <v>10-</v>
      </c>
      <c r="D237" t="str">
        <f t="shared" si="14"/>
        <v>public const int people_age0_count_6 = 10235;</v>
      </c>
      <c r="E237" s="7" t="s">
        <v>89</v>
      </c>
    </row>
    <row r="238" spans="1:5" ht="13.5" x14ac:dyDescent="0.15">
      <c r="A238" s="9">
        <v>10236</v>
      </c>
      <c r="B238" s="3" t="s">
        <v>282</v>
      </c>
      <c r="C238" s="5" t="str">
        <f t="shared" si="13"/>
        <v>10+</v>
      </c>
      <c r="D238" t="str">
        <f t="shared" si="14"/>
        <v>public const int people_age10_count_6 = 10236;</v>
      </c>
      <c r="E238" s="7" t="s">
        <v>73</v>
      </c>
    </row>
    <row r="239" spans="1:5" ht="13.5" x14ac:dyDescent="0.15">
      <c r="A239" s="9">
        <v>10237</v>
      </c>
      <c r="B239" s="3" t="s">
        <v>283</v>
      </c>
      <c r="C239" s="5" t="str">
        <f t="shared" si="13"/>
        <v>20+</v>
      </c>
      <c r="D239" t="str">
        <f t="shared" si="14"/>
        <v>public const int people_age20_count_6 = 10237;</v>
      </c>
      <c r="E239" s="7" t="s">
        <v>74</v>
      </c>
    </row>
    <row r="240" spans="1:5" ht="13.5" x14ac:dyDescent="0.15">
      <c r="A240" s="9">
        <v>10238</v>
      </c>
      <c r="B240" s="3" t="s">
        <v>284</v>
      </c>
      <c r="C240" s="5" t="str">
        <f t="shared" si="13"/>
        <v>30+</v>
      </c>
      <c r="D240" t="str">
        <f t="shared" si="14"/>
        <v>public const int people_age30_count_6 = 10238;</v>
      </c>
      <c r="E240" s="7" t="s">
        <v>75</v>
      </c>
    </row>
    <row r="241" spans="1:5" ht="13.5" x14ac:dyDescent="0.15">
      <c r="A241" s="9">
        <v>10239</v>
      </c>
      <c r="B241" s="3" t="s">
        <v>285</v>
      </c>
      <c r="C241" s="5" t="str">
        <f t="shared" si="13"/>
        <v>40+</v>
      </c>
      <c r="D241" t="str">
        <f t="shared" si="14"/>
        <v>public const int people_age40_count_6 = 10239;</v>
      </c>
      <c r="E241" s="7" t="s">
        <v>76</v>
      </c>
    </row>
    <row r="242" spans="1:5" ht="13.5" x14ac:dyDescent="0.15">
      <c r="A242" s="9">
        <v>10240</v>
      </c>
      <c r="B242" s="3" t="s">
        <v>286</v>
      </c>
      <c r="C242" s="5" t="str">
        <f t="shared" si="13"/>
        <v>50+</v>
      </c>
      <c r="D242" t="str">
        <f t="shared" si="14"/>
        <v>public const int people_age50_count_6 = 10240;</v>
      </c>
      <c r="E242" s="7" t="s">
        <v>77</v>
      </c>
    </row>
    <row r="243" spans="1:5" ht="13.5" x14ac:dyDescent="0.15">
      <c r="A243" s="9">
        <v>10241</v>
      </c>
      <c r="B243" s="3" t="s">
        <v>287</v>
      </c>
      <c r="C243" s="5" t="str">
        <f t="shared" si="13"/>
        <v>60+</v>
      </c>
      <c r="D243" t="str">
        <f t="shared" si="14"/>
        <v>public const int people_age60_count_6 = 10241;</v>
      </c>
      <c r="E243" s="7" t="s">
        <v>78</v>
      </c>
    </row>
    <row r="244" spans="1:5" ht="13.5" x14ac:dyDescent="0.15">
      <c r="A244" s="9">
        <v>10242</v>
      </c>
      <c r="B244" s="3" t="s">
        <v>288</v>
      </c>
      <c r="C244" s="5" t="str">
        <f t="shared" si="13"/>
        <v>70+</v>
      </c>
      <c r="D244" t="str">
        <f t="shared" si="14"/>
        <v>public const int people_age70_count_6 = 10242;</v>
      </c>
      <c r="E244" s="7" t="s">
        <v>79</v>
      </c>
    </row>
    <row r="245" spans="1:5" ht="13.5" x14ac:dyDescent="0.15">
      <c r="A245" s="9">
        <v>10243</v>
      </c>
      <c r="B245" s="3" t="s">
        <v>289</v>
      </c>
      <c r="C245" s="5" t="str">
        <f t="shared" si="13"/>
        <v>80+</v>
      </c>
      <c r="D245" t="str">
        <f t="shared" si="14"/>
        <v>public const int people_age80_count_6 = 10243;</v>
      </c>
      <c r="E245" s="7" t="s">
        <v>80</v>
      </c>
    </row>
    <row r="246" spans="1:5" ht="13.5" x14ac:dyDescent="0.15">
      <c r="A246" s="9">
        <v>10244</v>
      </c>
      <c r="B246" s="3" t="s">
        <v>290</v>
      </c>
      <c r="C246" s="5" t="str">
        <f t="shared" si="13"/>
        <v>90+</v>
      </c>
      <c r="D246" t="str">
        <f t="shared" si="14"/>
        <v>public const int people_age90_count_6 = 10244;</v>
      </c>
      <c r="E246" s="7" t="s">
        <v>81</v>
      </c>
    </row>
    <row r="247" spans="1:5" ht="13.5" x14ac:dyDescent="0.15">
      <c r="A247" s="9">
        <v>10245</v>
      </c>
      <c r="B247" s="11" t="s">
        <v>291</v>
      </c>
      <c r="C247" s="5">
        <f t="shared" si="13"/>
        <v>0</v>
      </c>
      <c r="D247" t="str">
        <f t="shared" si="14"/>
        <v>public const int people_male_age0_count_6 = 10245;</v>
      </c>
      <c r="E247" s="7"/>
    </row>
    <row r="248" spans="1:5" ht="13.5" x14ac:dyDescent="0.15">
      <c r="A248" s="9">
        <v>10246</v>
      </c>
      <c r="B248" s="3" t="s">
        <v>292</v>
      </c>
      <c r="C248" s="5">
        <f t="shared" si="13"/>
        <v>0</v>
      </c>
      <c r="D248" t="str">
        <f t="shared" si="14"/>
        <v>public const int people_male_age10_count_6 = 10246;</v>
      </c>
      <c r="E248" s="7"/>
    </row>
    <row r="249" spans="1:5" ht="13.5" x14ac:dyDescent="0.15">
      <c r="A249" s="9">
        <v>10247</v>
      </c>
      <c r="B249" s="3" t="s">
        <v>293</v>
      </c>
      <c r="C249" s="5">
        <f t="shared" si="13"/>
        <v>0</v>
      </c>
      <c r="D249" t="str">
        <f t="shared" si="14"/>
        <v>public const int people_male_age20_count_6 = 10247;</v>
      </c>
      <c r="E249" s="7"/>
    </row>
    <row r="250" spans="1:5" ht="13.5" x14ac:dyDescent="0.15">
      <c r="A250" s="9">
        <v>10248</v>
      </c>
      <c r="B250" s="3" t="s">
        <v>294</v>
      </c>
      <c r="C250" s="5">
        <f t="shared" si="13"/>
        <v>0</v>
      </c>
      <c r="D250" t="str">
        <f t="shared" si="14"/>
        <v>public const int people_male_age30_count_6 = 10248;</v>
      </c>
      <c r="E250" s="7"/>
    </row>
    <row r="251" spans="1:5" ht="13.5" x14ac:dyDescent="0.15">
      <c r="A251" s="9">
        <v>10249</v>
      </c>
      <c r="B251" s="3" t="s">
        <v>295</v>
      </c>
      <c r="C251" s="5">
        <f t="shared" ref="C251:C314" si="15">E251</f>
        <v>0</v>
      </c>
      <c r="D251" t="str">
        <f t="shared" ref="D251:D314" si="16">CONCATENATE("public const int ",B251," = ",A251,";")</f>
        <v>public const int people_male_age40_count_6 = 10249;</v>
      </c>
      <c r="E251" s="7"/>
    </row>
    <row r="252" spans="1:5" ht="13.5" x14ac:dyDescent="0.15">
      <c r="A252" s="9">
        <v>10250</v>
      </c>
      <c r="B252" s="3" t="s">
        <v>296</v>
      </c>
      <c r="C252" s="5">
        <f t="shared" si="15"/>
        <v>0</v>
      </c>
      <c r="D252" t="str">
        <f t="shared" si="16"/>
        <v>public const int people_male_age50_count_6 = 10250;</v>
      </c>
      <c r="E252" s="7"/>
    </row>
    <row r="253" spans="1:5" ht="13.5" x14ac:dyDescent="0.15">
      <c r="A253" s="9">
        <v>10251</v>
      </c>
      <c r="B253" s="3" t="s">
        <v>297</v>
      </c>
      <c r="C253" s="5">
        <f t="shared" si="15"/>
        <v>0</v>
      </c>
      <c r="D253" t="str">
        <f t="shared" si="16"/>
        <v>public const int people_male_age60_count_6 = 10251;</v>
      </c>
      <c r="E253" s="7"/>
    </row>
    <row r="254" spans="1:5" ht="13.5" x14ac:dyDescent="0.15">
      <c r="A254" s="9">
        <v>10252</v>
      </c>
      <c r="B254" s="3" t="s">
        <v>298</v>
      </c>
      <c r="C254" s="5">
        <f t="shared" si="15"/>
        <v>0</v>
      </c>
      <c r="D254" t="str">
        <f t="shared" si="16"/>
        <v>public const int people_male_age70_count_6 = 10252;</v>
      </c>
      <c r="E254" s="7"/>
    </row>
    <row r="255" spans="1:5" ht="13.5" x14ac:dyDescent="0.15">
      <c r="A255" s="9">
        <v>10253</v>
      </c>
      <c r="B255" s="3" t="s">
        <v>299</v>
      </c>
      <c r="C255" s="5">
        <f t="shared" si="15"/>
        <v>0</v>
      </c>
      <c r="D255" t="str">
        <f t="shared" si="16"/>
        <v>public const int people_male_age80_count_6 = 10253;</v>
      </c>
      <c r="E255" s="7"/>
    </row>
    <row r="256" spans="1:5" ht="13.5" x14ac:dyDescent="0.15">
      <c r="A256" s="9">
        <v>10254</v>
      </c>
      <c r="B256" s="3" t="s">
        <v>300</v>
      </c>
      <c r="C256" s="5">
        <f t="shared" si="15"/>
        <v>0</v>
      </c>
      <c r="D256" t="str">
        <f t="shared" si="16"/>
        <v>public const int people_male_age90_count_6 = 10254;</v>
      </c>
      <c r="E256" s="7"/>
    </row>
    <row r="257" spans="1:5" ht="13.5" x14ac:dyDescent="0.15">
      <c r="A257" s="9">
        <v>10255</v>
      </c>
      <c r="B257" s="3" t="s">
        <v>301</v>
      </c>
      <c r="C257" s="5">
        <f t="shared" si="15"/>
        <v>0</v>
      </c>
      <c r="D257" t="str">
        <f t="shared" si="16"/>
        <v>public const int people_female_age0_count_6 = 10255;</v>
      </c>
      <c r="E257" s="7"/>
    </row>
    <row r="258" spans="1:5" ht="13.5" x14ac:dyDescent="0.15">
      <c r="A258" s="9">
        <v>10256</v>
      </c>
      <c r="B258" s="3" t="s">
        <v>302</v>
      </c>
      <c r="C258" s="5">
        <f t="shared" si="15"/>
        <v>0</v>
      </c>
      <c r="D258" t="str">
        <f t="shared" si="16"/>
        <v>public const int people_female_age10_count_6 = 10256;</v>
      </c>
      <c r="E258" s="7"/>
    </row>
    <row r="259" spans="1:5" ht="13.5" x14ac:dyDescent="0.15">
      <c r="A259" s="9">
        <v>10257</v>
      </c>
      <c r="B259" s="3" t="s">
        <v>303</v>
      </c>
      <c r="C259" s="5">
        <f t="shared" si="15"/>
        <v>0</v>
      </c>
      <c r="D259" t="str">
        <f t="shared" si="16"/>
        <v>public const int people_female_age20_count_6 = 10257;</v>
      </c>
      <c r="E259" s="7"/>
    </row>
    <row r="260" spans="1:5" ht="13.5" x14ac:dyDescent="0.15">
      <c r="A260" s="9">
        <v>10258</v>
      </c>
      <c r="B260" s="3" t="s">
        <v>304</v>
      </c>
      <c r="C260" s="5">
        <f t="shared" si="15"/>
        <v>0</v>
      </c>
      <c r="D260" t="str">
        <f t="shared" si="16"/>
        <v>public const int people_female_age30_count_6 = 10258;</v>
      </c>
      <c r="E260" s="7"/>
    </row>
    <row r="261" spans="1:5" ht="13.5" x14ac:dyDescent="0.15">
      <c r="A261" s="9">
        <v>10259</v>
      </c>
      <c r="B261" s="3" t="s">
        <v>305</v>
      </c>
      <c r="C261" s="5">
        <f t="shared" si="15"/>
        <v>0</v>
      </c>
      <c r="D261" t="str">
        <f t="shared" si="16"/>
        <v>public const int people_female_age40_count_6 = 10259;</v>
      </c>
      <c r="E261" s="7"/>
    </row>
    <row r="262" spans="1:5" ht="13.5" x14ac:dyDescent="0.15">
      <c r="A262" s="9">
        <v>10260</v>
      </c>
      <c r="B262" s="3" t="s">
        <v>306</v>
      </c>
      <c r="C262" s="5">
        <f t="shared" si="15"/>
        <v>0</v>
      </c>
      <c r="D262" t="str">
        <f t="shared" si="16"/>
        <v>public const int people_female_age50_count_6 = 10260;</v>
      </c>
      <c r="E262" s="7"/>
    </row>
    <row r="263" spans="1:5" ht="13.5" x14ac:dyDescent="0.15">
      <c r="A263" s="9">
        <v>10261</v>
      </c>
      <c r="B263" s="3" t="s">
        <v>307</v>
      </c>
      <c r="C263" s="5">
        <f t="shared" si="15"/>
        <v>0</v>
      </c>
      <c r="D263" t="str">
        <f t="shared" si="16"/>
        <v>public const int people_female_age60_count_6 = 10261;</v>
      </c>
      <c r="E263" s="7"/>
    </row>
    <row r="264" spans="1:5" ht="13.5" x14ac:dyDescent="0.15">
      <c r="A264" s="9">
        <v>10262</v>
      </c>
      <c r="B264" s="3" t="s">
        <v>308</v>
      </c>
      <c r="C264" s="5">
        <f t="shared" si="15"/>
        <v>0</v>
      </c>
      <c r="D264" t="str">
        <f t="shared" si="16"/>
        <v>public const int people_female_age70_count_6 = 10262;</v>
      </c>
      <c r="E264" s="7"/>
    </row>
    <row r="265" spans="1:5" ht="13.5" x14ac:dyDescent="0.15">
      <c r="A265" s="9">
        <v>10263</v>
      </c>
      <c r="B265" s="3" t="s">
        <v>309</v>
      </c>
      <c r="C265" s="5">
        <f t="shared" si="15"/>
        <v>0</v>
      </c>
      <c r="D265" t="str">
        <f t="shared" si="16"/>
        <v>public const int people_female_age80_count_6 = 10263;</v>
      </c>
      <c r="E265" s="7"/>
    </row>
    <row r="266" spans="1:5" ht="13.5" x14ac:dyDescent="0.15">
      <c r="A266" s="9">
        <v>10264</v>
      </c>
      <c r="B266" s="15" t="s">
        <v>310</v>
      </c>
      <c r="C266" s="16">
        <f t="shared" si="15"/>
        <v>0</v>
      </c>
      <c r="D266" t="str">
        <f t="shared" si="16"/>
        <v>public const int people_female_age90_count_6 = 10264;</v>
      </c>
      <c r="E266" s="7"/>
    </row>
    <row r="267" spans="1:5" ht="13.5" x14ac:dyDescent="0.15">
      <c r="A267" s="9">
        <v>10265</v>
      </c>
      <c r="B267" s="11" t="s">
        <v>137</v>
      </c>
      <c r="C267" s="5" t="str">
        <f t="shared" si="15"/>
        <v>30-</v>
      </c>
      <c r="D267" t="str">
        <f t="shared" si="16"/>
        <v>public const int people_age0_count_7 = 10265;</v>
      </c>
      <c r="E267" s="7" t="s">
        <v>405</v>
      </c>
    </row>
    <row r="268" spans="1:5" ht="13.5" x14ac:dyDescent="0.15">
      <c r="A268" s="9">
        <v>10266</v>
      </c>
      <c r="B268" s="3" t="s">
        <v>311</v>
      </c>
      <c r="C268" s="5" t="str">
        <f t="shared" si="15"/>
        <v>30+</v>
      </c>
      <c r="D268" t="str">
        <f t="shared" si="16"/>
        <v>public const int people_age10_count_7 = 10266;</v>
      </c>
      <c r="E268" s="7" t="s">
        <v>407</v>
      </c>
    </row>
    <row r="269" spans="1:5" ht="13.5" x14ac:dyDescent="0.15">
      <c r="A269" s="9">
        <v>10267</v>
      </c>
      <c r="B269" s="3" t="s">
        <v>312</v>
      </c>
      <c r="C269" s="5" t="str">
        <f t="shared" si="15"/>
        <v>60+</v>
      </c>
      <c r="D269" t="str">
        <f t="shared" si="16"/>
        <v>public const int people_age20_count_7 = 10267;</v>
      </c>
      <c r="E269" s="7" t="s">
        <v>408</v>
      </c>
    </row>
    <row r="270" spans="1:5" ht="13.5" x14ac:dyDescent="0.15">
      <c r="A270" s="9">
        <v>10268</v>
      </c>
      <c r="B270" s="3" t="s">
        <v>313</v>
      </c>
      <c r="C270" s="5" t="str">
        <f t="shared" si="15"/>
        <v>90+</v>
      </c>
      <c r="D270" t="str">
        <f t="shared" si="16"/>
        <v>public const int people_age30_count_7 = 10268;</v>
      </c>
      <c r="E270" s="7" t="s">
        <v>81</v>
      </c>
    </row>
    <row r="271" spans="1:5" ht="13.5" x14ac:dyDescent="0.15">
      <c r="A271" s="9">
        <v>10269</v>
      </c>
      <c r="B271" s="3" t="s">
        <v>314</v>
      </c>
      <c r="C271" s="5" t="str">
        <f t="shared" si="15"/>
        <v>120+</v>
      </c>
      <c r="D271" t="str">
        <f t="shared" si="16"/>
        <v>public const int people_age40_count_7 = 10269;</v>
      </c>
      <c r="E271" s="7" t="s">
        <v>409</v>
      </c>
    </row>
    <row r="272" spans="1:5" ht="13.5" x14ac:dyDescent="0.15">
      <c r="A272" s="9">
        <v>10270</v>
      </c>
      <c r="B272" s="3" t="s">
        <v>315</v>
      </c>
      <c r="C272" s="5" t="str">
        <f t="shared" si="15"/>
        <v>150+</v>
      </c>
      <c r="D272" t="str">
        <f t="shared" si="16"/>
        <v>public const int people_age50_count_7 = 10270;</v>
      </c>
      <c r="E272" s="7" t="s">
        <v>410</v>
      </c>
    </row>
    <row r="273" spans="1:5" ht="13.5" x14ac:dyDescent="0.15">
      <c r="A273" s="9">
        <v>10271</v>
      </c>
      <c r="B273" s="3" t="s">
        <v>316</v>
      </c>
      <c r="C273" s="5" t="str">
        <f t="shared" si="15"/>
        <v>180+</v>
      </c>
      <c r="D273" t="str">
        <f t="shared" si="16"/>
        <v>public const int people_age60_count_7 = 10271;</v>
      </c>
      <c r="E273" s="7" t="s">
        <v>411</v>
      </c>
    </row>
    <row r="274" spans="1:5" ht="13.5" x14ac:dyDescent="0.15">
      <c r="A274" s="9">
        <v>10272</v>
      </c>
      <c r="B274" s="3" t="s">
        <v>317</v>
      </c>
      <c r="C274" s="5" t="str">
        <f t="shared" si="15"/>
        <v>210+</v>
      </c>
      <c r="D274" t="str">
        <f t="shared" si="16"/>
        <v>public const int people_age70_count_7 = 10272;</v>
      </c>
      <c r="E274" s="7" t="s">
        <v>412</v>
      </c>
    </row>
    <row r="275" spans="1:5" ht="13.5" x14ac:dyDescent="0.15">
      <c r="A275" s="9">
        <v>10273</v>
      </c>
      <c r="B275" s="3" t="s">
        <v>318</v>
      </c>
      <c r="C275" s="5" t="str">
        <f t="shared" si="15"/>
        <v>240+</v>
      </c>
      <c r="D275" t="str">
        <f t="shared" si="16"/>
        <v>public const int people_age80_count_7 = 10273;</v>
      </c>
      <c r="E275" s="7" t="s">
        <v>413</v>
      </c>
    </row>
    <row r="276" spans="1:5" ht="13.5" x14ac:dyDescent="0.15">
      <c r="A276" s="9">
        <v>10274</v>
      </c>
      <c r="B276" s="3" t="s">
        <v>319</v>
      </c>
      <c r="C276" s="5" t="str">
        <f t="shared" si="15"/>
        <v>270+</v>
      </c>
      <c r="D276" t="str">
        <f t="shared" si="16"/>
        <v>public const int people_age90_count_7 = 10274;</v>
      </c>
      <c r="E276" s="7" t="s">
        <v>414</v>
      </c>
    </row>
    <row r="277" spans="1:5" ht="13.5" x14ac:dyDescent="0.15">
      <c r="A277" s="9">
        <v>10275</v>
      </c>
      <c r="B277" s="11" t="s">
        <v>320</v>
      </c>
      <c r="C277" s="5">
        <f t="shared" si="15"/>
        <v>0</v>
      </c>
      <c r="D277" t="str">
        <f t="shared" si="16"/>
        <v>public const int people_male_age0_count_7 = 10275;</v>
      </c>
      <c r="E277" s="7"/>
    </row>
    <row r="278" spans="1:5" ht="13.5" x14ac:dyDescent="0.15">
      <c r="A278" s="9">
        <v>10276</v>
      </c>
      <c r="B278" s="3" t="s">
        <v>321</v>
      </c>
      <c r="C278" s="5">
        <f t="shared" si="15"/>
        <v>0</v>
      </c>
      <c r="D278" t="str">
        <f t="shared" si="16"/>
        <v>public const int people_male_age10_count_7 = 10276;</v>
      </c>
      <c r="E278" s="7"/>
    </row>
    <row r="279" spans="1:5" ht="13.5" x14ac:dyDescent="0.15">
      <c r="A279" s="9">
        <v>10277</v>
      </c>
      <c r="B279" s="3" t="s">
        <v>322</v>
      </c>
      <c r="C279" s="5">
        <f t="shared" si="15"/>
        <v>0</v>
      </c>
      <c r="D279" t="str">
        <f t="shared" si="16"/>
        <v>public const int people_male_age20_count_7 = 10277;</v>
      </c>
      <c r="E279" s="7"/>
    </row>
    <row r="280" spans="1:5" ht="13.5" x14ac:dyDescent="0.15">
      <c r="A280" s="9">
        <v>10278</v>
      </c>
      <c r="B280" s="3" t="s">
        <v>323</v>
      </c>
      <c r="C280" s="5">
        <f t="shared" si="15"/>
        <v>0</v>
      </c>
      <c r="D280" t="str">
        <f t="shared" si="16"/>
        <v>public const int people_male_age30_count_7 = 10278;</v>
      </c>
      <c r="E280" s="7"/>
    </row>
    <row r="281" spans="1:5" ht="13.5" x14ac:dyDescent="0.15">
      <c r="A281" s="9">
        <v>10279</v>
      </c>
      <c r="B281" s="3" t="s">
        <v>324</v>
      </c>
      <c r="C281" s="5">
        <f t="shared" si="15"/>
        <v>0</v>
      </c>
      <c r="D281" t="str">
        <f t="shared" si="16"/>
        <v>public const int people_male_age40_count_7 = 10279;</v>
      </c>
      <c r="E281" s="7"/>
    </row>
    <row r="282" spans="1:5" ht="13.5" x14ac:dyDescent="0.15">
      <c r="A282" s="9">
        <v>10280</v>
      </c>
      <c r="B282" s="3" t="s">
        <v>325</v>
      </c>
      <c r="C282" s="5">
        <f t="shared" si="15"/>
        <v>0</v>
      </c>
      <c r="D282" t="str">
        <f t="shared" si="16"/>
        <v>public const int people_male_age50_count_7 = 10280;</v>
      </c>
      <c r="E282" s="7"/>
    </row>
    <row r="283" spans="1:5" ht="13.5" x14ac:dyDescent="0.15">
      <c r="A283" s="9">
        <v>10281</v>
      </c>
      <c r="B283" s="3" t="s">
        <v>326</v>
      </c>
      <c r="C283" s="5">
        <f t="shared" si="15"/>
        <v>0</v>
      </c>
      <c r="D283" t="str">
        <f t="shared" si="16"/>
        <v>public const int people_male_age60_count_7 = 10281;</v>
      </c>
      <c r="E283" s="7"/>
    </row>
    <row r="284" spans="1:5" ht="13.5" x14ac:dyDescent="0.15">
      <c r="A284" s="9">
        <v>10282</v>
      </c>
      <c r="B284" s="3" t="s">
        <v>327</v>
      </c>
      <c r="C284" s="5">
        <f t="shared" si="15"/>
        <v>0</v>
      </c>
      <c r="D284" t="str">
        <f t="shared" si="16"/>
        <v>public const int people_male_age70_count_7 = 10282;</v>
      </c>
      <c r="E284" s="7"/>
    </row>
    <row r="285" spans="1:5" ht="13.5" x14ac:dyDescent="0.15">
      <c r="A285" s="9">
        <v>10283</v>
      </c>
      <c r="B285" s="3" t="s">
        <v>328</v>
      </c>
      <c r="C285" s="5">
        <f t="shared" si="15"/>
        <v>0</v>
      </c>
      <c r="D285" t="str">
        <f t="shared" si="16"/>
        <v>public const int people_male_age80_count_7 = 10283;</v>
      </c>
      <c r="E285" s="7"/>
    </row>
    <row r="286" spans="1:5" ht="13.5" x14ac:dyDescent="0.15">
      <c r="A286" s="9">
        <v>10284</v>
      </c>
      <c r="B286" s="3" t="s">
        <v>329</v>
      </c>
      <c r="C286" s="5">
        <f t="shared" si="15"/>
        <v>0</v>
      </c>
      <c r="D286" t="str">
        <f t="shared" si="16"/>
        <v>public const int people_male_age90_count_7 = 10284;</v>
      </c>
      <c r="E286" s="7"/>
    </row>
    <row r="287" spans="1:5" ht="13.5" x14ac:dyDescent="0.15">
      <c r="A287" s="9">
        <v>10285</v>
      </c>
      <c r="B287" s="3" t="s">
        <v>330</v>
      </c>
      <c r="C287" s="5">
        <f t="shared" si="15"/>
        <v>0</v>
      </c>
      <c r="D287" t="str">
        <f t="shared" si="16"/>
        <v>public const int people_female_age0_count_7 = 10285;</v>
      </c>
      <c r="E287" s="7"/>
    </row>
    <row r="288" spans="1:5" ht="13.5" x14ac:dyDescent="0.15">
      <c r="A288" s="9">
        <v>10286</v>
      </c>
      <c r="B288" s="3" t="s">
        <v>331</v>
      </c>
      <c r="C288" s="5">
        <f t="shared" si="15"/>
        <v>0</v>
      </c>
      <c r="D288" t="str">
        <f t="shared" si="16"/>
        <v>public const int people_female_age10_count_7 = 10286;</v>
      </c>
      <c r="E288" s="7"/>
    </row>
    <row r="289" spans="1:5" ht="13.5" x14ac:dyDescent="0.15">
      <c r="A289" s="9">
        <v>10287</v>
      </c>
      <c r="B289" s="3" t="s">
        <v>332</v>
      </c>
      <c r="C289" s="5">
        <f t="shared" si="15"/>
        <v>0</v>
      </c>
      <c r="D289" t="str">
        <f t="shared" si="16"/>
        <v>public const int people_female_age20_count_7 = 10287;</v>
      </c>
      <c r="E289" s="7"/>
    </row>
    <row r="290" spans="1:5" ht="13.5" x14ac:dyDescent="0.15">
      <c r="A290" s="9">
        <v>10288</v>
      </c>
      <c r="B290" s="3" t="s">
        <v>333</v>
      </c>
      <c r="C290" s="5">
        <f t="shared" si="15"/>
        <v>0</v>
      </c>
      <c r="D290" t="str">
        <f t="shared" si="16"/>
        <v>public const int people_female_age30_count_7 = 10288;</v>
      </c>
      <c r="E290" s="7"/>
    </row>
    <row r="291" spans="1:5" ht="13.5" x14ac:dyDescent="0.15">
      <c r="A291" s="9">
        <v>10289</v>
      </c>
      <c r="B291" s="3" t="s">
        <v>334</v>
      </c>
      <c r="C291" s="5">
        <f t="shared" si="15"/>
        <v>0</v>
      </c>
      <c r="D291" t="str">
        <f t="shared" si="16"/>
        <v>public const int people_female_age40_count_7 = 10289;</v>
      </c>
      <c r="E291" s="7"/>
    </row>
    <row r="292" spans="1:5" ht="13.5" x14ac:dyDescent="0.15">
      <c r="A292" s="9">
        <v>10290</v>
      </c>
      <c r="B292" s="3" t="s">
        <v>335</v>
      </c>
      <c r="C292" s="5">
        <f t="shared" si="15"/>
        <v>0</v>
      </c>
      <c r="D292" t="str">
        <f t="shared" si="16"/>
        <v>public const int people_female_age50_count_7 = 10290;</v>
      </c>
      <c r="E292" s="7"/>
    </row>
    <row r="293" spans="1:5" ht="13.5" x14ac:dyDescent="0.15">
      <c r="A293" s="9">
        <v>10291</v>
      </c>
      <c r="B293" s="3" t="s">
        <v>336</v>
      </c>
      <c r="C293" s="5">
        <f t="shared" si="15"/>
        <v>0</v>
      </c>
      <c r="D293" t="str">
        <f t="shared" si="16"/>
        <v>public const int people_female_age60_count_7 = 10291;</v>
      </c>
      <c r="E293" s="7"/>
    </row>
    <row r="294" spans="1:5" ht="13.5" x14ac:dyDescent="0.15">
      <c r="A294" s="9">
        <v>10292</v>
      </c>
      <c r="B294" s="3" t="s">
        <v>337</v>
      </c>
      <c r="C294" s="5">
        <f t="shared" si="15"/>
        <v>0</v>
      </c>
      <c r="D294" t="str">
        <f t="shared" si="16"/>
        <v>public const int people_female_age70_count_7 = 10292;</v>
      </c>
      <c r="E294" s="7"/>
    </row>
    <row r="295" spans="1:5" ht="13.5" x14ac:dyDescent="0.15">
      <c r="A295" s="9">
        <v>10293</v>
      </c>
      <c r="B295" s="3" t="s">
        <v>338</v>
      </c>
      <c r="C295" s="5">
        <f t="shared" si="15"/>
        <v>0</v>
      </c>
      <c r="D295" t="str">
        <f t="shared" si="16"/>
        <v>public const int people_female_age80_count_7 = 10293;</v>
      </c>
      <c r="E295" s="7"/>
    </row>
    <row r="296" spans="1:5" ht="13.5" x14ac:dyDescent="0.15">
      <c r="A296" s="9">
        <v>10294</v>
      </c>
      <c r="B296" s="15" t="s">
        <v>339</v>
      </c>
      <c r="C296" s="16">
        <f t="shared" si="15"/>
        <v>0</v>
      </c>
      <c r="D296" t="str">
        <f t="shared" si="16"/>
        <v>public const int people_female_age90_count_7 = 10294;</v>
      </c>
      <c r="E296" s="7"/>
    </row>
    <row r="297" spans="1:5" ht="13.5" x14ac:dyDescent="0.15">
      <c r="A297" s="9">
        <v>10295</v>
      </c>
      <c r="B297" s="11" t="s">
        <v>138</v>
      </c>
      <c r="C297" s="5" t="str">
        <f t="shared" si="15"/>
        <v>20-</v>
      </c>
      <c r="D297" t="str">
        <f t="shared" si="16"/>
        <v>public const int people_age0_count_8 = 10295;</v>
      </c>
      <c r="E297" s="7" t="s">
        <v>406</v>
      </c>
    </row>
    <row r="298" spans="1:5" ht="13.5" x14ac:dyDescent="0.15">
      <c r="A298" s="9">
        <v>10296</v>
      </c>
      <c r="B298" s="3" t="s">
        <v>340</v>
      </c>
      <c r="C298" s="5" t="str">
        <f t="shared" si="15"/>
        <v>20+</v>
      </c>
      <c r="D298" t="str">
        <f t="shared" si="16"/>
        <v>public const int people_age10_count_8 = 10296;</v>
      </c>
      <c r="E298" s="7" t="s">
        <v>415</v>
      </c>
    </row>
    <row r="299" spans="1:5" ht="13.5" x14ac:dyDescent="0.15">
      <c r="A299" s="9">
        <v>10297</v>
      </c>
      <c r="B299" s="3" t="s">
        <v>341</v>
      </c>
      <c r="C299" s="5" t="str">
        <f t="shared" si="15"/>
        <v>40+</v>
      </c>
      <c r="D299" t="str">
        <f t="shared" si="16"/>
        <v>public const int people_age20_count_8 = 10297;</v>
      </c>
      <c r="E299" s="7" t="s">
        <v>416</v>
      </c>
    </row>
    <row r="300" spans="1:5" ht="13.5" x14ac:dyDescent="0.15">
      <c r="A300" s="9">
        <v>10298</v>
      </c>
      <c r="B300" s="3" t="s">
        <v>342</v>
      </c>
      <c r="C300" s="5" t="str">
        <f t="shared" si="15"/>
        <v>60+</v>
      </c>
      <c r="D300" t="str">
        <f t="shared" si="16"/>
        <v>public const int people_age30_count_8 = 10298;</v>
      </c>
      <c r="E300" s="7" t="s">
        <v>78</v>
      </c>
    </row>
    <row r="301" spans="1:5" ht="13.5" x14ac:dyDescent="0.15">
      <c r="A301" s="9">
        <v>10299</v>
      </c>
      <c r="B301" s="3" t="s">
        <v>343</v>
      </c>
      <c r="C301" s="5" t="str">
        <f t="shared" si="15"/>
        <v>80+</v>
      </c>
      <c r="D301" t="str">
        <f t="shared" si="16"/>
        <v>public const int people_age40_count_8 = 10299;</v>
      </c>
      <c r="E301" s="7" t="s">
        <v>80</v>
      </c>
    </row>
    <row r="302" spans="1:5" ht="13.5" x14ac:dyDescent="0.15">
      <c r="A302" s="9">
        <v>10300</v>
      </c>
      <c r="B302" s="3" t="s">
        <v>344</v>
      </c>
      <c r="C302" s="5" t="str">
        <f t="shared" si="15"/>
        <v>100+</v>
      </c>
      <c r="D302" t="str">
        <f t="shared" si="16"/>
        <v>public const int people_age50_count_8 = 10300;</v>
      </c>
      <c r="E302" s="7" t="s">
        <v>417</v>
      </c>
    </row>
    <row r="303" spans="1:5" ht="13.5" x14ac:dyDescent="0.15">
      <c r="A303" s="9">
        <v>10301</v>
      </c>
      <c r="B303" s="3" t="s">
        <v>345</v>
      </c>
      <c r="C303" s="5" t="str">
        <f t="shared" si="15"/>
        <v>120+</v>
      </c>
      <c r="D303" t="str">
        <f t="shared" si="16"/>
        <v>public const int people_age60_count_8 = 10301;</v>
      </c>
      <c r="E303" s="7" t="s">
        <v>409</v>
      </c>
    </row>
    <row r="304" spans="1:5" ht="13.5" x14ac:dyDescent="0.15">
      <c r="A304" s="9">
        <v>10302</v>
      </c>
      <c r="B304" s="3" t="s">
        <v>346</v>
      </c>
      <c r="C304" s="5" t="str">
        <f t="shared" si="15"/>
        <v>140+</v>
      </c>
      <c r="D304" t="str">
        <f t="shared" si="16"/>
        <v>public const int people_age70_count_8 = 10302;</v>
      </c>
      <c r="E304" s="7" t="s">
        <v>418</v>
      </c>
    </row>
    <row r="305" spans="1:5" ht="13.5" x14ac:dyDescent="0.15">
      <c r="A305" s="9">
        <v>10303</v>
      </c>
      <c r="B305" s="3" t="s">
        <v>347</v>
      </c>
      <c r="C305" s="5" t="str">
        <f t="shared" si="15"/>
        <v>160+</v>
      </c>
      <c r="D305" t="str">
        <f t="shared" si="16"/>
        <v>public const int people_age80_count_8 = 10303;</v>
      </c>
      <c r="E305" s="7" t="s">
        <v>419</v>
      </c>
    </row>
    <row r="306" spans="1:5" ht="13.5" x14ac:dyDescent="0.15">
      <c r="A306" s="9">
        <v>10304</v>
      </c>
      <c r="B306" s="3" t="s">
        <v>348</v>
      </c>
      <c r="C306" s="5" t="str">
        <f t="shared" si="15"/>
        <v>180+</v>
      </c>
      <c r="D306" t="str">
        <f t="shared" si="16"/>
        <v>public const int people_age90_count_8 = 10304;</v>
      </c>
      <c r="E306" s="7" t="s">
        <v>411</v>
      </c>
    </row>
    <row r="307" spans="1:5" ht="13.5" x14ac:dyDescent="0.15">
      <c r="A307" s="9">
        <v>10305</v>
      </c>
      <c r="B307" s="11" t="s">
        <v>349</v>
      </c>
      <c r="C307" s="5">
        <f t="shared" si="15"/>
        <v>0</v>
      </c>
      <c r="D307" t="str">
        <f t="shared" si="16"/>
        <v>public const int people_male_age0_count_8 = 10305;</v>
      </c>
      <c r="E307" s="7"/>
    </row>
    <row r="308" spans="1:5" ht="13.5" x14ac:dyDescent="0.15">
      <c r="A308" s="9">
        <v>10306</v>
      </c>
      <c r="B308" s="3" t="s">
        <v>350</v>
      </c>
      <c r="C308" s="5">
        <f t="shared" si="15"/>
        <v>0</v>
      </c>
      <c r="D308" t="str">
        <f t="shared" si="16"/>
        <v>public const int people_male_age10_count_8 = 10306;</v>
      </c>
      <c r="E308" s="7"/>
    </row>
    <row r="309" spans="1:5" ht="13.5" x14ac:dyDescent="0.15">
      <c r="A309" s="9">
        <v>10307</v>
      </c>
      <c r="B309" s="3" t="s">
        <v>351</v>
      </c>
      <c r="C309" s="5">
        <f t="shared" si="15"/>
        <v>0</v>
      </c>
      <c r="D309" t="str">
        <f t="shared" si="16"/>
        <v>public const int people_male_age20_count_8 = 10307;</v>
      </c>
      <c r="E309" s="7"/>
    </row>
    <row r="310" spans="1:5" ht="13.5" x14ac:dyDescent="0.15">
      <c r="A310" s="9">
        <v>10308</v>
      </c>
      <c r="B310" s="3" t="s">
        <v>352</v>
      </c>
      <c r="C310" s="5">
        <f t="shared" si="15"/>
        <v>0</v>
      </c>
      <c r="D310" t="str">
        <f t="shared" si="16"/>
        <v>public const int people_male_age30_count_8 = 10308;</v>
      </c>
      <c r="E310" s="7"/>
    </row>
    <row r="311" spans="1:5" ht="13.5" x14ac:dyDescent="0.15">
      <c r="A311" s="9">
        <v>10309</v>
      </c>
      <c r="B311" s="3" t="s">
        <v>353</v>
      </c>
      <c r="C311" s="5">
        <f t="shared" si="15"/>
        <v>0</v>
      </c>
      <c r="D311" t="str">
        <f t="shared" si="16"/>
        <v>public const int people_male_age40_count_8 = 10309;</v>
      </c>
      <c r="E311" s="7"/>
    </row>
    <row r="312" spans="1:5" ht="13.5" x14ac:dyDescent="0.15">
      <c r="A312" s="9">
        <v>10310</v>
      </c>
      <c r="B312" s="3" t="s">
        <v>354</v>
      </c>
      <c r="C312" s="5">
        <f t="shared" si="15"/>
        <v>0</v>
      </c>
      <c r="D312" t="str">
        <f t="shared" si="16"/>
        <v>public const int people_male_age50_count_8 = 10310;</v>
      </c>
      <c r="E312" s="7"/>
    </row>
    <row r="313" spans="1:5" ht="13.5" x14ac:dyDescent="0.15">
      <c r="A313" s="9">
        <v>10311</v>
      </c>
      <c r="B313" s="3" t="s">
        <v>355</v>
      </c>
      <c r="C313" s="5">
        <f t="shared" si="15"/>
        <v>0</v>
      </c>
      <c r="D313" t="str">
        <f t="shared" si="16"/>
        <v>public const int people_male_age60_count_8 = 10311;</v>
      </c>
      <c r="E313" s="7"/>
    </row>
    <row r="314" spans="1:5" ht="13.5" x14ac:dyDescent="0.15">
      <c r="A314" s="9">
        <v>10312</v>
      </c>
      <c r="B314" s="3" t="s">
        <v>356</v>
      </c>
      <c r="C314" s="5">
        <f t="shared" si="15"/>
        <v>0</v>
      </c>
      <c r="D314" t="str">
        <f t="shared" si="16"/>
        <v>public const int people_male_age70_count_8 = 10312;</v>
      </c>
      <c r="E314" s="7"/>
    </row>
    <row r="315" spans="1:5" ht="13.5" x14ac:dyDescent="0.15">
      <c r="A315" s="9">
        <v>10313</v>
      </c>
      <c r="B315" s="3" t="s">
        <v>357</v>
      </c>
      <c r="C315" s="5">
        <f t="shared" ref="C315:C378" si="17">E315</f>
        <v>0</v>
      </c>
      <c r="D315" t="str">
        <f t="shared" ref="D315:D378" si="18">CONCATENATE("public const int ",B315," = ",A315,";")</f>
        <v>public const int people_male_age80_count_8 = 10313;</v>
      </c>
      <c r="E315" s="7"/>
    </row>
    <row r="316" spans="1:5" ht="13.5" x14ac:dyDescent="0.15">
      <c r="A316" s="9">
        <v>10314</v>
      </c>
      <c r="B316" s="3" t="s">
        <v>358</v>
      </c>
      <c r="C316" s="5">
        <f t="shared" si="17"/>
        <v>0</v>
      </c>
      <c r="D316" t="str">
        <f t="shared" si="18"/>
        <v>public const int people_male_age90_count_8 = 10314;</v>
      </c>
      <c r="E316" s="7"/>
    </row>
    <row r="317" spans="1:5" ht="13.5" x14ac:dyDescent="0.15">
      <c r="A317" s="9">
        <v>10315</v>
      </c>
      <c r="B317" s="3" t="s">
        <v>359</v>
      </c>
      <c r="C317" s="5">
        <f t="shared" si="17"/>
        <v>0</v>
      </c>
      <c r="D317" t="str">
        <f t="shared" si="18"/>
        <v>public const int people_female_age0_count_8 = 10315;</v>
      </c>
      <c r="E317" s="7"/>
    </row>
    <row r="318" spans="1:5" ht="13.5" x14ac:dyDescent="0.15">
      <c r="A318" s="9">
        <v>10316</v>
      </c>
      <c r="B318" s="3" t="s">
        <v>360</v>
      </c>
      <c r="C318" s="5">
        <f t="shared" si="17"/>
        <v>0</v>
      </c>
      <c r="D318" t="str">
        <f t="shared" si="18"/>
        <v>public const int people_female_age10_count_8 = 10316;</v>
      </c>
      <c r="E318" s="7"/>
    </row>
    <row r="319" spans="1:5" ht="13.5" x14ac:dyDescent="0.15">
      <c r="A319" s="9">
        <v>10317</v>
      </c>
      <c r="B319" s="3" t="s">
        <v>361</v>
      </c>
      <c r="C319" s="5">
        <f t="shared" si="17"/>
        <v>0</v>
      </c>
      <c r="D319" t="str">
        <f t="shared" si="18"/>
        <v>public const int people_female_age20_count_8 = 10317;</v>
      </c>
      <c r="E319" s="7"/>
    </row>
    <row r="320" spans="1:5" ht="13.5" x14ac:dyDescent="0.15">
      <c r="A320" s="9">
        <v>10318</v>
      </c>
      <c r="B320" s="3" t="s">
        <v>362</v>
      </c>
      <c r="C320" s="5">
        <f t="shared" si="17"/>
        <v>0</v>
      </c>
      <c r="D320" t="str">
        <f t="shared" si="18"/>
        <v>public const int people_female_age30_count_8 = 10318;</v>
      </c>
      <c r="E320" s="7"/>
    </row>
    <row r="321" spans="1:5" ht="13.5" x14ac:dyDescent="0.15">
      <c r="A321" s="9">
        <v>10319</v>
      </c>
      <c r="B321" s="3" t="s">
        <v>363</v>
      </c>
      <c r="C321" s="5">
        <f t="shared" si="17"/>
        <v>0</v>
      </c>
      <c r="D321" t="str">
        <f t="shared" si="18"/>
        <v>public const int people_female_age40_count_8 = 10319;</v>
      </c>
      <c r="E321" s="7"/>
    </row>
    <row r="322" spans="1:5" ht="13.5" x14ac:dyDescent="0.15">
      <c r="A322" s="9">
        <v>10320</v>
      </c>
      <c r="B322" s="3" t="s">
        <v>364</v>
      </c>
      <c r="C322" s="5">
        <f t="shared" si="17"/>
        <v>0</v>
      </c>
      <c r="D322" t="str">
        <f t="shared" si="18"/>
        <v>public const int people_female_age50_count_8 = 10320;</v>
      </c>
      <c r="E322" s="7"/>
    </row>
    <row r="323" spans="1:5" ht="13.5" x14ac:dyDescent="0.15">
      <c r="A323" s="9">
        <v>10321</v>
      </c>
      <c r="B323" s="3" t="s">
        <v>365</v>
      </c>
      <c r="C323" s="5">
        <f t="shared" si="17"/>
        <v>0</v>
      </c>
      <c r="D323" t="str">
        <f t="shared" si="18"/>
        <v>public const int people_female_age60_count_8 = 10321;</v>
      </c>
      <c r="E323" s="7"/>
    </row>
    <row r="324" spans="1:5" ht="13.5" x14ac:dyDescent="0.15">
      <c r="A324" s="9">
        <v>10322</v>
      </c>
      <c r="B324" s="3" t="s">
        <v>366</v>
      </c>
      <c r="C324" s="5">
        <f t="shared" si="17"/>
        <v>0</v>
      </c>
      <c r="D324" t="str">
        <f t="shared" si="18"/>
        <v>public const int people_female_age70_count_8 = 10322;</v>
      </c>
      <c r="E324" s="7"/>
    </row>
    <row r="325" spans="1:5" ht="13.5" x14ac:dyDescent="0.15">
      <c r="A325" s="9">
        <v>10323</v>
      </c>
      <c r="B325" s="3" t="s">
        <v>367</v>
      </c>
      <c r="C325" s="5">
        <f t="shared" si="17"/>
        <v>0</v>
      </c>
      <c r="D325" t="str">
        <f t="shared" si="18"/>
        <v>public const int people_female_age80_count_8 = 10323;</v>
      </c>
      <c r="E325" s="7"/>
    </row>
    <row r="326" spans="1:5" ht="13.5" x14ac:dyDescent="0.15">
      <c r="A326" s="9">
        <v>10324</v>
      </c>
      <c r="B326" s="15" t="s">
        <v>368</v>
      </c>
      <c r="C326" s="16">
        <f t="shared" si="17"/>
        <v>0</v>
      </c>
      <c r="D326" t="str">
        <f t="shared" si="18"/>
        <v>public const int people_female_age90_count_8 = 10324;</v>
      </c>
      <c r="E326" s="7"/>
    </row>
    <row r="327" spans="1:5" ht="13.5" x14ac:dyDescent="0.15">
      <c r="A327" s="9">
        <v>10325</v>
      </c>
      <c r="B327" s="11" t="s">
        <v>139</v>
      </c>
      <c r="C327" s="5" t="str">
        <f t="shared" si="17"/>
        <v>10-</v>
      </c>
      <c r="D327" t="str">
        <f t="shared" si="18"/>
        <v>public const int people_age0_count_9 = 10325;</v>
      </c>
      <c r="E327" s="7" t="s">
        <v>89</v>
      </c>
    </row>
    <row r="328" spans="1:5" ht="13.5" x14ac:dyDescent="0.15">
      <c r="A328" s="9">
        <v>10326</v>
      </c>
      <c r="B328" s="3" t="s">
        <v>369</v>
      </c>
      <c r="C328" s="5" t="str">
        <f t="shared" si="17"/>
        <v>10+</v>
      </c>
      <c r="D328" t="str">
        <f t="shared" si="18"/>
        <v>public const int people_age10_count_9 = 10326;</v>
      </c>
      <c r="E328" s="7" t="s">
        <v>73</v>
      </c>
    </row>
    <row r="329" spans="1:5" ht="13.5" x14ac:dyDescent="0.15">
      <c r="A329" s="9">
        <v>10327</v>
      </c>
      <c r="B329" s="3" t="s">
        <v>370</v>
      </c>
      <c r="C329" s="5" t="str">
        <f t="shared" si="17"/>
        <v>20+</v>
      </c>
      <c r="D329" t="str">
        <f t="shared" si="18"/>
        <v>public const int people_age20_count_9 = 10327;</v>
      </c>
      <c r="E329" s="7" t="s">
        <v>74</v>
      </c>
    </row>
    <row r="330" spans="1:5" ht="13.5" x14ac:dyDescent="0.15">
      <c r="A330" s="9">
        <v>10328</v>
      </c>
      <c r="B330" s="3" t="s">
        <v>371</v>
      </c>
      <c r="C330" s="5" t="str">
        <f t="shared" si="17"/>
        <v>30+</v>
      </c>
      <c r="D330" t="str">
        <f t="shared" si="18"/>
        <v>public const int people_age30_count_9 = 10328;</v>
      </c>
      <c r="E330" s="7" t="s">
        <v>75</v>
      </c>
    </row>
    <row r="331" spans="1:5" ht="13.5" x14ac:dyDescent="0.15">
      <c r="A331" s="9">
        <v>10329</v>
      </c>
      <c r="B331" s="3" t="s">
        <v>372</v>
      </c>
      <c r="C331" s="5" t="str">
        <f t="shared" si="17"/>
        <v>40+</v>
      </c>
      <c r="D331" t="str">
        <f t="shared" si="18"/>
        <v>public const int people_age40_count_9 = 10329;</v>
      </c>
      <c r="E331" s="7" t="s">
        <v>76</v>
      </c>
    </row>
    <row r="332" spans="1:5" ht="13.5" x14ac:dyDescent="0.15">
      <c r="A332" s="9">
        <v>10330</v>
      </c>
      <c r="B332" s="3" t="s">
        <v>373</v>
      </c>
      <c r="C332" s="5" t="str">
        <f t="shared" si="17"/>
        <v>50+</v>
      </c>
      <c r="D332" t="str">
        <f t="shared" si="18"/>
        <v>public const int people_age50_count_9 = 10330;</v>
      </c>
      <c r="E332" s="7" t="s">
        <v>77</v>
      </c>
    </row>
    <row r="333" spans="1:5" ht="13.5" x14ac:dyDescent="0.15">
      <c r="A333" s="9">
        <v>10331</v>
      </c>
      <c r="B333" s="3" t="s">
        <v>374</v>
      </c>
      <c r="C333" s="5" t="str">
        <f t="shared" si="17"/>
        <v>60+</v>
      </c>
      <c r="D333" t="str">
        <f t="shared" si="18"/>
        <v>public const int people_age60_count_9 = 10331;</v>
      </c>
      <c r="E333" s="7" t="s">
        <v>78</v>
      </c>
    </row>
    <row r="334" spans="1:5" ht="13.5" x14ac:dyDescent="0.15">
      <c r="A334" s="9">
        <v>10332</v>
      </c>
      <c r="B334" s="3" t="s">
        <v>375</v>
      </c>
      <c r="C334" s="5" t="str">
        <f t="shared" si="17"/>
        <v>70+</v>
      </c>
      <c r="D334" t="str">
        <f t="shared" si="18"/>
        <v>public const int people_age70_count_9 = 10332;</v>
      </c>
      <c r="E334" s="7" t="s">
        <v>79</v>
      </c>
    </row>
    <row r="335" spans="1:5" ht="13.5" x14ac:dyDescent="0.15">
      <c r="A335" s="9">
        <v>10333</v>
      </c>
      <c r="B335" s="3" t="s">
        <v>376</v>
      </c>
      <c r="C335" s="5" t="str">
        <f t="shared" si="17"/>
        <v>80+</v>
      </c>
      <c r="D335" t="str">
        <f t="shared" si="18"/>
        <v>public const int people_age80_count_9 = 10333;</v>
      </c>
      <c r="E335" s="7" t="s">
        <v>80</v>
      </c>
    </row>
    <row r="336" spans="1:5" ht="13.5" x14ac:dyDescent="0.15">
      <c r="A336" s="13">
        <v>10334</v>
      </c>
      <c r="B336" s="15" t="s">
        <v>377</v>
      </c>
      <c r="C336" s="16" t="str">
        <f t="shared" si="17"/>
        <v>90+</v>
      </c>
      <c r="D336" t="str">
        <f t="shared" si="18"/>
        <v>public const int people_age90_count_9 = 10334;</v>
      </c>
      <c r="E336" s="7" t="s">
        <v>81</v>
      </c>
    </row>
    <row r="337" spans="1:5" ht="13.5" x14ac:dyDescent="0.15">
      <c r="A337" s="9">
        <v>10335</v>
      </c>
      <c r="B337" s="11" t="s">
        <v>378</v>
      </c>
      <c r="C337" s="5">
        <f t="shared" si="17"/>
        <v>0</v>
      </c>
      <c r="D337" s="9" t="str">
        <f t="shared" si="18"/>
        <v>public const int people_male_age0_count_9 = 10335;</v>
      </c>
      <c r="E337" s="7"/>
    </row>
    <row r="338" spans="1:5" ht="13.5" x14ac:dyDescent="0.15">
      <c r="A338" s="9">
        <v>10336</v>
      </c>
      <c r="B338" s="3" t="s">
        <v>379</v>
      </c>
      <c r="C338" s="5">
        <f t="shared" si="17"/>
        <v>0</v>
      </c>
      <c r="D338" s="9" t="str">
        <f t="shared" si="18"/>
        <v>public const int people_male_age10_count_9 = 10336;</v>
      </c>
      <c r="E338" s="7"/>
    </row>
    <row r="339" spans="1:5" ht="13.5" x14ac:dyDescent="0.15">
      <c r="A339" s="9">
        <v>10337</v>
      </c>
      <c r="B339" s="3" t="s">
        <v>380</v>
      </c>
      <c r="C339" s="5">
        <f t="shared" si="17"/>
        <v>0</v>
      </c>
      <c r="D339" s="9" t="str">
        <f t="shared" si="18"/>
        <v>public const int people_male_age20_count_9 = 10337;</v>
      </c>
      <c r="E339" s="7"/>
    </row>
    <row r="340" spans="1:5" ht="13.5" x14ac:dyDescent="0.15">
      <c r="A340" s="9">
        <v>10338</v>
      </c>
      <c r="B340" s="3" t="s">
        <v>381</v>
      </c>
      <c r="C340" s="5">
        <f t="shared" si="17"/>
        <v>0</v>
      </c>
      <c r="D340" s="9" t="str">
        <f t="shared" si="18"/>
        <v>public const int people_male_age30_count_9 = 10338;</v>
      </c>
      <c r="E340" s="7"/>
    </row>
    <row r="341" spans="1:5" ht="13.5" x14ac:dyDescent="0.15">
      <c r="A341" s="9">
        <v>10339</v>
      </c>
      <c r="B341" s="3" t="s">
        <v>382</v>
      </c>
      <c r="C341" s="5">
        <f t="shared" si="17"/>
        <v>0</v>
      </c>
      <c r="D341" s="9" t="str">
        <f t="shared" si="18"/>
        <v>public const int people_male_age40_count_9 = 10339;</v>
      </c>
      <c r="E341" s="7"/>
    </row>
    <row r="342" spans="1:5" ht="13.5" x14ac:dyDescent="0.15">
      <c r="A342" s="9">
        <v>10340</v>
      </c>
      <c r="B342" s="3" t="s">
        <v>383</v>
      </c>
      <c r="C342" s="5">
        <f t="shared" si="17"/>
        <v>0</v>
      </c>
      <c r="D342" s="9" t="str">
        <f t="shared" si="18"/>
        <v>public const int people_male_age50_count_9 = 10340;</v>
      </c>
      <c r="E342" s="7"/>
    </row>
    <row r="343" spans="1:5" ht="13.5" x14ac:dyDescent="0.15">
      <c r="A343" s="9">
        <v>10341</v>
      </c>
      <c r="B343" s="3" t="s">
        <v>384</v>
      </c>
      <c r="C343" s="5">
        <f t="shared" si="17"/>
        <v>0</v>
      </c>
      <c r="D343" s="9" t="str">
        <f t="shared" si="18"/>
        <v>public const int people_male_age60_count_9 = 10341;</v>
      </c>
      <c r="E343" s="7"/>
    </row>
    <row r="344" spans="1:5" ht="13.5" x14ac:dyDescent="0.15">
      <c r="A344" s="9">
        <v>10342</v>
      </c>
      <c r="B344" s="3" t="s">
        <v>385</v>
      </c>
      <c r="C344" s="5">
        <f t="shared" si="17"/>
        <v>0</v>
      </c>
      <c r="D344" s="9" t="str">
        <f t="shared" si="18"/>
        <v>public const int people_male_age70_count_9 = 10342;</v>
      </c>
      <c r="E344" s="7"/>
    </row>
    <row r="345" spans="1:5" ht="13.5" x14ac:dyDescent="0.15">
      <c r="A345" s="9">
        <v>10343</v>
      </c>
      <c r="B345" s="3" t="s">
        <v>386</v>
      </c>
      <c r="C345" s="5">
        <f t="shared" si="17"/>
        <v>0</v>
      </c>
      <c r="D345" s="9" t="str">
        <f t="shared" si="18"/>
        <v>public const int people_male_age80_count_9 = 10343;</v>
      </c>
      <c r="E345" s="7"/>
    </row>
    <row r="346" spans="1:5" ht="13.5" x14ac:dyDescent="0.15">
      <c r="A346" s="9">
        <v>10344</v>
      </c>
      <c r="B346" s="3" t="s">
        <v>387</v>
      </c>
      <c r="C346" s="5">
        <f t="shared" si="17"/>
        <v>0</v>
      </c>
      <c r="D346" s="9" t="str">
        <f t="shared" si="18"/>
        <v>public const int people_male_age90_count_9 = 10344;</v>
      </c>
      <c r="E346" s="7"/>
    </row>
    <row r="347" spans="1:5" ht="13.5" x14ac:dyDescent="0.15">
      <c r="A347" s="9">
        <v>10345</v>
      </c>
      <c r="B347" s="3" t="s">
        <v>388</v>
      </c>
      <c r="C347" s="5">
        <f t="shared" si="17"/>
        <v>0</v>
      </c>
      <c r="D347" s="9" t="str">
        <f t="shared" si="18"/>
        <v>public const int people_female_age0_count_9 = 10345;</v>
      </c>
      <c r="E347" s="7"/>
    </row>
    <row r="348" spans="1:5" ht="13.5" x14ac:dyDescent="0.15">
      <c r="A348" s="9">
        <v>10346</v>
      </c>
      <c r="B348" s="3" t="s">
        <v>389</v>
      </c>
      <c r="C348" s="5">
        <f t="shared" si="17"/>
        <v>0</v>
      </c>
      <c r="D348" s="9" t="str">
        <f t="shared" si="18"/>
        <v>public const int people_female_age10_count_9 = 10346;</v>
      </c>
      <c r="E348" s="7"/>
    </row>
    <row r="349" spans="1:5" ht="13.5" x14ac:dyDescent="0.15">
      <c r="A349" s="9">
        <v>10347</v>
      </c>
      <c r="B349" s="3" t="s">
        <v>390</v>
      </c>
      <c r="C349" s="5">
        <f t="shared" si="17"/>
        <v>0</v>
      </c>
      <c r="D349" s="9" t="str">
        <f t="shared" si="18"/>
        <v>public const int people_female_age20_count_9 = 10347;</v>
      </c>
      <c r="E349" s="7"/>
    </row>
    <row r="350" spans="1:5" ht="13.5" x14ac:dyDescent="0.15">
      <c r="A350" s="9">
        <v>10348</v>
      </c>
      <c r="B350" s="3" t="s">
        <v>391</v>
      </c>
      <c r="C350" s="5">
        <f t="shared" si="17"/>
        <v>0</v>
      </c>
      <c r="D350" s="9" t="str">
        <f t="shared" si="18"/>
        <v>public const int people_female_age30_count_9 = 10348;</v>
      </c>
      <c r="E350" s="7"/>
    </row>
    <row r="351" spans="1:5" ht="13.5" x14ac:dyDescent="0.15">
      <c r="A351" s="9">
        <v>10349</v>
      </c>
      <c r="B351" s="3" t="s">
        <v>392</v>
      </c>
      <c r="C351" s="5">
        <f t="shared" si="17"/>
        <v>0</v>
      </c>
      <c r="D351" s="9" t="str">
        <f t="shared" si="18"/>
        <v>public const int people_female_age40_count_9 = 10349;</v>
      </c>
      <c r="E351" s="7"/>
    </row>
    <row r="352" spans="1:5" ht="13.5" x14ac:dyDescent="0.15">
      <c r="A352" s="9">
        <v>10350</v>
      </c>
      <c r="B352" s="3" t="s">
        <v>393</v>
      </c>
      <c r="C352" s="5">
        <f t="shared" si="17"/>
        <v>0</v>
      </c>
      <c r="D352" s="9" t="str">
        <f t="shared" si="18"/>
        <v>public const int people_female_age50_count_9 = 10350;</v>
      </c>
      <c r="E352" s="7"/>
    </row>
    <row r="353" spans="1:5" ht="13.5" x14ac:dyDescent="0.15">
      <c r="A353" s="9">
        <v>10351</v>
      </c>
      <c r="B353" s="3" t="s">
        <v>394</v>
      </c>
      <c r="C353" s="5">
        <f t="shared" si="17"/>
        <v>0</v>
      </c>
      <c r="D353" s="9" t="str">
        <f t="shared" si="18"/>
        <v>public const int people_female_age60_count_9 = 10351;</v>
      </c>
      <c r="E353" s="7"/>
    </row>
    <row r="354" spans="1:5" ht="13.5" x14ac:dyDescent="0.15">
      <c r="A354" s="9">
        <v>10352</v>
      </c>
      <c r="B354" s="3" t="s">
        <v>395</v>
      </c>
      <c r="C354" s="5">
        <f t="shared" si="17"/>
        <v>0</v>
      </c>
      <c r="D354" s="9" t="str">
        <f t="shared" si="18"/>
        <v>public const int people_female_age70_count_9 = 10352;</v>
      </c>
      <c r="E354" s="7"/>
    </row>
    <row r="355" spans="1:5" ht="13.5" x14ac:dyDescent="0.15">
      <c r="A355" s="9">
        <v>10353</v>
      </c>
      <c r="B355" s="3" t="s">
        <v>396</v>
      </c>
      <c r="C355" s="5">
        <f t="shared" si="17"/>
        <v>0</v>
      </c>
      <c r="D355" s="9" t="str">
        <f t="shared" si="18"/>
        <v>public const int people_female_age80_count_9 = 10353;</v>
      </c>
      <c r="E355" s="7"/>
    </row>
    <row r="356" spans="1:5" ht="13.5" x14ac:dyDescent="0.15">
      <c r="A356" s="9">
        <v>10354</v>
      </c>
      <c r="B356" s="3" t="s">
        <v>397</v>
      </c>
      <c r="C356" s="5">
        <f t="shared" si="17"/>
        <v>0</v>
      </c>
      <c r="D356" s="9" t="str">
        <f t="shared" si="18"/>
        <v>public const int people_female_age90_count_9 = 10354;</v>
      </c>
      <c r="E356" s="7"/>
    </row>
    <row r="357" spans="1:5" ht="13.5" x14ac:dyDescent="0.15">
      <c r="A357" s="9">
        <v>10355</v>
      </c>
      <c r="B357" s="11" t="s">
        <v>420</v>
      </c>
      <c r="C357" s="5" t="str">
        <f t="shared" si="17"/>
        <v>矮人成年人</v>
      </c>
      <c r="D357" s="9" t="str">
        <f t="shared" si="18"/>
        <v>public const int people_count_adult0 = 10355;</v>
      </c>
      <c r="E357" s="7" t="s">
        <v>450</v>
      </c>
    </row>
    <row r="358" spans="1:5" ht="13.5" x14ac:dyDescent="0.15">
      <c r="A358" s="9">
        <v>10356</v>
      </c>
      <c r="B358" s="11" t="s">
        <v>421</v>
      </c>
      <c r="C358" s="5" t="str">
        <f t="shared" si="17"/>
        <v>矮人学生</v>
      </c>
      <c r="D358" s="9" t="str">
        <f t="shared" si="18"/>
        <v>public const int people_count_student0 = 10356;</v>
      </c>
      <c r="E358" s="7" t="s">
        <v>451</v>
      </c>
    </row>
    <row r="359" spans="1:5" ht="13.5" x14ac:dyDescent="0.15">
      <c r="A359" s="9">
        <v>10357</v>
      </c>
      <c r="B359" s="11" t="s">
        <v>422</v>
      </c>
      <c r="C359" s="5" t="str">
        <f t="shared" si="17"/>
        <v>矮人儿童</v>
      </c>
      <c r="D359" s="9" t="str">
        <f t="shared" si="18"/>
        <v>public const int people_count_child0 = 10357;</v>
      </c>
      <c r="E359" s="7" t="s">
        <v>452</v>
      </c>
    </row>
    <row r="360" spans="1:5" ht="13.5" x14ac:dyDescent="0.15">
      <c r="A360" s="9">
        <v>10358</v>
      </c>
      <c r="B360" s="11" t="s">
        <v>423</v>
      </c>
      <c r="C360" s="5" t="str">
        <f t="shared" si="17"/>
        <v>蚁人成年人</v>
      </c>
      <c r="D360" s="9" t="str">
        <f t="shared" si="18"/>
        <v>public const int people_count_adult1 = 10358;</v>
      </c>
      <c r="E360" s="7" t="s">
        <v>453</v>
      </c>
    </row>
    <row r="361" spans="1:5" ht="13.5" x14ac:dyDescent="0.15">
      <c r="A361" s="9">
        <v>10359</v>
      </c>
      <c r="B361" s="11" t="s">
        <v>424</v>
      </c>
      <c r="C361" s="5" t="str">
        <f t="shared" si="17"/>
        <v>蚁人学生</v>
      </c>
      <c r="D361" s="9" t="str">
        <f t="shared" si="18"/>
        <v>public const int people_count_student1 = 10359;</v>
      </c>
      <c r="E361" s="7" t="s">
        <v>454</v>
      </c>
    </row>
    <row r="362" spans="1:5" ht="13.5" x14ac:dyDescent="0.15">
      <c r="A362" s="9">
        <v>10360</v>
      </c>
      <c r="B362" s="11" t="s">
        <v>425</v>
      </c>
      <c r="C362" s="5" t="str">
        <f t="shared" si="17"/>
        <v>蚁人儿童</v>
      </c>
      <c r="D362" s="9" t="str">
        <f t="shared" si="18"/>
        <v>public const int people_count_child1 = 10360;</v>
      </c>
      <c r="E362" s="7" t="s">
        <v>455</v>
      </c>
    </row>
    <row r="363" spans="1:5" ht="13.5" x14ac:dyDescent="0.15">
      <c r="A363" s="9">
        <v>10361</v>
      </c>
      <c r="B363" s="11" t="s">
        <v>426</v>
      </c>
      <c r="C363" s="5" t="str">
        <f t="shared" si="17"/>
        <v>鼠人成年人</v>
      </c>
      <c r="D363" s="9" t="str">
        <f t="shared" si="18"/>
        <v>public const int people_count_adult2 = 10361;</v>
      </c>
      <c r="E363" s="7" t="s">
        <v>456</v>
      </c>
    </row>
    <row r="364" spans="1:5" ht="13.5" x14ac:dyDescent="0.15">
      <c r="A364" s="9">
        <v>10362</v>
      </c>
      <c r="B364" s="11" t="s">
        <v>427</v>
      </c>
      <c r="C364" s="5" t="str">
        <f t="shared" si="17"/>
        <v>鼠人学生</v>
      </c>
      <c r="D364" s="9" t="str">
        <f t="shared" si="18"/>
        <v>public const int people_count_student2 = 10362;</v>
      </c>
      <c r="E364" s="7" t="s">
        <v>457</v>
      </c>
    </row>
    <row r="365" spans="1:5" ht="13.5" x14ac:dyDescent="0.15">
      <c r="A365" s="9">
        <v>10363</v>
      </c>
      <c r="B365" s="11" t="s">
        <v>428</v>
      </c>
      <c r="C365" s="5" t="str">
        <f t="shared" si="17"/>
        <v>鼠人儿童</v>
      </c>
      <c r="D365" s="9" t="str">
        <f t="shared" si="18"/>
        <v>public const int people_count_child2 = 10363;</v>
      </c>
      <c r="E365" s="7" t="s">
        <v>458</v>
      </c>
    </row>
    <row r="366" spans="1:5" ht="13.5" x14ac:dyDescent="0.15">
      <c r="A366" s="9">
        <v>10364</v>
      </c>
      <c r="B366" s="11" t="s">
        <v>429</v>
      </c>
      <c r="C366" s="5" t="str">
        <f t="shared" si="17"/>
        <v>猫人成年人</v>
      </c>
      <c r="D366" s="9" t="str">
        <f t="shared" si="18"/>
        <v>public const int people_count_adult3 = 10364;</v>
      </c>
      <c r="E366" s="7" t="s">
        <v>459</v>
      </c>
    </row>
    <row r="367" spans="1:5" ht="13.5" x14ac:dyDescent="0.15">
      <c r="A367" s="9">
        <v>10365</v>
      </c>
      <c r="B367" s="11" t="s">
        <v>430</v>
      </c>
      <c r="C367" s="5" t="str">
        <f t="shared" si="17"/>
        <v>猫人学生</v>
      </c>
      <c r="D367" s="9" t="str">
        <f t="shared" si="18"/>
        <v>public const int people_count_student3 = 10365;</v>
      </c>
      <c r="E367" s="7" t="s">
        <v>460</v>
      </c>
    </row>
    <row r="368" spans="1:5" ht="13.5" x14ac:dyDescent="0.15">
      <c r="A368" s="9">
        <v>10366</v>
      </c>
      <c r="B368" s="11" t="s">
        <v>431</v>
      </c>
      <c r="C368" s="5" t="str">
        <f t="shared" si="17"/>
        <v>猫人儿童</v>
      </c>
      <c r="D368" s="9" t="str">
        <f t="shared" si="18"/>
        <v>public const int people_count_child3 = 10366;</v>
      </c>
      <c r="E368" s="7" t="s">
        <v>461</v>
      </c>
    </row>
    <row r="369" spans="1:5" ht="13.5" x14ac:dyDescent="0.15">
      <c r="A369" s="9">
        <v>10367</v>
      </c>
      <c r="B369" s="11" t="s">
        <v>432</v>
      </c>
      <c r="C369" s="5" t="str">
        <f t="shared" si="17"/>
        <v>羊人成年人</v>
      </c>
      <c r="D369" s="9" t="str">
        <f t="shared" si="18"/>
        <v>public const int people_count_adult4 = 10367;</v>
      </c>
      <c r="E369" s="7" t="s">
        <v>462</v>
      </c>
    </row>
    <row r="370" spans="1:5" ht="13.5" x14ac:dyDescent="0.15">
      <c r="A370" s="9">
        <v>10368</v>
      </c>
      <c r="B370" s="11" t="s">
        <v>433</v>
      </c>
      <c r="C370" s="5" t="str">
        <f t="shared" si="17"/>
        <v>羊人学生</v>
      </c>
      <c r="D370" s="9" t="str">
        <f t="shared" si="18"/>
        <v>public const int people_count_student4 = 10368;</v>
      </c>
      <c r="E370" s="7" t="s">
        <v>463</v>
      </c>
    </row>
    <row r="371" spans="1:5" ht="13.5" x14ac:dyDescent="0.15">
      <c r="A371" s="9">
        <v>10369</v>
      </c>
      <c r="B371" s="11" t="s">
        <v>434</v>
      </c>
      <c r="C371" s="5" t="str">
        <f t="shared" si="17"/>
        <v>羊人儿童</v>
      </c>
      <c r="D371" s="9" t="str">
        <f t="shared" si="18"/>
        <v>public const int people_count_child4 = 10369;</v>
      </c>
      <c r="E371" s="7" t="s">
        <v>464</v>
      </c>
    </row>
    <row r="372" spans="1:5" ht="13.5" x14ac:dyDescent="0.15">
      <c r="A372" s="9">
        <v>10370</v>
      </c>
      <c r="B372" s="11" t="s">
        <v>435</v>
      </c>
      <c r="C372" s="5" t="str">
        <f t="shared" si="17"/>
        <v>狼人成年人</v>
      </c>
      <c r="D372" s="9" t="str">
        <f t="shared" si="18"/>
        <v>public const int people_count_adult5 = 10370;</v>
      </c>
      <c r="E372" s="7" t="s">
        <v>465</v>
      </c>
    </row>
    <row r="373" spans="1:5" ht="13.5" x14ac:dyDescent="0.15">
      <c r="A373" s="9">
        <v>10371</v>
      </c>
      <c r="B373" s="11" t="s">
        <v>436</v>
      </c>
      <c r="C373" s="5" t="str">
        <f t="shared" si="17"/>
        <v>狼人学生</v>
      </c>
      <c r="D373" s="9" t="str">
        <f t="shared" si="18"/>
        <v>public const int people_count_student5 = 10371;</v>
      </c>
      <c r="E373" s="7" t="s">
        <v>466</v>
      </c>
    </row>
    <row r="374" spans="1:5" ht="13.5" x14ac:dyDescent="0.15">
      <c r="A374" s="9">
        <v>10372</v>
      </c>
      <c r="B374" s="11" t="s">
        <v>437</v>
      </c>
      <c r="C374" s="5" t="str">
        <f t="shared" si="17"/>
        <v>狼人儿童</v>
      </c>
      <c r="D374" s="9" t="str">
        <f t="shared" si="18"/>
        <v>public const int people_count_child5 = 10372;</v>
      </c>
      <c r="E374" s="7" t="s">
        <v>467</v>
      </c>
    </row>
    <row r="375" spans="1:5" ht="13.5" x14ac:dyDescent="0.15">
      <c r="A375" s="9">
        <v>10373</v>
      </c>
      <c r="B375" s="11" t="s">
        <v>438</v>
      </c>
      <c r="C375" s="5" t="str">
        <f t="shared" si="17"/>
        <v>猪人成年人</v>
      </c>
      <c r="D375" s="9" t="str">
        <f t="shared" si="18"/>
        <v>public const int people_count_adult6 = 10373;</v>
      </c>
      <c r="E375" s="7" t="s">
        <v>468</v>
      </c>
    </row>
    <row r="376" spans="1:5" ht="13.5" x14ac:dyDescent="0.15">
      <c r="A376" s="9">
        <v>10374</v>
      </c>
      <c r="B376" s="11" t="s">
        <v>439</v>
      </c>
      <c r="C376" s="5" t="str">
        <f t="shared" si="17"/>
        <v>猪人学生</v>
      </c>
      <c r="D376" s="9" t="str">
        <f t="shared" si="18"/>
        <v>public const int people_count_student6 = 10374;</v>
      </c>
      <c r="E376" s="7" t="s">
        <v>469</v>
      </c>
    </row>
    <row r="377" spans="1:5" ht="13.5" x14ac:dyDescent="0.15">
      <c r="A377" s="9">
        <v>10375</v>
      </c>
      <c r="B377" s="11" t="s">
        <v>440</v>
      </c>
      <c r="C377" s="5" t="str">
        <f t="shared" si="17"/>
        <v>猪人儿童</v>
      </c>
      <c r="D377" s="9" t="str">
        <f t="shared" si="18"/>
        <v>public const int people_count_child6 = 10375;</v>
      </c>
      <c r="E377" s="7" t="s">
        <v>470</v>
      </c>
    </row>
    <row r="378" spans="1:5" ht="13.5" x14ac:dyDescent="0.15">
      <c r="A378" s="9">
        <v>10376</v>
      </c>
      <c r="B378" s="11" t="s">
        <v>441</v>
      </c>
      <c r="C378" s="5" t="str">
        <f t="shared" si="17"/>
        <v>精灵族成年人</v>
      </c>
      <c r="D378" s="9" t="str">
        <f t="shared" si="18"/>
        <v>public const int people_count_adult7 = 10376;</v>
      </c>
      <c r="E378" s="7" t="s">
        <v>471</v>
      </c>
    </row>
    <row r="379" spans="1:5" ht="13.5" x14ac:dyDescent="0.15">
      <c r="A379" s="9">
        <v>10377</v>
      </c>
      <c r="B379" s="11" t="s">
        <v>442</v>
      </c>
      <c r="C379" s="5" t="str">
        <f t="shared" ref="C379:C387" si="19">E379</f>
        <v>精灵族学生</v>
      </c>
      <c r="D379" s="9" t="str">
        <f t="shared" ref="D379:D396" si="20">CONCATENATE("public const int ",B379," = ",A379,";")</f>
        <v>public const int people_count_student7 = 10377;</v>
      </c>
      <c r="E379" s="7" t="s">
        <v>472</v>
      </c>
    </row>
    <row r="380" spans="1:5" ht="13.5" x14ac:dyDescent="0.15">
      <c r="A380" s="9">
        <v>10378</v>
      </c>
      <c r="B380" s="11" t="s">
        <v>443</v>
      </c>
      <c r="C380" s="5" t="str">
        <f t="shared" si="19"/>
        <v>精灵族儿童</v>
      </c>
      <c r="D380" s="9" t="str">
        <f t="shared" si="20"/>
        <v>public const int people_count_child7 = 10378;</v>
      </c>
      <c r="E380" s="7" t="s">
        <v>473</v>
      </c>
    </row>
    <row r="381" spans="1:5" ht="13.5" x14ac:dyDescent="0.15">
      <c r="A381" s="9">
        <v>10379</v>
      </c>
      <c r="B381" s="11" t="s">
        <v>444</v>
      </c>
      <c r="C381" s="5" t="str">
        <f t="shared" si="19"/>
        <v>三眼人成年人</v>
      </c>
      <c r="D381" s="9" t="str">
        <f t="shared" si="20"/>
        <v>public const int people_count_adult8 = 10379;</v>
      </c>
      <c r="E381" s="7" t="s">
        <v>474</v>
      </c>
    </row>
    <row r="382" spans="1:5" ht="13.5" x14ac:dyDescent="0.15">
      <c r="A382" s="9">
        <v>10380</v>
      </c>
      <c r="B382" s="11" t="s">
        <v>445</v>
      </c>
      <c r="C382" s="5" t="str">
        <f t="shared" si="19"/>
        <v>三眼人学生</v>
      </c>
      <c r="D382" s="9" t="str">
        <f t="shared" si="20"/>
        <v>public const int people_count_student8 = 10380;</v>
      </c>
      <c r="E382" s="7" t="s">
        <v>475</v>
      </c>
    </row>
    <row r="383" spans="1:5" ht="13.5" x14ac:dyDescent="0.15">
      <c r="A383" s="9">
        <v>10381</v>
      </c>
      <c r="B383" s="11" t="s">
        <v>446</v>
      </c>
      <c r="C383" s="5" t="str">
        <f t="shared" si="19"/>
        <v>三眼人儿童</v>
      </c>
      <c r="D383" s="9" t="str">
        <f t="shared" si="20"/>
        <v>public const int people_count_child8 = 10381;</v>
      </c>
      <c r="E383" s="7" t="s">
        <v>476</v>
      </c>
    </row>
    <row r="384" spans="1:5" ht="13.5" x14ac:dyDescent="0.15">
      <c r="A384" s="9">
        <v>10382</v>
      </c>
      <c r="B384" s="11" t="s">
        <v>447</v>
      </c>
      <c r="C384" s="5" t="str">
        <f t="shared" si="19"/>
        <v>蜥蜴人成年人</v>
      </c>
      <c r="D384" s="9" t="str">
        <f t="shared" si="20"/>
        <v>public const int people_count_adult9 = 10382;</v>
      </c>
      <c r="E384" s="7" t="s">
        <v>477</v>
      </c>
    </row>
    <row r="385" spans="1:5" ht="13.5" x14ac:dyDescent="0.15">
      <c r="A385" s="9">
        <v>10383</v>
      </c>
      <c r="B385" s="11" t="s">
        <v>448</v>
      </c>
      <c r="C385" s="5" t="str">
        <f t="shared" si="19"/>
        <v>蜥蜴人学生</v>
      </c>
      <c r="D385" s="9" t="str">
        <f t="shared" si="20"/>
        <v>public const int people_count_student9 = 10383;</v>
      </c>
      <c r="E385" s="7" t="s">
        <v>478</v>
      </c>
    </row>
    <row r="386" spans="1:5" ht="13.5" x14ac:dyDescent="0.15">
      <c r="A386" s="9">
        <v>10384</v>
      </c>
      <c r="B386" s="11" t="s">
        <v>449</v>
      </c>
      <c r="C386" s="5" t="str">
        <f t="shared" si="19"/>
        <v>蜥蜴人儿童</v>
      </c>
      <c r="D386" s="9" t="str">
        <f t="shared" si="20"/>
        <v>public const int people_count_child9 = 10384;</v>
      </c>
      <c r="E386" s="7" t="s">
        <v>479</v>
      </c>
    </row>
    <row r="387" spans="1:5" ht="13.5" x14ac:dyDescent="0.15">
      <c r="A387" s="9">
        <v>10385</v>
      </c>
      <c r="B387" s="11" t="s">
        <v>480</v>
      </c>
      <c r="C387" s="5" t="str">
        <f t="shared" si="19"/>
        <v>人均生产总值</v>
      </c>
      <c r="D387" s="9" t="str">
        <f t="shared" si="20"/>
        <v>public const int gdp_per_capita = 10385;</v>
      </c>
      <c r="E387" s="7" t="s">
        <v>481</v>
      </c>
    </row>
    <row r="388" spans="1:5" ht="13.5" x14ac:dyDescent="0.15">
      <c r="A388" s="9">
        <v>10386</v>
      </c>
      <c r="B388" s="11" t="s">
        <v>482</v>
      </c>
      <c r="C388" s="7" t="s">
        <v>483</v>
      </c>
      <c r="D388" s="9" t="str">
        <f t="shared" si="20"/>
        <v>public const int trade_scale = 10386;</v>
      </c>
      <c r="E388" s="7" t="s">
        <v>483</v>
      </c>
    </row>
    <row r="389" spans="1:5" ht="13.5" x14ac:dyDescent="0.15">
      <c r="A389" s="9">
        <v>10387</v>
      </c>
      <c r="B389" s="12" t="s">
        <v>504</v>
      </c>
      <c r="C389" s="7" t="s">
        <v>486</v>
      </c>
      <c r="D389" s="9" t="str">
        <f t="shared" si="20"/>
        <v>public const int cumulative_number_of_enemies_killed = 10387;</v>
      </c>
      <c r="E389" s="7" t="s">
        <v>487</v>
      </c>
    </row>
    <row r="390" spans="1:5" ht="13.5" x14ac:dyDescent="0.15">
      <c r="A390" s="13">
        <v>10388</v>
      </c>
      <c r="B390" s="18" t="s">
        <v>505</v>
      </c>
      <c r="C390" s="7" t="s">
        <v>484</v>
      </c>
      <c r="D390" s="9" t="str">
        <f t="shared" si="20"/>
        <v>public const int cumulative_number_of_monsters_killed = 10388;</v>
      </c>
      <c r="E390" s="7" t="s">
        <v>485</v>
      </c>
    </row>
    <row r="391" spans="1:5" ht="13.5" x14ac:dyDescent="0.15">
      <c r="A391" s="9">
        <v>10389</v>
      </c>
      <c r="B391" s="9" t="s">
        <v>496</v>
      </c>
      <c r="C391" s="7" t="s">
        <v>488</v>
      </c>
      <c r="D391" s="9" t="str">
        <f t="shared" si="20"/>
        <v>public const int cumulative_number_of_prisoners_captured = 10389;</v>
      </c>
      <c r="E391" s="7" t="s">
        <v>489</v>
      </c>
    </row>
    <row r="392" spans="1:5" ht="13.5" x14ac:dyDescent="0.15">
      <c r="A392" s="9">
        <v>10390</v>
      </c>
      <c r="B392" s="9" t="s">
        <v>497</v>
      </c>
      <c r="C392" s="7" t="s">
        <v>490</v>
      </c>
      <c r="D392" s="9" t="str">
        <f t="shared" si="20"/>
        <v>public const int cumulative_number_of_skeleton_soldiers = 10390;</v>
      </c>
      <c r="E392" s="7" t="s">
        <v>491</v>
      </c>
    </row>
    <row r="393" spans="1:5" ht="13.5" x14ac:dyDescent="0.15">
      <c r="A393" s="9">
        <v>10391</v>
      </c>
      <c r="B393" s="9" t="s">
        <v>498</v>
      </c>
      <c r="C393" s="7" t="s">
        <v>493</v>
      </c>
      <c r="D393" s="9" t="str">
        <f t="shared" si="20"/>
        <v>public const int cumulative_number_of_surface_collections = 10391;</v>
      </c>
      <c r="E393" s="7" t="s">
        <v>494</v>
      </c>
    </row>
    <row r="394" spans="1:5" ht="13.5" x14ac:dyDescent="0.15">
      <c r="A394" s="9">
        <v>10392</v>
      </c>
      <c r="B394" s="9" t="s">
        <v>499</v>
      </c>
      <c r="C394" s="7" t="s">
        <v>495</v>
      </c>
      <c r="D394" s="9" t="str">
        <f t="shared" si="20"/>
        <v>public const int cumulative_number_of_mining = 10392;</v>
      </c>
      <c r="E394" s="7" t="s">
        <v>492</v>
      </c>
    </row>
    <row r="395" spans="1:5" ht="13.5" x14ac:dyDescent="0.15">
      <c r="A395" s="9">
        <v>10393</v>
      </c>
      <c r="B395" s="11" t="s">
        <v>503</v>
      </c>
      <c r="C395" s="7" t="s">
        <v>500</v>
      </c>
      <c r="D395" s="9" t="str">
        <f t="shared" si="20"/>
        <v>public const int cumulative_number_of_release_prisoner = 10393;</v>
      </c>
      <c r="E395" s="7" t="s">
        <v>500</v>
      </c>
    </row>
    <row r="396" spans="1:5" ht="13.5" x14ac:dyDescent="0.15">
      <c r="A396" s="9">
        <v>10394</v>
      </c>
      <c r="B396" s="11" t="s">
        <v>502</v>
      </c>
      <c r="C396" s="7" t="s">
        <v>501</v>
      </c>
      <c r="D396" s="9" t="str">
        <f t="shared" si="20"/>
        <v>public const int cumulative_number_of_execute_prisoner = 10394;</v>
      </c>
      <c r="E396" s="7" t="s">
        <v>501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data_key_name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2026-01-04T13:53:50Z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