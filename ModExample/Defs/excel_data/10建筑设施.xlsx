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2CDDB7F3-07EB-4EE0-8ADF-30DA68035B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ild" sheetId="1" r:id="rId1"/>
  </sheets>
  <definedNames>
    <definedName name="_xlnm._FilterDatabase" localSheetId="0" hidden="1">build!$B$1:$B$140</definedName>
  </definedNames>
  <calcPr calcId="181029"/>
</workbook>
</file>

<file path=xl/calcChain.xml><?xml version="1.0" encoding="utf-8"?>
<calcChain xmlns="http://schemas.openxmlformats.org/spreadsheetml/2006/main">
  <c r="CR53" i="1" l="1"/>
  <c r="BG53" i="1"/>
  <c r="CR17" i="1"/>
  <c r="BG17" i="1"/>
  <c r="BG122" i="1" l="1"/>
  <c r="CR122" i="1"/>
  <c r="CR120" i="1"/>
  <c r="BG120" i="1"/>
  <c r="CR119" i="1"/>
  <c r="BG119" i="1"/>
  <c r="CR121" i="1"/>
  <c r="BG121" i="1"/>
  <c r="CR118" i="1"/>
  <c r="BG118" i="1"/>
  <c r="CR134" i="1"/>
  <c r="BG134" i="1"/>
  <c r="CR4" i="1"/>
  <c r="BG4" i="1"/>
  <c r="CR139" i="1"/>
  <c r="BG139" i="1"/>
  <c r="CR133" i="1"/>
  <c r="BG133" i="1"/>
  <c r="CR19" i="1"/>
  <c r="BG19" i="1"/>
  <c r="CR22" i="1"/>
  <c r="BG22" i="1"/>
  <c r="CR57" i="1"/>
  <c r="BG57" i="1"/>
  <c r="CR56" i="1"/>
  <c r="BG56" i="1"/>
  <c r="CR55" i="1"/>
  <c r="BG55" i="1"/>
  <c r="CR101" i="1" l="1"/>
  <c r="BG101" i="1"/>
  <c r="CR59" i="1"/>
  <c r="CR51" i="1"/>
  <c r="CR52" i="1"/>
  <c r="CR46" i="1"/>
  <c r="CR60" i="1"/>
  <c r="CR61" i="1"/>
  <c r="CR62" i="1"/>
  <c r="CR63" i="1"/>
  <c r="CR64" i="1"/>
  <c r="BG43" i="1"/>
  <c r="BG50" i="1"/>
  <c r="BG54" i="1"/>
  <c r="BG59" i="1"/>
  <c r="BG51" i="1"/>
  <c r="BG52" i="1"/>
  <c r="BG46" i="1"/>
  <c r="BG60" i="1"/>
  <c r="BG61" i="1"/>
  <c r="BG62" i="1"/>
  <c r="BG48" i="1"/>
  <c r="BG63" i="1"/>
  <c r="BG64" i="1"/>
  <c r="BG65" i="1"/>
  <c r="BG67" i="1"/>
  <c r="CR27" i="1"/>
  <c r="BG27" i="1"/>
  <c r="CR26" i="1"/>
  <c r="BG26" i="1"/>
  <c r="CR25" i="1"/>
  <c r="BG25" i="1"/>
  <c r="CR24" i="1"/>
  <c r="BG24" i="1"/>
  <c r="CR15" i="1"/>
  <c r="BG15" i="1"/>
  <c r="CR36" i="1" l="1"/>
  <c r="BG36" i="1"/>
  <c r="CR94" i="1" l="1"/>
  <c r="BG94" i="1"/>
  <c r="CR65" i="1" l="1"/>
  <c r="CR106" i="1" l="1"/>
  <c r="BG106" i="1"/>
  <c r="CR7" i="1"/>
  <c r="BG7" i="1"/>
  <c r="CR140" i="1"/>
  <c r="BG140" i="1"/>
  <c r="CR104" i="1"/>
  <c r="BG104" i="1"/>
  <c r="CR99" i="1"/>
  <c r="BG99" i="1"/>
  <c r="CR35" i="1"/>
  <c r="BG35" i="1"/>
  <c r="BG3" i="1"/>
  <c r="CR132" i="1"/>
  <c r="BG132" i="1"/>
  <c r="CR137" i="1"/>
  <c r="CR138" i="1"/>
  <c r="BG137" i="1"/>
  <c r="BG138" i="1"/>
  <c r="CR73" i="1" l="1"/>
  <c r="BG73" i="1"/>
  <c r="BG100" i="1"/>
  <c r="CR100" i="1"/>
  <c r="CR93" i="1" l="1"/>
  <c r="BG93" i="1"/>
  <c r="CR105" i="1"/>
  <c r="BG105" i="1"/>
  <c r="CR13" i="1"/>
  <c r="CR9" i="1"/>
  <c r="BG9" i="1"/>
  <c r="CR97" i="1" l="1"/>
  <c r="BG97" i="1"/>
  <c r="CR136" i="1"/>
  <c r="BG136" i="1"/>
  <c r="CR135" i="1"/>
  <c r="BG135" i="1"/>
  <c r="CR129" i="1"/>
  <c r="BG129" i="1"/>
  <c r="CR128" i="1"/>
  <c r="BG128" i="1"/>
  <c r="CR127" i="1"/>
  <c r="BG127" i="1"/>
  <c r="CR126" i="1"/>
  <c r="BG126" i="1"/>
  <c r="CR125" i="1"/>
  <c r="BG125" i="1"/>
  <c r="CR124" i="1"/>
  <c r="BG124" i="1"/>
  <c r="CR123" i="1"/>
  <c r="BG123" i="1"/>
  <c r="CR117" i="1"/>
  <c r="BG117" i="1"/>
  <c r="CR116" i="1"/>
  <c r="BG116" i="1"/>
  <c r="CR115" i="1"/>
  <c r="BG115" i="1"/>
  <c r="CR114" i="1"/>
  <c r="BG114" i="1"/>
  <c r="CR113" i="1"/>
  <c r="BG113" i="1"/>
  <c r="CR112" i="1"/>
  <c r="BG112" i="1"/>
  <c r="CR111" i="1"/>
  <c r="BG111" i="1"/>
  <c r="CR37" i="1"/>
  <c r="BG37" i="1"/>
  <c r="CR110" i="1"/>
  <c r="BG110" i="1"/>
  <c r="CR109" i="1"/>
  <c r="BG109" i="1"/>
  <c r="CR108" i="1"/>
  <c r="BG108" i="1"/>
  <c r="CR107" i="1"/>
  <c r="BG107" i="1"/>
  <c r="CR103" i="1"/>
  <c r="BG103" i="1"/>
  <c r="CR102" i="1"/>
  <c r="BG102" i="1"/>
  <c r="CR98" i="1"/>
  <c r="BG98" i="1"/>
  <c r="CR92" i="1"/>
  <c r="BG92" i="1"/>
  <c r="CR91" i="1"/>
  <c r="BG91" i="1"/>
  <c r="CR85" i="1"/>
  <c r="BG85" i="1"/>
  <c r="CR58" i="1"/>
  <c r="BG58" i="1"/>
  <c r="CR78" i="1"/>
  <c r="BG78" i="1"/>
  <c r="CR77" i="1"/>
  <c r="BG77" i="1"/>
  <c r="CR90" i="1"/>
  <c r="BG90" i="1"/>
  <c r="CR89" i="1"/>
  <c r="BG89" i="1"/>
  <c r="CR86" i="1"/>
  <c r="BG86" i="1"/>
  <c r="CR70" i="1"/>
  <c r="BG70" i="1"/>
  <c r="CR68" i="1"/>
  <c r="BG68" i="1"/>
  <c r="CR95" i="1"/>
  <c r="BG95" i="1"/>
  <c r="CR96" i="1"/>
  <c r="BG96" i="1"/>
  <c r="CR87" i="1"/>
  <c r="BG87" i="1"/>
  <c r="CR88" i="1"/>
  <c r="BG88" i="1"/>
  <c r="CR83" i="1"/>
  <c r="BG83" i="1"/>
  <c r="CR82" i="1"/>
  <c r="BG82" i="1"/>
  <c r="CR81" i="1"/>
  <c r="BG81" i="1"/>
  <c r="CR80" i="1"/>
  <c r="BG80" i="1"/>
  <c r="CR84" i="1"/>
  <c r="BG84" i="1"/>
  <c r="CR79" i="1"/>
  <c r="BG79" i="1"/>
  <c r="CR66" i="1"/>
  <c r="BG66" i="1"/>
  <c r="CR67" i="1"/>
  <c r="CR69" i="1"/>
  <c r="BG69" i="1"/>
  <c r="CR76" i="1"/>
  <c r="BG76" i="1"/>
  <c r="CR72" i="1"/>
  <c r="BG72" i="1"/>
  <c r="CR71" i="1"/>
  <c r="BG71" i="1"/>
  <c r="CR54" i="1"/>
  <c r="CR41" i="1"/>
  <c r="BG41" i="1"/>
  <c r="CR50" i="1"/>
  <c r="CR43" i="1"/>
  <c r="CR12" i="1"/>
  <c r="BG12" i="1"/>
  <c r="CR10" i="1"/>
  <c r="BG10" i="1"/>
  <c r="CR11" i="1"/>
  <c r="BG11" i="1"/>
  <c r="CR49" i="1"/>
  <c r="BG49" i="1"/>
  <c r="CR48" i="1"/>
  <c r="CR47" i="1"/>
  <c r="BG47" i="1"/>
  <c r="CR45" i="1"/>
  <c r="BG45" i="1"/>
  <c r="CR44" i="1"/>
  <c r="BG44" i="1"/>
  <c r="CR42" i="1"/>
  <c r="BG42" i="1"/>
  <c r="CR75" i="1"/>
  <c r="BG75" i="1"/>
  <c r="CR74" i="1"/>
  <c r="BG74" i="1"/>
  <c r="CR34" i="1"/>
  <c r="BG34" i="1"/>
  <c r="CR40" i="1"/>
  <c r="BG40" i="1"/>
  <c r="CR39" i="1"/>
  <c r="BG39" i="1"/>
  <c r="CR38" i="1"/>
  <c r="BG38" i="1"/>
  <c r="CR33" i="1"/>
  <c r="BG33" i="1"/>
  <c r="CR32" i="1"/>
  <c r="BG32" i="1"/>
  <c r="CR30" i="1"/>
  <c r="BG30" i="1"/>
  <c r="CR31" i="1"/>
  <c r="BG31" i="1"/>
  <c r="CR29" i="1"/>
  <c r="BG29" i="1"/>
  <c r="CR28" i="1"/>
  <c r="BG28" i="1"/>
  <c r="CR18" i="1"/>
  <c r="BG18" i="1"/>
  <c r="CR21" i="1"/>
  <c r="BG21" i="1"/>
  <c r="CR20" i="1"/>
  <c r="BG20" i="1"/>
  <c r="CR23" i="1"/>
  <c r="BG23" i="1"/>
  <c r="CR16" i="1"/>
  <c r="BG16" i="1"/>
  <c r="CR14" i="1"/>
  <c r="BG14" i="1"/>
  <c r="BG13" i="1"/>
  <c r="CR8" i="1"/>
  <c r="BG8" i="1"/>
  <c r="CR6" i="1"/>
  <c r="BG6" i="1"/>
  <c r="CR5" i="1"/>
  <c r="BG5" i="1"/>
  <c r="CR3" i="1"/>
  <c r="DO2" i="1"/>
  <c r="DN2" i="1"/>
</calcChain>
</file>

<file path=xl/sharedStrings.xml><?xml version="1.0" encoding="utf-8"?>
<sst xmlns="http://schemas.openxmlformats.org/spreadsheetml/2006/main" count="1812" uniqueCount="741">
  <si>
    <t>设施ID</t>
  </si>
  <si>
    <t>设施名称</t>
  </si>
  <si>
    <t>类名</t>
  </si>
  <si>
    <t>不显示小红点提示</t>
  </si>
  <si>
    <t>建筑菜单分组</t>
  </si>
  <si>
    <t>可修改工人数量</t>
  </si>
  <si>
    <t>可超过原始上限</t>
  </si>
  <si>
    <t>是否播放建造完成音效</t>
  </si>
  <si>
    <t>环境音效</t>
  </si>
  <si>
    <t>是否有雪花装饰</t>
  </si>
  <si>
    <t>是否有雪花装饰实体</t>
  </si>
  <si>
    <t>是否合大图（外包合图）</t>
  </si>
  <si>
    <t>在室内时，不显示雪花</t>
  </si>
  <si>
    <t>是否可储水</t>
  </si>
  <si>
    <t>是否可暂停使用</t>
  </si>
  <si>
    <t>交互界面</t>
  </si>
  <si>
    <t>在设施列表中的排序，0为不显示</t>
  </si>
  <si>
    <t>是否可拆除</t>
  </si>
  <si>
    <t>是否禁用拆除操作</t>
  </si>
  <si>
    <t>是否有背包</t>
  </si>
  <si>
    <t>宽</t>
  </si>
  <si>
    <t>高</t>
  </si>
  <si>
    <t>耐久度</t>
  </si>
  <si>
    <t>设施背包上限</t>
  </si>
  <si>
    <t>是否入建造蓝图</t>
  </si>
  <si>
    <t>是否可移动</t>
  </si>
  <si>
    <t>在蓝图中阻碍旋转</t>
  </si>
  <si>
    <t>可旋转</t>
  </si>
  <si>
    <t>可堵门</t>
  </si>
  <si>
    <t>只有垂直向</t>
  </si>
  <si>
    <t>是障碍</t>
  </si>
  <si>
    <t>占用资源范围</t>
  </si>
  <si>
    <t>资源范围</t>
  </si>
  <si>
    <t>资源范围锚点
0.中心
1.顶中
2.底中</t>
  </si>
  <si>
    <t>影响范围</t>
  </si>
  <si>
    <t>显示层级</t>
  </si>
  <si>
    <r>
      <rPr>
        <sz val="11"/>
        <color theme="1"/>
        <rFont val="宋体"/>
        <family val="3"/>
        <charset val="134"/>
        <scheme val="minor"/>
      </rPr>
      <t>是否有s</t>
    </r>
    <r>
      <rPr>
        <sz val="11"/>
        <color theme="1"/>
        <rFont val="宋体"/>
        <family val="3"/>
        <charset val="134"/>
        <scheme val="minor"/>
      </rPr>
      <t>ortingGroup组件</t>
    </r>
  </si>
  <si>
    <t>数量限制</t>
  </si>
  <si>
    <t>是否入快捷建造栏</t>
  </si>
  <si>
    <t>最小尺寸</t>
  </si>
  <si>
    <t>最大尺寸</t>
  </si>
  <si>
    <t>被攻击时的血量</t>
  </si>
  <si>
    <t>是否可被士兵袭击</t>
  </si>
  <si>
    <t>是否可被怪物袭击</t>
  </si>
  <si>
    <t>按面积算材料和工作量</t>
  </si>
  <si>
    <t>同时施工人数</t>
  </si>
  <si>
    <t>所需工作量</t>
  </si>
  <si>
    <t>材料1</t>
  </si>
  <si>
    <t>数量1</t>
  </si>
  <si>
    <t>材料2</t>
  </si>
  <si>
    <t>数量2</t>
  </si>
  <si>
    <t>材料3</t>
  </si>
  <si>
    <t>数量3</t>
  </si>
  <si>
    <t>维修材料1</t>
  </si>
  <si>
    <t>维修数量1</t>
  </si>
  <si>
    <t>维修材料2</t>
  </si>
  <si>
    <t>维修数量2</t>
  </si>
  <si>
    <t>维修材料3</t>
  </si>
  <si>
    <t>维修数量3</t>
  </si>
  <si>
    <t>zh-CN</t>
  </si>
  <si>
    <t>id#int</t>
  </si>
  <si>
    <t>!name#str</t>
  </si>
  <si>
    <t>is_not_show_red_dot_notice#int</t>
  </si>
  <si>
    <t>can_modify_worker_count_max#int</t>
  </si>
  <si>
    <t>can_exceed_worker_max_limit#int</t>
  </si>
  <si>
    <t>has_finish_sound#int</t>
  </si>
  <si>
    <t>has_snow#int</t>
  </si>
  <si>
    <t>has_snow_body#int</t>
  </si>
  <si>
    <t>is_pack#int</t>
  </si>
  <si>
    <t>no_snow_indoor#int</t>
  </si>
  <si>
    <t>can_store_water#int</t>
  </si>
  <si>
    <t>can_pause#int</t>
  </si>
  <si>
    <t>window_prefab#str</t>
  </si>
  <si>
    <t>cellw#int</t>
  </si>
  <si>
    <t>cellh#int</t>
  </si>
  <si>
    <t>durability#int</t>
  </si>
  <si>
    <t>bag_limit#int</t>
  </si>
  <si>
    <t>door_way#int</t>
  </si>
  <si>
    <t>can_put_in_build_blueprint#int</t>
  </si>
  <si>
    <t>can_move#int</t>
  </si>
  <si>
    <t>ban_rotate_in_blueprint#int</t>
  </si>
  <si>
    <t>can_rotate#int</t>
  </si>
  <si>
    <t>can_block_door_way#int</t>
  </si>
  <si>
    <t>vertical_only#int</t>
  </si>
  <si>
    <t>is_obstruct#int</t>
  </si>
  <si>
    <t>res_range#int</t>
  </si>
  <si>
    <t>sorting_order#int</t>
  </si>
  <si>
    <t>has_sorting_group#int</t>
  </si>
  <si>
    <t xml:space="preserve">quantity_limit#int </t>
  </si>
  <si>
    <t>can_show_in_shortcut#int</t>
  </si>
  <si>
    <t>max_size#int</t>
  </si>
  <si>
    <t>hp#int</t>
  </si>
  <si>
    <t>architect_count_max#int</t>
  </si>
  <si>
    <t>workload#int</t>
  </si>
  <si>
    <t>_material_1#str</t>
  </si>
  <si>
    <t>!tmp</t>
  </si>
  <si>
    <t>_n1#int</t>
  </si>
  <si>
    <t>_material_2#str</t>
  </si>
  <si>
    <t>_n2#int</t>
  </si>
  <si>
    <t>_material_3#str</t>
  </si>
  <si>
    <r>
      <rPr>
        <sz val="11"/>
        <color theme="1"/>
        <rFont val="宋体"/>
        <family val="3"/>
        <charset val="134"/>
        <scheme val="minor"/>
      </rPr>
      <t>!</t>
    </r>
    <r>
      <rPr>
        <sz val="11"/>
        <color theme="1"/>
        <rFont val="宋体"/>
        <family val="3"/>
        <charset val="134"/>
        <scheme val="minor"/>
      </rPr>
      <t>tmp</t>
    </r>
  </si>
  <si>
    <t>_n3#int</t>
  </si>
  <si>
    <t>_repair_material_1#str</t>
  </si>
  <si>
    <t>_repair_n1#int</t>
  </si>
  <si>
    <t>_repair_material_2#str</t>
  </si>
  <si>
    <t>_repair_n2#int</t>
  </si>
  <si>
    <t>_repair_material_3#str</t>
  </si>
  <si>
    <t>_repair_n3#int</t>
  </si>
  <si>
    <t>window_facility_info</t>
  </si>
  <si>
    <t>1</t>
  </si>
  <si>
    <t>0</t>
  </si>
  <si>
    <t>小床</t>
  </si>
  <si>
    <t>window_bed</t>
  </si>
  <si>
    <t>原木</t>
  </si>
  <si>
    <t>大床</t>
  </si>
  <si>
    <t>FacilityDoubleBed</t>
  </si>
  <si>
    <t>铁</t>
  </si>
  <si>
    <t>FacilityTreasureBed</t>
  </si>
  <si>
    <t>window_treasure_bed</t>
  </si>
  <si>
    <t>金锭</t>
  </si>
  <si>
    <t>FacilityRoad</t>
  </si>
  <si>
    <t>window_road_info</t>
  </si>
  <si>
    <t>石料</t>
  </si>
  <si>
    <t>FacilityBridge</t>
  </si>
  <si>
    <t>window_bridge</t>
  </si>
  <si>
    <t>山路</t>
  </si>
  <si>
    <t>FacilityLadder</t>
  </si>
  <si>
    <t>木墙</t>
  </si>
  <si>
    <t>FacilityWall</t>
  </si>
  <si>
    <t>石樯</t>
  </si>
  <si>
    <t>门</t>
  </si>
  <si>
    <t>FacilityDoor</t>
  </si>
  <si>
    <t>window_door</t>
  </si>
  <si>
    <t># 可挡住室内的热量，不流失</t>
  </si>
  <si>
    <t>城墙</t>
  </si>
  <si>
    <t>FacilityCityWall</t>
  </si>
  <si>
    <t>window_facility_wall</t>
  </si>
  <si>
    <t>城门</t>
  </si>
  <si>
    <t>FacilityCityWallDoor</t>
  </si>
  <si>
    <t>window_city_wall_door</t>
  </si>
  <si>
    <t>大箱子</t>
  </si>
  <si>
    <t>FacilityStorageBarn</t>
  </si>
  <si>
    <t>window_storage_barn</t>
  </si>
  <si>
    <t>料堆</t>
  </si>
  <si>
    <t>FacilityStockPile</t>
  </si>
  <si>
    <t>window_stockpile</t>
  </si>
  <si>
    <t>window_turnover_box</t>
  </si>
  <si>
    <t>window_trading_desk</t>
  </si>
  <si>
    <t>FacilityTradingPort</t>
  </si>
  <si>
    <t>window_trading_port</t>
  </si>
  <si>
    <t>FacilityRoadSign</t>
  </si>
  <si>
    <t>FacilityWagonStation</t>
  </si>
  <si>
    <t>window_wagon_station</t>
  </si>
  <si>
    <t>Facility</t>
  </si>
  <si>
    <t>FacilityWaterPoint</t>
  </si>
  <si>
    <t>建造操作：只能建造在水边</t>
  </si>
  <si>
    <t>FacilityTeacherDesk</t>
  </si>
  <si>
    <t>window_teacher_desk</t>
  </si>
  <si>
    <t># 接受过教育的居民，工作效率会更高</t>
  </si>
  <si>
    <t>FacilitySermonDesk</t>
  </si>
  <si>
    <t>window_sermon_desk</t>
  </si>
  <si>
    <t>FacilityCemetery</t>
  </si>
  <si>
    <t>window_cemetery</t>
  </si>
  <si>
    <t>诊断台</t>
  </si>
  <si>
    <t>FacilityDoctorTable</t>
  </si>
  <si>
    <t>window_doctor_table</t>
  </si>
  <si>
    <t>医疗床</t>
  </si>
  <si>
    <t>FacilityMedicalBed</t>
  </si>
  <si>
    <t>FacilityBonfire</t>
  </si>
  <si>
    <t>window_bonfire</t>
  </si>
  <si>
    <t># 即使是拒绝结婚的居民，围着篝火起舞时，也很容易陷入爱河，配对成功</t>
  </si>
  <si>
    <t>FacilityTorch</t>
  </si>
  <si>
    <t>FacilityBrazier</t>
  </si>
  <si>
    <t>&lt;sprite name="ic_setting_title"&gt; 可设置使用的燃料类型</t>
  </si>
  <si>
    <t>椅子</t>
  </si>
  <si>
    <t>FacilityChair</t>
  </si>
  <si>
    <t>FacilityDinnerTable</t>
  </si>
  <si>
    <t>研究台</t>
  </si>
  <si>
    <t>FacilityResearchTable</t>
  </si>
  <si>
    <t>window_research_table</t>
  </si>
  <si>
    <t>FacilityFlowerPot</t>
  </si>
  <si>
    <t>window_flower_pot</t>
  </si>
  <si>
    <t>接待台</t>
  </si>
  <si>
    <t>window_front_desk</t>
  </si>
  <si>
    <t># 为旅客提供住宿，可获得报酬。
# 旅客也会在接待台，请求购买物品。
# 不同类型的旅客，有不同的需求，并且可能带来其它地方的消息。
# 旅店声誉达到一定等级后，才会出现特定类型的旅客
# 在接待台作用范围内，新建的床，会自动设置为“仅限旅客”。
# 其它地方的床，也可以手工设置为“仅限旅客”。</t>
  </si>
  <si>
    <t>农田</t>
  </si>
  <si>
    <t>FacilityCropField</t>
  </si>
  <si>
    <t>window_crop_field</t>
  </si>
  <si>
    <t>FacilityOrchard</t>
  </si>
  <si>
    <t>window_orchard</t>
  </si>
  <si>
    <t>牧场</t>
  </si>
  <si>
    <t>FacilityPasture</t>
  </si>
  <si>
    <t>pasture_sound</t>
  </si>
  <si>
    <t>window_pasture</t>
  </si>
  <si>
    <t>&lt;sprite name="ic_clear"&gt; 将本牧场的动物，迁移到其它牧场
&lt;sprite name="ic_split"&gt; 从本牧场，迁移一半动物，到其它牧场
# 拖动滑动条，可设定牧场存栏上限。超过上限的动物，将被宰杀
# 设置牧场的动物种类后，如果牧场外有相应动物未圈养。牧民会去捕捉回来饲养。
# 牧场的日常生产，及动物繁殖，都严重依赖牧民的日常打理。
# 动物达到最大寿命会，会自然死亡。</t>
  </si>
  <si>
    <t>渔人码头</t>
  </si>
  <si>
    <t>FacilityFishingDock</t>
  </si>
  <si>
    <t># 每年从附近水域，可捕获的渔类资源是有限的，来年会恢复</t>
  </si>
  <si>
    <t>猎人营地</t>
  </si>
  <si>
    <t>FacilityHuntingCabin</t>
  </si>
  <si>
    <t>forest_sound</t>
  </si>
  <si>
    <t>window_hunting_cabin</t>
  </si>
  <si>
    <t>采集营地</t>
  </si>
  <si>
    <t>FacilityGatherersHut</t>
  </si>
  <si>
    <t>window_gatherers_hut</t>
  </si>
  <si>
    <t># 森林覆盖率越高，可采集的野果蔬菜越多
&lt;sprite name="ic_up_down"&gt; 上下箭头可调整本设施中的工人数量
&lt;sprite name="ic_locating_npc"&gt; 定位本设施的工作居民，看一看他们当前在做什么</t>
  </si>
  <si>
    <t>护林营地</t>
  </si>
  <si>
    <t>FacilityForesterLodge</t>
  </si>
  <si>
    <t>window_forester_lodge</t>
  </si>
  <si>
    <t>采药营地</t>
  </si>
  <si>
    <t>FacilityHerbalist</t>
  </si>
  <si>
    <t>window_herbalist</t>
  </si>
  <si>
    <t># 药草只会生长在，古老的大树附近</t>
  </si>
  <si>
    <t>劈材桩</t>
  </si>
  <si>
    <t>FacilityWoodCutter</t>
  </si>
  <si>
    <t>制造台</t>
  </si>
  <si>
    <t>FacilityBlacksmith</t>
  </si>
  <si>
    <t>缝纫台</t>
  </si>
  <si>
    <t>FacilityTailor</t>
  </si>
  <si>
    <t>FacilityTavern</t>
  </si>
  <si>
    <t>矿井</t>
  </si>
  <si>
    <t>FacilityMine</t>
  </si>
  <si>
    <t>采石场</t>
  </si>
  <si>
    <t>FacilityQuarry</t>
  </si>
  <si>
    <t>window_quarry</t>
  </si>
  <si>
    <t>堆肥桶</t>
  </si>
  <si>
    <t>FacilityCompost</t>
  </si>
  <si>
    <t>window_compost</t>
  </si>
  <si>
    <t>烹饪台</t>
  </si>
  <si>
    <t>FacilityCookTable</t>
  </si>
  <si>
    <t>捕兽夹</t>
  </si>
  <si>
    <t>FacilityTrap</t>
  </si>
  <si>
    <t>蟹笼</t>
  </si>
  <si>
    <t>FacilityCrabPot</t>
  </si>
  <si>
    <t>window_crab_pot</t>
  </si>
  <si>
    <t>采石点</t>
  </si>
  <si>
    <t>FacilityQuarryPoint</t>
  </si>
  <si>
    <t>window_quarry_point</t>
  </si>
  <si>
    <t>建造操作：只能建造在山边</t>
  </si>
  <si>
    <t>挖掘点</t>
  </si>
  <si>
    <t>FacilityTrenchingPoint</t>
  </si>
  <si>
    <t>造陆点</t>
  </si>
  <si>
    <t>FacilityLandmakingPoint</t>
  </si>
  <si>
    <t>FacilityHive</t>
  </si>
  <si>
    <t>window_hive</t>
  </si>
  <si>
    <t>喂食器</t>
  </si>
  <si>
    <t>FacilityFeeder</t>
  </si>
  <si>
    <t>window_feeder</t>
  </si>
  <si>
    <t>雕像座</t>
  </si>
  <si>
    <t>FacilityStatue</t>
  </si>
  <si>
    <t>window_statue</t>
  </si>
  <si>
    <t># 供奉不同类型的雕像，会产生不同类型的魔法祝福效果
# 每次魔法祝福，会消耗一定数量的宝石，没有宝石无法产生作用</t>
  </si>
  <si>
    <t>炼药锅</t>
  </si>
  <si>
    <t>码头</t>
  </si>
  <si>
    <t>FacilityDock</t>
  </si>
  <si>
    <t>window_dock</t>
  </si>
  <si>
    <t>出海口</t>
  </si>
  <si>
    <t>军营</t>
  </si>
  <si>
    <t>FacilityBarracks</t>
  </si>
  <si>
    <t>window_barracks</t>
  </si>
  <si>
    <t>牢房</t>
  </si>
  <si>
    <t>FacilityPrison</t>
  </si>
  <si>
    <t>window_prison</t>
  </si>
  <si>
    <t>大炮</t>
  </si>
  <si>
    <t>FacilityCannon</t>
  </si>
  <si>
    <t>window_cannon</t>
  </si>
  <si>
    <t>废弃矿井</t>
  </si>
  <si>
    <t>墓碑</t>
  </si>
  <si>
    <t>FacilityTombstoneSingle</t>
  </si>
  <si>
    <t>强盗营地</t>
  </si>
  <si>
    <t>window_box_of_enemy</t>
  </si>
  <si>
    <t>蛮族军营</t>
  </si>
  <si>
    <t>国库</t>
  </si>
  <si>
    <t>FacilityKingdomTreasureBox</t>
  </si>
  <si>
    <t>window_kingdom_treasure_box</t>
  </si>
  <si>
    <t>小城堡</t>
  </si>
  <si>
    <t>FacilityCastle</t>
  </si>
  <si>
    <t>window_castle</t>
  </si>
  <si>
    <t>大城堡</t>
  </si>
  <si>
    <t>小村庄</t>
  </si>
  <si>
    <t>window_village</t>
  </si>
  <si>
    <t>大村庄</t>
  </si>
  <si>
    <t>渔村</t>
  </si>
  <si>
    <t>小部落</t>
  </si>
  <si>
    <t>大部落</t>
  </si>
  <si>
    <t>古墓</t>
  </si>
  <si>
    <t>window_ancient_tomb</t>
  </si>
  <si>
    <t>红宝石</t>
  </si>
  <si>
    <t>蜂巢</t>
  </si>
  <si>
    <t>FacilityWildHive</t>
  </si>
  <si>
    <t>金字塔</t>
  </si>
  <si>
    <t>FacilityPyramid</t>
  </si>
  <si>
    <t>window_pyramid</t>
  </si>
  <si>
    <t>巨型蘑菇</t>
  </si>
  <si>
    <t>FacilityMushroom</t>
  </si>
  <si>
    <t>巨树</t>
  </si>
  <si>
    <t>FacilityBigTree</t>
  </si>
  <si>
    <t>window_big_tree</t>
  </si>
  <si>
    <t>巨型蛋</t>
  </si>
  <si>
    <t>FacilityMonsterEgg</t>
  </si>
  <si>
    <t>window_titan_hand</t>
  </si>
  <si>
    <t>熔炉</t>
    <phoneticPr fontId="4" type="noConversion"/>
  </si>
  <si>
    <t>FacilityFurnace</t>
    <phoneticPr fontId="4" type="noConversion"/>
  </si>
  <si>
    <t>FacilityEstuary</t>
    <phoneticPr fontId="4" type="noConversion"/>
  </si>
  <si>
    <t>蜂房</t>
    <phoneticPr fontId="4" type="noConversion"/>
  </si>
  <si>
    <t>window_furnace</t>
    <phoneticPr fontId="4" type="noConversion"/>
  </si>
  <si>
    <t>泰坦祭坛</t>
    <phoneticPr fontId="4" type="noConversion"/>
  </si>
  <si>
    <t>方尖碑</t>
    <phoneticPr fontId="4" type="noConversion"/>
  </si>
  <si>
    <t>order_in_facility_list#int</t>
    <phoneticPr fontId="4" type="noConversion"/>
  </si>
  <si>
    <t>0</t>
    <phoneticPr fontId="4" type="noConversion"/>
  </si>
  <si>
    <t>放置于地图边缘的任意水域中，引导船只出海</t>
    <phoneticPr fontId="4" type="noConversion"/>
  </si>
  <si>
    <r>
      <t>#</t>
    </r>
    <r>
      <rPr>
        <sz val="11"/>
        <color theme="1"/>
        <rFont val="宋体"/>
        <family val="3"/>
        <charset val="134"/>
        <scheme val="minor"/>
      </rPr>
      <t xml:space="preserve"> 泰坦返回祭坛附近后，会自动消耗祭坛中的宝石，以恢复血量</t>
    </r>
    <phoneticPr fontId="4" type="noConversion"/>
  </si>
  <si>
    <t>FacilityWreckRemains</t>
    <phoneticPr fontId="4" type="noConversion"/>
  </si>
  <si>
    <t>沉船遗迹</t>
    <phoneticPr fontId="4" type="noConversion"/>
  </si>
  <si>
    <t>0</t>
    <phoneticPr fontId="4" type="noConversion"/>
  </si>
  <si>
    <t>土路</t>
    <phoneticPr fontId="4" type="noConversion"/>
  </si>
  <si>
    <t>原木</t>
    <phoneticPr fontId="4" type="noConversion"/>
  </si>
  <si>
    <t>传送门</t>
    <phoneticPr fontId="4" type="noConversion"/>
  </si>
  <si>
    <t>FacilityPortal</t>
    <phoneticPr fontId="4" type="noConversion"/>
  </si>
  <si>
    <r>
      <t>w</t>
    </r>
    <r>
      <rPr>
        <sz val="11"/>
        <color theme="1"/>
        <rFont val="宋体"/>
        <family val="3"/>
        <charset val="134"/>
        <scheme val="minor"/>
      </rPr>
      <t>indow_portal</t>
    </r>
    <phoneticPr fontId="4" type="noConversion"/>
  </si>
  <si>
    <t>蓝宝石</t>
  </si>
  <si>
    <t>绿宝石</t>
  </si>
  <si>
    <t>FacilityTurnoverBox</t>
    <phoneticPr fontId="4" type="noConversion"/>
  </si>
  <si>
    <t>FacilityDistributionCenter</t>
    <phoneticPr fontId="4" type="noConversion"/>
  </si>
  <si>
    <t>FacilityTradingDesk</t>
    <phoneticPr fontId="4" type="noConversion"/>
  </si>
  <si>
    <t>Facility</t>
    <phoneticPr fontId="4" type="noConversion"/>
  </si>
  <si>
    <t>window_bed</t>
    <phoneticPr fontId="4" type="noConversion"/>
  </si>
  <si>
    <t>是保存种子信息到蓝图</t>
    <phoneticPr fontId="4" type="noConversion"/>
  </si>
  <si>
    <t>save_product_id_to_build_blueprint#int</t>
    <phoneticPr fontId="4" type="noConversion"/>
  </si>
  <si>
    <t>宴会桌</t>
    <phoneticPr fontId="4" type="noConversion"/>
  </si>
  <si>
    <t>FacilityFrontDesk</t>
    <phoneticPr fontId="4" type="noConversion"/>
  </si>
  <si>
    <t>FacilityBanquetTable</t>
    <phoneticPr fontId="4" type="noConversion"/>
  </si>
  <si>
    <r>
      <t>window</t>
    </r>
    <r>
      <rPr>
        <sz val="11"/>
        <color theme="1"/>
        <rFont val="宋体"/>
        <family val="3"/>
        <charset val="134"/>
        <scheme val="minor"/>
      </rPr>
      <t>_banquet_table</t>
    </r>
    <phoneticPr fontId="4" type="noConversion"/>
  </si>
  <si>
    <t>1</t>
    <phoneticPr fontId="4" type="noConversion"/>
  </si>
  <si>
    <t>0</t>
    <phoneticPr fontId="4" type="noConversion"/>
  </si>
  <si>
    <t>effect_range#int</t>
    <phoneticPr fontId="4" type="noConversion"/>
  </si>
  <si>
    <t>FacilityToilet</t>
    <phoneticPr fontId="4" type="noConversion"/>
  </si>
  <si>
    <t>window_toilet</t>
    <phoneticPr fontId="4" type="noConversion"/>
  </si>
  <si>
    <t>影响范围锚点
0.中心
1.顶中
2.底中</t>
    <phoneticPr fontId="4" type="noConversion"/>
  </si>
  <si>
    <t>effect_range_anchor#int</t>
    <phoneticPr fontId="4" type="noConversion"/>
  </si>
  <si>
    <t>是否显示影响区域方框标记</t>
    <phoneticPr fontId="4" type="noConversion"/>
  </si>
  <si>
    <t>is_show_effect_range#int</t>
    <phoneticPr fontId="4" type="noConversion"/>
  </si>
  <si>
    <t>is_hold_res_range#int</t>
    <phoneticPr fontId="4" type="noConversion"/>
  </si>
  <si>
    <t>&lt;sprite name="ic_setting_title"&gt; 可设置使用的燃料类型</t>
    <phoneticPr fontId="4" type="noConversion"/>
  </si>
  <si>
    <t># 粪便或腐败食物放入后，会自动转化为肥料
# 居民住得离堆肥桶太近，会影响幸福感</t>
    <phoneticPr fontId="4" type="noConversion"/>
  </si>
  <si>
    <t># 居民住得离厕所太近，会影响幸福感
# 粪便累积到一定数量后，杂工会搬到堆肥桶堆肥</t>
    <phoneticPr fontId="4" type="noConversion"/>
  </si>
  <si>
    <t>window_mine</t>
    <phoneticPr fontId="4" type="noConversion"/>
  </si>
  <si>
    <t>window_fishing_dock</t>
    <phoneticPr fontId="4" type="noConversion"/>
  </si>
  <si>
    <t>window_trap</t>
    <phoneticPr fontId="4" type="noConversion"/>
  </si>
  <si>
    <t>window_cook_table</t>
    <phoneticPr fontId="4" type="noConversion"/>
  </si>
  <si>
    <t>window_blacksmith</t>
    <phoneticPr fontId="4" type="noConversion"/>
  </si>
  <si>
    <t>window_wood_cutter</t>
    <phoneticPr fontId="4" type="noConversion"/>
  </si>
  <si>
    <t>window_cook_table</t>
    <phoneticPr fontId="4" type="noConversion"/>
  </si>
  <si>
    <t>window_tombstone_single_info</t>
    <phoneticPr fontId="4" type="noConversion"/>
  </si>
  <si>
    <t>window_torch_info</t>
    <phoneticPr fontId="4" type="noConversion"/>
  </si>
  <si>
    <t>window_chair_info</t>
    <phoneticPr fontId="4" type="noConversion"/>
  </si>
  <si>
    <t>window_medical_bed</t>
    <phoneticPr fontId="4" type="noConversion"/>
  </si>
  <si>
    <t>window_wall</t>
    <phoneticPr fontId="4" type="noConversion"/>
  </si>
  <si>
    <r>
      <t>show_nav_bar</t>
    </r>
    <r>
      <rPr>
        <sz val="11"/>
        <color theme="1"/>
        <rFont val="宋体"/>
        <family val="3"/>
        <charset val="134"/>
        <scheme val="minor"/>
      </rPr>
      <t>#int</t>
    </r>
    <phoneticPr fontId="4" type="noConversion"/>
  </si>
  <si>
    <t>repair_by_worker#int</t>
    <phoneticPr fontId="4" type="noConversion"/>
  </si>
  <si>
    <t>是否由职业工作维修</t>
    <phoneticPr fontId="4" type="noConversion"/>
  </si>
  <si>
    <t># 捕兽夹有耐久度，损坏后，猎人会过来维修</t>
    <phoneticPr fontId="4" type="noConversion"/>
  </si>
  <si>
    <t># 蟹笼有耐久度，损坏后，渔民会过来维修</t>
    <phoneticPr fontId="4" type="noConversion"/>
  </si>
  <si>
    <t># 蜂房有耐久度，损坏后，蜂农会过来维修</t>
    <phoneticPr fontId="4" type="noConversion"/>
  </si>
  <si>
    <t>1</t>
    <phoneticPr fontId="4" type="noConversion"/>
  </si>
  <si>
    <r>
      <t>repair_worker_npc_type</t>
    </r>
    <r>
      <rPr>
        <sz val="11"/>
        <color theme="1"/>
        <rFont val="宋体"/>
        <family val="3"/>
        <charset val="134"/>
        <scheme val="minor"/>
      </rPr>
      <t>#int</t>
    </r>
    <phoneticPr fontId="4" type="noConversion"/>
  </si>
  <si>
    <t>维修职业工人类型</t>
    <phoneticPr fontId="4" type="noConversion"/>
  </si>
  <si>
    <t>must_have_worker#int</t>
    <phoneticPr fontId="4" type="noConversion"/>
  </si>
  <si>
    <t>have_worker#int</t>
    <phoneticPr fontId="4" type="noConversion"/>
  </si>
  <si>
    <t>有工人</t>
    <phoneticPr fontId="4" type="noConversion"/>
  </si>
  <si>
    <t>window_burrow</t>
    <phoneticPr fontId="4" type="noConversion"/>
  </si>
  <si>
    <t>FacilityBurrow</t>
    <phoneticPr fontId="4" type="noConversion"/>
  </si>
  <si>
    <t>磨坊</t>
    <phoneticPr fontId="4" type="noConversion"/>
  </si>
  <si>
    <r>
      <t>Facility</t>
    </r>
    <r>
      <rPr>
        <sz val="11"/>
        <color theme="1"/>
        <rFont val="宋体"/>
        <family val="3"/>
        <charset val="134"/>
        <scheme val="minor"/>
      </rPr>
      <t>Mill</t>
    </r>
    <phoneticPr fontId="4" type="noConversion"/>
  </si>
  <si>
    <t>window_workshop</t>
    <phoneticPr fontId="4" type="noConversion"/>
  </si>
  <si>
    <t>window_dinner_table</t>
    <phoneticPr fontId="4" type="noConversion"/>
  </si>
  <si>
    <t>window_distribution_center</t>
    <phoneticPr fontId="4" type="noConversion"/>
  </si>
  <si>
    <t>是否可建在农田中</t>
    <phoneticPr fontId="4" type="noConversion"/>
  </si>
  <si>
    <t>can_build_in_farmland#int</t>
    <phoneticPr fontId="4" type="noConversion"/>
  </si>
  <si>
    <t>0</t>
    <phoneticPr fontId="4" type="noConversion"/>
  </si>
  <si>
    <t>1</t>
    <phoneticPr fontId="4" type="noConversion"/>
  </si>
  <si>
    <t>餐桌</t>
    <phoneticPr fontId="4" type="noConversion"/>
  </si>
  <si>
    <t>必须有工人设施才工作</t>
    <phoneticPr fontId="4" type="noConversion"/>
  </si>
  <si>
    <t>unit_factor#float</t>
    <phoneticPr fontId="4" type="noConversion"/>
  </si>
  <si>
    <t>window_workshop</t>
    <phoneticPr fontId="4" type="noConversion"/>
  </si>
  <si>
    <t>window_barracks</t>
    <phoneticPr fontId="4" type="noConversion"/>
  </si>
  <si>
    <t>野营</t>
    <phoneticPr fontId="4" type="noConversion"/>
  </si>
  <si>
    <t>蘑菇箱</t>
    <phoneticPr fontId="4" type="noConversion"/>
  </si>
  <si>
    <t>FacilityMushroomBox</t>
    <phoneticPr fontId="4" type="noConversion"/>
  </si>
  <si>
    <t>window_mushroom_box</t>
    <phoneticPr fontId="4" type="noConversion"/>
  </si>
  <si>
    <t>111003</t>
  </si>
  <si>
    <t>光明祭坛</t>
  </si>
  <si>
    <t>111004</t>
  </si>
  <si>
    <t>黑暗祭坛</t>
  </si>
  <si>
    <t>FacilityTitanHand</t>
    <phoneticPr fontId="4" type="noConversion"/>
  </si>
  <si>
    <t>window_altar</t>
  </si>
  <si>
    <t>window_altar</t>
    <phoneticPr fontId="4" type="noConversion"/>
  </si>
  <si>
    <t>FacilityAltar</t>
    <phoneticPr fontId="4" type="noConversion"/>
  </si>
  <si>
    <t>调小</t>
    <phoneticPr fontId="4" type="noConversion"/>
  </si>
  <si>
    <t>调大</t>
    <phoneticPr fontId="4" type="noConversion"/>
  </si>
  <si>
    <t>resize_smaller#int</t>
    <phoneticPr fontId="4" type="noConversion"/>
  </si>
  <si>
    <t>resize_bigger#int</t>
    <phoneticPr fontId="4" type="noConversion"/>
  </si>
  <si>
    <t>室内外
限制
0不限
1仅室内
2仅室外</t>
    <phoneticPr fontId="4" type="noConversion"/>
  </si>
  <si>
    <t>indoor_outdoor#int</t>
    <phoneticPr fontId="4" type="noConversion"/>
  </si>
  <si>
    <r>
      <t>can_resize</t>
    </r>
    <r>
      <rPr>
        <sz val="11"/>
        <color theme="1"/>
        <rFont val="宋体"/>
        <family val="3"/>
        <charset val="134"/>
        <scheme val="minor"/>
      </rPr>
      <t>#int</t>
    </r>
    <phoneticPr fontId="4" type="noConversion"/>
  </si>
  <si>
    <t>是否可修改尺寸</t>
    <phoneticPr fontId="4" type="noConversion"/>
  </si>
  <si>
    <t>是否显示生产上限</t>
    <phoneticPr fontId="4" type="noConversion"/>
  </si>
  <si>
    <t>show_limit#int</t>
    <phoneticPr fontId="4" type="noConversion"/>
  </si>
  <si>
    <t># 四面墙闭合后，可形成&lt;color=#EE4242&gt;室内空间&lt;/color&gt;，更保暖，且有利于居民进行室内活动
# 闭合空间内部，如果某个格子，上下左右10格范围内都无墙，则判定为非室内。</t>
  </si>
  <si>
    <t># 旅行商人，将在此进行交易。不同商队，可交易物品种类及数量，不一样
# &lt;color=#EE4242&gt;设置贸易库存&lt;/color&gt;，居民会将相应数量的物品搬运交易台。待商人抵达后，即可卖出这些物品，并采购商人的物品。
# 有些物品，商队愿意&lt;color=#EE4242&gt;加价收购&lt;/color&gt;。而有些物品，商队只愿&lt;color=#EE4242&gt;低价收购&lt;/color&gt;。
# 商队的某个物品如果卖光了，下次携带的该物品的数量将增加
# 交易流程：
【1】设置计划库存，居民搬入物品
【2】等商人过来
【3】在交易界面，左边选要买入的商人物品，右边选自己可卖出的物品
【4】物物交易</t>
  </si>
  <si>
    <t>建造操作：边贸口岸，只能建造在&lt;color=#EE4242&gt;地图边缘&lt;/color&gt;。用于与来自不同方向的商队进行贸易。</t>
  </si>
  <si>
    <t>建造操作：路标只能建造在&lt;color=#EE4242&gt;地图边缘&lt;/color&gt;，用于引导商人进入地图。</t>
  </si>
  <si>
    <t>&lt;sprite name="ic_locating_npc"&gt; 定位在本设施中工作的居民
# 不同种子，&lt;color=#EE4242&gt;生长周期&lt;/color&gt;不一样，&lt;color=#EE4242&gt;水份&lt;/color&gt;、&lt;color=#EE4242&gt;肥料&lt;/color&gt;的需求不一样，产量也有差异
# 种子可通过与&lt;color=#EE4242&gt;旅行商队&lt;/color&gt;交易获得
# 农作物，需经过播种，浇水，施肥，收割4个步骤后，可获得产出。每个环节的完成度越高，最终收益会越高。
# 仅当浇水工作完成后，居民才会开始施肥。
# 作物成熟后，如果找不到水源和肥料，居民会立即开始收割。
# 水井，蜂房可以建造在农田中</t>
  </si>
  <si>
    <t># 果树需经多年育苗后，才会结果
# &lt;color=#EE4242&gt;水肥充足&lt;/color&gt;，培育出的&lt;color=#EE4242&gt;高产果树&lt;/color&gt;，将带来大丰收
# 水井，蜂房可以建造在果园中</t>
  </si>
  <si>
    <t>建造操作：需建造在&lt;color=#EE4242&gt;山边&lt;/color&gt;</t>
  </si>
  <si>
    <t>建造操作：出海口只能设置在&lt;color=#EE4242&gt;地图边缘&lt;/color&gt;，用于引导船只进出地图。</t>
  </si>
  <si>
    <t>建造操作：猎人会在&lt;color=#4CB34C&gt;绿色方框&lt;/color&gt;的范围内狩猎</t>
  </si>
  <si>
    <t>建造操作：采集者将在&lt;color=#4CB34C&gt;绿色方框&lt;/color&gt;的范围内采集野菜</t>
  </si>
  <si>
    <t>建造操作：护林人将在&lt;color=#4CB34C&gt;绿色方框&lt;/color&gt;的范围内伐木和种树</t>
  </si>
  <si>
    <t># 精神导师工作中，&lt;color=#EE4242&gt;信仰点数&lt;/color&gt;会增加
# 在战场上，信仰点数将转化了信仰之力魔法卡片
&lt;sprite name="ic_setting_title"&gt; 可设置礼拜时间</t>
    <phoneticPr fontId="4" type="noConversion"/>
  </si>
  <si>
    <t>&lt;sprite name="ic_setting_title"&gt; 可设置使用的燃料类型</t>
    <phoneticPr fontId="4" type="noConversion"/>
  </si>
  <si>
    <t>是否可提前设置产品</t>
    <phoneticPr fontId="4" type="noConversion"/>
  </si>
  <si>
    <t>是否可提前设置属性</t>
    <phoneticPr fontId="4" type="noConversion"/>
  </si>
  <si>
    <r>
      <t>se</t>
    </r>
    <r>
      <rPr>
        <sz val="11"/>
        <color theme="1"/>
        <rFont val="宋体"/>
        <family val="3"/>
        <charset val="134"/>
        <scheme val="minor"/>
      </rPr>
      <t>tting_on_build#int</t>
    </r>
    <phoneticPr fontId="4" type="noConversion"/>
  </si>
  <si>
    <r>
      <t>s</t>
    </r>
    <r>
      <rPr>
        <sz val="11"/>
        <color theme="1"/>
        <rFont val="宋体"/>
        <family val="3"/>
        <charset val="134"/>
        <scheme val="minor"/>
      </rPr>
      <t>et_product_on_build#int</t>
    </r>
    <phoneticPr fontId="4" type="noConversion"/>
  </si>
  <si>
    <t>蚁穴</t>
    <phoneticPr fontId="4" type="noConversion"/>
  </si>
  <si>
    <t>FacilityAntNest</t>
    <phoneticPr fontId="4" type="noConversion"/>
  </si>
  <si>
    <t>can_dismantle#int</t>
    <phoneticPr fontId="4" type="noConversion"/>
  </si>
  <si>
    <t>disable_dismantle_op#int</t>
    <phoneticPr fontId="4" type="noConversion"/>
  </si>
  <si>
    <t>has_bag#int</t>
    <phoneticPr fontId="4" type="noConversion"/>
  </si>
  <si>
    <t>window_mushroom</t>
    <phoneticPr fontId="4" type="noConversion"/>
  </si>
  <si>
    <t>window_ant_nest</t>
    <phoneticPr fontId="4" type="noConversion"/>
  </si>
  <si>
    <t>is_attackable_by_monster#int</t>
    <phoneticPr fontId="4" type="noConversion"/>
  </si>
  <si>
    <t>is_attackable_by_soldier#int</t>
    <phoneticPr fontId="4" type="noConversion"/>
  </si>
  <si>
    <r>
      <t xml:space="preserve"># 医生可为居民诊断病情，指导病人服用药物
</t>
    </r>
    <r>
      <rPr>
        <sz val="11"/>
        <color theme="1"/>
        <rFont val="宋体"/>
        <family val="3"/>
        <charset val="134"/>
        <scheme val="minor"/>
      </rPr>
      <t># 可日常分发药物，提高居民免疫力</t>
    </r>
    <phoneticPr fontId="4" type="noConversion"/>
  </si>
  <si>
    <t>copy_attr#int</t>
    <phoneticPr fontId="4" type="noConversion"/>
  </si>
  <si>
    <t>是否可复制属性
0不能复制
1要求先设置产品
2不要求设置产品</t>
    <phoneticPr fontId="4" type="noConversion"/>
  </si>
  <si>
    <t>窗口居左</t>
    <phoneticPr fontId="4" type="noConversion"/>
  </si>
  <si>
    <t>window_on_the_left#int</t>
    <phoneticPr fontId="4" type="noConversion"/>
  </si>
  <si>
    <t>石板路</t>
    <phoneticPr fontId="4" type="noConversion"/>
  </si>
  <si>
    <t>木桥</t>
    <phoneticPr fontId="4" type="noConversion"/>
  </si>
  <si>
    <t>周转箱</t>
    <phoneticPr fontId="4" type="noConversion"/>
  </si>
  <si>
    <t>货架</t>
    <phoneticPr fontId="4" type="noConversion"/>
  </si>
  <si>
    <t>路标</t>
    <phoneticPr fontId="4" type="noConversion"/>
  </si>
  <si>
    <t>取水点</t>
    <phoneticPr fontId="4" type="noConversion"/>
  </si>
  <si>
    <t>讲台</t>
    <phoneticPr fontId="4" type="noConversion"/>
  </si>
  <si>
    <t>布道台</t>
    <phoneticPr fontId="4" type="noConversion"/>
  </si>
  <si>
    <t>篝火堆</t>
    <phoneticPr fontId="4" type="noConversion"/>
  </si>
  <si>
    <t>火把</t>
    <phoneticPr fontId="4" type="noConversion"/>
  </si>
  <si>
    <t>火盆</t>
    <phoneticPr fontId="4" type="noConversion"/>
  </si>
  <si>
    <t>壁炉</t>
    <phoneticPr fontId="4" type="noConversion"/>
  </si>
  <si>
    <t>厕所</t>
    <phoneticPr fontId="4" type="noConversion"/>
  </si>
  <si>
    <t>108009</t>
    <phoneticPr fontId="4" type="noConversion"/>
  </si>
  <si>
    <t>图腾之柱</t>
    <phoneticPr fontId="4" type="noConversion"/>
  </si>
  <si>
    <t>FacilityTotemPillar</t>
    <phoneticPr fontId="4" type="noConversion"/>
  </si>
  <si>
    <t>window_totem_pillar</t>
    <phoneticPr fontId="4" type="noConversion"/>
  </si>
  <si>
    <t>FacilityMonument</t>
    <phoneticPr fontId="4" type="noConversion"/>
  </si>
  <si>
    <t>英雄纪念碑</t>
  </si>
  <si>
    <t>window_monument</t>
    <phoneticPr fontId="4" type="noConversion"/>
  </si>
  <si>
    <t># 酒默认存储在酒桶中，仅当餐桌，货架或交易台等设置计划库存后，才会被运出</t>
    <phoneticPr fontId="4" type="noConversion"/>
  </si>
  <si>
    <t>FacilityInitial</t>
    <phoneticPr fontId="4" type="noConversion"/>
  </si>
  <si>
    <t>金锭</t>
    <phoneticPr fontId="4" type="noConversion"/>
  </si>
  <si>
    <t>两轮马车</t>
    <phoneticPr fontId="4" type="noConversion"/>
  </si>
  <si>
    <t>初始马车</t>
    <phoneticPr fontId="4" type="noConversion"/>
  </si>
  <si>
    <t>冰窖</t>
  </si>
  <si>
    <r>
      <t>Facility</t>
    </r>
    <r>
      <rPr>
        <sz val="11"/>
        <color theme="1"/>
        <rFont val="宋体"/>
        <family val="3"/>
        <charset val="134"/>
        <scheme val="minor"/>
      </rPr>
      <t>IceCellar</t>
    </r>
    <phoneticPr fontId="4" type="noConversion"/>
  </si>
  <si>
    <r>
      <t>window_</t>
    </r>
    <r>
      <rPr>
        <sz val="11"/>
        <color theme="1"/>
        <rFont val="宋体"/>
        <family val="3"/>
        <charset val="134"/>
        <scheme val="minor"/>
      </rPr>
      <t>ice_cellar</t>
    </r>
    <phoneticPr fontId="4" type="noConversion"/>
  </si>
  <si>
    <t>果园</t>
    <phoneticPr fontId="4" type="noConversion"/>
  </si>
  <si>
    <t># 来自对应方位的贸易商队，会在此&lt;color=#EE4242&gt;定期开展贸易&lt;/color&gt;
# 与旅行商队不同，贸易口岸交易的&lt;color=#EE4242&gt;物品种类固定&lt;/color&gt;
# 四个方向，边境贸易的物品种类不同
# 如果是想要的物品，商队愿意&lt;color=#EE4242&gt;加价收购&lt;/color&gt;，否则只愿出极低价格
# 商队的某个物品如果卖光了，下次携带的该物品的数量将增加
# 不同领主控制着不同物资的定价权，与其它领主建立良好的关系或让其臣服，可获得贸易优惠。</t>
    <phoneticPr fontId="4" type="noConversion"/>
  </si>
  <si>
    <t>menu_group#int</t>
    <phoneticPr fontId="4" type="noConversion"/>
  </si>
  <si>
    <t>在野外时提示</t>
    <phoneticPr fontId="4" type="noConversion"/>
  </si>
  <si>
    <r>
      <t>show</t>
    </r>
    <r>
      <rPr>
        <sz val="11"/>
        <color theme="1"/>
        <rFont val="宋体"/>
        <family val="3"/>
        <charset val="134"/>
        <scheme val="minor"/>
      </rPr>
      <t>_notice_on_extend_map#int</t>
    </r>
    <phoneticPr fontId="4" type="noConversion"/>
  </si>
  <si>
    <t>window_facility_info</t>
    <phoneticPr fontId="4" type="noConversion"/>
  </si>
  <si>
    <t>王座</t>
    <phoneticPr fontId="4" type="noConversion"/>
  </si>
  <si>
    <r>
      <t>FacilityThr</t>
    </r>
    <r>
      <rPr>
        <sz val="11"/>
        <color theme="1"/>
        <rFont val="宋体"/>
        <family val="3"/>
        <charset val="134"/>
        <scheme val="minor"/>
      </rPr>
      <t>one</t>
    </r>
    <phoneticPr fontId="4" type="noConversion"/>
  </si>
  <si>
    <t>window_throne</t>
    <phoneticPr fontId="4" type="noConversion"/>
  </si>
  <si>
    <t>设施窗口上，显示导航到下一个同类建筑的功能按钮</t>
    <phoneticPr fontId="4" type="noConversion"/>
  </si>
  <si>
    <t>0</t>
    <phoneticPr fontId="4" type="noConversion"/>
  </si>
  <si>
    <t>地雷</t>
    <phoneticPr fontId="4" type="noConversion"/>
  </si>
  <si>
    <r>
      <t>FacilityLand</t>
    </r>
    <r>
      <rPr>
        <sz val="11"/>
        <color theme="1"/>
        <rFont val="宋体"/>
        <family val="3"/>
        <charset val="134"/>
        <scheme val="minor"/>
      </rPr>
      <t>mine</t>
    </r>
    <phoneticPr fontId="4" type="noConversion"/>
  </si>
  <si>
    <r>
      <t>window_</t>
    </r>
    <r>
      <rPr>
        <sz val="11"/>
        <color theme="1"/>
        <rFont val="宋体"/>
        <family val="3"/>
        <charset val="134"/>
        <scheme val="minor"/>
      </rPr>
      <t>landmine</t>
    </r>
    <phoneticPr fontId="4" type="noConversion"/>
  </si>
  <si>
    <t>火药</t>
  </si>
  <si>
    <t>铁锭</t>
    <phoneticPr fontId="4" type="noConversion"/>
  </si>
  <si>
    <t>是否是威胁</t>
    <phoneticPr fontId="4" type="noConversion"/>
  </si>
  <si>
    <t>is_danger#int</t>
    <phoneticPr fontId="4" type="noConversion"/>
  </si>
  <si>
    <t>1</t>
    <phoneticPr fontId="4" type="noConversion"/>
  </si>
  <si>
    <t>window_facility_info</t>
    <phoneticPr fontId="4" type="noConversion"/>
  </si>
  <si>
    <t>window_monster_egg</t>
    <phoneticPr fontId="4" type="noConversion"/>
  </si>
  <si>
    <t># 框选船只后，点击水面可&lt;color=#EE4242&gt;移动船只&lt;/color&gt;，点击码头则船会进入码头。
# 框选士兵，再点击船只，可使士兵上船。船下次靠岸（靠近陆地或进入码头）时，士兵会下船</t>
    <phoneticPr fontId="4" type="noConversion"/>
  </si>
  <si>
    <t>window_mine_abandoned</t>
    <phoneticPr fontId="4" type="noConversion"/>
  </si>
  <si>
    <t>show_line_on_overview#int</t>
    <phoneticPr fontId="4" type="noConversion"/>
  </si>
  <si>
    <t>在远景视图显示关联线</t>
    <phoneticPr fontId="4" type="noConversion"/>
  </si>
  <si>
    <t>旗帜</t>
    <phoneticPr fontId="4" type="noConversion"/>
  </si>
  <si>
    <r>
      <t>Facility</t>
    </r>
    <r>
      <rPr>
        <sz val="11"/>
        <color theme="1"/>
        <rFont val="宋体"/>
        <family val="3"/>
        <charset val="134"/>
        <scheme val="minor"/>
      </rPr>
      <t>Flag</t>
    </r>
    <phoneticPr fontId="4" type="noConversion"/>
  </si>
  <si>
    <r>
      <t>window_</t>
    </r>
    <r>
      <rPr>
        <sz val="11"/>
        <color theme="1"/>
        <rFont val="宋体"/>
        <family val="3"/>
        <charset val="134"/>
        <scheme val="minor"/>
      </rPr>
      <t>flag</t>
    </r>
    <phoneticPr fontId="4" type="noConversion"/>
  </si>
  <si>
    <r>
      <t>is_clear_road</t>
    </r>
    <r>
      <rPr>
        <sz val="11"/>
        <color theme="1"/>
        <rFont val="宋体"/>
        <family val="3"/>
        <charset val="134"/>
        <scheme val="minor"/>
      </rPr>
      <t>#int</t>
    </r>
    <phoneticPr fontId="4" type="noConversion"/>
  </si>
  <si>
    <t>建成后，是否立即清除路</t>
    <phoneticPr fontId="4" type="noConversion"/>
  </si>
  <si>
    <t># 向牢房供应精致的食物和酒，可以降低囚犯抵抗度
# 为牢房安排先知，可对囚犯进行洗脑劝降
# 不同的武器，致死概率不同。使用致死概率低的武器，有机会抓到更多俘虏。</t>
  </si>
  <si>
    <t>window_facility_well</t>
    <phoneticPr fontId="4" type="noConversion"/>
  </si>
  <si>
    <t>精致小床</t>
    <phoneticPr fontId="4" type="noConversion"/>
  </si>
  <si>
    <t>精致大床</t>
    <phoneticPr fontId="4" type="noConversion"/>
  </si>
  <si>
    <t>FacilitySmallTreasureBed</t>
    <phoneticPr fontId="4" type="noConversion"/>
  </si>
  <si>
    <t>水晶球</t>
    <phoneticPr fontId="4" type="noConversion"/>
  </si>
  <si>
    <t>FacilityCrystalBall</t>
    <phoneticPr fontId="4" type="noConversion"/>
  </si>
  <si>
    <t>window_crystal_ball</t>
    <phoneticPr fontId="4" type="noConversion"/>
  </si>
  <si>
    <t>window_small_treasure_bed</t>
    <phoneticPr fontId="4" type="noConversion"/>
  </si>
  <si>
    <t>env_sound#str</t>
    <phoneticPr fontId="4" type="noConversion"/>
  </si>
  <si>
    <t>马车站可高效运输物资
# 使用条件：需牧场中有成年的马，需在制造台制造马车，需绘制马车线路
# 马车线路终点不在马车站，则马车会在该线路上往返移动
# 条件具备后，马车夫会将马车和马匹，安置到马车站中，然后在指定线路上执行运输任务
马车夫在运输途中，&lt;color=#EE4242&gt;忍饥挨饿&lt;/color&gt;也会尽量将货物送达。
马车夫在装卸货物时，会顺便寻找熟食吃，可以为其准备一些。
# 在马车站设置，哪些物品可在本线路上运输。
# 马车出发时，评估线路上有物资需求，从马车站装载物资。
# 沿路经过设施，马车夫卸载货物，以补充设施的&lt;color=#EE4242&gt;计划库存&lt;/color&gt;。同时，将设施中&lt;color=#EE4242&gt;多余的物品&lt;/color&gt;搬上马车。
# 回马车站后，将车上剩余物资全卸载到车站。
# 马车站，可设置是否通过人力，搬出多余物品，或搬入计划物品。</t>
    <phoneticPr fontId="4" type="noConversion"/>
  </si>
  <si>
    <t>资源搜集点</t>
    <phoneticPr fontId="4" type="noConversion"/>
  </si>
  <si>
    <t>FacilityResourceCollectionPoint</t>
    <phoneticPr fontId="4" type="noConversion"/>
  </si>
  <si>
    <t>window_resource_collection_point</t>
    <phoneticPr fontId="4" type="noConversion"/>
  </si>
  <si>
    <t>window_wild_hive</t>
    <phoneticPr fontId="4" type="noConversion"/>
  </si>
  <si>
    <t>洞穴</t>
    <phoneticPr fontId="4" type="noConversion"/>
  </si>
  <si>
    <t>res_range_anchor#int</t>
    <phoneticPr fontId="4" type="noConversion"/>
  </si>
  <si>
    <t>建造操作：需建在水边，绿色资源标记点越多，可钓的鱼越多</t>
    <phoneticPr fontId="4" type="noConversion"/>
  </si>
  <si>
    <t>FacilityMill2</t>
    <phoneticPr fontId="4" type="noConversion"/>
  </si>
  <si>
    <t>FacilityBed</t>
    <phoneticPr fontId="4" type="noConversion"/>
  </si>
  <si>
    <r>
      <t>light</t>
    </r>
    <r>
      <rPr>
        <sz val="11"/>
        <color theme="1"/>
        <rFont val="宋体"/>
        <family val="3"/>
        <charset val="134"/>
        <scheme val="minor"/>
      </rPr>
      <t>_prefab#str</t>
    </r>
    <phoneticPr fontId="4" type="noConversion"/>
  </si>
  <si>
    <t>brazier_light</t>
    <phoneticPr fontId="4" type="noConversion"/>
  </si>
  <si>
    <t>bonfire_light</t>
    <phoneticPr fontId="4" type="noConversion"/>
  </si>
  <si>
    <t>cook_table_light</t>
    <phoneticPr fontId="4" type="noConversion"/>
  </si>
  <si>
    <t>FacilityFireplace</t>
    <phoneticPr fontId="4" type="noConversion"/>
  </si>
  <si>
    <t>class_name#str</t>
    <phoneticPr fontId="4" type="noConversion"/>
  </si>
  <si>
    <t>torch_light</t>
    <phoneticPr fontId="4" type="noConversion"/>
  </si>
  <si>
    <t>fireplace_light</t>
    <phoneticPr fontId="4" type="noConversion"/>
  </si>
  <si>
    <t>furnace_light</t>
    <phoneticPr fontId="4" type="noConversion"/>
  </si>
  <si>
    <t>FacilityCauldron</t>
    <phoneticPr fontId="4" type="noConversion"/>
  </si>
  <si>
    <t>cauldron_light</t>
    <phoneticPr fontId="4" type="noConversion"/>
  </si>
  <si>
    <t>FacilityObelisk</t>
    <phoneticPr fontId="4" type="noConversion"/>
  </si>
  <si>
    <t>灯光预置体
激活时显示，区分白天和黑夜</t>
    <phoneticPr fontId="4" type="noConversion"/>
  </si>
  <si>
    <t>ef_at_night#str</t>
    <phoneticPr fontId="4" type="noConversion"/>
  </si>
  <si>
    <t>obelisk_ef_at_night</t>
    <phoneticPr fontId="4" type="noConversion"/>
  </si>
  <si>
    <t>altar_dark_ef_at_night</t>
    <phoneticPr fontId="4" type="noConversion"/>
  </si>
  <si>
    <t>altar_light_ef_at_night</t>
    <phoneticPr fontId="4" type="noConversion"/>
  </si>
  <si>
    <t>FacilityAncientTomb</t>
    <phoneticPr fontId="4" type="noConversion"/>
  </si>
  <si>
    <t>ancient_tomb_ef_at_night</t>
    <phoneticPr fontId="4" type="noConversion"/>
  </si>
  <si>
    <t>仅晚上出现的特效</t>
    <phoneticPr fontId="4" type="noConversion"/>
  </si>
  <si>
    <t>白天黑夜切换有影响</t>
    <phoneticPr fontId="4" type="noConversion"/>
  </si>
  <si>
    <t>has_effect_of_night#int</t>
    <phoneticPr fontId="4" type="noConversion"/>
  </si>
  <si>
    <t>pyramid_light</t>
    <phoneticPr fontId="4" type="noConversion"/>
  </si>
  <si>
    <t>1</t>
    <phoneticPr fontId="4" type="noConversion"/>
  </si>
  <si>
    <t>0</t>
    <phoneticPr fontId="4" type="noConversion"/>
  </si>
  <si>
    <t>window_box_of_enemy</t>
    <phoneticPr fontId="4" type="noConversion"/>
  </si>
  <si>
    <t>FacilityIceCellar2</t>
    <phoneticPr fontId="4" type="noConversion"/>
  </si>
  <si>
    <t>FacilityFloorboard</t>
    <phoneticPr fontId="4" type="noConversion"/>
  </si>
  <si>
    <t>石质地板</t>
    <phoneticPr fontId="4" type="noConversion"/>
  </si>
  <si>
    <t>铁质地板</t>
    <phoneticPr fontId="4" type="noConversion"/>
  </si>
  <si>
    <t>银质地板</t>
    <phoneticPr fontId="4" type="noConversion"/>
  </si>
  <si>
    <t>金质地板</t>
    <phoneticPr fontId="4" type="noConversion"/>
  </si>
  <si>
    <t>银锭</t>
    <phoneticPr fontId="4" type="noConversion"/>
  </si>
  <si>
    <t>地板</t>
    <phoneticPr fontId="4" type="noConversion"/>
  </si>
  <si>
    <t>floorboard#int</t>
    <phoneticPr fontId="4" type="noConversion"/>
  </si>
  <si>
    <t>生产加成所需的地板类型1</t>
    <phoneticPr fontId="4" type="noConversion"/>
  </si>
  <si>
    <t>酿酒桶</t>
    <phoneticPr fontId="4" type="noConversion"/>
  </si>
  <si>
    <t>扑克桌</t>
    <phoneticPr fontId="4" type="noConversion"/>
  </si>
  <si>
    <t>高级扑克桌</t>
    <phoneticPr fontId="4" type="noConversion"/>
  </si>
  <si>
    <t>豪华扑克桌</t>
    <phoneticPr fontId="4" type="noConversion"/>
  </si>
  <si>
    <t>幸运轮盘</t>
    <phoneticPr fontId="4" type="noConversion"/>
  </si>
  <si>
    <t>公共浴场</t>
    <phoneticPr fontId="4" type="noConversion"/>
  </si>
  <si>
    <t>FacilityPokerTable</t>
    <phoneticPr fontId="4" type="noConversion"/>
  </si>
  <si>
    <t>FacilityRouletteWheel</t>
    <phoneticPr fontId="4" type="noConversion"/>
  </si>
  <si>
    <t>FacilityPublicBath</t>
    <phoneticPr fontId="4" type="noConversion"/>
  </si>
  <si>
    <t>window_poker_table</t>
    <phoneticPr fontId="4" type="noConversion"/>
  </si>
  <si>
    <t>window_roulette_wheel</t>
    <phoneticPr fontId="4" type="noConversion"/>
  </si>
  <si>
    <t>window_public_bath</t>
    <phoneticPr fontId="4" type="noConversion"/>
  </si>
  <si>
    <t>门下左上右路</t>
    <phoneticPr fontId="4" type="noConversion"/>
  </si>
  <si>
    <t>白银</t>
  </si>
  <si>
    <t>二级菜单</t>
    <phoneticPr fontId="4" type="noConversion"/>
  </si>
  <si>
    <r>
      <t>sub</t>
    </r>
    <r>
      <rPr>
        <sz val="11"/>
        <color theme="1"/>
        <rFont val="宋体"/>
        <family val="3"/>
        <charset val="134"/>
        <scheme val="minor"/>
      </rPr>
      <t>_menu#str</t>
    </r>
    <phoneticPr fontId="4" type="noConversion"/>
  </si>
  <si>
    <t>113001,113002,113003,113004,113005</t>
  </si>
  <si>
    <t>104023,104024,104025</t>
    <phoneticPr fontId="4" type="noConversion"/>
  </si>
  <si>
    <t>public_bath_light</t>
    <phoneticPr fontId="4" type="noConversion"/>
  </si>
  <si>
    <t>线路马车运入</t>
    <phoneticPr fontId="4" type="noConversion"/>
  </si>
  <si>
    <t>线路马车运出</t>
    <phoneticPr fontId="4" type="noConversion"/>
  </si>
  <si>
    <r>
      <t>transport_by_wagon_in</t>
    </r>
    <r>
      <rPr>
        <sz val="11"/>
        <color theme="1"/>
        <rFont val="宋体"/>
        <family val="3"/>
        <charset val="134"/>
        <scheme val="minor"/>
      </rPr>
      <t>_of_fix_route</t>
    </r>
    <r>
      <rPr>
        <sz val="11"/>
        <color theme="1"/>
        <rFont val="宋体"/>
        <family val="3"/>
        <charset val="134"/>
        <scheme val="minor"/>
      </rPr>
      <t>#int</t>
    </r>
    <phoneticPr fontId="4" type="noConversion"/>
  </si>
  <si>
    <r>
      <t>transport_by_wagon_out</t>
    </r>
    <r>
      <rPr>
        <sz val="11"/>
        <color theme="1"/>
        <rFont val="宋体"/>
        <family val="3"/>
        <charset val="134"/>
        <scheme val="minor"/>
      </rPr>
      <t>_of_fix_route</t>
    </r>
    <r>
      <rPr>
        <sz val="11"/>
        <color theme="1"/>
        <rFont val="宋体"/>
        <family val="3"/>
        <charset val="134"/>
        <scheme val="minor"/>
      </rPr>
      <t>#int</t>
    </r>
    <phoneticPr fontId="4" type="noConversion"/>
  </si>
  <si>
    <t>线路马车运入或运出不能同时</t>
    <phoneticPr fontId="4" type="noConversion"/>
  </si>
  <si>
    <t>transport_by_wagon_only_in_or_out_of_fix_route#int</t>
    <phoneticPr fontId="4" type="noConversion"/>
  </si>
  <si>
    <t>window_brazier</t>
    <phoneticPr fontId="4" type="noConversion"/>
  </si>
  <si>
    <t>训练场</t>
    <phoneticPr fontId="4" type="noConversion"/>
  </si>
  <si>
    <r>
      <t>Facility</t>
    </r>
    <r>
      <rPr>
        <sz val="11"/>
        <color theme="1"/>
        <rFont val="宋体"/>
        <family val="3"/>
        <charset val="134"/>
        <scheme val="minor"/>
      </rPr>
      <t>TrainingGround</t>
    </r>
    <phoneticPr fontId="4" type="noConversion"/>
  </si>
  <si>
    <t>window_training_ground</t>
    <phoneticPr fontId="4" type="noConversion"/>
  </si>
  <si>
    <t># 按计划库存，物品会被运入
# 将超出计划的物品，将被运出
# 物品被运送到此后，居民会就近取用</t>
    <phoneticPr fontId="4" type="noConversion"/>
  </si>
  <si>
    <t>1</t>
    <phoneticPr fontId="4" type="noConversion"/>
  </si>
  <si>
    <t>min_w#int</t>
    <phoneticPr fontId="4" type="noConversion"/>
  </si>
  <si>
    <r>
      <t>min_</t>
    </r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#int</t>
    </r>
    <phoneticPr fontId="4" type="noConversion"/>
  </si>
  <si>
    <t>花盆</t>
    <phoneticPr fontId="4" type="noConversion"/>
  </si>
  <si>
    <t>灌木花盆</t>
    <phoneticPr fontId="4" type="noConversion"/>
  </si>
  <si>
    <t>种树花盆</t>
    <phoneticPr fontId="4" type="noConversion"/>
  </si>
  <si>
    <r>
      <t>FacilityFlowerPot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</si>
  <si>
    <r>
      <t>FacilityFlowerPot</t>
    </r>
    <r>
      <rPr>
        <sz val="11"/>
        <color theme="1"/>
        <rFont val="宋体"/>
        <family val="3"/>
        <charset val="134"/>
        <scheme val="minor"/>
      </rPr>
      <t>2</t>
    </r>
    <phoneticPr fontId="4" type="noConversion"/>
  </si>
  <si>
    <r>
      <t>FacilityFlowerPot</t>
    </r>
    <r>
      <rPr>
        <sz val="11"/>
        <color theme="1"/>
        <rFont val="宋体"/>
        <family val="3"/>
        <charset val="134"/>
        <scheme val="minor"/>
      </rPr>
      <t>3</t>
    </r>
    <phoneticPr fontId="4" type="noConversion"/>
  </si>
  <si>
    <t>104018,104028,104029,104030</t>
    <phoneticPr fontId="4" type="noConversion"/>
  </si>
  <si>
    <t>小花盆</t>
    <phoneticPr fontId="4" type="noConversion"/>
  </si>
  <si>
    <t>1</t>
    <phoneticPr fontId="4" type="noConversion"/>
  </si>
  <si>
    <t>墓地</t>
    <phoneticPr fontId="4" type="noConversion"/>
  </si>
  <si>
    <t>水井</t>
    <phoneticPr fontId="4" type="noConversion"/>
  </si>
  <si>
    <t>马车站</t>
    <phoneticPr fontId="4" type="noConversion"/>
  </si>
  <si>
    <t>边贸口岸</t>
    <phoneticPr fontId="4" type="noConversion"/>
  </si>
  <si>
    <t>交易台</t>
    <phoneticPr fontId="4" type="noConversion"/>
  </si>
  <si>
    <r>
      <t>window_flower_pot</t>
    </r>
    <r>
      <rPr>
        <sz val="11"/>
        <color theme="1"/>
        <rFont val="宋体"/>
        <family val="3"/>
        <charset val="134"/>
        <scheme val="minor"/>
      </rPr>
      <t>2</t>
    </r>
    <phoneticPr fontId="4" type="noConversion"/>
  </si>
  <si>
    <r>
      <t>window_flower_pot</t>
    </r>
    <r>
      <rPr>
        <sz val="11"/>
        <color theme="1"/>
        <rFont val="宋体"/>
        <family val="3"/>
        <charset val="134"/>
        <scheme val="minor"/>
      </rPr>
      <t>3</t>
    </r>
    <phoneticPr fontId="4" type="noConversion"/>
  </si>
  <si>
    <t>铁墙</t>
    <phoneticPr fontId="4" type="noConversion"/>
  </si>
  <si>
    <t>铁锭</t>
  </si>
  <si>
    <t>铁门</t>
    <phoneticPr fontId="4" type="noConversion"/>
  </si>
  <si>
    <t>FacilitySermonDeskOfOtherTerritory</t>
    <phoneticPr fontId="4" type="noConversion"/>
  </si>
  <si>
    <t>1</t>
    <phoneticPr fontId="4" type="noConversion"/>
  </si>
  <si>
    <t>FacilityCastle</t>
    <phoneticPr fontId="4" type="noConversion"/>
  </si>
  <si>
    <t>is_show_res_range_on_build_by_blueprint#int</t>
    <phoneticPr fontId="4" type="noConversion"/>
  </si>
  <si>
    <t>蓝图建造时，是否显示资源范围</t>
    <phoneticPr fontId="4" type="noConversion"/>
  </si>
  <si>
    <t>蓝图建造时，是否显示影响范围</t>
    <phoneticPr fontId="4" type="noConversion"/>
  </si>
  <si>
    <t>is_show_effect_range_on_build_by_blueprint#int</t>
    <phoneticPr fontId="4" type="noConversion"/>
  </si>
  <si>
    <t>FacilityVillage</t>
    <phoneticPr fontId="4" type="noConversion"/>
  </si>
  <si>
    <t>永恒圣殿</t>
    <phoneticPr fontId="4" type="noConversion"/>
  </si>
  <si>
    <r>
      <t>Facility</t>
    </r>
    <r>
      <rPr>
        <sz val="11"/>
        <color theme="1"/>
        <rFont val="宋体"/>
        <family val="3"/>
        <charset val="134"/>
        <scheme val="minor"/>
      </rPr>
      <t>EternalTemple</t>
    </r>
    <phoneticPr fontId="4" type="noConversion"/>
  </si>
  <si>
    <t>window_eternal_temple</t>
    <phoneticPr fontId="4" type="noConversion"/>
  </si>
  <si>
    <t>是否可建在山上</t>
    <phoneticPr fontId="4" type="noConversion"/>
  </si>
  <si>
    <t>can_build_on_hill#int</t>
    <phoneticPr fontId="4" type="noConversion"/>
  </si>
  <si>
    <t>是否玩家可建造</t>
    <phoneticPr fontId="4" type="noConversion"/>
  </si>
  <si>
    <r>
      <t>c</t>
    </r>
    <r>
      <rPr>
        <sz val="11"/>
        <color theme="1"/>
        <rFont val="宋体"/>
        <family val="3"/>
        <charset val="134"/>
        <scheme val="minor"/>
      </rPr>
      <t>an_build_by_player#int</t>
    </r>
    <phoneticPr fontId="4" type="noConversion"/>
  </si>
  <si>
    <t>红蚁穴</t>
    <phoneticPr fontId="4" type="noConversion"/>
  </si>
  <si>
    <t>need_set_product_first_by_player#int</t>
    <phoneticPr fontId="4" type="noConversion"/>
  </si>
  <si>
    <t>是否需由玩家手工设置产品</t>
    <phoneticPr fontId="4" type="noConversion"/>
  </si>
  <si>
    <t>帝国村庄模式是否禁用</t>
    <phoneticPr fontId="4" type="noConversion"/>
  </si>
  <si>
    <t>disable_in_empire_village#int</t>
    <phoneticPr fontId="4" type="noConversion"/>
  </si>
  <si>
    <t>帝国村庄</t>
    <phoneticPr fontId="4" type="noConversion"/>
  </si>
  <si>
    <r>
      <t>window</t>
    </r>
    <r>
      <rPr>
        <sz val="11"/>
        <color theme="1"/>
        <rFont val="宋体"/>
        <family val="3"/>
        <charset val="134"/>
        <scheme val="minor"/>
      </rPr>
      <t>_empire_</t>
    </r>
    <r>
      <rPr>
        <sz val="11"/>
        <color theme="1"/>
        <rFont val="宋体"/>
        <family val="3"/>
        <charset val="134"/>
        <scheme val="minor"/>
      </rPr>
      <t>village</t>
    </r>
    <phoneticPr fontId="4" type="noConversion"/>
  </si>
  <si>
    <t>FacilityEmpireVillage</t>
    <phoneticPr fontId="4" type="noConversion"/>
  </si>
  <si>
    <t>0</t>
    <phoneticPr fontId="4" type="noConversion"/>
  </si>
  <si>
    <t>1</t>
    <phoneticPr fontId="4" type="noConversion"/>
  </si>
  <si>
    <t>国王的永恒圣殿</t>
    <phoneticPr fontId="4" type="noConversion"/>
  </si>
  <si>
    <t>FacilityEternalTempleOfKing</t>
    <phoneticPr fontId="4" type="noConversion"/>
  </si>
  <si>
    <r>
      <t>edit_task_count_of_transport_max</t>
    </r>
    <r>
      <rPr>
        <sz val="11"/>
        <color theme="1"/>
        <rFont val="宋体"/>
        <family val="3"/>
        <charset val="134"/>
        <scheme val="minor"/>
      </rPr>
      <t>#int</t>
    </r>
    <phoneticPr fontId="4" type="noConversion"/>
  </si>
  <si>
    <t>可修改搬运任务上限</t>
    <phoneticPr fontId="4" type="noConversion"/>
  </si>
  <si>
    <t>使用魔法驱动的冰窖，存入其中的食物，可永久保鲜。
每月需消耗蓝宝石，才能工作。
在实在找不到食物时，居民会取用冰窖中的食物。
冰窖因深藏地下，物资搬运比较费力，仅用于多余易腐败物资的应急存储。</t>
    <phoneticPr fontId="4" type="noConversion"/>
  </si>
  <si>
    <t>FacilityBanditBarracks</t>
    <phoneticPr fontId="4" type="noConversion"/>
  </si>
  <si>
    <t># 猎人不会猎杀幼鹿。
# 当鹿群数量小于或等于3只时，猎人会停止猎杀这一群鹿。</t>
    <phoneticPr fontId="4" type="noConversion"/>
  </si>
  <si>
    <t>window_facility_initial</t>
    <phoneticPr fontId="4" type="noConversion"/>
  </si>
  <si>
    <t>是否是可关联箱子的生产设施</t>
    <phoneticPr fontId="4" type="noConversion"/>
  </si>
  <si>
    <t>can_connect_to_box#int</t>
    <phoneticPr fontId="4" type="noConversion"/>
  </si>
  <si>
    <t>是否箱子，可关联生产设施</t>
    <phoneticPr fontId="4" type="noConversion"/>
  </si>
  <si>
    <t>can_connect_to_work_facility#int</t>
    <phoneticPr fontId="4" type="noConversion"/>
  </si>
  <si>
    <t># 可用于零散收集，然后&lt;color=#EE4242&gt;批量运出&lt;/color&gt;，提高效率
# 可&lt;color=#EE4242&gt;批量运入&lt;/color&gt;物品，供居民日常使用
# &lt;color=#EE4242&gt;批量运入&lt;/color&gt;物品来源：大箱子，料堆，货架
# 可设定限制，&lt;color=#EE4242&gt;专供特定职业&lt;/color&gt;的居民使用</t>
    <phoneticPr fontId="4" type="noConversion"/>
  </si>
  <si>
    <t>关联必须箭头重叠</t>
    <phoneticPr fontId="4" type="noConversion"/>
  </si>
  <si>
    <t>should_overlap_by_doorway#int</t>
    <phoneticPr fontId="4" type="noConversion"/>
  </si>
  <si>
    <t>禁止建在野外</t>
    <phoneticPr fontId="4" type="noConversion"/>
  </si>
  <si>
    <t>prohibit_build_outside_territory#int</t>
    <phoneticPr fontId="4" type="noConversion"/>
  </si>
  <si>
    <t># 工蚁会拆除蚁巢领地范围内的建筑
# 工蚁搜集木头矿石，收获物资翻倍
# 工蚁无攻击力，采集蚁穴不会遭受反击
# 当工蚁受袭击时，蚁后会产生兵蚁
# 春天巢穴中无物资，蚂蚁会搬家到其它地方
# 当蚁穴中有糖时，新产生的蚂蚁将与居民保持友好关系</t>
    <phoneticPr fontId="4" type="noConversion"/>
  </si>
  <si>
    <t>FacilityEnemyBarracks</t>
    <phoneticPr fontId="4" type="noConversion"/>
  </si>
  <si>
    <t>建造操作：需在讲台&lt;color=#4CB34C&gt;绿框&lt;/color&gt;内，建造&lt;color=#EE4242&gt;椅子&lt;/color&gt;，才能发挥作用</t>
    <phoneticPr fontId="4" type="noConversion"/>
  </si>
  <si>
    <t>小范围提供热量，一般用于野外</t>
    <phoneticPr fontId="4" type="noConversion"/>
  </si>
  <si>
    <t>为小片区域供暖</t>
    <phoneticPr fontId="4" type="noConversion"/>
  </si>
  <si>
    <t>为大片区域供暖</t>
    <phoneticPr fontId="4" type="noConversion"/>
  </si>
  <si>
    <t>木地板改善居住环境，提升居民幸福度</t>
    <phoneticPr fontId="4" type="noConversion"/>
  </si>
  <si>
    <t>!filter_desc#str</t>
    <phoneticPr fontId="4" type="noConversion"/>
  </si>
  <si>
    <t>筛选分组说明</t>
    <phoneticPr fontId="4" type="noConversion"/>
  </si>
  <si>
    <t>奢华</t>
    <phoneticPr fontId="4" type="noConversion"/>
  </si>
  <si>
    <t>防御</t>
    <phoneticPr fontId="4" type="noConversion"/>
  </si>
  <si>
    <t>保鲜</t>
    <phoneticPr fontId="4" type="noConversion"/>
  </si>
  <si>
    <t>交易</t>
    <phoneticPr fontId="4" type="noConversion"/>
  </si>
  <si>
    <t>商人入口</t>
    <phoneticPr fontId="4" type="noConversion"/>
  </si>
  <si>
    <t>浇水</t>
    <phoneticPr fontId="4" type="noConversion"/>
  </si>
  <si>
    <t>旅客</t>
    <phoneticPr fontId="4" type="noConversion"/>
  </si>
  <si>
    <t>收集粪便堆肥</t>
    <phoneticPr fontId="4" type="noConversion"/>
  </si>
  <si>
    <t>facility_filter_group_id#str</t>
  </si>
  <si>
    <t>7</t>
  </si>
  <si>
    <t>6</t>
  </si>
  <si>
    <t>5</t>
  </si>
  <si>
    <t>9</t>
  </si>
  <si>
    <t>5,7</t>
  </si>
  <si>
    <t>5,6,7</t>
  </si>
  <si>
    <t>5,8</t>
  </si>
  <si>
    <t>8</t>
  </si>
  <si>
    <t>2</t>
  </si>
  <si>
    <t>5</t>
    <phoneticPr fontId="4" type="noConversion"/>
  </si>
  <si>
    <t>5,8</t>
    <phoneticPr fontId="4" type="noConversion"/>
  </si>
  <si>
    <t>6</t>
    <phoneticPr fontId="4" type="noConversion"/>
  </si>
  <si>
    <t>0</t>
    <phoneticPr fontId="4" type="noConversion"/>
  </si>
  <si>
    <t>10</t>
    <phoneticPr fontId="4" type="noConversion"/>
  </si>
  <si>
    <t>3,4,11,12</t>
    <phoneticPr fontId="4" type="noConversion"/>
  </si>
  <si>
    <t>3,11,12</t>
    <phoneticPr fontId="4" type="noConversion"/>
  </si>
  <si>
    <t>9,11,12</t>
    <phoneticPr fontId="4" type="noConversion"/>
  </si>
  <si>
    <t>5</t>
    <phoneticPr fontId="4" type="noConversion"/>
  </si>
  <si>
    <t>10,11,12</t>
    <phoneticPr fontId="4" type="noConversion"/>
  </si>
  <si>
    <t>13</t>
    <phoneticPr fontId="4" type="noConversion"/>
  </si>
  <si>
    <t>5,7,13</t>
    <phoneticPr fontId="4" type="noConversion"/>
  </si>
  <si>
    <t>13</t>
    <phoneticPr fontId="4" type="noConversion"/>
  </si>
  <si>
    <t>筛选标签_x000D_
1木头_x000D_
2石头_x000D_
3矿石_x000D_
4煤_x000D_
5食物_x000D_
6健康_x000D_
7幸福_x000D_
8保暖_x000D_
9交易
10宝石
11黄金
12白银
13人口</t>
    <phoneticPr fontId="4" type="noConversion"/>
  </si>
  <si>
    <t>1,2,3,4,5,6,8,9,10,11,12</t>
    <phoneticPr fontId="4" type="noConversion"/>
  </si>
  <si>
    <t># 将物品存入国库后，将&lt;color=#EE4242&gt;禁止&lt;/color&gt;居民取用，也&lt;color=#EE4242&gt;无法用于交易&lt;/color&gt;
# 外交或上贡时，会使用国库中的物品
# 调整计划库存，搬运工会搬入或搬出物品
# 国库&lt;color=#EE4242&gt;禁止&lt;/color&gt;居民取用，&lt;color=#EE4242&gt;无法用于交易&lt;/color&gt;</t>
    <phoneticPr fontId="4" type="noConversion"/>
  </si>
  <si>
    <t>&lt;sprite name="ic_dismantle"&gt; 拆除该设施
&lt;sprite name="ic_work_pause"&gt; 禁用该设施
&lt;sprite name="ic_locating_facility"&gt; 定位到本窗口对应的设施
&lt;sprite name="ic_not_pin"&gt; 收藏本设施</t>
    <phoneticPr fontId="4" type="noConversion"/>
  </si>
  <si>
    <t>龙之试炼柱</t>
    <phoneticPr fontId="4" type="noConversion"/>
  </si>
  <si>
    <r>
      <t>window_dr</t>
    </r>
    <r>
      <rPr>
        <sz val="11"/>
        <color theme="1"/>
        <rFont val="宋体"/>
        <family val="3"/>
        <charset val="134"/>
        <scheme val="minor"/>
      </rPr>
      <t>agon_trial_pillar</t>
    </r>
    <phoneticPr fontId="4" type="noConversion"/>
  </si>
  <si>
    <t>龙之试炼柱</t>
    <phoneticPr fontId="4" type="noConversion"/>
  </si>
  <si>
    <t>FacilityDragonTrialPillar</t>
    <phoneticPr fontId="4" type="noConversion"/>
  </si>
  <si>
    <t>要塞</t>
    <phoneticPr fontId="4" type="noConversion"/>
  </si>
  <si>
    <t>战场据点</t>
    <phoneticPr fontId="4" type="noConversion"/>
  </si>
  <si>
    <t>远征营地</t>
    <phoneticPr fontId="4" type="noConversion"/>
  </si>
  <si>
    <t>FacilityExpeditionCamp</t>
  </si>
  <si>
    <t>大部落</t>
    <phoneticPr fontId="4" type="noConversion"/>
  </si>
  <si>
    <t>FacilityBattlefieldStronghold</t>
    <phoneticPr fontId="4" type="noConversion"/>
  </si>
  <si>
    <t>FacilityFortress</t>
    <phoneticPr fontId="4" type="noConversion"/>
  </si>
  <si>
    <t>window_fortress</t>
    <phoneticPr fontId="4" type="noConversion"/>
  </si>
  <si>
    <t>0</t>
    <phoneticPr fontId="4" type="noConversion"/>
  </si>
  <si>
    <t>FacilityBattlefieldStrongholdDestroyed</t>
    <phoneticPr fontId="4" type="noConversion"/>
  </si>
  <si>
    <t>window_facility_info</t>
    <phoneticPr fontId="4" type="noConversion"/>
  </si>
  <si>
    <t>被敌人占领的战场据点</t>
    <phoneticPr fontId="4" type="noConversion"/>
  </si>
  <si>
    <t>keep_range_mark_on_pointer_exit_on_build_mode#int</t>
    <phoneticPr fontId="4" type="noConversion"/>
  </si>
  <si>
    <t>建造模式时，鼠标移出设施时，是否保持范围标记</t>
    <phoneticPr fontId="4" type="noConversion"/>
  </si>
  <si>
    <t>默认建造优先级提升</t>
    <phoneticPr fontId="4" type="noConversion"/>
  </si>
  <si>
    <t>default_build_increase_priority_level#int</t>
    <phoneticPr fontId="4" type="noConversion"/>
  </si>
  <si>
    <t>&lt;sprite name="ic_locating_npc"&gt; 定位睡在此处的居民
# 小床可供单人，或夫妻凑合居住
# 夫妻只有分配到大床，才考虑&lt;color=#EE4242&gt;生小孩&lt;/color&gt;
# 大床的数量，会显著&lt;color=#EE4242&gt;影响人口增长&lt;/color&gt;
# 床上有&lt;color=#EE4242&gt;枕头&lt;/color&gt;，代表这个床已分配了居民
# 床上有&lt;color=#EE4242&gt;红色爱心&lt;/color&gt;标记，代表是夫妻居住</t>
    <phoneticPr fontId="4" type="noConversion"/>
  </si>
  <si>
    <t>以下是默认设置，可在设置界面，&lt;color=#EE4242&gt;对换鼠标左右键功能&lt;/color&gt;
【框选移动】&lt;sprite name="mouse_left"&gt; &lt;color=#EE4242&gt;左键框选&lt;/color&gt;士兵，再&lt;sprite name="mouse_right"&gt;&lt;color=#EE4242&gt;右键单击&lt;/color&gt;地面，&lt;color=#EE4242&gt;移动士兵&lt;/color&gt;。
远程兵在移动过程中，会&lt;color=#4CB34C&gt;边走边攻击&lt;/color&gt;。
如果&lt;color=#EE4242&gt;右键双击&lt;/color&gt;地面，则禁止移动过程中攻击敌人。
【调整选择】选中士兵后，&lt;sprite name="mouse_right"&gt;&lt;color=#EE4242&gt;右键单击&lt;/color&gt;士兵，选中/取消选中该士兵。
【取消选择】选中士兵后，&lt;sprite name="mouse_left"&gt;左键单击非士兵的位置，取消选中。
【回军营】选中士兵后，&lt;sprite name="mouse_right"&gt;点击军营，士兵返回军营待命。
【补给】选中士兵后，&lt;sprite name="mouse_left"&gt;点击储物箱，士兵会移动过去，执行补给。
【战斗】选中士兵后，&lt;sprite name="mouse_left"&gt;点击怪物附近区域，士兵会移动过去，&lt;color=#EE4242&gt;自动攻击&lt;/color&gt;怪物。
【单选】&lt;sprite name="mouse_left"&gt;&lt;color=#EE4242&gt;左键单击&lt;/color&gt;士兵，选中。
【选一类】&lt;sprite name="mouse_left"&gt;&lt;color=#EE4242&gt;左键双击&lt;/color&gt;士兵，选中同类型的所有士兵。
【自动补给】士兵在军营待命时，会自动按需补给。
【编组】选中士兵后，&lt;sprite name="keyboard_CTRL"&gt;Ctrl+数字键&lt;sprite name="keyboard_1"&gt;&lt;sprite name="keyboard_2"&gt;&lt;sprite name="keyboard_3"&gt;&lt;sprite name="keyboard_4"&gt;&lt;sprite name="keyboard_5"&gt;
#士兵晕倒后，由后勤兵救援
#士兵死亡后，由后勤兵收尸，并回收武器装备
#士兵等级，由其使用的武器决定</t>
    <phoneticPr fontId="4" type="noConversion"/>
  </si>
  <si>
    <t>护林营地</t>
    <phoneticPr fontId="4" type="noConversion"/>
  </si>
  <si>
    <r>
      <t>建造操作：鼠标左键点击地面，或按住&lt;color=#EE4242&gt;左键画线</t>
    </r>
    <r>
      <rPr>
        <sz val="11"/>
        <color theme="1"/>
        <rFont val="宋体"/>
        <family val="3"/>
        <charset val="134"/>
        <scheme val="minor"/>
      </rPr>
      <t>&lt;/color&gt;</t>
    </r>
    <phoneticPr fontId="4" type="noConversion"/>
  </si>
  <si>
    <t>建造操作：鼠标左键点击地面，或按住&lt;color=#EE4242&gt;左键画框&lt;/color&gt;</t>
    <phoneticPr fontId="4" type="noConversion"/>
  </si>
  <si>
    <r>
      <t>建造操作：在水边，鼠标左键点击陆地，&lt;color=#EE4242&gt;画线到对岸</t>
    </r>
    <r>
      <rPr>
        <sz val="11"/>
        <color theme="1"/>
        <rFont val="宋体"/>
        <family val="3"/>
        <charset val="134"/>
        <scheme val="minor"/>
      </rPr>
      <t>&lt;/color&gt;</t>
    </r>
    <phoneticPr fontId="4" type="noConversion"/>
  </si>
  <si>
    <t>建造操作：鼠标左键点击地面，或按住&lt;color=#EE4242&gt;左键画线&lt;/color&gt;</t>
    <phoneticPr fontId="4" type="noConversion"/>
  </si>
  <si>
    <t>建造操作：鼠标左键点击地面，或按住&lt;color=#EE4242&gt;左键画线&lt;/color&gt;</t>
    <phoneticPr fontId="4" type="noConversion"/>
  </si>
  <si>
    <t>建造操作：点击地面，鼠标画框设定马车站大小。&lt;color=#EE4242&gt;画框前，可以旋转&lt;/color&gt;</t>
    <phoneticPr fontId="4" type="noConversion"/>
  </si>
  <si>
    <t>建造操作：点击地面，鼠标&lt;color=#EE4242&gt;画框&lt;/color&gt;设定货架尺寸</t>
    <phoneticPr fontId="4" type="noConversion"/>
  </si>
  <si>
    <t>建造操作：点击地面，鼠标画框设定墓地大小。&lt;color=#EE4242&gt;画框前，可以旋转&lt;/color&gt;</t>
    <phoneticPr fontId="4" type="noConversion"/>
  </si>
  <si>
    <t>建造操作：点击地面，鼠标画框设定农田大小。&lt;color=#EE4242&gt;画框前，可以旋转&lt;/color&gt;</t>
    <phoneticPr fontId="4" type="noConversion"/>
  </si>
  <si>
    <t>建造操作：点击地面，鼠标画框设定果园大小。&lt;color=#EE4242&gt;画框前，可以旋转&lt;/color&gt;</t>
    <phoneticPr fontId="4" type="noConversion"/>
  </si>
  <si>
    <t>建造操作：点击地面，鼠标画框设定牧场大小。&lt;color=#EE4242&gt;画框前，可以旋转&lt;/color&gt;</t>
    <phoneticPr fontId="4" type="noConversion"/>
  </si>
  <si>
    <t>建造操作：草药师将在&lt;color=#4CB34C&gt;绿色方框&lt;/color&gt;的范围内采集草药</t>
    <phoneticPr fontId="4" type="noConversion"/>
  </si>
  <si>
    <t>建造操作：只能建造在&lt;color=#EE4242&gt;水边&lt;/color&gt;</t>
    <phoneticPr fontId="4" type="noConversion"/>
  </si>
  <si>
    <t>石桥</t>
    <phoneticPr fontId="4" type="noConversion"/>
  </si>
  <si>
    <r>
      <t>FacilityBridgeSt</t>
    </r>
    <r>
      <rPr>
        <sz val="11"/>
        <color theme="1"/>
        <rFont val="宋体"/>
        <family val="3"/>
        <charset val="134"/>
        <scheme val="minor"/>
      </rPr>
      <t>one</t>
    </r>
    <phoneticPr fontId="4" type="noConversion"/>
  </si>
  <si>
    <t>need_set_work_type#bool</t>
    <phoneticPr fontId="4" type="noConversion"/>
  </si>
  <si>
    <t>是否要设置产品类型或工作类型</t>
    <phoneticPr fontId="4" type="noConversion"/>
  </si>
  <si>
    <t>建造提示：水井可建在农田中，互相靠得太近，会影响水的恢复速度</t>
    <phoneticPr fontId="4" type="noConversion"/>
  </si>
  <si>
    <t>木牌</t>
    <phoneticPr fontId="4" type="noConversion"/>
  </si>
  <si>
    <t>0</t>
    <phoneticPr fontId="4" type="noConversion"/>
  </si>
  <si>
    <t>FacilityWoodenSign</t>
    <phoneticPr fontId="4" type="noConversion"/>
  </si>
  <si>
    <t>window_wooden_sign</t>
    <phoneticPr fontId="4" type="noConversion"/>
  </si>
  <si>
    <t>need_handyman_worker#bool</t>
    <phoneticPr fontId="4" type="noConversion"/>
  </si>
  <si>
    <t>需杂工参与工作</t>
    <phoneticPr fontId="4" type="noConversion"/>
  </si>
  <si>
    <t>造陆点</t>
    <phoneticPr fontId="4" type="noConversion"/>
  </si>
  <si>
    <t>挖掘点</t>
    <phoneticPr fontId="4" type="noConversion"/>
  </si>
  <si>
    <t>建造操作：点击地面，鼠标画框设定牢房大小。&lt;color=#EE4242&gt;画框前，可以旋转&lt;/color&gt;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</si>
</sst>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5">
    <xf numFmtId="0" fontId="0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2" xfId="0" applyFill="1" applyBorder="1"/>
    <xf numFmtId="0" fontId="0" fillId="4" borderId="2" xfId="0" applyFill="1" applyBorder="1"/>
    <xf numFmtId="0" fontId="0" fillId="0" borderId="3" xfId="0" applyBorder="1"/>
    <xf numFmtId="0" fontId="0" fillId="2" borderId="1" xfId="0" applyFill="1" applyBorder="1"/>
    <xf numFmtId="0" fontId="0" fillId="5" borderId="1" xfId="0" applyFill="1" applyBorder="1"/>
    <xf numFmtId="0" fontId="0" fillId="6" borderId="2" xfId="0" applyFill="1" applyBorder="1"/>
    <xf numFmtId="0" fontId="0" fillId="6" borderId="1" xfId="0" applyFill="1" applyBorder="1"/>
    <xf numFmtId="0" fontId="0" fillId="4" borderId="1" xfId="0" applyFill="1" applyBorder="1"/>
    <xf numFmtId="49" fontId="0" fillId="0" borderId="2" xfId="0" applyNumberFormat="1" applyBorder="1"/>
    <xf numFmtId="0" fontId="1" fillId="0" borderId="1" xfId="0" applyFont="1" applyBorder="1"/>
    <xf numFmtId="0" fontId="0" fillId="0" borderId="4" xfId="0" applyBorder="1" applyAlignment="1">
      <alignment wrapText="1"/>
    </xf>
    <xf numFmtId="0" fontId="0" fillId="0" borderId="4" xfId="0" applyBorder="1"/>
    <xf numFmtId="49" fontId="0" fillId="0" borderId="1" xfId="0" applyNumberFormat="1" applyBorder="1"/>
    <xf numFmtId="0" fontId="2" fillId="2" borderId="1" xfId="0" applyFont="1" applyFill="1" applyBorder="1" applyAlignment="1">
      <alignment vertical="center" wrapText="1"/>
    </xf>
    <xf numFmtId="49" fontId="0" fillId="2" borderId="2" xfId="0" applyNumberFormat="1" applyFill="1" applyBorder="1"/>
    <xf numFmtId="0" fontId="0" fillId="7" borderId="1" xfId="0" applyFill="1" applyBorder="1"/>
    <xf numFmtId="0" fontId="3" fillId="0" borderId="1" xfId="0" applyFont="1" applyBorder="1"/>
    <xf numFmtId="0" fontId="3" fillId="0" borderId="2" xfId="0" applyFont="1" applyBorder="1"/>
    <xf numFmtId="49" fontId="3" fillId="0" borderId="1" xfId="0" applyNumberFormat="1" applyFont="1" applyBorder="1"/>
    <xf numFmtId="0" fontId="3" fillId="2" borderId="2" xfId="0" applyFont="1" applyFill="1" applyBorder="1"/>
    <xf numFmtId="0" fontId="3" fillId="0" borderId="2" xfId="0" applyFont="1" applyBorder="1" applyAlignment="1">
      <alignment wrapText="1"/>
    </xf>
    <xf numFmtId="49" fontId="3" fillId="0" borderId="2" xfId="0" applyNumberFormat="1" applyFont="1" applyBorder="1"/>
    <xf numFmtId="0" fontId="3" fillId="0" borderId="1" xfId="0" applyFont="1" applyBorder="1" applyAlignment="1">
      <alignment wrapText="1"/>
    </xf>
    <xf numFmtId="0" fontId="0" fillId="0" borderId="5" xfId="0" applyBorder="1"/>
    <xf numFmtId="49" fontId="0" fillId="0" borderId="1" xfId="0" applyNumberFormat="1" applyBorder="1" applyAlignment="1">
      <alignment horizontal="right"/>
    </xf>
    <xf numFmtId="0" fontId="3" fillId="4" borderId="2" xfId="0" applyFont="1" applyFill="1" applyBorder="1"/>
    <xf numFmtId="0" fontId="3" fillId="3" borderId="2" xfId="0" applyFont="1" applyFill="1" applyBorder="1"/>
    <xf numFmtId="49" fontId="3" fillId="0" borderId="1" xfId="0" applyNumberFormat="1" applyFont="1" applyBorder="1" applyAlignment="1">
      <alignment horizontal="right"/>
    </xf>
    <xf numFmtId="0" fontId="3" fillId="5" borderId="1" xfId="0" applyFont="1" applyFill="1" applyBorder="1"/>
    <xf numFmtId="0" fontId="3" fillId="4" borderId="1" xfId="0" applyFont="1" applyFill="1" applyBorder="1"/>
    <xf numFmtId="0" fontId="3" fillId="2" borderId="1" xfId="0" applyFont="1" applyFill="1" applyBorder="1"/>
    <xf numFmtId="0" fontId="3" fillId="6" borderId="2" xfId="0" applyFont="1" applyFill="1" applyBorder="1"/>
    <xf numFmtId="0" fontId="3" fillId="0" borderId="2" xfId="0" quotePrefix="1" applyFont="1" applyBorder="1"/>
    <xf numFmtId="0" fontId="3" fillId="0" borderId="1" xfId="0" quotePrefix="1" applyFont="1" applyBorder="1"/>
    <xf numFmtId="0" fontId="0" fillId="2" borderId="1" xfId="0" applyFill="1" applyBorder="1" applyAlignment="1">
      <alignment wrapText="1"/>
    </xf>
    <xf numFmtId="0" fontId="0" fillId="2" borderId="0" xfId="0" applyFill="1"/>
    <xf numFmtId="3" fontId="3" fillId="0" borderId="2" xfId="0" quotePrefix="1" applyNumberFormat="1" applyFont="1" applyBorder="1"/>
    <xf numFmtId="49" fontId="3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49" fontId="3" fillId="2" borderId="1" xfId="0" applyNumberFormat="1" applyFont="1" applyFill="1" applyBorder="1"/>
  </cellXfs>
  <cellStyles count="15">
    <cellStyle name="常规" xfId="0" builtinId="0"/>
    <cellStyle name="常规 2" xfId="1" xr:uid="{00000000-0005-0000-0000-000001000000}"/>
    <cellStyle name="常规 2 10" xfId="13" xr:uid="{00000000-0005-0000-0000-000002000000}"/>
    <cellStyle name="常规 2 11" xfId="14" xr:uid="{00000000-0005-0000-0000-000003000000}"/>
    <cellStyle name="常规 2 2" xfId="4" xr:uid="{00000000-0005-0000-0000-000004000000}"/>
    <cellStyle name="常规 2 3" xfId="5" xr:uid="{00000000-0005-0000-0000-000005000000}"/>
    <cellStyle name="常规 2 4" xfId="7" xr:uid="{00000000-0005-0000-0000-000006000000}"/>
    <cellStyle name="常规 2 5" xfId="8" xr:uid="{00000000-0005-0000-0000-000007000000}"/>
    <cellStyle name="常规 2 6" xfId="9" xr:uid="{00000000-0005-0000-0000-000008000000}"/>
    <cellStyle name="常规 2 7" xfId="10" xr:uid="{00000000-0005-0000-0000-000009000000}"/>
    <cellStyle name="常规 2 8" xfId="11" xr:uid="{00000000-0005-0000-0000-00000A000000}"/>
    <cellStyle name="常规 2 9" xfId="12" xr:uid="{00000000-0005-0000-0000-00000B000000}"/>
    <cellStyle name="常规 3" xfId="2" xr:uid="{00000000-0005-0000-0000-00000C000000}"/>
    <cellStyle name="常规 4" xfId="3" xr:uid="{00000000-0005-0000-0000-00000D000000}"/>
    <cellStyle name="常规 6" xfId="6" xr:uid="{00000000-0005-0000-0000-00000E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40"/>
  <sheetViews>
    <sheetView tabSelected="1" topLeftCell="CH1" zoomScale="85" zoomScaleNormal="85" workbookViewId="0">
      <pane ySplit="1" topLeftCell="A14" activePane="bottomLeft" state="frozen"/>
      <selection pane="bottomLeft" activeCell="DC20" sqref="DC20"/>
    </sheetView>
  </sheetViews>
  <sheetFormatPr defaultRowHeight="13.5" x14ac:dyDescent="0.15"/>
  <cols>
    <col min="1" max="1" width="10.375" customWidth="1"/>
    <col min="2" max="2" width="12" customWidth="1"/>
    <col min="3" max="3" width="12" style="48" customWidth="1"/>
    <col min="4" max="4" width="16.5" customWidth="1"/>
    <col min="5" max="5" width="9.5" customWidth="1"/>
    <col min="6" max="6" width="5.125" customWidth="1"/>
    <col min="7" max="7" width="8.75" customWidth="1"/>
    <col min="8" max="9" width="4.625" customWidth="1"/>
    <col min="10" max="10" width="12" customWidth="1"/>
    <col min="11" max="11" width="10.625" customWidth="1"/>
    <col min="12" max="12" width="5.75" customWidth="1"/>
    <col min="13" max="13" width="6.375" customWidth="1"/>
    <col min="14" max="14" width="21.75" customWidth="1"/>
    <col min="15" max="15" width="6.875" customWidth="1"/>
    <col min="16" max="16" width="7.875" customWidth="1"/>
    <col min="17" max="17" width="5" customWidth="1"/>
    <col min="18" max="19" width="3.25" customWidth="1"/>
    <col min="20" max="21" width="5.125" customWidth="1"/>
    <col min="22" max="24" width="4.625" customWidth="1"/>
    <col min="25" max="25" width="12" customWidth="1"/>
    <col min="26" max="28" width="4.625" customWidth="1"/>
    <col min="29" max="29" width="15.5" customWidth="1"/>
    <col min="30" max="30" width="7.375" customWidth="1"/>
    <col min="31" max="31" width="5.25" customWidth="1"/>
    <col min="32" max="32" width="4.625" customWidth="1"/>
    <col min="33" max="34" width="5.5" customWidth="1"/>
    <col min="35" max="38" width="4.625" customWidth="1"/>
    <col min="39" max="41" width="5.125" customWidth="1"/>
    <col min="42" max="42" width="4.5" customWidth="1"/>
    <col min="43" max="43" width="9.75" customWidth="1"/>
    <col min="44" max="44" width="2.75" customWidth="1"/>
    <col min="45" max="45" width="7" customWidth="1"/>
    <col min="46" max="47" width="6.375" customWidth="1"/>
    <col min="48" max="48" width="2.375" style="44" customWidth="1"/>
    <col min="49" max="49" width="2.375" customWidth="1"/>
    <col min="50" max="50" width="4.875" customWidth="1"/>
    <col min="51" max="52" width="4.75" customWidth="1"/>
    <col min="53" max="53" width="26.25" customWidth="1"/>
    <col min="54" max="55" width="7.875" customWidth="1"/>
    <col min="56" max="57" width="4" customWidth="1"/>
    <col min="58" max="58" width="6.125" customWidth="1"/>
    <col min="59" max="59" width="12" customWidth="1"/>
    <col min="60" max="60" width="4.25" customWidth="1"/>
    <col min="61" max="61" width="3.875" customWidth="1"/>
    <col min="62" max="62" width="4.625" customWidth="1"/>
    <col min="63" max="63" width="6.125" customWidth="1"/>
    <col min="64" max="64" width="5" customWidth="1"/>
    <col min="65" max="67" width="5.5" customWidth="1"/>
    <col min="68" max="69" width="7" customWidth="1"/>
    <col min="70" max="71" width="5.875" customWidth="1"/>
    <col min="72" max="72" width="8.875" customWidth="1"/>
    <col min="73" max="73" width="5.125" customWidth="1"/>
    <col min="74" max="74" width="8.875" customWidth="1"/>
    <col min="75" max="80" width="7.875" customWidth="1"/>
    <col min="81" max="81" width="7.375" customWidth="1"/>
    <col min="82" max="82" width="7.875" customWidth="1"/>
    <col min="83" max="89" width="5.5" customWidth="1"/>
    <col min="90" max="92" width="7.25" customWidth="1"/>
    <col min="93" max="95" width="7.875" customWidth="1"/>
    <col min="96" max="97" width="12" customWidth="1"/>
    <col min="98" max="98" width="7.875" customWidth="1"/>
    <col min="99" max="99" width="10.125" customWidth="1"/>
    <col min="100" max="103" width="6.625" customWidth="1"/>
    <col min="104" max="104" width="5.625" customWidth="1"/>
    <col min="105" max="117" width="6.625" customWidth="1"/>
    <col min="118" max="118" width="78.375" customWidth="1"/>
    <col min="119" max="119" width="79.75" customWidth="1"/>
  </cols>
  <sheetData>
    <row r="1" spans="1:119" s="1" customFormat="1" ht="184.5" customHeight="1" x14ac:dyDescent="0.15">
      <c r="A1" s="2" t="s">
        <v>0</v>
      </c>
      <c r="B1" s="3" t="s">
        <v>1</v>
      </c>
      <c r="C1" s="46" t="s">
        <v>687</v>
      </c>
      <c r="D1" s="29" t="s">
        <v>655</v>
      </c>
      <c r="E1" s="29" t="s">
        <v>730</v>
      </c>
      <c r="F1" s="29" t="s">
        <v>633</v>
      </c>
      <c r="G1" s="29" t="s">
        <v>618</v>
      </c>
      <c r="H1" s="2" t="s">
        <v>4</v>
      </c>
      <c r="I1" s="29" t="s">
        <v>623</v>
      </c>
      <c r="J1" s="29" t="s">
        <v>567</v>
      </c>
      <c r="K1" s="3" t="s">
        <v>529</v>
      </c>
      <c r="L1" s="29" t="s">
        <v>536</v>
      </c>
      <c r="M1" s="29" t="s">
        <v>537</v>
      </c>
      <c r="N1" s="2" t="s">
        <v>2</v>
      </c>
      <c r="O1" s="31" t="s">
        <v>616</v>
      </c>
      <c r="P1" s="31" t="s">
        <v>552</v>
      </c>
      <c r="Q1" s="31" t="s">
        <v>496</v>
      </c>
      <c r="R1" s="31" t="s">
        <v>476</v>
      </c>
      <c r="S1" s="2" t="s">
        <v>3</v>
      </c>
      <c r="T1" s="31" t="s">
        <v>422</v>
      </c>
      <c r="U1" s="31" t="s">
        <v>421</v>
      </c>
      <c r="V1" s="29" t="s">
        <v>470</v>
      </c>
      <c r="W1" s="29" t="s">
        <v>483</v>
      </c>
      <c r="X1" s="29" t="s">
        <v>491</v>
      </c>
      <c r="Y1" s="3" t="s">
        <v>1</v>
      </c>
      <c r="Z1" s="29" t="s">
        <v>638</v>
      </c>
      <c r="AA1" s="29" t="s">
        <v>640</v>
      </c>
      <c r="AB1" s="29" t="s">
        <v>643</v>
      </c>
      <c r="AC1" s="29" t="s">
        <v>436</v>
      </c>
      <c r="AD1" s="29" t="s">
        <v>622</v>
      </c>
      <c r="AE1" s="29" t="s">
        <v>437</v>
      </c>
      <c r="AF1" s="29" t="s">
        <v>405</v>
      </c>
      <c r="AG1" s="31" t="s">
        <v>398</v>
      </c>
      <c r="AH1" s="31" t="s">
        <v>399</v>
      </c>
      <c r="AI1" s="29" t="s">
        <v>406</v>
      </c>
      <c r="AJ1" s="29" t="s">
        <v>327</v>
      </c>
      <c r="AK1" s="29" t="s">
        <v>737</v>
      </c>
      <c r="AL1" s="29" t="s">
        <v>369</v>
      </c>
      <c r="AM1" s="3" t="s">
        <v>382</v>
      </c>
      <c r="AN1" s="3" t="s">
        <v>5</v>
      </c>
      <c r="AO1" s="3" t="s">
        <v>6</v>
      </c>
      <c r="AP1" s="2" t="s">
        <v>7</v>
      </c>
      <c r="AQ1" s="2" t="s">
        <v>8</v>
      </c>
      <c r="AR1" s="2" t="s">
        <v>9</v>
      </c>
      <c r="AS1" s="2" t="s">
        <v>10</v>
      </c>
      <c r="AT1" s="2" t="s">
        <v>11</v>
      </c>
      <c r="AU1" s="2" t="s">
        <v>12</v>
      </c>
      <c r="AV1" s="43" t="s">
        <v>13</v>
      </c>
      <c r="AW1" s="2" t="s">
        <v>14</v>
      </c>
      <c r="AX1" s="31" t="s">
        <v>572</v>
      </c>
      <c r="AY1" s="31" t="s">
        <v>573</v>
      </c>
      <c r="AZ1" s="31" t="s">
        <v>576</v>
      </c>
      <c r="BA1" s="2" t="s">
        <v>15</v>
      </c>
      <c r="BB1" s="3" t="s">
        <v>16</v>
      </c>
      <c r="BC1" s="3" t="s">
        <v>17</v>
      </c>
      <c r="BD1" s="3" t="s">
        <v>18</v>
      </c>
      <c r="BE1" s="3" t="s">
        <v>19</v>
      </c>
      <c r="BF1" s="3" t="s">
        <v>377</v>
      </c>
      <c r="BG1" s="3" t="s">
        <v>1</v>
      </c>
      <c r="BH1" s="19" t="s">
        <v>20</v>
      </c>
      <c r="BI1" s="2" t="s">
        <v>21</v>
      </c>
      <c r="BJ1" s="2" t="s">
        <v>22</v>
      </c>
      <c r="BK1" s="2" t="s">
        <v>23</v>
      </c>
      <c r="BL1" s="31" t="s">
        <v>565</v>
      </c>
      <c r="BM1" s="2" t="s">
        <v>24</v>
      </c>
      <c r="BN1" s="2" t="s">
        <v>25</v>
      </c>
      <c r="BO1" s="31" t="s">
        <v>645</v>
      </c>
      <c r="BP1" s="2" t="s">
        <v>26</v>
      </c>
      <c r="BQ1" s="2" t="s">
        <v>27</v>
      </c>
      <c r="BR1" s="2" t="s">
        <v>28</v>
      </c>
      <c r="BS1" s="2" t="s">
        <v>29</v>
      </c>
      <c r="BT1" s="2" t="s">
        <v>402</v>
      </c>
      <c r="BU1" s="2" t="s">
        <v>30</v>
      </c>
      <c r="BV1" s="2" t="s">
        <v>31</v>
      </c>
      <c r="BW1" s="2" t="s">
        <v>32</v>
      </c>
      <c r="BX1" s="2" t="s">
        <v>33</v>
      </c>
      <c r="BY1" s="31" t="s">
        <v>609</v>
      </c>
      <c r="BZ1" s="31" t="s">
        <v>610</v>
      </c>
      <c r="CA1" s="2" t="s">
        <v>340</v>
      </c>
      <c r="CB1" s="31" t="s">
        <v>708</v>
      </c>
      <c r="CC1" s="2" t="s">
        <v>34</v>
      </c>
      <c r="CD1" s="2" t="s">
        <v>338</v>
      </c>
      <c r="CE1" s="2" t="s">
        <v>35</v>
      </c>
      <c r="CF1" s="2" t="s">
        <v>36</v>
      </c>
      <c r="CG1" s="2" t="s">
        <v>37</v>
      </c>
      <c r="CH1" s="2" t="s">
        <v>38</v>
      </c>
      <c r="CI1" s="2" t="s">
        <v>39</v>
      </c>
      <c r="CJ1" s="2" t="s">
        <v>39</v>
      </c>
      <c r="CK1" s="2" t="s">
        <v>40</v>
      </c>
      <c r="CL1" s="2" t="s">
        <v>41</v>
      </c>
      <c r="CM1" s="2" t="s">
        <v>42</v>
      </c>
      <c r="CN1" s="2" t="s">
        <v>43</v>
      </c>
      <c r="CO1" s="2" t="s">
        <v>44</v>
      </c>
      <c r="CP1" s="3" t="s">
        <v>360</v>
      </c>
      <c r="CQ1" s="29" t="s">
        <v>366</v>
      </c>
      <c r="CR1" s="3" t="s">
        <v>1</v>
      </c>
      <c r="CS1" s="29" t="s">
        <v>709</v>
      </c>
      <c r="CT1" s="2" t="s">
        <v>45</v>
      </c>
      <c r="CU1" s="2" t="s">
        <v>46</v>
      </c>
      <c r="CV1" s="2" t="s">
        <v>47</v>
      </c>
      <c r="CW1" s="2"/>
      <c r="CX1" s="2" t="s">
        <v>48</v>
      </c>
      <c r="CY1" s="2" t="s">
        <v>49</v>
      </c>
      <c r="CZ1" s="2"/>
      <c r="DA1" s="2" t="s">
        <v>50</v>
      </c>
      <c r="DB1" s="2" t="s">
        <v>51</v>
      </c>
      <c r="DC1" s="2"/>
      <c r="DD1" s="2" t="s">
        <v>52</v>
      </c>
      <c r="DE1" s="2" t="s">
        <v>53</v>
      </c>
      <c r="DF1" s="2"/>
      <c r="DG1" s="2" t="s">
        <v>54</v>
      </c>
      <c r="DH1" s="2" t="s">
        <v>55</v>
      </c>
      <c r="DI1" s="2"/>
      <c r="DJ1" s="2" t="s">
        <v>56</v>
      </c>
      <c r="DK1" s="2" t="s">
        <v>57</v>
      </c>
      <c r="DL1" s="2"/>
      <c r="DM1" s="2" t="s">
        <v>58</v>
      </c>
      <c r="DN1" s="22" t="s">
        <v>59</v>
      </c>
      <c r="DO1" s="22" t="s">
        <v>59</v>
      </c>
    </row>
    <row r="2" spans="1:119" ht="21" customHeight="1" x14ac:dyDescent="0.15">
      <c r="A2" s="4" t="s">
        <v>60</v>
      </c>
      <c r="B2" s="5" t="s">
        <v>61</v>
      </c>
      <c r="C2" s="47" t="s">
        <v>664</v>
      </c>
      <c r="D2" s="26" t="s">
        <v>654</v>
      </c>
      <c r="E2" s="26" t="s">
        <v>729</v>
      </c>
      <c r="F2" s="26" t="s">
        <v>632</v>
      </c>
      <c r="G2" s="26" t="s">
        <v>619</v>
      </c>
      <c r="H2" s="25" t="s">
        <v>469</v>
      </c>
      <c r="I2" s="26" t="s">
        <v>624</v>
      </c>
      <c r="J2" s="26" t="s">
        <v>568</v>
      </c>
      <c r="K2" s="26" t="s">
        <v>517</v>
      </c>
      <c r="L2" s="26" t="s">
        <v>530</v>
      </c>
      <c r="M2" s="26" t="s">
        <v>538</v>
      </c>
      <c r="N2" s="25" t="s">
        <v>522</v>
      </c>
      <c r="O2" s="25" t="s">
        <v>617</v>
      </c>
      <c r="P2" s="25" t="s">
        <v>551</v>
      </c>
      <c r="Q2" s="25" t="s">
        <v>495</v>
      </c>
      <c r="R2" s="25" t="s">
        <v>358</v>
      </c>
      <c r="S2" s="4" t="s">
        <v>62</v>
      </c>
      <c r="T2" s="25" t="s">
        <v>423</v>
      </c>
      <c r="U2" s="25" t="s">
        <v>424</v>
      </c>
      <c r="V2" s="26" t="s">
        <v>471</v>
      </c>
      <c r="W2" s="26" t="s">
        <v>484</v>
      </c>
      <c r="X2" s="26" t="s">
        <v>490</v>
      </c>
      <c r="Y2" s="5" t="s">
        <v>61</v>
      </c>
      <c r="Z2" s="26" t="s">
        <v>639</v>
      </c>
      <c r="AA2" s="26" t="s">
        <v>641</v>
      </c>
      <c r="AB2" s="26" t="s">
        <v>644</v>
      </c>
      <c r="AC2" s="26" t="s">
        <v>435</v>
      </c>
      <c r="AD2" s="26" t="s">
        <v>621</v>
      </c>
      <c r="AE2" s="29" t="s">
        <v>438</v>
      </c>
      <c r="AF2" s="26" t="s">
        <v>404</v>
      </c>
      <c r="AG2" s="25" t="s">
        <v>400</v>
      </c>
      <c r="AH2" s="25" t="s">
        <v>401</v>
      </c>
      <c r="AI2" s="26" t="s">
        <v>407</v>
      </c>
      <c r="AJ2" s="26" t="s">
        <v>328</v>
      </c>
      <c r="AK2" s="26" t="s">
        <v>736</v>
      </c>
      <c r="AL2" s="26" t="s">
        <v>368</v>
      </c>
      <c r="AM2" s="5" t="s">
        <v>367</v>
      </c>
      <c r="AN2" s="5" t="s">
        <v>63</v>
      </c>
      <c r="AO2" s="5" t="s">
        <v>64</v>
      </c>
      <c r="AP2" s="4" t="s">
        <v>65</v>
      </c>
      <c r="AQ2" s="25" t="s">
        <v>506</v>
      </c>
      <c r="AR2" s="4" t="s">
        <v>66</v>
      </c>
      <c r="AS2" s="4" t="s">
        <v>67</v>
      </c>
      <c r="AT2" s="4" t="s">
        <v>68</v>
      </c>
      <c r="AU2" s="4" t="s">
        <v>69</v>
      </c>
      <c r="AV2" s="12" t="s">
        <v>70</v>
      </c>
      <c r="AW2" s="4" t="s">
        <v>71</v>
      </c>
      <c r="AX2" s="25" t="s">
        <v>574</v>
      </c>
      <c r="AY2" s="25" t="s">
        <v>575</v>
      </c>
      <c r="AZ2" s="25" t="s">
        <v>577</v>
      </c>
      <c r="BA2" s="4" t="s">
        <v>72</v>
      </c>
      <c r="BB2" s="26" t="s">
        <v>308</v>
      </c>
      <c r="BC2" s="30" t="s">
        <v>427</v>
      </c>
      <c r="BD2" s="30" t="s">
        <v>428</v>
      </c>
      <c r="BE2" s="30" t="s">
        <v>429</v>
      </c>
      <c r="BF2" s="17" t="s">
        <v>378</v>
      </c>
      <c r="BG2" s="5" t="s">
        <v>61</v>
      </c>
      <c r="BH2" s="20" t="s">
        <v>73</v>
      </c>
      <c r="BI2" s="4" t="s">
        <v>74</v>
      </c>
      <c r="BJ2" s="4" t="s">
        <v>75</v>
      </c>
      <c r="BK2" s="4" t="s">
        <v>76</v>
      </c>
      <c r="BL2" s="4" t="s">
        <v>77</v>
      </c>
      <c r="BM2" s="4" t="s">
        <v>78</v>
      </c>
      <c r="BN2" s="4" t="s">
        <v>79</v>
      </c>
      <c r="BO2" s="25" t="s">
        <v>646</v>
      </c>
      <c r="BP2" s="4" t="s">
        <v>80</v>
      </c>
      <c r="BQ2" s="4" t="s">
        <v>81</v>
      </c>
      <c r="BR2" s="4" t="s">
        <v>82</v>
      </c>
      <c r="BS2" s="4" t="s">
        <v>83</v>
      </c>
      <c r="BT2" s="25" t="s">
        <v>403</v>
      </c>
      <c r="BU2" s="4" t="s">
        <v>84</v>
      </c>
      <c r="BV2" s="4" t="s">
        <v>342</v>
      </c>
      <c r="BW2" s="4" t="s">
        <v>85</v>
      </c>
      <c r="BX2" s="25" t="s">
        <v>513</v>
      </c>
      <c r="BY2" s="25" t="s">
        <v>608</v>
      </c>
      <c r="BZ2" s="25" t="s">
        <v>611</v>
      </c>
      <c r="CA2" s="25" t="s">
        <v>341</v>
      </c>
      <c r="CB2" s="25" t="s">
        <v>707</v>
      </c>
      <c r="CC2" s="25" t="s">
        <v>335</v>
      </c>
      <c r="CD2" s="4" t="s">
        <v>339</v>
      </c>
      <c r="CE2" s="4" t="s">
        <v>86</v>
      </c>
      <c r="CF2" s="4" t="s">
        <v>87</v>
      </c>
      <c r="CG2" s="4" t="s">
        <v>88</v>
      </c>
      <c r="CH2" s="4" t="s">
        <v>89</v>
      </c>
      <c r="CI2" s="25" t="s">
        <v>584</v>
      </c>
      <c r="CJ2" s="25" t="s">
        <v>585</v>
      </c>
      <c r="CK2" s="4" t="s">
        <v>90</v>
      </c>
      <c r="CL2" s="4" t="s">
        <v>91</v>
      </c>
      <c r="CM2" s="25" t="s">
        <v>433</v>
      </c>
      <c r="CN2" s="25" t="s">
        <v>432</v>
      </c>
      <c r="CO2" s="25" t="s">
        <v>383</v>
      </c>
      <c r="CP2" s="5" t="s">
        <v>359</v>
      </c>
      <c r="CQ2" s="26" t="s">
        <v>365</v>
      </c>
      <c r="CR2" s="5" t="s">
        <v>61</v>
      </c>
      <c r="CS2" s="26" t="s">
        <v>710</v>
      </c>
      <c r="CT2" s="4" t="s">
        <v>92</v>
      </c>
      <c r="CU2" s="4" t="s">
        <v>93</v>
      </c>
      <c r="CV2" s="21" t="s">
        <v>94</v>
      </c>
      <c r="CW2" s="21" t="s">
        <v>95</v>
      </c>
      <c r="CX2" s="4" t="s">
        <v>96</v>
      </c>
      <c r="CY2" s="21" t="s">
        <v>97</v>
      </c>
      <c r="CZ2" s="21" t="s">
        <v>95</v>
      </c>
      <c r="DA2" s="4" t="s">
        <v>98</v>
      </c>
      <c r="DB2" s="21" t="s">
        <v>99</v>
      </c>
      <c r="DC2" s="21" t="s">
        <v>100</v>
      </c>
      <c r="DD2" s="4" t="s">
        <v>101</v>
      </c>
      <c r="DE2" s="21" t="s">
        <v>102</v>
      </c>
      <c r="DF2" s="21" t="s">
        <v>95</v>
      </c>
      <c r="DG2" s="4" t="s">
        <v>103</v>
      </c>
      <c r="DH2" s="21" t="s">
        <v>104</v>
      </c>
      <c r="DI2" s="21" t="s">
        <v>95</v>
      </c>
      <c r="DJ2" s="4" t="s">
        <v>105</v>
      </c>
      <c r="DK2" s="21" t="s">
        <v>106</v>
      </c>
      <c r="DL2" s="21" t="s">
        <v>95</v>
      </c>
      <c r="DM2" s="4" t="s">
        <v>107</v>
      </c>
      <c r="DN2" s="4" t="str">
        <f>CONCATENATE("guide_info_",DN1,"#str")</f>
        <v>guide_info_zh-CN#str</v>
      </c>
      <c r="DO2" s="4" t="str">
        <f>CONCATENATE("build_tips_",DO1,"#str")</f>
        <v>build_tips_zh-CN#str</v>
      </c>
    </row>
    <row r="3" spans="1:119" x14ac:dyDescent="0.15">
      <c r="A3" s="4">
        <v>100001</v>
      </c>
      <c r="B3" s="28" t="s">
        <v>463</v>
      </c>
      <c r="C3" s="47" t="s">
        <v>110</v>
      </c>
      <c r="D3" s="26"/>
      <c r="E3" s="26">
        <v>0</v>
      </c>
      <c r="F3" s="5">
        <v>0</v>
      </c>
      <c r="G3" s="26">
        <v>0</v>
      </c>
      <c r="H3" s="4">
        <v>0</v>
      </c>
      <c r="I3" s="5">
        <v>0</v>
      </c>
      <c r="J3" s="26"/>
      <c r="K3" s="26"/>
      <c r="L3" s="26"/>
      <c r="M3" s="26"/>
      <c r="N3" s="25" t="s">
        <v>460</v>
      </c>
      <c r="O3" s="25">
        <v>0</v>
      </c>
      <c r="P3" s="25">
        <v>0</v>
      </c>
      <c r="Q3" s="25">
        <v>0</v>
      </c>
      <c r="R3" s="4">
        <v>0</v>
      </c>
      <c r="S3" s="4">
        <v>1</v>
      </c>
      <c r="T3" s="4">
        <v>0</v>
      </c>
      <c r="U3" s="4">
        <v>0</v>
      </c>
      <c r="V3" s="5">
        <v>0</v>
      </c>
      <c r="W3" s="5">
        <v>0</v>
      </c>
      <c r="X3" s="5">
        <v>1</v>
      </c>
      <c r="Y3" s="28" t="s">
        <v>463</v>
      </c>
      <c r="Z3" s="5">
        <v>0</v>
      </c>
      <c r="AA3" s="5">
        <v>0</v>
      </c>
      <c r="AB3" s="5">
        <v>1</v>
      </c>
      <c r="AC3" s="5">
        <v>0</v>
      </c>
      <c r="AD3" s="5">
        <v>0</v>
      </c>
      <c r="AE3" s="3">
        <v>1</v>
      </c>
      <c r="AF3" s="5">
        <v>0</v>
      </c>
      <c r="AG3" s="4">
        <v>0</v>
      </c>
      <c r="AH3" s="25">
        <v>0</v>
      </c>
      <c r="AI3" s="26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4">
        <v>1</v>
      </c>
      <c r="AQ3" s="4"/>
      <c r="AR3" s="4">
        <v>0</v>
      </c>
      <c r="AS3" s="4">
        <v>0</v>
      </c>
      <c r="AT3" s="4">
        <v>0</v>
      </c>
      <c r="AU3" s="4">
        <v>0</v>
      </c>
      <c r="AV3" s="12">
        <v>0</v>
      </c>
      <c r="AW3" s="4">
        <v>0</v>
      </c>
      <c r="AX3" s="4">
        <v>0</v>
      </c>
      <c r="AY3" s="4">
        <v>0</v>
      </c>
      <c r="AZ3" s="4">
        <v>0</v>
      </c>
      <c r="BA3" s="25" t="s">
        <v>637</v>
      </c>
      <c r="BB3" s="5">
        <v>0</v>
      </c>
      <c r="BC3" s="17" t="s">
        <v>109</v>
      </c>
      <c r="BD3" s="17" t="s">
        <v>110</v>
      </c>
      <c r="BE3" s="30" t="s">
        <v>629</v>
      </c>
      <c r="BF3" s="17" t="s">
        <v>379</v>
      </c>
      <c r="BG3" s="4" t="str">
        <f t="shared" ref="BG3:BG21" si="0">B3</f>
        <v>初始马车</v>
      </c>
      <c r="BH3" s="20">
        <v>2</v>
      </c>
      <c r="BI3" s="4">
        <v>1</v>
      </c>
      <c r="BJ3" s="4">
        <v>0</v>
      </c>
      <c r="BK3" s="4">
        <v>0</v>
      </c>
      <c r="BL3" s="4">
        <v>1234</v>
      </c>
      <c r="BM3" s="4">
        <v>1</v>
      </c>
      <c r="BN3" s="4">
        <v>1</v>
      </c>
      <c r="BO3" s="4">
        <v>1</v>
      </c>
      <c r="BP3" s="4">
        <v>0</v>
      </c>
      <c r="BQ3" s="4">
        <v>1</v>
      </c>
      <c r="BR3" s="4">
        <v>1</v>
      </c>
      <c r="BS3" s="4">
        <v>0</v>
      </c>
      <c r="BT3" s="4">
        <v>0</v>
      </c>
      <c r="BU3" s="4">
        <v>1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4</v>
      </c>
      <c r="CF3" s="4">
        <v>0</v>
      </c>
      <c r="CG3" s="4">
        <v>1</v>
      </c>
      <c r="CH3" s="4">
        <v>0</v>
      </c>
      <c r="CI3" s="4">
        <v>1</v>
      </c>
      <c r="CJ3" s="4">
        <v>1</v>
      </c>
      <c r="CK3" s="4">
        <v>1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 t="str">
        <f t="shared" ref="CR3:CR32" si="1">B3</f>
        <v>初始马车</v>
      </c>
      <c r="CS3" s="4">
        <v>0</v>
      </c>
      <c r="CT3" s="4">
        <v>1</v>
      </c>
      <c r="CU3" s="4">
        <v>10</v>
      </c>
      <c r="CV3" s="4">
        <v>416001</v>
      </c>
      <c r="CW3" s="25" t="s">
        <v>462</v>
      </c>
      <c r="CX3" s="4">
        <v>2</v>
      </c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</row>
    <row r="4" spans="1:119" x14ac:dyDescent="0.15">
      <c r="A4" s="4">
        <v>100002</v>
      </c>
      <c r="B4" s="25" t="s">
        <v>625</v>
      </c>
      <c r="C4" s="47" t="s">
        <v>110</v>
      </c>
      <c r="D4" s="26"/>
      <c r="E4" s="26">
        <v>0</v>
      </c>
      <c r="F4" s="5">
        <v>0</v>
      </c>
      <c r="G4" s="26">
        <v>0</v>
      </c>
      <c r="H4" s="4">
        <v>0</v>
      </c>
      <c r="I4" s="5">
        <v>0</v>
      </c>
      <c r="J4" s="4"/>
      <c r="K4" s="4"/>
      <c r="L4" s="4"/>
      <c r="M4" s="8">
        <v>0</v>
      </c>
      <c r="N4" s="25" t="s">
        <v>627</v>
      </c>
      <c r="O4" s="25">
        <v>0</v>
      </c>
      <c r="P4" s="25">
        <v>0</v>
      </c>
      <c r="Q4" s="25">
        <v>0</v>
      </c>
      <c r="R4" s="4">
        <v>0</v>
      </c>
      <c r="S4" s="4">
        <v>0</v>
      </c>
      <c r="T4" s="4">
        <v>0</v>
      </c>
      <c r="U4" s="4">
        <v>0</v>
      </c>
      <c r="V4" s="5">
        <v>0</v>
      </c>
      <c r="W4" s="5">
        <v>0</v>
      </c>
      <c r="X4" s="5">
        <v>1</v>
      </c>
      <c r="Y4" s="25" t="s">
        <v>625</v>
      </c>
      <c r="Z4" s="5">
        <v>0</v>
      </c>
      <c r="AA4" s="5">
        <v>0</v>
      </c>
      <c r="AB4" s="5">
        <v>1</v>
      </c>
      <c r="AC4" s="5">
        <v>0</v>
      </c>
      <c r="AD4" s="5">
        <v>0</v>
      </c>
      <c r="AE4" s="3">
        <v>0</v>
      </c>
      <c r="AF4" s="5">
        <v>0</v>
      </c>
      <c r="AG4" s="4">
        <v>0</v>
      </c>
      <c r="AH4" s="25">
        <v>0</v>
      </c>
      <c r="AI4" s="26">
        <v>0</v>
      </c>
      <c r="AJ4" s="5">
        <v>0</v>
      </c>
      <c r="AK4" s="5">
        <v>0</v>
      </c>
      <c r="AL4" s="5">
        <v>0</v>
      </c>
      <c r="AM4" s="4">
        <v>0</v>
      </c>
      <c r="AN4" s="5">
        <v>0</v>
      </c>
      <c r="AO4" s="5">
        <v>0</v>
      </c>
      <c r="AP4" s="4">
        <v>0</v>
      </c>
      <c r="AQ4" s="4"/>
      <c r="AR4" s="4">
        <v>0</v>
      </c>
      <c r="AS4" s="4">
        <v>0</v>
      </c>
      <c r="AT4" s="4">
        <v>0</v>
      </c>
      <c r="AU4" s="4">
        <v>0</v>
      </c>
      <c r="AV4" s="12">
        <v>0</v>
      </c>
      <c r="AW4" s="4">
        <v>0</v>
      </c>
      <c r="AX4" s="4">
        <v>0</v>
      </c>
      <c r="AY4" s="4">
        <v>1</v>
      </c>
      <c r="AZ4" s="4">
        <v>0</v>
      </c>
      <c r="BA4" s="25" t="s">
        <v>626</v>
      </c>
      <c r="BB4" s="5">
        <v>0</v>
      </c>
      <c r="BC4" s="30" t="s">
        <v>628</v>
      </c>
      <c r="BD4" s="17" t="s">
        <v>109</v>
      </c>
      <c r="BE4" s="30" t="s">
        <v>629</v>
      </c>
      <c r="BF4" s="17" t="s">
        <v>309</v>
      </c>
      <c r="BG4" s="4" t="str">
        <f t="shared" si="0"/>
        <v>帝国村庄</v>
      </c>
      <c r="BH4" s="4">
        <v>12</v>
      </c>
      <c r="BI4" s="4">
        <v>12</v>
      </c>
      <c r="BJ4" s="4">
        <v>0</v>
      </c>
      <c r="BK4" s="4">
        <v>0</v>
      </c>
      <c r="BL4" s="4">
        <v>1234</v>
      </c>
      <c r="BM4" s="4">
        <v>0</v>
      </c>
      <c r="BN4" s="4">
        <v>1</v>
      </c>
      <c r="BO4" s="4">
        <v>0</v>
      </c>
      <c r="BP4" s="4">
        <v>1</v>
      </c>
      <c r="BQ4" s="4">
        <v>0</v>
      </c>
      <c r="BR4" s="4">
        <v>0</v>
      </c>
      <c r="BS4" s="4">
        <v>0</v>
      </c>
      <c r="BT4" s="4">
        <v>0</v>
      </c>
      <c r="BU4" s="4">
        <v>1</v>
      </c>
      <c r="BV4" s="4">
        <v>0</v>
      </c>
      <c r="BW4" s="4">
        <v>3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4</v>
      </c>
      <c r="CF4" s="4">
        <v>0</v>
      </c>
      <c r="CG4" s="4">
        <v>0</v>
      </c>
      <c r="CH4" s="4">
        <v>0</v>
      </c>
      <c r="CI4" s="4">
        <v>1</v>
      </c>
      <c r="CJ4" s="4">
        <v>1</v>
      </c>
      <c r="CK4" s="4">
        <v>1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 t="str">
        <f t="shared" si="1"/>
        <v>帝国村庄</v>
      </c>
      <c r="CS4" s="4">
        <v>0</v>
      </c>
      <c r="CT4" s="4">
        <v>1</v>
      </c>
      <c r="CU4" s="4">
        <v>0</v>
      </c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</row>
    <row r="5" spans="1:119" ht="81" x14ac:dyDescent="0.15">
      <c r="A5" s="4">
        <v>101001</v>
      </c>
      <c r="B5" s="7" t="s">
        <v>111</v>
      </c>
      <c r="C5" s="47" t="s">
        <v>110</v>
      </c>
      <c r="D5" s="26"/>
      <c r="E5" s="26">
        <v>0</v>
      </c>
      <c r="F5" s="5">
        <v>0</v>
      </c>
      <c r="G5" s="26">
        <v>1</v>
      </c>
      <c r="H5" s="4">
        <v>1</v>
      </c>
      <c r="I5" s="5">
        <v>0</v>
      </c>
      <c r="J5" s="8"/>
      <c r="K5" s="8"/>
      <c r="L5" s="8"/>
      <c r="M5" s="8">
        <v>0</v>
      </c>
      <c r="N5" s="25" t="s">
        <v>516</v>
      </c>
      <c r="O5" s="25">
        <v>0</v>
      </c>
      <c r="P5" s="25">
        <v>17</v>
      </c>
      <c r="Q5" s="25">
        <v>0</v>
      </c>
      <c r="R5" s="4">
        <v>0</v>
      </c>
      <c r="S5" s="4">
        <v>0</v>
      </c>
      <c r="T5" s="4">
        <v>0</v>
      </c>
      <c r="U5" s="4">
        <v>0</v>
      </c>
      <c r="V5" s="5">
        <v>1</v>
      </c>
      <c r="W5" s="5">
        <v>0</v>
      </c>
      <c r="X5" s="5">
        <v>1</v>
      </c>
      <c r="Y5" s="7" t="s">
        <v>111</v>
      </c>
      <c r="Z5" s="5">
        <v>0</v>
      </c>
      <c r="AA5" s="5">
        <v>0</v>
      </c>
      <c r="AB5" s="5">
        <v>1</v>
      </c>
      <c r="AC5" s="5">
        <v>2</v>
      </c>
      <c r="AD5" s="5">
        <v>0</v>
      </c>
      <c r="AE5" s="3">
        <v>1</v>
      </c>
      <c r="AF5" s="5">
        <v>0</v>
      </c>
      <c r="AG5" s="4">
        <v>0</v>
      </c>
      <c r="AH5" s="25">
        <v>0</v>
      </c>
      <c r="AI5" s="26">
        <v>0</v>
      </c>
      <c r="AJ5" s="5">
        <v>0</v>
      </c>
      <c r="AK5" s="5">
        <v>0</v>
      </c>
      <c r="AL5" s="5">
        <v>0</v>
      </c>
      <c r="AM5" s="8">
        <v>0</v>
      </c>
      <c r="AN5" s="5">
        <v>0</v>
      </c>
      <c r="AO5" s="5">
        <v>0</v>
      </c>
      <c r="AP5" s="4">
        <v>1</v>
      </c>
      <c r="AQ5" s="4"/>
      <c r="AR5" s="4">
        <v>0</v>
      </c>
      <c r="AS5" s="4">
        <v>0</v>
      </c>
      <c r="AT5" s="4">
        <v>1</v>
      </c>
      <c r="AU5" s="4">
        <v>0</v>
      </c>
      <c r="AV5" s="12">
        <v>0</v>
      </c>
      <c r="AW5" s="4">
        <v>1</v>
      </c>
      <c r="AX5" s="4">
        <v>0</v>
      </c>
      <c r="AY5" s="4">
        <v>0</v>
      </c>
      <c r="AZ5" s="4">
        <v>0</v>
      </c>
      <c r="BA5" s="4" t="s">
        <v>112</v>
      </c>
      <c r="BB5" s="5">
        <v>1</v>
      </c>
      <c r="BC5" s="17" t="s">
        <v>109</v>
      </c>
      <c r="BD5" s="17" t="s">
        <v>110</v>
      </c>
      <c r="BE5" s="17" t="s">
        <v>110</v>
      </c>
      <c r="BF5" s="17" t="s">
        <v>379</v>
      </c>
      <c r="BG5" s="4" t="str">
        <f t="shared" si="0"/>
        <v>小床</v>
      </c>
      <c r="BH5" s="20">
        <v>1</v>
      </c>
      <c r="BI5" s="4">
        <v>2</v>
      </c>
      <c r="BJ5" s="4">
        <v>0</v>
      </c>
      <c r="BK5" s="4">
        <v>0</v>
      </c>
      <c r="BL5" s="4">
        <v>24</v>
      </c>
      <c r="BM5" s="4">
        <v>1</v>
      </c>
      <c r="BN5" s="4">
        <v>1</v>
      </c>
      <c r="BO5" s="4">
        <v>0</v>
      </c>
      <c r="BP5" s="4">
        <v>0</v>
      </c>
      <c r="BQ5" s="4">
        <v>1</v>
      </c>
      <c r="BR5" s="4">
        <v>1</v>
      </c>
      <c r="BS5" s="4">
        <v>0</v>
      </c>
      <c r="BT5" s="4">
        <v>1</v>
      </c>
      <c r="BU5" s="4">
        <v>1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4</v>
      </c>
      <c r="CF5" s="4">
        <v>0</v>
      </c>
      <c r="CG5" s="4">
        <v>0</v>
      </c>
      <c r="CH5" s="4">
        <v>1</v>
      </c>
      <c r="CI5" s="4">
        <v>1</v>
      </c>
      <c r="CJ5" s="4">
        <v>1</v>
      </c>
      <c r="CK5" s="4">
        <v>1</v>
      </c>
      <c r="CL5" s="4">
        <v>100</v>
      </c>
      <c r="CM5" s="4">
        <v>0</v>
      </c>
      <c r="CN5" s="4">
        <v>1</v>
      </c>
      <c r="CO5" s="4">
        <v>0</v>
      </c>
      <c r="CP5" s="4">
        <v>0</v>
      </c>
      <c r="CQ5" s="4">
        <v>0</v>
      </c>
      <c r="CR5" s="4" t="str">
        <f t="shared" si="1"/>
        <v>小床</v>
      </c>
      <c r="CS5" s="4">
        <v>0</v>
      </c>
      <c r="CT5" s="4">
        <v>1</v>
      </c>
      <c r="CU5" s="4">
        <v>10</v>
      </c>
      <c r="CV5" s="4">
        <v>604001</v>
      </c>
      <c r="CW5" s="4" t="s">
        <v>113</v>
      </c>
      <c r="CX5" s="4">
        <v>10</v>
      </c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2" t="s">
        <v>711</v>
      </c>
      <c r="DO5" s="4"/>
    </row>
    <row r="6" spans="1:119" x14ac:dyDescent="0.15">
      <c r="A6" s="4">
        <v>101002</v>
      </c>
      <c r="B6" s="6" t="s">
        <v>114</v>
      </c>
      <c r="C6" s="47" t="s">
        <v>684</v>
      </c>
      <c r="D6" s="26"/>
      <c r="E6" s="26">
        <v>0</v>
      </c>
      <c r="F6" s="5">
        <v>0</v>
      </c>
      <c r="G6" s="26">
        <v>1</v>
      </c>
      <c r="H6" s="4">
        <v>1</v>
      </c>
      <c r="I6" s="5">
        <v>0</v>
      </c>
      <c r="J6" s="5"/>
      <c r="K6" s="5"/>
      <c r="L6" s="5"/>
      <c r="M6" s="8">
        <v>0</v>
      </c>
      <c r="N6" s="4" t="s">
        <v>115</v>
      </c>
      <c r="O6" s="25">
        <v>0</v>
      </c>
      <c r="P6" s="25">
        <v>17</v>
      </c>
      <c r="Q6" s="25">
        <v>0</v>
      </c>
      <c r="R6" s="4">
        <v>0</v>
      </c>
      <c r="S6" s="4">
        <v>0</v>
      </c>
      <c r="T6" s="4">
        <v>0</v>
      </c>
      <c r="U6" s="4">
        <v>0</v>
      </c>
      <c r="V6" s="5">
        <v>1</v>
      </c>
      <c r="W6" s="5">
        <v>0</v>
      </c>
      <c r="X6" s="5">
        <v>1</v>
      </c>
      <c r="Y6" s="6" t="s">
        <v>114</v>
      </c>
      <c r="Z6" s="5">
        <v>0</v>
      </c>
      <c r="AA6" s="5">
        <v>0</v>
      </c>
      <c r="AB6" s="5">
        <v>1</v>
      </c>
      <c r="AC6" s="5">
        <v>2</v>
      </c>
      <c r="AD6" s="5">
        <v>0</v>
      </c>
      <c r="AE6" s="3">
        <v>1</v>
      </c>
      <c r="AF6" s="5">
        <v>0</v>
      </c>
      <c r="AG6" s="4">
        <v>0</v>
      </c>
      <c r="AH6" s="25">
        <v>0</v>
      </c>
      <c r="AI6" s="26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4">
        <v>1</v>
      </c>
      <c r="AQ6" s="4"/>
      <c r="AR6" s="4">
        <v>0</v>
      </c>
      <c r="AS6" s="4">
        <v>0</v>
      </c>
      <c r="AT6" s="4">
        <v>1</v>
      </c>
      <c r="AU6" s="4">
        <v>0</v>
      </c>
      <c r="AV6" s="12">
        <v>0</v>
      </c>
      <c r="AW6" s="4">
        <v>1</v>
      </c>
      <c r="AX6" s="4">
        <v>0</v>
      </c>
      <c r="AY6" s="4">
        <v>0</v>
      </c>
      <c r="AZ6" s="4">
        <v>0</v>
      </c>
      <c r="BA6" s="4" t="s">
        <v>326</v>
      </c>
      <c r="BB6" s="5">
        <v>1</v>
      </c>
      <c r="BC6" s="30" t="s">
        <v>583</v>
      </c>
      <c r="BD6" s="17" t="s">
        <v>110</v>
      </c>
      <c r="BE6" s="17" t="s">
        <v>110</v>
      </c>
      <c r="BF6" s="17" t="s">
        <v>379</v>
      </c>
      <c r="BG6" s="4" t="str">
        <f t="shared" si="0"/>
        <v>大床</v>
      </c>
      <c r="BH6" s="20">
        <v>2</v>
      </c>
      <c r="BI6" s="4">
        <v>2</v>
      </c>
      <c r="BJ6" s="4">
        <v>0</v>
      </c>
      <c r="BK6" s="4">
        <v>0</v>
      </c>
      <c r="BL6" s="4">
        <v>24</v>
      </c>
      <c r="BM6" s="4">
        <v>1</v>
      </c>
      <c r="BN6" s="4">
        <v>1</v>
      </c>
      <c r="BO6" s="4">
        <v>0</v>
      </c>
      <c r="BP6" s="4">
        <v>0</v>
      </c>
      <c r="BQ6" s="4">
        <v>1</v>
      </c>
      <c r="BR6" s="4">
        <v>1</v>
      </c>
      <c r="BS6" s="4">
        <v>0</v>
      </c>
      <c r="BT6" s="4">
        <v>1</v>
      </c>
      <c r="BU6" s="4">
        <v>1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4</v>
      </c>
      <c r="CF6" s="4">
        <v>0</v>
      </c>
      <c r="CG6" s="4">
        <v>0</v>
      </c>
      <c r="CH6" s="4">
        <v>1</v>
      </c>
      <c r="CI6" s="4">
        <v>1</v>
      </c>
      <c r="CJ6" s="4">
        <v>1</v>
      </c>
      <c r="CK6" s="4">
        <v>1</v>
      </c>
      <c r="CL6" s="4">
        <v>150</v>
      </c>
      <c r="CM6" s="4">
        <v>0</v>
      </c>
      <c r="CN6" s="4">
        <v>1</v>
      </c>
      <c r="CO6" s="4">
        <v>0</v>
      </c>
      <c r="CP6" s="4">
        <v>0</v>
      </c>
      <c r="CQ6" s="4">
        <v>0</v>
      </c>
      <c r="CR6" s="4" t="str">
        <f t="shared" si="1"/>
        <v>大床</v>
      </c>
      <c r="CS6" s="4">
        <v>0</v>
      </c>
      <c r="CT6" s="4">
        <v>2</v>
      </c>
      <c r="CU6" s="4">
        <v>20</v>
      </c>
      <c r="CV6" s="4">
        <v>604001</v>
      </c>
      <c r="CW6" s="4" t="s">
        <v>113</v>
      </c>
      <c r="CX6" s="4">
        <v>20</v>
      </c>
      <c r="CY6" s="4">
        <v>603001</v>
      </c>
      <c r="CZ6" s="4" t="s">
        <v>116</v>
      </c>
      <c r="DA6" s="4">
        <v>3</v>
      </c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</row>
    <row r="7" spans="1:119" x14ac:dyDescent="0.15">
      <c r="A7" s="4">
        <v>101006</v>
      </c>
      <c r="B7" s="28" t="s">
        <v>499</v>
      </c>
      <c r="C7" s="47" t="s">
        <v>110</v>
      </c>
      <c r="D7" s="26"/>
      <c r="E7" s="26">
        <v>0</v>
      </c>
      <c r="F7" s="5">
        <v>0</v>
      </c>
      <c r="G7" s="26">
        <v>1</v>
      </c>
      <c r="H7" s="4">
        <v>1</v>
      </c>
      <c r="I7" s="5">
        <v>1</v>
      </c>
      <c r="J7" s="26"/>
      <c r="K7" s="26"/>
      <c r="L7" s="26"/>
      <c r="M7" s="8">
        <v>0</v>
      </c>
      <c r="N7" s="25" t="s">
        <v>501</v>
      </c>
      <c r="O7" s="25">
        <v>0</v>
      </c>
      <c r="P7" s="25">
        <v>17</v>
      </c>
      <c r="Q7" s="25">
        <v>0</v>
      </c>
      <c r="R7" s="4">
        <v>1</v>
      </c>
      <c r="S7" s="4">
        <v>0</v>
      </c>
      <c r="T7" s="4">
        <v>0</v>
      </c>
      <c r="U7" s="4">
        <v>0</v>
      </c>
      <c r="V7" s="5">
        <v>1</v>
      </c>
      <c r="W7" s="5">
        <v>0</v>
      </c>
      <c r="X7" s="5">
        <v>1</v>
      </c>
      <c r="Y7" s="28" t="s">
        <v>499</v>
      </c>
      <c r="Z7" s="5">
        <v>0</v>
      </c>
      <c r="AA7" s="5">
        <v>0</v>
      </c>
      <c r="AB7" s="5">
        <v>1</v>
      </c>
      <c r="AC7" s="5">
        <v>2</v>
      </c>
      <c r="AD7" s="5">
        <v>0</v>
      </c>
      <c r="AE7" s="3">
        <v>1</v>
      </c>
      <c r="AF7" s="5">
        <v>0</v>
      </c>
      <c r="AG7" s="4">
        <v>0</v>
      </c>
      <c r="AH7" s="25">
        <v>0</v>
      </c>
      <c r="AI7" s="26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4">
        <v>1</v>
      </c>
      <c r="AQ7" s="4"/>
      <c r="AR7" s="4">
        <v>0</v>
      </c>
      <c r="AS7" s="4">
        <v>0</v>
      </c>
      <c r="AT7" s="4">
        <v>1</v>
      </c>
      <c r="AU7" s="4">
        <v>0</v>
      </c>
      <c r="AV7" s="12">
        <v>0</v>
      </c>
      <c r="AW7" s="4">
        <v>1</v>
      </c>
      <c r="AX7" s="4">
        <v>0</v>
      </c>
      <c r="AY7" s="4">
        <v>0</v>
      </c>
      <c r="AZ7" s="4">
        <v>0</v>
      </c>
      <c r="BA7" s="25" t="s">
        <v>505</v>
      </c>
      <c r="BB7" s="5">
        <v>1</v>
      </c>
      <c r="BC7" s="17" t="s">
        <v>109</v>
      </c>
      <c r="BD7" s="17" t="s">
        <v>110</v>
      </c>
      <c r="BE7" s="17" t="s">
        <v>110</v>
      </c>
      <c r="BF7" s="17" t="s">
        <v>309</v>
      </c>
      <c r="BG7" s="4" t="str">
        <f t="shared" si="0"/>
        <v>精致小床</v>
      </c>
      <c r="BH7" s="20">
        <v>1</v>
      </c>
      <c r="BI7" s="4">
        <v>2</v>
      </c>
      <c r="BJ7" s="4">
        <v>0</v>
      </c>
      <c r="BK7" s="4">
        <v>0</v>
      </c>
      <c r="BL7" s="4">
        <v>24</v>
      </c>
      <c r="BM7" s="4">
        <v>1</v>
      </c>
      <c r="BN7" s="4">
        <v>1</v>
      </c>
      <c r="BO7" s="4">
        <v>0</v>
      </c>
      <c r="BP7" s="4">
        <v>0</v>
      </c>
      <c r="BQ7" s="4">
        <v>1</v>
      </c>
      <c r="BR7" s="4">
        <v>1</v>
      </c>
      <c r="BS7" s="4">
        <v>0</v>
      </c>
      <c r="BT7" s="4">
        <v>1</v>
      </c>
      <c r="BU7" s="4">
        <v>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4</v>
      </c>
      <c r="CF7" s="4">
        <v>0</v>
      </c>
      <c r="CG7" s="4">
        <v>0</v>
      </c>
      <c r="CH7" s="4">
        <v>1</v>
      </c>
      <c r="CI7" s="4">
        <v>1</v>
      </c>
      <c r="CJ7" s="4">
        <v>1</v>
      </c>
      <c r="CK7" s="4">
        <v>1</v>
      </c>
      <c r="CL7" s="4">
        <v>150</v>
      </c>
      <c r="CM7" s="4">
        <v>0</v>
      </c>
      <c r="CN7" s="4">
        <v>1</v>
      </c>
      <c r="CO7" s="4">
        <v>0</v>
      </c>
      <c r="CP7" s="4">
        <v>0</v>
      </c>
      <c r="CQ7" s="4">
        <v>0</v>
      </c>
      <c r="CR7" s="4" t="str">
        <f t="shared" si="1"/>
        <v>精致小床</v>
      </c>
      <c r="CS7" s="4">
        <v>0</v>
      </c>
      <c r="CT7" s="4">
        <v>2</v>
      </c>
      <c r="CU7" s="4">
        <v>20</v>
      </c>
      <c r="CV7" s="4">
        <v>604001</v>
      </c>
      <c r="CW7" s="4" t="s">
        <v>113</v>
      </c>
      <c r="CX7" s="4">
        <v>10</v>
      </c>
      <c r="CY7" s="4">
        <v>603001</v>
      </c>
      <c r="CZ7" s="4" t="s">
        <v>116</v>
      </c>
      <c r="DA7" s="4">
        <v>1</v>
      </c>
      <c r="DB7" s="4">
        <v>608001</v>
      </c>
      <c r="DC7" s="25" t="s">
        <v>461</v>
      </c>
      <c r="DD7" s="4">
        <v>1</v>
      </c>
      <c r="DE7" s="4"/>
      <c r="DF7" s="4"/>
      <c r="DG7" s="4"/>
      <c r="DH7" s="4"/>
      <c r="DI7" s="4"/>
      <c r="DJ7" s="4"/>
      <c r="DK7" s="4"/>
      <c r="DL7" s="4"/>
      <c r="DM7" s="4"/>
      <c r="DN7" s="4"/>
    </row>
    <row r="8" spans="1:119" x14ac:dyDescent="0.15">
      <c r="A8" s="4">
        <v>101003</v>
      </c>
      <c r="B8" s="28" t="s">
        <v>500</v>
      </c>
      <c r="C8" s="47" t="s">
        <v>684</v>
      </c>
      <c r="D8" s="26"/>
      <c r="E8" s="26">
        <v>0</v>
      </c>
      <c r="F8" s="5">
        <v>0</v>
      </c>
      <c r="G8" s="26">
        <v>1</v>
      </c>
      <c r="H8" s="4">
        <v>1</v>
      </c>
      <c r="I8" s="5">
        <v>1</v>
      </c>
      <c r="J8" s="26"/>
      <c r="K8" s="26"/>
      <c r="L8" s="26"/>
      <c r="M8" s="8">
        <v>0</v>
      </c>
      <c r="N8" s="4" t="s">
        <v>117</v>
      </c>
      <c r="O8" s="25">
        <v>0</v>
      </c>
      <c r="P8" s="25">
        <v>17</v>
      </c>
      <c r="Q8" s="25">
        <v>0</v>
      </c>
      <c r="R8" s="4">
        <v>1</v>
      </c>
      <c r="S8" s="4">
        <v>0</v>
      </c>
      <c r="T8" s="4">
        <v>0</v>
      </c>
      <c r="U8" s="4">
        <v>0</v>
      </c>
      <c r="V8" s="5">
        <v>1</v>
      </c>
      <c r="W8" s="5">
        <v>0</v>
      </c>
      <c r="X8" s="5">
        <v>1</v>
      </c>
      <c r="Y8" s="28" t="s">
        <v>500</v>
      </c>
      <c r="Z8" s="5">
        <v>0</v>
      </c>
      <c r="AA8" s="5">
        <v>0</v>
      </c>
      <c r="AB8" s="5">
        <v>1</v>
      </c>
      <c r="AC8" s="5">
        <v>2</v>
      </c>
      <c r="AD8" s="5">
        <v>0</v>
      </c>
      <c r="AE8" s="3">
        <v>1</v>
      </c>
      <c r="AF8" s="5">
        <v>0</v>
      </c>
      <c r="AG8" s="4">
        <v>0</v>
      </c>
      <c r="AH8" s="25">
        <v>0</v>
      </c>
      <c r="AI8" s="26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4">
        <v>1</v>
      </c>
      <c r="AQ8" s="4"/>
      <c r="AR8" s="4">
        <v>0</v>
      </c>
      <c r="AS8" s="4">
        <v>0</v>
      </c>
      <c r="AT8" s="4">
        <v>1</v>
      </c>
      <c r="AU8" s="4">
        <v>0</v>
      </c>
      <c r="AV8" s="12">
        <v>0</v>
      </c>
      <c r="AW8" s="4">
        <v>1</v>
      </c>
      <c r="AX8" s="4">
        <v>0</v>
      </c>
      <c r="AY8" s="4">
        <v>0</v>
      </c>
      <c r="AZ8" s="4">
        <v>0</v>
      </c>
      <c r="BA8" s="4" t="s">
        <v>118</v>
      </c>
      <c r="BB8" s="5">
        <v>1</v>
      </c>
      <c r="BC8" s="17" t="s">
        <v>109</v>
      </c>
      <c r="BD8" s="17" t="s">
        <v>110</v>
      </c>
      <c r="BE8" s="17" t="s">
        <v>110</v>
      </c>
      <c r="BF8" s="17" t="s">
        <v>379</v>
      </c>
      <c r="BG8" s="4" t="str">
        <f t="shared" si="0"/>
        <v>精致大床</v>
      </c>
      <c r="BH8" s="20">
        <v>2</v>
      </c>
      <c r="BI8" s="4">
        <v>2</v>
      </c>
      <c r="BJ8" s="4">
        <v>0</v>
      </c>
      <c r="BK8" s="4">
        <v>0</v>
      </c>
      <c r="BL8" s="4">
        <v>24</v>
      </c>
      <c r="BM8" s="4">
        <v>1</v>
      </c>
      <c r="BN8" s="4">
        <v>1</v>
      </c>
      <c r="BO8" s="4">
        <v>0</v>
      </c>
      <c r="BP8" s="4">
        <v>0</v>
      </c>
      <c r="BQ8" s="4">
        <v>1</v>
      </c>
      <c r="BR8" s="4">
        <v>1</v>
      </c>
      <c r="BS8" s="4">
        <v>0</v>
      </c>
      <c r="BT8" s="4">
        <v>1</v>
      </c>
      <c r="BU8" s="4">
        <v>1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4</v>
      </c>
      <c r="CF8" s="4">
        <v>0</v>
      </c>
      <c r="CG8" s="4">
        <v>0</v>
      </c>
      <c r="CH8" s="4">
        <v>1</v>
      </c>
      <c r="CI8" s="4">
        <v>1</v>
      </c>
      <c r="CJ8" s="4">
        <v>1</v>
      </c>
      <c r="CK8" s="4">
        <v>1</v>
      </c>
      <c r="CL8" s="4">
        <v>150</v>
      </c>
      <c r="CM8" s="4">
        <v>0</v>
      </c>
      <c r="CN8" s="4">
        <v>1</v>
      </c>
      <c r="CO8" s="4">
        <v>0</v>
      </c>
      <c r="CP8" s="4">
        <v>0</v>
      </c>
      <c r="CQ8" s="4">
        <v>0</v>
      </c>
      <c r="CR8" s="4" t="str">
        <f t="shared" si="1"/>
        <v>精致大床</v>
      </c>
      <c r="CS8" s="4">
        <v>0</v>
      </c>
      <c r="CT8" s="4">
        <v>2</v>
      </c>
      <c r="CU8" s="4">
        <v>20</v>
      </c>
      <c r="CV8" s="4">
        <v>604001</v>
      </c>
      <c r="CW8" s="4" t="s">
        <v>113</v>
      </c>
      <c r="CX8" s="4">
        <v>20</v>
      </c>
      <c r="CY8" s="4">
        <v>603001</v>
      </c>
      <c r="CZ8" s="4" t="s">
        <v>116</v>
      </c>
      <c r="DA8" s="4">
        <v>3</v>
      </c>
      <c r="DB8" s="4">
        <v>608001</v>
      </c>
      <c r="DC8" s="25" t="s">
        <v>461</v>
      </c>
      <c r="DD8" s="4">
        <v>1</v>
      </c>
      <c r="DE8" s="4"/>
      <c r="DF8" s="4"/>
      <c r="DG8" s="4"/>
      <c r="DH8" s="4"/>
      <c r="DI8" s="4"/>
      <c r="DJ8" s="4"/>
      <c r="DK8" s="4"/>
      <c r="DL8" s="4"/>
      <c r="DM8" s="4"/>
      <c r="DN8" s="4"/>
    </row>
    <row r="9" spans="1:119" x14ac:dyDescent="0.15">
      <c r="A9" s="4">
        <v>101004</v>
      </c>
      <c r="B9" s="25" t="s">
        <v>512</v>
      </c>
      <c r="C9" s="47" t="s">
        <v>684</v>
      </c>
      <c r="D9" s="26"/>
      <c r="E9" s="26">
        <v>0</v>
      </c>
      <c r="F9" s="5">
        <v>0</v>
      </c>
      <c r="G9" s="26">
        <v>1</v>
      </c>
      <c r="H9" s="4">
        <v>1</v>
      </c>
      <c r="I9" s="4">
        <v>0</v>
      </c>
      <c r="J9" s="25"/>
      <c r="K9" s="25"/>
      <c r="L9" s="25"/>
      <c r="M9" s="8">
        <v>0</v>
      </c>
      <c r="N9" s="25" t="s">
        <v>371</v>
      </c>
      <c r="O9" s="25">
        <v>0</v>
      </c>
      <c r="P9" s="25">
        <v>0</v>
      </c>
      <c r="Q9" s="25">
        <v>0</v>
      </c>
      <c r="R9" s="4">
        <v>1</v>
      </c>
      <c r="S9" s="4">
        <v>0</v>
      </c>
      <c r="T9" s="4">
        <v>0</v>
      </c>
      <c r="U9" s="4">
        <v>0</v>
      </c>
      <c r="V9" s="5">
        <v>1</v>
      </c>
      <c r="W9" s="5">
        <v>0</v>
      </c>
      <c r="X9" s="5">
        <v>1</v>
      </c>
      <c r="Y9" s="25" t="s">
        <v>512</v>
      </c>
      <c r="Z9" s="5">
        <v>0</v>
      </c>
      <c r="AA9" s="5">
        <v>0</v>
      </c>
      <c r="AB9" s="5">
        <v>1</v>
      </c>
      <c r="AC9" s="5">
        <v>2</v>
      </c>
      <c r="AD9" s="5">
        <v>0</v>
      </c>
      <c r="AE9" s="3">
        <v>1</v>
      </c>
      <c r="AF9" s="5">
        <v>0</v>
      </c>
      <c r="AG9" s="4">
        <v>0</v>
      </c>
      <c r="AH9" s="25">
        <v>0</v>
      </c>
      <c r="AI9" s="26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4">
        <v>1</v>
      </c>
      <c r="AQ9" s="4"/>
      <c r="AR9" s="4">
        <v>1</v>
      </c>
      <c r="AS9" s="4">
        <v>1</v>
      </c>
      <c r="AT9" s="4">
        <v>1</v>
      </c>
      <c r="AU9" s="4">
        <v>1</v>
      </c>
      <c r="AV9" s="12">
        <v>0</v>
      </c>
      <c r="AW9" s="4">
        <v>1</v>
      </c>
      <c r="AX9" s="4">
        <v>0</v>
      </c>
      <c r="AY9" s="4">
        <v>0</v>
      </c>
      <c r="AZ9" s="4">
        <v>0</v>
      </c>
      <c r="BA9" s="25" t="s">
        <v>370</v>
      </c>
      <c r="BB9" s="5">
        <v>1</v>
      </c>
      <c r="BC9" s="17" t="s">
        <v>109</v>
      </c>
      <c r="BD9" s="17" t="s">
        <v>110</v>
      </c>
      <c r="BE9" s="17" t="s">
        <v>110</v>
      </c>
      <c r="BF9" s="17" t="s">
        <v>379</v>
      </c>
      <c r="BG9" s="4" t="str">
        <f t="shared" si="0"/>
        <v>洞穴</v>
      </c>
      <c r="BH9" s="20">
        <v>2</v>
      </c>
      <c r="BI9" s="4">
        <v>2</v>
      </c>
      <c r="BJ9" s="4">
        <v>0</v>
      </c>
      <c r="BK9" s="4">
        <v>0</v>
      </c>
      <c r="BL9" s="4">
        <v>1234</v>
      </c>
      <c r="BM9" s="4">
        <v>1</v>
      </c>
      <c r="BN9" s="4">
        <v>1</v>
      </c>
      <c r="BO9" s="4">
        <v>0</v>
      </c>
      <c r="BP9" s="4">
        <v>0</v>
      </c>
      <c r="BQ9" s="4">
        <v>0</v>
      </c>
      <c r="BR9" s="4">
        <v>1</v>
      </c>
      <c r="BS9" s="4">
        <v>0</v>
      </c>
      <c r="BT9" s="4">
        <v>0</v>
      </c>
      <c r="BU9" s="4">
        <v>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3</v>
      </c>
      <c r="CF9" s="4">
        <v>0</v>
      </c>
      <c r="CG9" s="4">
        <v>0</v>
      </c>
      <c r="CH9" s="4">
        <v>1</v>
      </c>
      <c r="CI9" s="4">
        <v>1</v>
      </c>
      <c r="CJ9" s="4">
        <v>1</v>
      </c>
      <c r="CK9" s="4">
        <v>1</v>
      </c>
      <c r="CL9" s="4">
        <v>150</v>
      </c>
      <c r="CM9" s="4">
        <v>0</v>
      </c>
      <c r="CN9" s="4">
        <v>1</v>
      </c>
      <c r="CO9" s="4">
        <v>0</v>
      </c>
      <c r="CP9" s="4">
        <v>0</v>
      </c>
      <c r="CQ9" s="4">
        <v>0</v>
      </c>
      <c r="CR9" s="4" t="str">
        <f t="shared" si="1"/>
        <v>洞穴</v>
      </c>
      <c r="CS9" s="4">
        <v>0</v>
      </c>
      <c r="CT9" s="4">
        <v>2</v>
      </c>
      <c r="CU9" s="4">
        <v>20</v>
      </c>
      <c r="CV9" s="4">
        <v>604001</v>
      </c>
      <c r="CW9" s="25" t="s">
        <v>316</v>
      </c>
      <c r="CX9" s="4">
        <v>500</v>
      </c>
      <c r="CY9" s="4">
        <v>603001</v>
      </c>
      <c r="CZ9" s="4" t="s">
        <v>116</v>
      </c>
      <c r="DA9" s="4">
        <v>50</v>
      </c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</row>
    <row r="10" spans="1:119" x14ac:dyDescent="0.15">
      <c r="A10" s="4">
        <v>104013</v>
      </c>
      <c r="B10" s="28" t="s">
        <v>449</v>
      </c>
      <c r="C10" s="47" t="s">
        <v>665</v>
      </c>
      <c r="D10" s="26" t="s">
        <v>651</v>
      </c>
      <c r="E10" s="26">
        <v>0</v>
      </c>
      <c r="F10" s="5">
        <v>0</v>
      </c>
      <c r="G10" s="26">
        <v>1</v>
      </c>
      <c r="H10" s="4">
        <v>1</v>
      </c>
      <c r="I10" s="5">
        <v>0</v>
      </c>
      <c r="J10" s="26"/>
      <c r="K10" s="26" t="s">
        <v>518</v>
      </c>
      <c r="L10" s="26"/>
      <c r="M10" s="8">
        <v>1</v>
      </c>
      <c r="N10" s="4" t="s">
        <v>172</v>
      </c>
      <c r="O10" s="25">
        <v>0</v>
      </c>
      <c r="P10" s="25">
        <v>0</v>
      </c>
      <c r="Q10" s="25">
        <v>0</v>
      </c>
      <c r="R10" s="4">
        <v>1</v>
      </c>
      <c r="S10" s="4">
        <v>0</v>
      </c>
      <c r="T10" s="4">
        <v>0</v>
      </c>
      <c r="U10" s="4">
        <v>0</v>
      </c>
      <c r="V10" s="5">
        <v>0</v>
      </c>
      <c r="W10" s="5">
        <v>0</v>
      </c>
      <c r="X10" s="5">
        <v>1</v>
      </c>
      <c r="Y10" s="28" t="s">
        <v>449</v>
      </c>
      <c r="Z10" s="5">
        <v>0</v>
      </c>
      <c r="AA10" s="5">
        <v>0</v>
      </c>
      <c r="AB10" s="5">
        <v>1</v>
      </c>
      <c r="AC10" s="5">
        <v>2</v>
      </c>
      <c r="AD10" s="5">
        <v>0</v>
      </c>
      <c r="AE10" s="3">
        <v>1</v>
      </c>
      <c r="AF10" s="5">
        <v>0</v>
      </c>
      <c r="AG10" s="4">
        <v>0</v>
      </c>
      <c r="AH10" s="25">
        <v>0</v>
      </c>
      <c r="AI10" s="26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4">
        <v>1</v>
      </c>
      <c r="AQ10" s="4"/>
      <c r="AR10" s="4">
        <v>0</v>
      </c>
      <c r="AS10" s="4">
        <v>0</v>
      </c>
      <c r="AT10" s="4">
        <v>0</v>
      </c>
      <c r="AU10" s="4">
        <v>0</v>
      </c>
      <c r="AV10" s="12">
        <v>0</v>
      </c>
      <c r="AW10" s="4">
        <v>1</v>
      </c>
      <c r="AX10" s="4">
        <v>0</v>
      </c>
      <c r="AY10" s="4">
        <v>0</v>
      </c>
      <c r="AZ10" s="4">
        <v>0</v>
      </c>
      <c r="BA10" s="25" t="s">
        <v>578</v>
      </c>
      <c r="BB10" s="5">
        <v>1</v>
      </c>
      <c r="BC10" s="30" t="s">
        <v>583</v>
      </c>
      <c r="BD10" s="17" t="s">
        <v>110</v>
      </c>
      <c r="BE10" s="17" t="s">
        <v>110</v>
      </c>
      <c r="BF10" s="17" t="s">
        <v>379</v>
      </c>
      <c r="BG10" s="4" t="str">
        <f>B10</f>
        <v>火盆</v>
      </c>
      <c r="BH10" s="20">
        <v>1</v>
      </c>
      <c r="BI10" s="4">
        <v>1</v>
      </c>
      <c r="BJ10" s="4">
        <v>0</v>
      </c>
      <c r="BK10" s="4">
        <v>0</v>
      </c>
      <c r="BL10" s="4">
        <v>1234</v>
      </c>
      <c r="BM10" s="4">
        <v>1</v>
      </c>
      <c r="BN10" s="4">
        <v>1</v>
      </c>
      <c r="BO10" s="4">
        <v>0</v>
      </c>
      <c r="BP10" s="4">
        <v>0</v>
      </c>
      <c r="BQ10" s="4">
        <v>0</v>
      </c>
      <c r="BR10" s="4">
        <v>1</v>
      </c>
      <c r="BS10" s="4">
        <v>0</v>
      </c>
      <c r="BT10" s="4">
        <v>0</v>
      </c>
      <c r="BU10" s="4">
        <v>1</v>
      </c>
      <c r="BV10" s="4">
        <v>0</v>
      </c>
      <c r="BW10" s="4">
        <v>0</v>
      </c>
      <c r="BX10" s="4">
        <v>0</v>
      </c>
      <c r="BY10" s="4">
        <v>0</v>
      </c>
      <c r="BZ10" s="4">
        <v>1</v>
      </c>
      <c r="CA10" s="4">
        <v>0</v>
      </c>
      <c r="CB10" s="4">
        <v>1</v>
      </c>
      <c r="CC10" s="4">
        <v>40</v>
      </c>
      <c r="CD10" s="4">
        <v>0</v>
      </c>
      <c r="CE10" s="4">
        <v>4</v>
      </c>
      <c r="CF10" s="4">
        <v>0</v>
      </c>
      <c r="CG10" s="4">
        <v>0</v>
      </c>
      <c r="CH10" s="4">
        <v>1</v>
      </c>
      <c r="CI10" s="4">
        <v>1</v>
      </c>
      <c r="CJ10" s="4">
        <v>1</v>
      </c>
      <c r="CK10" s="4">
        <v>1</v>
      </c>
      <c r="CL10" s="4">
        <v>100</v>
      </c>
      <c r="CM10" s="4">
        <v>0</v>
      </c>
      <c r="CN10" s="4">
        <v>1</v>
      </c>
      <c r="CO10" s="4">
        <v>0</v>
      </c>
      <c r="CP10" s="4">
        <v>0</v>
      </c>
      <c r="CQ10" s="4">
        <v>0</v>
      </c>
      <c r="CR10" s="4" t="str">
        <f>B10</f>
        <v>火盆</v>
      </c>
      <c r="CS10" s="4">
        <v>0</v>
      </c>
      <c r="CT10" s="4">
        <v>2</v>
      </c>
      <c r="CU10" s="4">
        <v>20</v>
      </c>
      <c r="CV10" s="4">
        <v>604001</v>
      </c>
      <c r="CW10" s="4" t="s">
        <v>113</v>
      </c>
      <c r="CX10" s="4">
        <v>30</v>
      </c>
      <c r="CY10" s="4">
        <v>603001</v>
      </c>
      <c r="CZ10" s="4" t="s">
        <v>116</v>
      </c>
      <c r="DA10" s="4">
        <v>3</v>
      </c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 t="s">
        <v>173</v>
      </c>
      <c r="DO10" s="4"/>
    </row>
    <row r="11" spans="1:119" x14ac:dyDescent="0.15">
      <c r="A11" s="4">
        <v>104012</v>
      </c>
      <c r="B11" s="28" t="s">
        <v>448</v>
      </c>
      <c r="C11" s="47" t="s">
        <v>665</v>
      </c>
      <c r="D11" s="26" t="s">
        <v>650</v>
      </c>
      <c r="E11" s="26">
        <v>0</v>
      </c>
      <c r="F11" s="5">
        <v>0</v>
      </c>
      <c r="G11" s="26">
        <v>1</v>
      </c>
      <c r="H11" s="4">
        <v>1</v>
      </c>
      <c r="I11" s="5">
        <v>0</v>
      </c>
      <c r="J11" s="26"/>
      <c r="K11" s="26" t="s">
        <v>523</v>
      </c>
      <c r="L11" s="26"/>
      <c r="M11" s="8">
        <v>1</v>
      </c>
      <c r="N11" s="4" t="s">
        <v>171</v>
      </c>
      <c r="O11" s="25">
        <v>1</v>
      </c>
      <c r="P11" s="25">
        <v>0</v>
      </c>
      <c r="Q11" s="25">
        <v>0</v>
      </c>
      <c r="R11" s="4">
        <v>1</v>
      </c>
      <c r="S11" s="4">
        <v>0</v>
      </c>
      <c r="T11" s="4">
        <v>0</v>
      </c>
      <c r="U11" s="4">
        <v>0</v>
      </c>
      <c r="V11" s="5">
        <v>1</v>
      </c>
      <c r="W11" s="5">
        <v>0</v>
      </c>
      <c r="X11" s="5">
        <v>1</v>
      </c>
      <c r="Y11" s="28" t="s">
        <v>448</v>
      </c>
      <c r="Z11" s="5">
        <v>0</v>
      </c>
      <c r="AA11" s="5">
        <v>0</v>
      </c>
      <c r="AB11" s="5">
        <v>1</v>
      </c>
      <c r="AC11" s="5">
        <v>2</v>
      </c>
      <c r="AD11" s="5">
        <v>0</v>
      </c>
      <c r="AE11" s="3">
        <v>0</v>
      </c>
      <c r="AF11" s="5">
        <v>0</v>
      </c>
      <c r="AG11" s="4">
        <v>0</v>
      </c>
      <c r="AH11" s="25">
        <v>0</v>
      </c>
      <c r="AI11" s="26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4">
        <v>1</v>
      </c>
      <c r="AQ11" s="4"/>
      <c r="AR11" s="4">
        <v>0</v>
      </c>
      <c r="AS11" s="4">
        <v>0</v>
      </c>
      <c r="AT11" s="4">
        <v>0</v>
      </c>
      <c r="AU11" s="4">
        <v>0</v>
      </c>
      <c r="AV11" s="12">
        <v>0</v>
      </c>
      <c r="AW11" s="4">
        <v>1</v>
      </c>
      <c r="AX11" s="4">
        <v>0</v>
      </c>
      <c r="AY11" s="4">
        <v>0</v>
      </c>
      <c r="AZ11" s="4">
        <v>0</v>
      </c>
      <c r="BA11" s="4" t="s">
        <v>354</v>
      </c>
      <c r="BB11" s="5">
        <v>1</v>
      </c>
      <c r="BC11" s="17" t="s">
        <v>109</v>
      </c>
      <c r="BD11" s="17" t="s">
        <v>110</v>
      </c>
      <c r="BE11" s="17" t="s">
        <v>110</v>
      </c>
      <c r="BF11" s="17" t="s">
        <v>379</v>
      </c>
      <c r="BG11" s="4" t="str">
        <f>B11</f>
        <v>火把</v>
      </c>
      <c r="BH11" s="20">
        <v>1</v>
      </c>
      <c r="BI11" s="4">
        <v>1</v>
      </c>
      <c r="BJ11" s="4">
        <v>0</v>
      </c>
      <c r="BK11" s="4">
        <v>0</v>
      </c>
      <c r="BL11" s="4">
        <v>0</v>
      </c>
      <c r="BM11" s="4">
        <v>1</v>
      </c>
      <c r="BN11" s="4">
        <v>1</v>
      </c>
      <c r="BO11" s="4">
        <v>0</v>
      </c>
      <c r="BP11" s="4">
        <v>0</v>
      </c>
      <c r="BQ11" s="4">
        <v>0</v>
      </c>
      <c r="BR11" s="4">
        <v>1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1</v>
      </c>
      <c r="CA11" s="4">
        <v>0</v>
      </c>
      <c r="CB11" s="4">
        <v>1</v>
      </c>
      <c r="CC11" s="4">
        <v>4</v>
      </c>
      <c r="CD11" s="4">
        <v>0</v>
      </c>
      <c r="CE11" s="4">
        <v>4</v>
      </c>
      <c r="CF11" s="4">
        <v>0</v>
      </c>
      <c r="CG11" s="4">
        <v>0</v>
      </c>
      <c r="CH11" s="4">
        <v>1</v>
      </c>
      <c r="CI11" s="4">
        <v>1</v>
      </c>
      <c r="CJ11" s="4">
        <v>1</v>
      </c>
      <c r="CK11" s="4">
        <v>1</v>
      </c>
      <c r="CL11" s="4">
        <v>100</v>
      </c>
      <c r="CM11" s="4">
        <v>0</v>
      </c>
      <c r="CN11" s="4">
        <v>1</v>
      </c>
      <c r="CO11" s="4">
        <v>0</v>
      </c>
      <c r="CP11" s="4">
        <v>0</v>
      </c>
      <c r="CQ11" s="4">
        <v>0</v>
      </c>
      <c r="CR11" s="4" t="str">
        <f>B11</f>
        <v>火把</v>
      </c>
      <c r="CS11" s="4">
        <v>0</v>
      </c>
      <c r="CT11" s="4">
        <v>1</v>
      </c>
      <c r="CU11" s="4">
        <v>10</v>
      </c>
      <c r="CV11" s="4">
        <v>604001</v>
      </c>
      <c r="CW11" s="4" t="s">
        <v>113</v>
      </c>
      <c r="CX11" s="4">
        <v>10</v>
      </c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</row>
    <row r="12" spans="1:119" x14ac:dyDescent="0.15">
      <c r="A12" s="4">
        <v>104014</v>
      </c>
      <c r="B12" s="28" t="s">
        <v>450</v>
      </c>
      <c r="C12" s="47" t="s">
        <v>665</v>
      </c>
      <c r="D12" s="26" t="s">
        <v>652</v>
      </c>
      <c r="E12" s="26">
        <v>0</v>
      </c>
      <c r="F12" s="5">
        <v>0</v>
      </c>
      <c r="G12" s="26">
        <v>1</v>
      </c>
      <c r="H12" s="4">
        <v>1</v>
      </c>
      <c r="I12" s="5">
        <v>0</v>
      </c>
      <c r="J12" s="26"/>
      <c r="K12" s="26" t="s">
        <v>524</v>
      </c>
      <c r="L12" s="26"/>
      <c r="M12" s="8">
        <v>1</v>
      </c>
      <c r="N12" s="25" t="s">
        <v>521</v>
      </c>
      <c r="O12" s="25">
        <v>0</v>
      </c>
      <c r="P12" s="25">
        <v>0</v>
      </c>
      <c r="Q12" s="25">
        <v>0</v>
      </c>
      <c r="R12" s="4">
        <v>1</v>
      </c>
      <c r="S12" s="4">
        <v>0</v>
      </c>
      <c r="T12" s="4">
        <v>0</v>
      </c>
      <c r="U12" s="4">
        <v>0</v>
      </c>
      <c r="V12" s="5">
        <v>1</v>
      </c>
      <c r="W12" s="5">
        <v>0</v>
      </c>
      <c r="X12" s="5">
        <v>1</v>
      </c>
      <c r="Y12" s="28" t="s">
        <v>450</v>
      </c>
      <c r="Z12" s="5">
        <v>0</v>
      </c>
      <c r="AA12" s="5">
        <v>0</v>
      </c>
      <c r="AB12" s="5">
        <v>1</v>
      </c>
      <c r="AC12" s="5">
        <v>2</v>
      </c>
      <c r="AD12" s="5">
        <v>0</v>
      </c>
      <c r="AE12" s="3">
        <v>1</v>
      </c>
      <c r="AF12" s="5">
        <v>0</v>
      </c>
      <c r="AG12" s="4">
        <v>0</v>
      </c>
      <c r="AH12" s="25">
        <v>0</v>
      </c>
      <c r="AI12" s="26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4">
        <v>1</v>
      </c>
      <c r="AQ12" s="4"/>
      <c r="AR12" s="4">
        <v>0</v>
      </c>
      <c r="AS12" s="4">
        <v>0</v>
      </c>
      <c r="AT12" s="4">
        <v>0</v>
      </c>
      <c r="AU12" s="4">
        <v>0</v>
      </c>
      <c r="AV12" s="12">
        <v>0</v>
      </c>
      <c r="AW12" s="4">
        <v>1</v>
      </c>
      <c r="AX12" s="4">
        <v>0</v>
      </c>
      <c r="AY12" s="4">
        <v>0</v>
      </c>
      <c r="AZ12" s="4">
        <v>0</v>
      </c>
      <c r="BA12" s="25" t="s">
        <v>578</v>
      </c>
      <c r="BB12" s="5">
        <v>1</v>
      </c>
      <c r="BC12" s="17" t="s">
        <v>109</v>
      </c>
      <c r="BD12" s="17" t="s">
        <v>110</v>
      </c>
      <c r="BE12" s="17" t="s">
        <v>110</v>
      </c>
      <c r="BF12" s="17" t="s">
        <v>379</v>
      </c>
      <c r="BG12" s="4" t="str">
        <f>B12</f>
        <v>壁炉</v>
      </c>
      <c r="BH12" s="20">
        <v>2</v>
      </c>
      <c r="BI12" s="4">
        <v>2</v>
      </c>
      <c r="BJ12" s="4">
        <v>0</v>
      </c>
      <c r="BK12" s="4">
        <v>0</v>
      </c>
      <c r="BL12" s="4">
        <v>1234</v>
      </c>
      <c r="BM12" s="4">
        <v>1</v>
      </c>
      <c r="BN12" s="4">
        <v>1</v>
      </c>
      <c r="BO12" s="4">
        <v>0</v>
      </c>
      <c r="BP12" s="4">
        <v>0</v>
      </c>
      <c r="BQ12" s="4">
        <v>0</v>
      </c>
      <c r="BR12" s="4">
        <v>1</v>
      </c>
      <c r="BS12" s="4">
        <v>0</v>
      </c>
      <c r="BT12" s="4">
        <v>0</v>
      </c>
      <c r="BU12" s="4">
        <v>1</v>
      </c>
      <c r="BV12" s="4">
        <v>0</v>
      </c>
      <c r="BW12" s="4">
        <v>0</v>
      </c>
      <c r="BX12" s="4">
        <v>0</v>
      </c>
      <c r="BY12" s="4">
        <v>0</v>
      </c>
      <c r="BZ12" s="4">
        <v>1</v>
      </c>
      <c r="CA12" s="4">
        <v>0</v>
      </c>
      <c r="CB12" s="4">
        <v>1</v>
      </c>
      <c r="CC12" s="4">
        <v>216</v>
      </c>
      <c r="CD12" s="4">
        <v>0</v>
      </c>
      <c r="CE12" s="4">
        <v>4</v>
      </c>
      <c r="CF12" s="4">
        <v>0</v>
      </c>
      <c r="CG12" s="4">
        <v>0</v>
      </c>
      <c r="CH12" s="4">
        <v>1</v>
      </c>
      <c r="CI12" s="4">
        <v>1</v>
      </c>
      <c r="CJ12" s="4">
        <v>1</v>
      </c>
      <c r="CK12" s="4">
        <v>1</v>
      </c>
      <c r="CL12" s="4">
        <v>100</v>
      </c>
      <c r="CM12" s="4">
        <v>0</v>
      </c>
      <c r="CN12" s="4">
        <v>1</v>
      </c>
      <c r="CO12" s="4">
        <v>0</v>
      </c>
      <c r="CP12" s="4">
        <v>0</v>
      </c>
      <c r="CQ12" s="4">
        <v>0</v>
      </c>
      <c r="CR12" s="4" t="str">
        <f>B12</f>
        <v>壁炉</v>
      </c>
      <c r="CS12" s="4">
        <v>0</v>
      </c>
      <c r="CT12" s="4">
        <v>4</v>
      </c>
      <c r="CU12" s="4">
        <v>10</v>
      </c>
      <c r="CV12" s="4">
        <v>604001</v>
      </c>
      <c r="CW12" s="4" t="s">
        <v>113</v>
      </c>
      <c r="CX12" s="4">
        <v>50</v>
      </c>
      <c r="CY12" s="4">
        <v>603001</v>
      </c>
      <c r="CZ12" s="4" t="s">
        <v>116</v>
      </c>
      <c r="DA12" s="4">
        <v>10</v>
      </c>
      <c r="DB12" s="4">
        <v>605001</v>
      </c>
      <c r="DC12" s="4" t="s">
        <v>122</v>
      </c>
      <c r="DD12" s="4">
        <v>100</v>
      </c>
      <c r="DE12" s="4"/>
      <c r="DF12" s="4"/>
      <c r="DG12" s="4"/>
      <c r="DH12" s="4"/>
      <c r="DI12" s="4"/>
      <c r="DJ12" s="4"/>
      <c r="DK12" s="4"/>
      <c r="DL12" s="4"/>
      <c r="DM12" s="4"/>
      <c r="DN12" s="4" t="s">
        <v>173</v>
      </c>
      <c r="DO12" s="4"/>
    </row>
    <row r="13" spans="1:119" x14ac:dyDescent="0.15">
      <c r="A13" s="4">
        <v>102001</v>
      </c>
      <c r="B13" s="28" t="s">
        <v>315</v>
      </c>
      <c r="C13" s="47" t="s">
        <v>110</v>
      </c>
      <c r="D13" s="26"/>
      <c r="E13" s="26">
        <v>0</v>
      </c>
      <c r="F13" s="5">
        <v>0</v>
      </c>
      <c r="G13" s="26">
        <v>1</v>
      </c>
      <c r="H13" s="4">
        <v>7</v>
      </c>
      <c r="I13" s="5">
        <v>0</v>
      </c>
      <c r="J13" s="26"/>
      <c r="K13" s="26"/>
      <c r="L13" s="26"/>
      <c r="M13" s="8">
        <v>0</v>
      </c>
      <c r="N13" s="4" t="s">
        <v>120</v>
      </c>
      <c r="O13" s="25">
        <v>0</v>
      </c>
      <c r="P13" s="25">
        <v>0</v>
      </c>
      <c r="Q13" s="25">
        <v>0</v>
      </c>
      <c r="R13" s="4">
        <v>0</v>
      </c>
      <c r="S13" s="4">
        <v>0</v>
      </c>
      <c r="T13" s="4">
        <v>0</v>
      </c>
      <c r="U13" s="4">
        <v>0</v>
      </c>
      <c r="V13" s="5">
        <v>1</v>
      </c>
      <c r="W13" s="5">
        <v>0</v>
      </c>
      <c r="X13" s="5">
        <v>1</v>
      </c>
      <c r="Y13" s="28" t="s">
        <v>315</v>
      </c>
      <c r="Z13" s="5">
        <v>0</v>
      </c>
      <c r="AA13" s="5">
        <v>0</v>
      </c>
      <c r="AB13" s="5">
        <v>1</v>
      </c>
      <c r="AC13" s="5">
        <v>0</v>
      </c>
      <c r="AD13" s="5">
        <v>0</v>
      </c>
      <c r="AE13" s="3">
        <v>0</v>
      </c>
      <c r="AF13" s="5">
        <v>0</v>
      </c>
      <c r="AG13" s="4">
        <v>0</v>
      </c>
      <c r="AH13" s="25">
        <v>0</v>
      </c>
      <c r="AI13" s="26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4">
        <v>0</v>
      </c>
      <c r="AQ13" s="4"/>
      <c r="AR13" s="4">
        <v>0</v>
      </c>
      <c r="AS13" s="4">
        <v>0</v>
      </c>
      <c r="AT13" s="4">
        <v>0</v>
      </c>
      <c r="AU13" s="4">
        <v>0</v>
      </c>
      <c r="AV13" s="12">
        <v>0</v>
      </c>
      <c r="AW13" s="4">
        <v>0</v>
      </c>
      <c r="AX13" s="4">
        <v>0</v>
      </c>
      <c r="AY13" s="4">
        <v>0</v>
      </c>
      <c r="AZ13" s="4">
        <v>0</v>
      </c>
      <c r="BA13" s="4" t="s">
        <v>121</v>
      </c>
      <c r="BB13" s="5">
        <v>0</v>
      </c>
      <c r="BC13" s="17" t="s">
        <v>109</v>
      </c>
      <c r="BD13" s="17" t="s">
        <v>110</v>
      </c>
      <c r="BE13" s="17" t="s">
        <v>110</v>
      </c>
      <c r="BF13" s="17" t="s">
        <v>379</v>
      </c>
      <c r="BG13" s="4" t="str">
        <f t="shared" si="0"/>
        <v>土路</v>
      </c>
      <c r="BH13" s="20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1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3</v>
      </c>
      <c r="CF13" s="4">
        <v>0</v>
      </c>
      <c r="CG13" s="4">
        <v>0</v>
      </c>
      <c r="CH13" s="4">
        <v>1</v>
      </c>
      <c r="CI13" s="4">
        <v>1</v>
      </c>
      <c r="CJ13" s="4">
        <v>1</v>
      </c>
      <c r="CK13" s="4">
        <v>1</v>
      </c>
      <c r="CL13" s="4">
        <v>10</v>
      </c>
      <c r="CM13" s="4">
        <v>0</v>
      </c>
      <c r="CN13" s="4">
        <v>1</v>
      </c>
      <c r="CO13" s="4">
        <v>0</v>
      </c>
      <c r="CP13" s="4">
        <v>0</v>
      </c>
      <c r="CQ13" s="4">
        <v>0</v>
      </c>
      <c r="CR13" s="4" t="str">
        <f t="shared" si="1"/>
        <v>土路</v>
      </c>
      <c r="CS13" s="4">
        <v>0</v>
      </c>
      <c r="CT13" s="4">
        <v>1</v>
      </c>
      <c r="CU13" s="4">
        <v>1</v>
      </c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25" t="s">
        <v>714</v>
      </c>
    </row>
    <row r="14" spans="1:119" x14ac:dyDescent="0.15">
      <c r="A14" s="4">
        <v>102002</v>
      </c>
      <c r="B14" s="28" t="s">
        <v>439</v>
      </c>
      <c r="C14" s="47" t="s">
        <v>110</v>
      </c>
      <c r="D14" s="26"/>
      <c r="E14" s="26">
        <v>0</v>
      </c>
      <c r="F14" s="5">
        <v>0</v>
      </c>
      <c r="G14" s="26">
        <v>1</v>
      </c>
      <c r="H14" s="4">
        <v>7</v>
      </c>
      <c r="I14" s="5">
        <v>0</v>
      </c>
      <c r="J14" s="26"/>
      <c r="K14" s="26"/>
      <c r="L14" s="26"/>
      <c r="M14" s="8">
        <v>0</v>
      </c>
      <c r="N14" s="4" t="s">
        <v>120</v>
      </c>
      <c r="O14" s="25">
        <v>0</v>
      </c>
      <c r="P14" s="25">
        <v>0</v>
      </c>
      <c r="Q14" s="25">
        <v>0</v>
      </c>
      <c r="R14" s="4">
        <v>0</v>
      </c>
      <c r="S14" s="4">
        <v>0</v>
      </c>
      <c r="T14" s="4">
        <v>0</v>
      </c>
      <c r="U14" s="4">
        <v>0</v>
      </c>
      <c r="V14" s="5">
        <v>1</v>
      </c>
      <c r="W14" s="5">
        <v>0</v>
      </c>
      <c r="X14" s="5">
        <v>1</v>
      </c>
      <c r="Y14" s="28" t="s">
        <v>439</v>
      </c>
      <c r="Z14" s="5">
        <v>0</v>
      </c>
      <c r="AA14" s="5">
        <v>0</v>
      </c>
      <c r="AB14" s="5">
        <v>1</v>
      </c>
      <c r="AC14" s="5">
        <v>0</v>
      </c>
      <c r="AD14" s="5">
        <v>0</v>
      </c>
      <c r="AE14" s="3">
        <v>0</v>
      </c>
      <c r="AF14" s="5">
        <v>0</v>
      </c>
      <c r="AG14" s="4">
        <v>0</v>
      </c>
      <c r="AH14" s="25">
        <v>0</v>
      </c>
      <c r="AI14" s="26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4">
        <v>0</v>
      </c>
      <c r="AQ14" s="4"/>
      <c r="AR14" s="4">
        <v>0</v>
      </c>
      <c r="AS14" s="4">
        <v>0</v>
      </c>
      <c r="AT14" s="4">
        <v>0</v>
      </c>
      <c r="AU14" s="4">
        <v>0</v>
      </c>
      <c r="AV14" s="12">
        <v>0</v>
      </c>
      <c r="AW14" s="4">
        <v>0</v>
      </c>
      <c r="AX14" s="4">
        <v>0</v>
      </c>
      <c r="AY14" s="4">
        <v>0</v>
      </c>
      <c r="AZ14" s="4">
        <v>0</v>
      </c>
      <c r="BA14" s="4" t="s">
        <v>121</v>
      </c>
      <c r="BB14" s="5">
        <v>0</v>
      </c>
      <c r="BC14" s="17" t="s">
        <v>109</v>
      </c>
      <c r="BD14" s="17" t="s">
        <v>110</v>
      </c>
      <c r="BE14" s="17" t="s">
        <v>110</v>
      </c>
      <c r="BF14" s="17" t="s">
        <v>379</v>
      </c>
      <c r="BG14" s="4" t="str">
        <f t="shared" si="0"/>
        <v>石板路</v>
      </c>
      <c r="BH14" s="20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1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3</v>
      </c>
      <c r="CF14" s="4">
        <v>0</v>
      </c>
      <c r="CG14" s="4">
        <v>0</v>
      </c>
      <c r="CH14" s="4">
        <v>1</v>
      </c>
      <c r="CI14" s="4">
        <v>1</v>
      </c>
      <c r="CJ14" s="4">
        <v>1</v>
      </c>
      <c r="CK14" s="4">
        <v>1</v>
      </c>
      <c r="CL14" s="4">
        <v>10</v>
      </c>
      <c r="CM14" s="4">
        <v>0</v>
      </c>
      <c r="CN14" s="4">
        <v>1</v>
      </c>
      <c r="CO14" s="4">
        <v>0</v>
      </c>
      <c r="CP14" s="4">
        <v>0</v>
      </c>
      <c r="CQ14" s="4">
        <v>0</v>
      </c>
      <c r="CR14" s="4" t="str">
        <f t="shared" si="1"/>
        <v>石板路</v>
      </c>
      <c r="CS14" s="4">
        <v>0</v>
      </c>
      <c r="CT14" s="4">
        <v>1</v>
      </c>
      <c r="CU14" s="4">
        <v>2</v>
      </c>
      <c r="CV14" s="4">
        <v>605001</v>
      </c>
      <c r="CW14" s="4" t="s">
        <v>122</v>
      </c>
      <c r="CX14" s="4">
        <v>10</v>
      </c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25" t="s">
        <v>714</v>
      </c>
    </row>
    <row r="15" spans="1:119" x14ac:dyDescent="0.15">
      <c r="A15" s="4">
        <v>113001</v>
      </c>
      <c r="B15" s="39" t="s">
        <v>550</v>
      </c>
      <c r="C15" s="47" t="s">
        <v>665</v>
      </c>
      <c r="D15" s="26" t="s">
        <v>653</v>
      </c>
      <c r="E15" s="26">
        <v>0</v>
      </c>
      <c r="F15" s="5">
        <v>0</v>
      </c>
      <c r="G15" s="26">
        <v>1</v>
      </c>
      <c r="H15" s="4">
        <v>7</v>
      </c>
      <c r="I15" s="5">
        <v>0</v>
      </c>
      <c r="J15" s="41" t="s">
        <v>569</v>
      </c>
      <c r="K15" s="26"/>
      <c r="L15" s="26"/>
      <c r="M15" s="8">
        <v>0</v>
      </c>
      <c r="N15" s="25" t="s">
        <v>544</v>
      </c>
      <c r="O15" s="25">
        <v>0</v>
      </c>
      <c r="P15" s="25">
        <v>0</v>
      </c>
      <c r="Q15" s="25">
        <v>0</v>
      </c>
      <c r="R15" s="4">
        <v>0</v>
      </c>
      <c r="S15" s="4">
        <v>0</v>
      </c>
      <c r="T15" s="4">
        <v>0</v>
      </c>
      <c r="U15" s="4">
        <v>0</v>
      </c>
      <c r="V15" s="5">
        <v>1</v>
      </c>
      <c r="W15" s="5">
        <v>0</v>
      </c>
      <c r="X15" s="5">
        <v>1</v>
      </c>
      <c r="Y15" s="39" t="s">
        <v>550</v>
      </c>
      <c r="Z15" s="5">
        <v>0</v>
      </c>
      <c r="AA15" s="5">
        <v>0</v>
      </c>
      <c r="AB15" s="5">
        <v>1</v>
      </c>
      <c r="AC15" s="5">
        <v>0</v>
      </c>
      <c r="AD15" s="5">
        <v>0</v>
      </c>
      <c r="AE15" s="3">
        <v>0</v>
      </c>
      <c r="AF15" s="5">
        <v>0</v>
      </c>
      <c r="AG15" s="4">
        <v>0</v>
      </c>
      <c r="AH15" s="25">
        <v>0</v>
      </c>
      <c r="AI15" s="26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4">
        <v>0</v>
      </c>
      <c r="AQ15" s="4"/>
      <c r="AR15" s="4">
        <v>0</v>
      </c>
      <c r="AS15" s="4">
        <v>0</v>
      </c>
      <c r="AT15" s="4">
        <v>0</v>
      </c>
      <c r="AU15" s="4">
        <v>0</v>
      </c>
      <c r="AV15" s="12">
        <v>0</v>
      </c>
      <c r="AW15" s="4">
        <v>0</v>
      </c>
      <c r="AX15" s="4">
        <v>0</v>
      </c>
      <c r="AY15" s="4">
        <v>0</v>
      </c>
      <c r="AZ15" s="4">
        <v>0</v>
      </c>
      <c r="BA15" s="4" t="s">
        <v>108</v>
      </c>
      <c r="BB15" s="5">
        <v>0</v>
      </c>
      <c r="BC15" s="17" t="s">
        <v>109</v>
      </c>
      <c r="BD15" s="17" t="s">
        <v>110</v>
      </c>
      <c r="BE15" s="17" t="s">
        <v>110</v>
      </c>
      <c r="BF15" s="17" t="s">
        <v>309</v>
      </c>
      <c r="BG15" s="4" t="str">
        <f t="shared" ref="BG15" si="2">B15</f>
        <v>地板</v>
      </c>
      <c r="BH15" s="20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3</v>
      </c>
      <c r="CF15" s="4">
        <v>0</v>
      </c>
      <c r="CG15" s="4">
        <v>0</v>
      </c>
      <c r="CH15" s="4">
        <v>1</v>
      </c>
      <c r="CI15" s="4">
        <v>1</v>
      </c>
      <c r="CJ15" s="4">
        <v>1</v>
      </c>
      <c r="CK15" s="4">
        <v>1</v>
      </c>
      <c r="CL15" s="4">
        <v>10</v>
      </c>
      <c r="CM15" s="4">
        <v>0</v>
      </c>
      <c r="CN15" s="4">
        <v>1</v>
      </c>
      <c r="CO15" s="4">
        <v>0</v>
      </c>
      <c r="CP15" s="4">
        <v>0</v>
      </c>
      <c r="CQ15" s="4">
        <v>0</v>
      </c>
      <c r="CR15" s="4" t="str">
        <f>B15</f>
        <v>地板</v>
      </c>
      <c r="CS15" s="4">
        <v>0</v>
      </c>
      <c r="CT15" s="4">
        <v>1</v>
      </c>
      <c r="CU15" s="4">
        <v>1</v>
      </c>
      <c r="CV15" s="4">
        <v>604001</v>
      </c>
      <c r="CW15" s="4" t="s">
        <v>113</v>
      </c>
      <c r="CX15" s="4">
        <v>1</v>
      </c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25" t="s">
        <v>715</v>
      </c>
    </row>
    <row r="16" spans="1:119" x14ac:dyDescent="0.15">
      <c r="A16" s="4">
        <v>102003</v>
      </c>
      <c r="B16" s="28" t="s">
        <v>440</v>
      </c>
      <c r="C16" s="47" t="s">
        <v>110</v>
      </c>
      <c r="D16" s="26"/>
      <c r="E16" s="26">
        <v>0</v>
      </c>
      <c r="F16" s="5">
        <v>0</v>
      </c>
      <c r="G16" s="26">
        <v>1</v>
      </c>
      <c r="H16" s="4">
        <v>7</v>
      </c>
      <c r="I16" s="5">
        <v>0</v>
      </c>
      <c r="J16" s="26"/>
      <c r="K16" s="26"/>
      <c r="L16" s="26"/>
      <c r="M16" s="8">
        <v>0</v>
      </c>
      <c r="N16" s="4" t="s">
        <v>123</v>
      </c>
      <c r="O16" s="25">
        <v>0</v>
      </c>
      <c r="P16" s="25">
        <v>0</v>
      </c>
      <c r="Q16" s="25">
        <v>0</v>
      </c>
      <c r="R16" s="4">
        <v>1</v>
      </c>
      <c r="S16" s="4">
        <v>1</v>
      </c>
      <c r="T16" s="4">
        <v>0</v>
      </c>
      <c r="U16" s="4">
        <v>0</v>
      </c>
      <c r="V16" s="5">
        <v>1</v>
      </c>
      <c r="W16" s="5">
        <v>0</v>
      </c>
      <c r="X16" s="5">
        <v>1</v>
      </c>
      <c r="Y16" s="28" t="s">
        <v>440</v>
      </c>
      <c r="Z16" s="5">
        <v>0</v>
      </c>
      <c r="AA16" s="5">
        <v>0</v>
      </c>
      <c r="AB16" s="5">
        <v>1</v>
      </c>
      <c r="AC16" s="5">
        <v>0</v>
      </c>
      <c r="AD16" s="5">
        <v>0</v>
      </c>
      <c r="AE16" s="3">
        <v>0</v>
      </c>
      <c r="AF16" s="5">
        <v>0</v>
      </c>
      <c r="AG16" s="4">
        <v>0</v>
      </c>
      <c r="AH16" s="25">
        <v>0</v>
      </c>
      <c r="AI16" s="26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4">
        <v>1</v>
      </c>
      <c r="AQ16" s="4"/>
      <c r="AR16" s="4">
        <v>1</v>
      </c>
      <c r="AS16" s="4">
        <v>0</v>
      </c>
      <c r="AT16" s="4">
        <v>0</v>
      </c>
      <c r="AU16" s="4">
        <v>0</v>
      </c>
      <c r="AV16" s="12">
        <v>0</v>
      </c>
      <c r="AW16" s="4">
        <v>0</v>
      </c>
      <c r="AX16" s="4">
        <v>0</v>
      </c>
      <c r="AY16" s="4">
        <v>0</v>
      </c>
      <c r="AZ16" s="4">
        <v>0</v>
      </c>
      <c r="BA16" s="4" t="s">
        <v>124</v>
      </c>
      <c r="BB16" s="5">
        <v>1</v>
      </c>
      <c r="BC16" s="17" t="s">
        <v>109</v>
      </c>
      <c r="BD16" s="17" t="s">
        <v>110</v>
      </c>
      <c r="BE16" s="17" t="s">
        <v>110</v>
      </c>
      <c r="BF16" s="17" t="s">
        <v>379</v>
      </c>
      <c r="BG16" s="4" t="str">
        <f t="shared" si="0"/>
        <v>木桥</v>
      </c>
      <c r="BH16" s="20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1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50</v>
      </c>
      <c r="CD16" s="4">
        <v>0</v>
      </c>
      <c r="CE16" s="4">
        <v>3</v>
      </c>
      <c r="CF16" s="4">
        <v>0</v>
      </c>
      <c r="CG16" s="4">
        <v>0</v>
      </c>
      <c r="CH16" s="4">
        <v>1</v>
      </c>
      <c r="CI16" s="4">
        <v>1</v>
      </c>
      <c r="CJ16" s="4">
        <v>1</v>
      </c>
      <c r="CK16" s="4">
        <v>1</v>
      </c>
      <c r="CL16" s="4">
        <v>100</v>
      </c>
      <c r="CM16" s="4">
        <v>0</v>
      </c>
      <c r="CN16" s="4">
        <v>0</v>
      </c>
      <c r="CO16" s="4">
        <v>1</v>
      </c>
      <c r="CP16" s="4">
        <v>0</v>
      </c>
      <c r="CQ16" s="4">
        <v>0</v>
      </c>
      <c r="CR16" s="4" t="str">
        <f t="shared" si="1"/>
        <v>木桥</v>
      </c>
      <c r="CS16" s="4">
        <v>0</v>
      </c>
      <c r="CT16" s="4">
        <v>2</v>
      </c>
      <c r="CU16" s="4">
        <v>1</v>
      </c>
      <c r="CV16" s="4">
        <v>604001</v>
      </c>
      <c r="CW16" s="4" t="s">
        <v>113</v>
      </c>
      <c r="CX16" s="4">
        <v>2</v>
      </c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25" t="s">
        <v>716</v>
      </c>
    </row>
    <row r="17" spans="1:119" x14ac:dyDescent="0.15">
      <c r="A17" s="4">
        <v>102013</v>
      </c>
      <c r="B17" s="28" t="s">
        <v>727</v>
      </c>
      <c r="C17" s="47" t="s">
        <v>110</v>
      </c>
      <c r="D17" s="26"/>
      <c r="E17" s="26">
        <v>0</v>
      </c>
      <c r="F17" s="5">
        <v>0</v>
      </c>
      <c r="G17" s="26">
        <v>1</v>
      </c>
      <c r="H17" s="4">
        <v>7</v>
      </c>
      <c r="I17" s="5">
        <v>0</v>
      </c>
      <c r="J17" s="26"/>
      <c r="K17" s="26"/>
      <c r="L17" s="26"/>
      <c r="M17" s="8">
        <v>0</v>
      </c>
      <c r="N17" s="25" t="s">
        <v>728</v>
      </c>
      <c r="O17" s="25">
        <v>0</v>
      </c>
      <c r="P17" s="25">
        <v>0</v>
      </c>
      <c r="Q17" s="25">
        <v>0</v>
      </c>
      <c r="R17" s="4">
        <v>1</v>
      </c>
      <c r="S17" s="4">
        <v>0</v>
      </c>
      <c r="T17" s="4">
        <v>0</v>
      </c>
      <c r="U17" s="4">
        <v>0</v>
      </c>
      <c r="V17" s="5">
        <v>1</v>
      </c>
      <c r="W17" s="5">
        <v>0</v>
      </c>
      <c r="X17" s="5">
        <v>1</v>
      </c>
      <c r="Y17" s="28" t="s">
        <v>727</v>
      </c>
      <c r="Z17" s="5">
        <v>0</v>
      </c>
      <c r="AA17" s="5">
        <v>0</v>
      </c>
      <c r="AB17" s="5">
        <v>1</v>
      </c>
      <c r="AC17" s="5">
        <v>0</v>
      </c>
      <c r="AD17" s="5">
        <v>0</v>
      </c>
      <c r="AE17" s="3">
        <v>0</v>
      </c>
      <c r="AF17" s="5">
        <v>0</v>
      </c>
      <c r="AG17" s="4">
        <v>0</v>
      </c>
      <c r="AH17" s="25">
        <v>0</v>
      </c>
      <c r="AI17" s="26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4">
        <v>1</v>
      </c>
      <c r="AQ17" s="4"/>
      <c r="AR17" s="4">
        <v>1</v>
      </c>
      <c r="AS17" s="4">
        <v>0</v>
      </c>
      <c r="AT17" s="4">
        <v>0</v>
      </c>
      <c r="AU17" s="4">
        <v>0</v>
      </c>
      <c r="AV17" s="12">
        <v>0</v>
      </c>
      <c r="AW17" s="4">
        <v>0</v>
      </c>
      <c r="AX17" s="4">
        <v>0</v>
      </c>
      <c r="AY17" s="4">
        <v>0</v>
      </c>
      <c r="AZ17" s="4">
        <v>0</v>
      </c>
      <c r="BA17" s="4" t="s">
        <v>124</v>
      </c>
      <c r="BB17" s="5">
        <v>1</v>
      </c>
      <c r="BC17" s="17" t="s">
        <v>109</v>
      </c>
      <c r="BD17" s="17" t="s">
        <v>110</v>
      </c>
      <c r="BE17" s="17" t="s">
        <v>110</v>
      </c>
      <c r="BF17" s="17" t="s">
        <v>309</v>
      </c>
      <c r="BG17" s="4" t="str">
        <f t="shared" ref="BG17" si="3">B17</f>
        <v>石桥</v>
      </c>
      <c r="BH17" s="20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1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50</v>
      </c>
      <c r="CD17" s="4">
        <v>0</v>
      </c>
      <c r="CE17" s="4">
        <v>3</v>
      </c>
      <c r="CF17" s="4">
        <v>0</v>
      </c>
      <c r="CG17" s="4">
        <v>0</v>
      </c>
      <c r="CH17" s="4">
        <v>1</v>
      </c>
      <c r="CI17" s="4">
        <v>1</v>
      </c>
      <c r="CJ17" s="4">
        <v>1</v>
      </c>
      <c r="CK17" s="4">
        <v>1</v>
      </c>
      <c r="CL17" s="4">
        <v>1000</v>
      </c>
      <c r="CM17" s="4">
        <v>0</v>
      </c>
      <c r="CN17" s="4">
        <v>0</v>
      </c>
      <c r="CO17" s="4">
        <v>1</v>
      </c>
      <c r="CP17" s="4">
        <v>0</v>
      </c>
      <c r="CQ17" s="4">
        <v>0</v>
      </c>
      <c r="CR17" s="4" t="str">
        <f t="shared" ref="CR17" si="4">B17</f>
        <v>石桥</v>
      </c>
      <c r="CS17" s="4">
        <v>0</v>
      </c>
      <c r="CT17" s="4">
        <v>2</v>
      </c>
      <c r="CU17" s="4">
        <v>1</v>
      </c>
      <c r="CV17" s="4">
        <v>604001</v>
      </c>
      <c r="CW17" s="4" t="s">
        <v>113</v>
      </c>
      <c r="CX17" s="4">
        <v>2</v>
      </c>
      <c r="CY17" s="4">
        <v>605001</v>
      </c>
      <c r="CZ17" s="4" t="s">
        <v>122</v>
      </c>
      <c r="DA17" s="4">
        <v>1</v>
      </c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25" t="s">
        <v>716</v>
      </c>
    </row>
    <row r="18" spans="1:119" x14ac:dyDescent="0.15">
      <c r="A18" s="4">
        <v>102007</v>
      </c>
      <c r="B18" s="6" t="s">
        <v>130</v>
      </c>
      <c r="C18" s="47" t="s">
        <v>110</v>
      </c>
      <c r="D18" s="26"/>
      <c r="E18" s="26">
        <v>0</v>
      </c>
      <c r="F18" s="5">
        <v>0</v>
      </c>
      <c r="G18" s="26">
        <v>1</v>
      </c>
      <c r="H18" s="4">
        <v>7</v>
      </c>
      <c r="I18" s="5">
        <v>0</v>
      </c>
      <c r="J18" s="5"/>
      <c r="K18" s="5"/>
      <c r="L18" s="5"/>
      <c r="M18" s="8">
        <v>0</v>
      </c>
      <c r="N18" s="4" t="s">
        <v>131</v>
      </c>
      <c r="O18" s="25">
        <v>0</v>
      </c>
      <c r="P18" s="25">
        <v>0</v>
      </c>
      <c r="Q18" s="25">
        <v>0</v>
      </c>
      <c r="R18" s="4">
        <v>1</v>
      </c>
      <c r="S18" s="4">
        <v>1</v>
      </c>
      <c r="T18" s="4">
        <v>0</v>
      </c>
      <c r="U18" s="4">
        <v>0</v>
      </c>
      <c r="V18" s="5">
        <v>0</v>
      </c>
      <c r="W18" s="5">
        <v>0</v>
      </c>
      <c r="X18" s="5">
        <v>1</v>
      </c>
      <c r="Y18" s="6" t="s">
        <v>130</v>
      </c>
      <c r="Z18" s="5">
        <v>0</v>
      </c>
      <c r="AA18" s="5">
        <v>0</v>
      </c>
      <c r="AB18" s="5">
        <v>1</v>
      </c>
      <c r="AC18" s="5">
        <v>0</v>
      </c>
      <c r="AD18" s="5">
        <v>0</v>
      </c>
      <c r="AE18" s="3">
        <v>0</v>
      </c>
      <c r="AF18" s="5">
        <v>0</v>
      </c>
      <c r="AG18" s="4">
        <v>0</v>
      </c>
      <c r="AH18" s="25">
        <v>0</v>
      </c>
      <c r="AI18" s="26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4">
        <v>1</v>
      </c>
      <c r="AQ18" s="4"/>
      <c r="AR18" s="4">
        <v>1</v>
      </c>
      <c r="AS18" s="4">
        <v>1</v>
      </c>
      <c r="AT18" s="4">
        <v>1</v>
      </c>
      <c r="AU18" s="4">
        <v>0</v>
      </c>
      <c r="AV18" s="12">
        <v>0</v>
      </c>
      <c r="AW18" s="4">
        <v>0</v>
      </c>
      <c r="AX18" s="4">
        <v>0</v>
      </c>
      <c r="AY18" s="4">
        <v>0</v>
      </c>
      <c r="AZ18" s="4">
        <v>0</v>
      </c>
      <c r="BA18" s="4" t="s">
        <v>132</v>
      </c>
      <c r="BB18" s="5">
        <v>1</v>
      </c>
      <c r="BC18" s="17" t="s">
        <v>109</v>
      </c>
      <c r="BD18" s="17" t="s">
        <v>110</v>
      </c>
      <c r="BE18" s="17" t="s">
        <v>110</v>
      </c>
      <c r="BF18" s="17" t="s">
        <v>379</v>
      </c>
      <c r="BG18" s="4" t="str">
        <f t="shared" si="0"/>
        <v>门</v>
      </c>
      <c r="BH18" s="20">
        <v>1</v>
      </c>
      <c r="BI18" s="4">
        <v>1</v>
      </c>
      <c r="BJ18" s="4">
        <v>0</v>
      </c>
      <c r="BK18" s="4">
        <v>0</v>
      </c>
      <c r="BL18" s="4">
        <v>13</v>
      </c>
      <c r="BM18" s="4">
        <v>1</v>
      </c>
      <c r="BN18" s="4">
        <v>1</v>
      </c>
      <c r="BO18" s="4">
        <v>0</v>
      </c>
      <c r="BP18" s="4">
        <v>0</v>
      </c>
      <c r="BQ18" s="4">
        <v>1</v>
      </c>
      <c r="BR18" s="4">
        <v>1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4</v>
      </c>
      <c r="CF18" s="4">
        <v>0</v>
      </c>
      <c r="CG18" s="4">
        <v>0</v>
      </c>
      <c r="CH18" s="4">
        <v>1</v>
      </c>
      <c r="CI18" s="4">
        <v>1</v>
      </c>
      <c r="CJ18" s="4">
        <v>1</v>
      </c>
      <c r="CK18" s="4">
        <v>1</v>
      </c>
      <c r="CL18" s="4">
        <v>500</v>
      </c>
      <c r="CM18" s="4">
        <v>1</v>
      </c>
      <c r="CN18" s="4">
        <v>1</v>
      </c>
      <c r="CO18" s="4">
        <v>0</v>
      </c>
      <c r="CP18" s="4">
        <v>0</v>
      </c>
      <c r="CQ18" s="4">
        <v>0</v>
      </c>
      <c r="CR18" s="4" t="str">
        <f t="shared" si="1"/>
        <v>门</v>
      </c>
      <c r="CS18" s="4">
        <v>1</v>
      </c>
      <c r="CT18" s="4">
        <v>1</v>
      </c>
      <c r="CU18" s="4">
        <v>1</v>
      </c>
      <c r="CV18" s="4">
        <v>604001</v>
      </c>
      <c r="CW18" s="4" t="s">
        <v>113</v>
      </c>
      <c r="CX18" s="4">
        <v>3</v>
      </c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 t="s">
        <v>133</v>
      </c>
      <c r="DO18" s="4"/>
    </row>
    <row r="19" spans="1:119" x14ac:dyDescent="0.15">
      <c r="A19" s="4">
        <v>102012</v>
      </c>
      <c r="B19" s="28" t="s">
        <v>604</v>
      </c>
      <c r="C19" s="47" t="s">
        <v>110</v>
      </c>
      <c r="D19" s="26"/>
      <c r="E19" s="26">
        <v>0</v>
      </c>
      <c r="F19" s="5">
        <v>0</v>
      </c>
      <c r="G19" s="26">
        <v>1</v>
      </c>
      <c r="H19" s="4">
        <v>7</v>
      </c>
      <c r="I19" s="5">
        <v>0</v>
      </c>
      <c r="J19" s="5"/>
      <c r="K19" s="5"/>
      <c r="L19" s="5"/>
      <c r="M19" s="8">
        <v>0</v>
      </c>
      <c r="N19" s="4" t="s">
        <v>131</v>
      </c>
      <c r="O19" s="25">
        <v>0</v>
      </c>
      <c r="P19" s="25">
        <v>0</v>
      </c>
      <c r="Q19" s="25">
        <v>0</v>
      </c>
      <c r="R19" s="4">
        <v>1</v>
      </c>
      <c r="S19" s="4">
        <v>0</v>
      </c>
      <c r="T19" s="4">
        <v>0</v>
      </c>
      <c r="U19" s="4">
        <v>0</v>
      </c>
      <c r="V19" s="5">
        <v>0</v>
      </c>
      <c r="W19" s="5">
        <v>0</v>
      </c>
      <c r="X19" s="5">
        <v>1</v>
      </c>
      <c r="Y19" s="28" t="s">
        <v>604</v>
      </c>
      <c r="Z19" s="5">
        <v>0</v>
      </c>
      <c r="AA19" s="5">
        <v>0</v>
      </c>
      <c r="AB19" s="5">
        <v>1</v>
      </c>
      <c r="AC19" s="5">
        <v>0</v>
      </c>
      <c r="AD19" s="5">
        <v>0</v>
      </c>
      <c r="AE19" s="3">
        <v>0</v>
      </c>
      <c r="AF19" s="5">
        <v>0</v>
      </c>
      <c r="AG19" s="4">
        <v>0</v>
      </c>
      <c r="AH19" s="25">
        <v>0</v>
      </c>
      <c r="AI19" s="26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4">
        <v>1</v>
      </c>
      <c r="AQ19" s="4"/>
      <c r="AR19" s="4">
        <v>0</v>
      </c>
      <c r="AS19" s="4">
        <v>0</v>
      </c>
      <c r="AT19" s="4">
        <v>0</v>
      </c>
      <c r="AU19" s="4">
        <v>0</v>
      </c>
      <c r="AV19" s="12">
        <v>0</v>
      </c>
      <c r="AW19" s="4">
        <v>0</v>
      </c>
      <c r="AX19" s="4">
        <v>0</v>
      </c>
      <c r="AY19" s="4">
        <v>0</v>
      </c>
      <c r="AZ19" s="4">
        <v>0</v>
      </c>
      <c r="BA19" s="4" t="s">
        <v>132</v>
      </c>
      <c r="BB19" s="5">
        <v>1</v>
      </c>
      <c r="BC19" s="17" t="s">
        <v>109</v>
      </c>
      <c r="BD19" s="17" t="s">
        <v>110</v>
      </c>
      <c r="BE19" s="17" t="s">
        <v>110</v>
      </c>
      <c r="BF19" s="17" t="s">
        <v>309</v>
      </c>
      <c r="BG19" s="4" t="str">
        <f>B19</f>
        <v>铁门</v>
      </c>
      <c r="BH19" s="20">
        <v>1</v>
      </c>
      <c r="BI19" s="4">
        <v>1</v>
      </c>
      <c r="BJ19" s="4">
        <v>0</v>
      </c>
      <c r="BK19" s="4">
        <v>0</v>
      </c>
      <c r="BL19" s="4">
        <v>13</v>
      </c>
      <c r="BM19" s="4">
        <v>1</v>
      </c>
      <c r="BN19" s="4">
        <v>1</v>
      </c>
      <c r="BO19" s="4">
        <v>0</v>
      </c>
      <c r="BP19" s="4">
        <v>0</v>
      </c>
      <c r="BQ19" s="4">
        <v>1</v>
      </c>
      <c r="BR19" s="4">
        <v>1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4</v>
      </c>
      <c r="CF19" s="4">
        <v>0</v>
      </c>
      <c r="CG19" s="4">
        <v>0</v>
      </c>
      <c r="CH19" s="4">
        <v>1</v>
      </c>
      <c r="CI19" s="4">
        <v>1</v>
      </c>
      <c r="CJ19" s="4">
        <v>1</v>
      </c>
      <c r="CK19" s="4">
        <v>1</v>
      </c>
      <c r="CL19" s="4">
        <v>5000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 t="str">
        <f>B19</f>
        <v>铁门</v>
      </c>
      <c r="CS19" s="4">
        <v>1</v>
      </c>
      <c r="CT19" s="4">
        <v>1</v>
      </c>
      <c r="CU19" s="4">
        <v>1</v>
      </c>
      <c r="CV19" s="4">
        <v>603001</v>
      </c>
      <c r="CW19" s="4" t="s">
        <v>603</v>
      </c>
      <c r="CX19" s="4">
        <v>10</v>
      </c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</row>
    <row r="20" spans="1:119" ht="40.5" x14ac:dyDescent="0.15">
      <c r="A20" s="4">
        <v>102005</v>
      </c>
      <c r="B20" s="6" t="s">
        <v>127</v>
      </c>
      <c r="C20" s="47" t="s">
        <v>110</v>
      </c>
      <c r="D20" s="26"/>
      <c r="E20" s="26">
        <v>0</v>
      </c>
      <c r="F20" s="5">
        <v>0</v>
      </c>
      <c r="G20" s="26">
        <v>1</v>
      </c>
      <c r="H20" s="4">
        <v>7</v>
      </c>
      <c r="I20" s="5">
        <v>0</v>
      </c>
      <c r="J20" s="5"/>
      <c r="K20" s="5"/>
      <c r="L20" s="5"/>
      <c r="M20" s="8">
        <v>0</v>
      </c>
      <c r="N20" s="4" t="s">
        <v>128</v>
      </c>
      <c r="O20" s="25">
        <v>0</v>
      </c>
      <c r="P20" s="25">
        <v>0</v>
      </c>
      <c r="Q20" s="25">
        <v>0</v>
      </c>
      <c r="R20" s="4">
        <v>0</v>
      </c>
      <c r="S20" s="4">
        <v>1</v>
      </c>
      <c r="T20" s="4">
        <v>0</v>
      </c>
      <c r="U20" s="4">
        <v>0</v>
      </c>
      <c r="V20" s="5">
        <v>1</v>
      </c>
      <c r="W20" s="5">
        <v>0</v>
      </c>
      <c r="X20" s="5">
        <v>1</v>
      </c>
      <c r="Y20" s="6" t="s">
        <v>127</v>
      </c>
      <c r="Z20" s="5">
        <v>0</v>
      </c>
      <c r="AA20" s="5">
        <v>0</v>
      </c>
      <c r="AB20" s="5">
        <v>1</v>
      </c>
      <c r="AC20" s="5">
        <v>0</v>
      </c>
      <c r="AD20" s="5">
        <v>0</v>
      </c>
      <c r="AE20" s="3">
        <v>0</v>
      </c>
      <c r="AF20" s="5">
        <v>0</v>
      </c>
      <c r="AG20" s="4">
        <v>0</v>
      </c>
      <c r="AH20" s="25">
        <v>0</v>
      </c>
      <c r="AI20" s="26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4">
        <v>0</v>
      </c>
      <c r="AQ20" s="4"/>
      <c r="AR20" s="13">
        <v>1</v>
      </c>
      <c r="AS20" s="4">
        <v>1</v>
      </c>
      <c r="AT20" s="4">
        <v>0</v>
      </c>
      <c r="AU20" s="4">
        <v>0</v>
      </c>
      <c r="AV20" s="12">
        <v>0</v>
      </c>
      <c r="AW20" s="4">
        <v>0</v>
      </c>
      <c r="AX20" s="4">
        <v>0</v>
      </c>
      <c r="AY20" s="4">
        <v>0</v>
      </c>
      <c r="AZ20" s="4">
        <v>0</v>
      </c>
      <c r="BA20" s="4" t="s">
        <v>357</v>
      </c>
      <c r="BB20" s="5">
        <v>0</v>
      </c>
      <c r="BC20" s="17" t="s">
        <v>109</v>
      </c>
      <c r="BD20" s="17" t="s">
        <v>110</v>
      </c>
      <c r="BE20" s="17" t="s">
        <v>110</v>
      </c>
      <c r="BF20" s="17" t="s">
        <v>379</v>
      </c>
      <c r="BG20" s="4" t="str">
        <f t="shared" si="0"/>
        <v>木墙</v>
      </c>
      <c r="BH20" s="20">
        <v>1</v>
      </c>
      <c r="BI20" s="4">
        <v>1</v>
      </c>
      <c r="BJ20" s="4">
        <v>0</v>
      </c>
      <c r="BK20" s="4">
        <v>0</v>
      </c>
      <c r="BL20" s="4">
        <v>0</v>
      </c>
      <c r="BM20" s="4">
        <v>1</v>
      </c>
      <c r="BN20" s="4">
        <v>1</v>
      </c>
      <c r="BO20" s="4">
        <v>0</v>
      </c>
      <c r="BP20" s="4">
        <v>0</v>
      </c>
      <c r="BQ20" s="4">
        <v>0</v>
      </c>
      <c r="BR20" s="4">
        <v>1</v>
      </c>
      <c r="BS20" s="4">
        <v>0</v>
      </c>
      <c r="BT20" s="4">
        <v>0</v>
      </c>
      <c r="BU20" s="4">
        <v>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4</v>
      </c>
      <c r="CF20" s="4">
        <v>0</v>
      </c>
      <c r="CG20" s="4">
        <v>0</v>
      </c>
      <c r="CH20" s="4">
        <v>1</v>
      </c>
      <c r="CI20" s="4">
        <v>1</v>
      </c>
      <c r="CJ20" s="4">
        <v>1</v>
      </c>
      <c r="CK20" s="4">
        <v>1</v>
      </c>
      <c r="CL20" s="4">
        <v>500</v>
      </c>
      <c r="CM20" s="4">
        <v>1</v>
      </c>
      <c r="CN20" s="4">
        <v>1</v>
      </c>
      <c r="CO20" s="4">
        <v>0</v>
      </c>
      <c r="CP20" s="4">
        <v>0</v>
      </c>
      <c r="CQ20" s="4">
        <v>0</v>
      </c>
      <c r="CR20" s="4" t="str">
        <f t="shared" si="1"/>
        <v>木墙</v>
      </c>
      <c r="CS20" s="4">
        <v>1</v>
      </c>
      <c r="CT20" s="4">
        <v>1</v>
      </c>
      <c r="CU20" s="4">
        <v>1</v>
      </c>
      <c r="CV20" s="4">
        <v>604001</v>
      </c>
      <c r="CW20" s="4" t="s">
        <v>113</v>
      </c>
      <c r="CX20" s="4">
        <v>1</v>
      </c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2" t="s">
        <v>408</v>
      </c>
      <c r="DO20" s="25" t="s">
        <v>714</v>
      </c>
    </row>
    <row r="21" spans="1:119" x14ac:dyDescent="0.15">
      <c r="A21" s="4">
        <v>102006</v>
      </c>
      <c r="B21" s="9" t="s">
        <v>129</v>
      </c>
      <c r="C21" s="47" t="s">
        <v>110</v>
      </c>
      <c r="D21" s="26"/>
      <c r="E21" s="26">
        <v>0</v>
      </c>
      <c r="F21" s="5">
        <v>0</v>
      </c>
      <c r="G21" s="26">
        <v>1</v>
      </c>
      <c r="H21" s="4">
        <v>7</v>
      </c>
      <c r="I21" s="5">
        <v>0</v>
      </c>
      <c r="J21" s="5"/>
      <c r="K21" s="5"/>
      <c r="L21" s="5"/>
      <c r="M21" s="8">
        <v>0</v>
      </c>
      <c r="N21" s="4" t="s">
        <v>128</v>
      </c>
      <c r="O21" s="25">
        <v>0</v>
      </c>
      <c r="P21" s="25">
        <v>0</v>
      </c>
      <c r="Q21" s="25">
        <v>0</v>
      </c>
      <c r="R21" s="4">
        <v>0</v>
      </c>
      <c r="S21" s="4">
        <v>0</v>
      </c>
      <c r="T21" s="4">
        <v>0</v>
      </c>
      <c r="U21" s="4">
        <v>0</v>
      </c>
      <c r="V21" s="5">
        <v>0</v>
      </c>
      <c r="W21" s="5">
        <v>0</v>
      </c>
      <c r="X21" s="5">
        <v>1</v>
      </c>
      <c r="Y21" s="9" t="s">
        <v>129</v>
      </c>
      <c r="Z21" s="5">
        <v>0</v>
      </c>
      <c r="AA21" s="5">
        <v>0</v>
      </c>
      <c r="AB21" s="5">
        <v>1</v>
      </c>
      <c r="AC21" s="5">
        <v>0</v>
      </c>
      <c r="AD21" s="5">
        <v>0</v>
      </c>
      <c r="AE21" s="3">
        <v>0</v>
      </c>
      <c r="AF21" s="5">
        <v>0</v>
      </c>
      <c r="AG21" s="4">
        <v>0</v>
      </c>
      <c r="AH21" s="25">
        <v>0</v>
      </c>
      <c r="AI21" s="26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4">
        <v>0</v>
      </c>
      <c r="AQ21" s="4"/>
      <c r="AR21" s="13">
        <v>1</v>
      </c>
      <c r="AS21" s="4">
        <v>1</v>
      </c>
      <c r="AT21" s="4">
        <v>0</v>
      </c>
      <c r="AU21" s="4">
        <v>0</v>
      </c>
      <c r="AV21" s="12">
        <v>0</v>
      </c>
      <c r="AW21" s="4">
        <v>0</v>
      </c>
      <c r="AX21" s="4">
        <v>0</v>
      </c>
      <c r="AY21" s="4">
        <v>0</v>
      </c>
      <c r="AZ21" s="4">
        <v>0</v>
      </c>
      <c r="BA21" s="4" t="s">
        <v>357</v>
      </c>
      <c r="BB21" s="5">
        <v>0</v>
      </c>
      <c r="BC21" s="17" t="s">
        <v>109</v>
      </c>
      <c r="BD21" s="17" t="s">
        <v>110</v>
      </c>
      <c r="BE21" s="17" t="s">
        <v>110</v>
      </c>
      <c r="BF21" s="17" t="s">
        <v>379</v>
      </c>
      <c r="BG21" s="4" t="str">
        <f t="shared" si="0"/>
        <v>石樯</v>
      </c>
      <c r="BH21" s="20">
        <v>1</v>
      </c>
      <c r="BI21" s="4">
        <v>1</v>
      </c>
      <c r="BJ21" s="4">
        <v>0</v>
      </c>
      <c r="BK21" s="4">
        <v>0</v>
      </c>
      <c r="BL21" s="4">
        <v>0</v>
      </c>
      <c r="BM21" s="4">
        <v>1</v>
      </c>
      <c r="BN21" s="4">
        <v>1</v>
      </c>
      <c r="BO21" s="4">
        <v>0</v>
      </c>
      <c r="BP21" s="4">
        <v>0</v>
      </c>
      <c r="BQ21" s="4">
        <v>0</v>
      </c>
      <c r="BR21" s="4">
        <v>1</v>
      </c>
      <c r="BS21" s="4">
        <v>0</v>
      </c>
      <c r="BT21" s="4">
        <v>0</v>
      </c>
      <c r="BU21" s="4">
        <v>1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4</v>
      </c>
      <c r="CF21" s="4">
        <v>0</v>
      </c>
      <c r="CG21" s="4">
        <v>0</v>
      </c>
      <c r="CH21" s="4">
        <v>1</v>
      </c>
      <c r="CI21" s="4">
        <v>1</v>
      </c>
      <c r="CJ21" s="4">
        <v>1</v>
      </c>
      <c r="CK21" s="4">
        <v>1</v>
      </c>
      <c r="CL21" s="4">
        <v>2500</v>
      </c>
      <c r="CM21" s="4">
        <v>1</v>
      </c>
      <c r="CN21" s="4">
        <v>1</v>
      </c>
      <c r="CO21" s="4">
        <v>0</v>
      </c>
      <c r="CP21" s="4">
        <v>0</v>
      </c>
      <c r="CQ21" s="4">
        <v>0</v>
      </c>
      <c r="CR21" s="4" t="str">
        <f t="shared" si="1"/>
        <v>石樯</v>
      </c>
      <c r="CS21" s="4">
        <v>1</v>
      </c>
      <c r="CT21" s="4">
        <v>1</v>
      </c>
      <c r="CU21" s="4">
        <v>1</v>
      </c>
      <c r="CV21" s="4">
        <v>605001</v>
      </c>
      <c r="CW21" s="4" t="s">
        <v>122</v>
      </c>
      <c r="CX21" s="4">
        <v>5</v>
      </c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25" t="s">
        <v>717</v>
      </c>
    </row>
    <row r="22" spans="1:119" x14ac:dyDescent="0.15">
      <c r="A22" s="4">
        <v>102011</v>
      </c>
      <c r="B22" s="35" t="s">
        <v>602</v>
      </c>
      <c r="C22" s="47" t="s">
        <v>110</v>
      </c>
      <c r="D22" s="26"/>
      <c r="E22" s="26">
        <v>0</v>
      </c>
      <c r="F22" s="5">
        <v>0</v>
      </c>
      <c r="G22" s="26">
        <v>1</v>
      </c>
      <c r="H22" s="4">
        <v>7</v>
      </c>
      <c r="I22" s="5">
        <v>0</v>
      </c>
      <c r="J22" s="5"/>
      <c r="K22" s="5"/>
      <c r="L22" s="5"/>
      <c r="M22" s="8">
        <v>0</v>
      </c>
      <c r="N22" s="4" t="s">
        <v>128</v>
      </c>
      <c r="O22" s="25">
        <v>0</v>
      </c>
      <c r="P22" s="25">
        <v>0</v>
      </c>
      <c r="Q22" s="25">
        <v>0</v>
      </c>
      <c r="R22" s="4">
        <v>0</v>
      </c>
      <c r="S22" s="4">
        <v>0</v>
      </c>
      <c r="T22" s="4">
        <v>0</v>
      </c>
      <c r="U22" s="4">
        <v>0</v>
      </c>
      <c r="V22" s="5">
        <v>0</v>
      </c>
      <c r="W22" s="5">
        <v>0</v>
      </c>
      <c r="X22" s="5">
        <v>1</v>
      </c>
      <c r="Y22" s="35" t="s">
        <v>602</v>
      </c>
      <c r="Z22" s="5">
        <v>0</v>
      </c>
      <c r="AA22" s="5">
        <v>0</v>
      </c>
      <c r="AB22" s="5">
        <v>1</v>
      </c>
      <c r="AC22" s="5">
        <v>0</v>
      </c>
      <c r="AD22" s="5">
        <v>0</v>
      </c>
      <c r="AE22" s="3">
        <v>0</v>
      </c>
      <c r="AF22" s="5">
        <v>0</v>
      </c>
      <c r="AG22" s="4">
        <v>0</v>
      </c>
      <c r="AH22" s="25">
        <v>0</v>
      </c>
      <c r="AI22" s="26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4">
        <v>0</v>
      </c>
      <c r="AQ22" s="4"/>
      <c r="AR22" s="13">
        <v>1</v>
      </c>
      <c r="AS22" s="4">
        <v>1</v>
      </c>
      <c r="AT22" s="4">
        <v>0</v>
      </c>
      <c r="AU22" s="4">
        <v>0</v>
      </c>
      <c r="AV22" s="12">
        <v>0</v>
      </c>
      <c r="AW22" s="4">
        <v>0</v>
      </c>
      <c r="AX22" s="4">
        <v>0</v>
      </c>
      <c r="AY22" s="4">
        <v>0</v>
      </c>
      <c r="AZ22" s="4">
        <v>0</v>
      </c>
      <c r="BA22" s="4" t="s">
        <v>357</v>
      </c>
      <c r="BB22" s="5">
        <v>0</v>
      </c>
      <c r="BC22" s="17" t="s">
        <v>109</v>
      </c>
      <c r="BD22" s="17" t="s">
        <v>110</v>
      </c>
      <c r="BE22" s="17" t="s">
        <v>110</v>
      </c>
      <c r="BF22" s="17" t="s">
        <v>309</v>
      </c>
      <c r="BG22" s="4" t="str">
        <f t="shared" ref="BG22" si="5">B22</f>
        <v>铁墙</v>
      </c>
      <c r="BH22" s="20">
        <v>1</v>
      </c>
      <c r="BI22" s="4">
        <v>1</v>
      </c>
      <c r="BJ22" s="4">
        <v>0</v>
      </c>
      <c r="BK22" s="4">
        <v>0</v>
      </c>
      <c r="BL22" s="4">
        <v>0</v>
      </c>
      <c r="BM22" s="4">
        <v>1</v>
      </c>
      <c r="BN22" s="4">
        <v>1</v>
      </c>
      <c r="BO22" s="4">
        <v>0</v>
      </c>
      <c r="BP22" s="4">
        <v>0</v>
      </c>
      <c r="BQ22" s="4">
        <v>0</v>
      </c>
      <c r="BR22" s="4">
        <v>1</v>
      </c>
      <c r="BS22" s="4">
        <v>0</v>
      </c>
      <c r="BT22" s="4">
        <v>0</v>
      </c>
      <c r="BU22" s="4">
        <v>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4</v>
      </c>
      <c r="CF22" s="4">
        <v>0</v>
      </c>
      <c r="CG22" s="4">
        <v>0</v>
      </c>
      <c r="CH22" s="4">
        <v>1</v>
      </c>
      <c r="CI22" s="4">
        <v>1</v>
      </c>
      <c r="CJ22" s="4">
        <v>1</v>
      </c>
      <c r="CK22" s="4">
        <v>1</v>
      </c>
      <c r="CL22" s="4">
        <v>25000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 t="str">
        <f t="shared" ref="CR22" si="6">B22</f>
        <v>铁墙</v>
      </c>
      <c r="CS22" s="4">
        <v>1</v>
      </c>
      <c r="CT22" s="4">
        <v>1</v>
      </c>
      <c r="CU22" s="4">
        <v>1</v>
      </c>
      <c r="CV22" s="4">
        <v>603001</v>
      </c>
      <c r="CW22" s="4" t="s">
        <v>603</v>
      </c>
      <c r="CX22" s="4">
        <v>50</v>
      </c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25" t="s">
        <v>717</v>
      </c>
    </row>
    <row r="23" spans="1:119" x14ac:dyDescent="0.15">
      <c r="A23" s="4">
        <v>102004</v>
      </c>
      <c r="B23" s="6" t="s">
        <v>125</v>
      </c>
      <c r="C23" s="47" t="s">
        <v>110</v>
      </c>
      <c r="D23" s="26"/>
      <c r="E23" s="26">
        <v>0</v>
      </c>
      <c r="F23" s="5">
        <v>0</v>
      </c>
      <c r="G23" s="26">
        <v>1</v>
      </c>
      <c r="H23" s="4">
        <v>7</v>
      </c>
      <c r="I23" s="5">
        <v>0</v>
      </c>
      <c r="J23" s="5"/>
      <c r="K23" s="5"/>
      <c r="L23" s="5"/>
      <c r="M23" s="8">
        <v>0</v>
      </c>
      <c r="N23" s="4" t="s">
        <v>126</v>
      </c>
      <c r="O23" s="25">
        <v>0</v>
      </c>
      <c r="P23" s="25">
        <v>0</v>
      </c>
      <c r="Q23" s="25">
        <v>0</v>
      </c>
      <c r="R23" s="4">
        <v>1</v>
      </c>
      <c r="S23" s="4">
        <v>0</v>
      </c>
      <c r="T23" s="4">
        <v>0</v>
      </c>
      <c r="U23" s="4">
        <v>0</v>
      </c>
      <c r="V23" s="5">
        <v>1</v>
      </c>
      <c r="W23" s="5">
        <v>0</v>
      </c>
      <c r="X23" s="5">
        <v>1</v>
      </c>
      <c r="Y23" s="6" t="s">
        <v>125</v>
      </c>
      <c r="Z23" s="5">
        <v>0</v>
      </c>
      <c r="AA23" s="5">
        <v>0</v>
      </c>
      <c r="AB23" s="5">
        <v>1</v>
      </c>
      <c r="AC23" s="5">
        <v>0</v>
      </c>
      <c r="AD23" s="5">
        <v>0</v>
      </c>
      <c r="AE23" s="3">
        <v>0</v>
      </c>
      <c r="AF23" s="5">
        <v>0</v>
      </c>
      <c r="AG23" s="4">
        <v>0</v>
      </c>
      <c r="AH23" s="25">
        <v>0</v>
      </c>
      <c r="AI23" s="26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4">
        <v>1</v>
      </c>
      <c r="AQ23" s="4"/>
      <c r="AR23" s="13">
        <v>1</v>
      </c>
      <c r="AS23" s="4">
        <v>0</v>
      </c>
      <c r="AT23" s="4">
        <v>1</v>
      </c>
      <c r="AU23" s="4">
        <v>1</v>
      </c>
      <c r="AV23" s="12">
        <v>0</v>
      </c>
      <c r="AW23" s="4">
        <v>0</v>
      </c>
      <c r="AX23" s="4">
        <v>0</v>
      </c>
      <c r="AY23" s="4">
        <v>0</v>
      </c>
      <c r="AZ23" s="4">
        <v>0</v>
      </c>
      <c r="BA23" s="4" t="s">
        <v>108</v>
      </c>
      <c r="BB23" s="5">
        <v>1</v>
      </c>
      <c r="BC23" s="17" t="s">
        <v>109</v>
      </c>
      <c r="BD23" s="17" t="s">
        <v>110</v>
      </c>
      <c r="BE23" s="17" t="s">
        <v>110</v>
      </c>
      <c r="BF23" s="17" t="s">
        <v>379</v>
      </c>
      <c r="BG23" s="4" t="str">
        <f>B23</f>
        <v>山路</v>
      </c>
      <c r="BH23" s="20">
        <v>3</v>
      </c>
      <c r="BI23" s="4">
        <v>2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1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3</v>
      </c>
      <c r="CF23" s="4">
        <v>0</v>
      </c>
      <c r="CG23" s="4">
        <v>0</v>
      </c>
      <c r="CH23" s="4">
        <v>1</v>
      </c>
      <c r="CI23" s="4">
        <v>1</v>
      </c>
      <c r="CJ23" s="4">
        <v>1</v>
      </c>
      <c r="CK23" s="4">
        <v>1</v>
      </c>
      <c r="CL23" s="4">
        <v>300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 t="str">
        <f>B23</f>
        <v>山路</v>
      </c>
      <c r="CS23" s="4">
        <v>0</v>
      </c>
      <c r="CT23" s="4">
        <v>2</v>
      </c>
      <c r="CU23" s="4">
        <v>3</v>
      </c>
      <c r="CV23" s="4">
        <v>605001</v>
      </c>
      <c r="CW23" s="4" t="s">
        <v>122</v>
      </c>
      <c r="CX23" s="4">
        <v>100</v>
      </c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</row>
    <row r="24" spans="1:119" x14ac:dyDescent="0.15">
      <c r="A24" s="4">
        <v>113002</v>
      </c>
      <c r="B24" s="39" t="s">
        <v>545</v>
      </c>
      <c r="C24" s="47" t="s">
        <v>110</v>
      </c>
      <c r="D24" s="26"/>
      <c r="E24" s="26">
        <v>0</v>
      </c>
      <c r="F24" s="5">
        <v>0</v>
      </c>
      <c r="G24" s="26">
        <v>1</v>
      </c>
      <c r="H24" s="4">
        <v>0</v>
      </c>
      <c r="I24" s="5">
        <v>0</v>
      </c>
      <c r="J24" s="26"/>
      <c r="K24" s="26"/>
      <c r="L24" s="26"/>
      <c r="M24" s="8">
        <v>0</v>
      </c>
      <c r="N24" s="25" t="s">
        <v>544</v>
      </c>
      <c r="O24" s="25">
        <v>0</v>
      </c>
      <c r="P24" s="25">
        <v>0</v>
      </c>
      <c r="Q24" s="25">
        <v>0</v>
      </c>
      <c r="R24" s="4">
        <v>0</v>
      </c>
      <c r="S24" s="4">
        <v>0</v>
      </c>
      <c r="T24" s="4">
        <v>0</v>
      </c>
      <c r="U24" s="4">
        <v>0</v>
      </c>
      <c r="V24" s="5">
        <v>1</v>
      </c>
      <c r="W24" s="5">
        <v>0</v>
      </c>
      <c r="X24" s="5">
        <v>1</v>
      </c>
      <c r="Y24" s="39" t="s">
        <v>545</v>
      </c>
      <c r="Z24" s="5">
        <v>0</v>
      </c>
      <c r="AA24" s="5">
        <v>0</v>
      </c>
      <c r="AB24" s="5">
        <v>1</v>
      </c>
      <c r="AC24" s="5">
        <v>0</v>
      </c>
      <c r="AD24" s="5">
        <v>0</v>
      </c>
      <c r="AE24" s="3">
        <v>0</v>
      </c>
      <c r="AF24" s="5">
        <v>0</v>
      </c>
      <c r="AG24" s="4">
        <v>0</v>
      </c>
      <c r="AH24" s="25">
        <v>0</v>
      </c>
      <c r="AI24" s="26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4">
        <v>0</v>
      </c>
      <c r="AQ24" s="4"/>
      <c r="AR24" s="4">
        <v>0</v>
      </c>
      <c r="AS24" s="4">
        <v>0</v>
      </c>
      <c r="AT24" s="4">
        <v>0</v>
      </c>
      <c r="AU24" s="4">
        <v>0</v>
      </c>
      <c r="AV24" s="12">
        <v>0</v>
      </c>
      <c r="AW24" s="4">
        <v>0</v>
      </c>
      <c r="AX24" s="4">
        <v>0</v>
      </c>
      <c r="AY24" s="4">
        <v>0</v>
      </c>
      <c r="AZ24" s="4">
        <v>0</v>
      </c>
      <c r="BA24" s="4" t="s">
        <v>108</v>
      </c>
      <c r="BB24" s="5">
        <v>0</v>
      </c>
      <c r="BC24" s="17" t="s">
        <v>109</v>
      </c>
      <c r="BD24" s="17" t="s">
        <v>110</v>
      </c>
      <c r="BE24" s="17" t="s">
        <v>110</v>
      </c>
      <c r="BF24" s="17" t="s">
        <v>309</v>
      </c>
      <c r="BG24" s="4" t="str">
        <f t="shared" ref="BG24:BG25" si="7">B24</f>
        <v>石质地板</v>
      </c>
      <c r="BH24" s="20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1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3</v>
      </c>
      <c r="CF24" s="4">
        <v>0</v>
      </c>
      <c r="CG24" s="4">
        <v>0</v>
      </c>
      <c r="CH24" s="4">
        <v>1</v>
      </c>
      <c r="CI24" s="4">
        <v>1</v>
      </c>
      <c r="CJ24" s="4">
        <v>1</v>
      </c>
      <c r="CK24" s="4">
        <v>1</v>
      </c>
      <c r="CL24" s="4">
        <v>10</v>
      </c>
      <c r="CM24" s="4">
        <v>0</v>
      </c>
      <c r="CN24" s="4">
        <v>1</v>
      </c>
      <c r="CO24" s="4">
        <v>0</v>
      </c>
      <c r="CP24" s="4">
        <v>0</v>
      </c>
      <c r="CQ24" s="4">
        <v>0</v>
      </c>
      <c r="CR24" s="4" t="str">
        <f t="shared" si="1"/>
        <v>石质地板</v>
      </c>
      <c r="CS24" s="4">
        <v>0</v>
      </c>
      <c r="CT24" s="4">
        <v>1</v>
      </c>
      <c r="CU24" s="4">
        <v>1</v>
      </c>
      <c r="CV24" s="4">
        <v>605001</v>
      </c>
      <c r="CW24" s="4" t="s">
        <v>122</v>
      </c>
      <c r="CX24" s="4">
        <v>1</v>
      </c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25" t="s">
        <v>715</v>
      </c>
    </row>
    <row r="25" spans="1:119" x14ac:dyDescent="0.15">
      <c r="A25" s="4">
        <v>113003</v>
      </c>
      <c r="B25" s="39" t="s">
        <v>546</v>
      </c>
      <c r="C25" s="47" t="s">
        <v>110</v>
      </c>
      <c r="D25" s="26"/>
      <c r="E25" s="26">
        <v>0</v>
      </c>
      <c r="F25" s="5">
        <v>0</v>
      </c>
      <c r="G25" s="26">
        <v>1</v>
      </c>
      <c r="H25" s="4">
        <v>0</v>
      </c>
      <c r="I25" s="5">
        <v>0</v>
      </c>
      <c r="J25" s="26"/>
      <c r="K25" s="26"/>
      <c r="L25" s="26"/>
      <c r="M25" s="8">
        <v>0</v>
      </c>
      <c r="N25" s="25" t="s">
        <v>544</v>
      </c>
      <c r="O25" s="25">
        <v>0</v>
      </c>
      <c r="P25" s="25">
        <v>0</v>
      </c>
      <c r="Q25" s="25">
        <v>0</v>
      </c>
      <c r="R25" s="4">
        <v>0</v>
      </c>
      <c r="S25" s="4">
        <v>0</v>
      </c>
      <c r="T25" s="4">
        <v>0</v>
      </c>
      <c r="U25" s="4">
        <v>0</v>
      </c>
      <c r="V25" s="5">
        <v>1</v>
      </c>
      <c r="W25" s="5">
        <v>0</v>
      </c>
      <c r="X25" s="5">
        <v>1</v>
      </c>
      <c r="Y25" s="39" t="s">
        <v>546</v>
      </c>
      <c r="Z25" s="5">
        <v>0</v>
      </c>
      <c r="AA25" s="5">
        <v>0</v>
      </c>
      <c r="AB25" s="5">
        <v>1</v>
      </c>
      <c r="AC25" s="5">
        <v>0</v>
      </c>
      <c r="AD25" s="5">
        <v>0</v>
      </c>
      <c r="AE25" s="3">
        <v>0</v>
      </c>
      <c r="AF25" s="5">
        <v>0</v>
      </c>
      <c r="AG25" s="4">
        <v>0</v>
      </c>
      <c r="AH25" s="25">
        <v>0</v>
      </c>
      <c r="AI25" s="26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4">
        <v>0</v>
      </c>
      <c r="AQ25" s="4"/>
      <c r="AR25" s="4">
        <v>0</v>
      </c>
      <c r="AS25" s="4">
        <v>0</v>
      </c>
      <c r="AT25" s="4">
        <v>0</v>
      </c>
      <c r="AU25" s="4">
        <v>0</v>
      </c>
      <c r="AV25" s="12">
        <v>0</v>
      </c>
      <c r="AW25" s="4">
        <v>0</v>
      </c>
      <c r="AX25" s="4">
        <v>0</v>
      </c>
      <c r="AY25" s="4">
        <v>0</v>
      </c>
      <c r="AZ25" s="4">
        <v>0</v>
      </c>
      <c r="BA25" s="4" t="s">
        <v>108</v>
      </c>
      <c r="BB25" s="5">
        <v>0</v>
      </c>
      <c r="BC25" s="17" t="s">
        <v>109</v>
      </c>
      <c r="BD25" s="17" t="s">
        <v>110</v>
      </c>
      <c r="BE25" s="17" t="s">
        <v>110</v>
      </c>
      <c r="BF25" s="17" t="s">
        <v>309</v>
      </c>
      <c r="BG25" s="4" t="str">
        <f t="shared" si="7"/>
        <v>铁质地板</v>
      </c>
      <c r="BH25" s="20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1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3</v>
      </c>
      <c r="CF25" s="4">
        <v>0</v>
      </c>
      <c r="CG25" s="4">
        <v>0</v>
      </c>
      <c r="CH25" s="4">
        <v>1</v>
      </c>
      <c r="CI25" s="4">
        <v>1</v>
      </c>
      <c r="CJ25" s="4">
        <v>1</v>
      </c>
      <c r="CK25" s="4">
        <v>1</v>
      </c>
      <c r="CL25" s="4">
        <v>10</v>
      </c>
      <c r="CM25" s="4">
        <v>0</v>
      </c>
      <c r="CN25" s="4">
        <v>1</v>
      </c>
      <c r="CO25" s="4">
        <v>0</v>
      </c>
      <c r="CP25" s="4">
        <v>0</v>
      </c>
      <c r="CQ25" s="4">
        <v>0</v>
      </c>
      <c r="CR25" s="4" t="str">
        <f t="shared" si="1"/>
        <v>铁质地板</v>
      </c>
      <c r="CS25" s="4">
        <v>0</v>
      </c>
      <c r="CT25" s="4">
        <v>1</v>
      </c>
      <c r="CU25" s="4">
        <v>1</v>
      </c>
      <c r="CV25" s="4">
        <v>603001</v>
      </c>
      <c r="CW25" s="4" t="s">
        <v>116</v>
      </c>
      <c r="CX25" s="4">
        <v>1</v>
      </c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25" t="s">
        <v>715</v>
      </c>
    </row>
    <row r="26" spans="1:119" x14ac:dyDescent="0.15">
      <c r="A26" s="4">
        <v>113004</v>
      </c>
      <c r="B26" s="39" t="s">
        <v>547</v>
      </c>
      <c r="C26" s="47" t="s">
        <v>666</v>
      </c>
      <c r="D26" s="26"/>
      <c r="E26" s="26">
        <v>0</v>
      </c>
      <c r="F26" s="5">
        <v>0</v>
      </c>
      <c r="G26" s="26">
        <v>1</v>
      </c>
      <c r="H26" s="4">
        <v>0</v>
      </c>
      <c r="I26" s="5">
        <v>0</v>
      </c>
      <c r="J26" s="26"/>
      <c r="K26" s="26"/>
      <c r="L26" s="26"/>
      <c r="M26" s="8">
        <v>0</v>
      </c>
      <c r="N26" s="25" t="s">
        <v>544</v>
      </c>
      <c r="O26" s="25">
        <v>0</v>
      </c>
      <c r="P26" s="25">
        <v>0</v>
      </c>
      <c r="Q26" s="25">
        <v>0</v>
      </c>
      <c r="R26" s="4">
        <v>0</v>
      </c>
      <c r="S26" s="4">
        <v>0</v>
      </c>
      <c r="T26" s="4">
        <v>0</v>
      </c>
      <c r="U26" s="4">
        <v>0</v>
      </c>
      <c r="V26" s="5">
        <v>1</v>
      </c>
      <c r="W26" s="5">
        <v>0</v>
      </c>
      <c r="X26" s="5">
        <v>1</v>
      </c>
      <c r="Y26" s="39" t="s">
        <v>547</v>
      </c>
      <c r="Z26" s="5">
        <v>0</v>
      </c>
      <c r="AA26" s="5">
        <v>0</v>
      </c>
      <c r="AB26" s="5">
        <v>1</v>
      </c>
      <c r="AC26" s="5">
        <v>0</v>
      </c>
      <c r="AD26" s="5">
        <v>0</v>
      </c>
      <c r="AE26" s="3">
        <v>0</v>
      </c>
      <c r="AF26" s="5">
        <v>0</v>
      </c>
      <c r="AG26" s="4">
        <v>0</v>
      </c>
      <c r="AH26" s="25">
        <v>0</v>
      </c>
      <c r="AI26" s="26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4">
        <v>0</v>
      </c>
      <c r="AQ26" s="4"/>
      <c r="AR26" s="4">
        <v>0</v>
      </c>
      <c r="AS26" s="4">
        <v>0</v>
      </c>
      <c r="AT26" s="4">
        <v>0</v>
      </c>
      <c r="AU26" s="4">
        <v>0</v>
      </c>
      <c r="AV26" s="12">
        <v>0</v>
      </c>
      <c r="AW26" s="4">
        <v>0</v>
      </c>
      <c r="AX26" s="4">
        <v>0</v>
      </c>
      <c r="AY26" s="4">
        <v>0</v>
      </c>
      <c r="AZ26" s="4">
        <v>0</v>
      </c>
      <c r="BA26" s="4" t="s">
        <v>108</v>
      </c>
      <c r="BB26" s="5">
        <v>0</v>
      </c>
      <c r="BC26" s="17" t="s">
        <v>109</v>
      </c>
      <c r="BD26" s="17" t="s">
        <v>110</v>
      </c>
      <c r="BE26" s="17" t="s">
        <v>110</v>
      </c>
      <c r="BF26" s="17" t="s">
        <v>309</v>
      </c>
      <c r="BG26" s="4" t="str">
        <f t="shared" ref="BG26" si="8">B26</f>
        <v>银质地板</v>
      </c>
      <c r="BH26" s="20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1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3</v>
      </c>
      <c r="CF26" s="4">
        <v>0</v>
      </c>
      <c r="CG26" s="4">
        <v>0</v>
      </c>
      <c r="CH26" s="4">
        <v>1</v>
      </c>
      <c r="CI26" s="4">
        <v>1</v>
      </c>
      <c r="CJ26" s="4">
        <v>1</v>
      </c>
      <c r="CK26" s="4">
        <v>1</v>
      </c>
      <c r="CL26" s="4">
        <v>10</v>
      </c>
      <c r="CM26" s="4">
        <v>0</v>
      </c>
      <c r="CN26" s="4">
        <v>1</v>
      </c>
      <c r="CO26" s="4">
        <v>0</v>
      </c>
      <c r="CP26" s="4">
        <v>0</v>
      </c>
      <c r="CQ26" s="4">
        <v>0</v>
      </c>
      <c r="CR26" s="4" t="str">
        <f t="shared" si="1"/>
        <v>银质地板</v>
      </c>
      <c r="CS26" s="4">
        <v>0</v>
      </c>
      <c r="CT26" s="4">
        <v>1</v>
      </c>
      <c r="CU26" s="4">
        <v>1</v>
      </c>
      <c r="CV26" s="4">
        <v>607001</v>
      </c>
      <c r="CW26" s="25" t="s">
        <v>549</v>
      </c>
      <c r="CX26" s="4">
        <v>1</v>
      </c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25" t="s">
        <v>715</v>
      </c>
    </row>
    <row r="27" spans="1:119" x14ac:dyDescent="0.15">
      <c r="A27" s="4">
        <v>113005</v>
      </c>
      <c r="B27" s="39" t="s">
        <v>548</v>
      </c>
      <c r="C27" s="47" t="s">
        <v>665</v>
      </c>
      <c r="D27" s="26" t="s">
        <v>656</v>
      </c>
      <c r="E27" s="26">
        <v>0</v>
      </c>
      <c r="F27" s="5">
        <v>0</v>
      </c>
      <c r="G27" s="26">
        <v>1</v>
      </c>
      <c r="H27" s="4">
        <v>0</v>
      </c>
      <c r="I27" s="5">
        <v>0</v>
      </c>
      <c r="J27" s="26"/>
      <c r="K27" s="26"/>
      <c r="L27" s="26"/>
      <c r="M27" s="8">
        <v>0</v>
      </c>
      <c r="N27" s="25" t="s">
        <v>544</v>
      </c>
      <c r="O27" s="25">
        <v>0</v>
      </c>
      <c r="P27" s="25">
        <v>0</v>
      </c>
      <c r="Q27" s="25">
        <v>0</v>
      </c>
      <c r="R27" s="4">
        <v>0</v>
      </c>
      <c r="S27" s="4">
        <v>0</v>
      </c>
      <c r="T27" s="4">
        <v>0</v>
      </c>
      <c r="U27" s="4">
        <v>0</v>
      </c>
      <c r="V27" s="5">
        <v>1</v>
      </c>
      <c r="W27" s="5">
        <v>0</v>
      </c>
      <c r="X27" s="5">
        <v>1</v>
      </c>
      <c r="Y27" s="39" t="s">
        <v>548</v>
      </c>
      <c r="Z27" s="5">
        <v>0</v>
      </c>
      <c r="AA27" s="5">
        <v>0</v>
      </c>
      <c r="AB27" s="5">
        <v>1</v>
      </c>
      <c r="AC27" s="5">
        <v>0</v>
      </c>
      <c r="AD27" s="5">
        <v>0</v>
      </c>
      <c r="AE27" s="3">
        <v>0</v>
      </c>
      <c r="AF27" s="5">
        <v>0</v>
      </c>
      <c r="AG27" s="4">
        <v>0</v>
      </c>
      <c r="AH27" s="25">
        <v>0</v>
      </c>
      <c r="AI27" s="26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4">
        <v>0</v>
      </c>
      <c r="AQ27" s="4"/>
      <c r="AR27" s="4">
        <v>0</v>
      </c>
      <c r="AS27" s="4">
        <v>0</v>
      </c>
      <c r="AT27" s="4">
        <v>0</v>
      </c>
      <c r="AU27" s="4">
        <v>0</v>
      </c>
      <c r="AV27" s="12">
        <v>0</v>
      </c>
      <c r="AW27" s="4">
        <v>0</v>
      </c>
      <c r="AX27" s="4">
        <v>0</v>
      </c>
      <c r="AY27" s="4">
        <v>0</v>
      </c>
      <c r="AZ27" s="4">
        <v>0</v>
      </c>
      <c r="BA27" s="4" t="s">
        <v>108</v>
      </c>
      <c r="BB27" s="5">
        <v>0</v>
      </c>
      <c r="BC27" s="17" t="s">
        <v>109</v>
      </c>
      <c r="BD27" s="17" t="s">
        <v>110</v>
      </c>
      <c r="BE27" s="17" t="s">
        <v>110</v>
      </c>
      <c r="BF27" s="17" t="s">
        <v>309</v>
      </c>
      <c r="BG27" s="4" t="str">
        <f t="shared" ref="BG27" si="9">B27</f>
        <v>金质地板</v>
      </c>
      <c r="BH27" s="20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1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3</v>
      </c>
      <c r="CF27" s="4">
        <v>0</v>
      </c>
      <c r="CG27" s="4">
        <v>0</v>
      </c>
      <c r="CH27" s="4">
        <v>1</v>
      </c>
      <c r="CI27" s="4">
        <v>1</v>
      </c>
      <c r="CJ27" s="4">
        <v>1</v>
      </c>
      <c r="CK27" s="4">
        <v>1</v>
      </c>
      <c r="CL27" s="4">
        <v>10</v>
      </c>
      <c r="CM27" s="4">
        <v>0</v>
      </c>
      <c r="CN27" s="4">
        <v>1</v>
      </c>
      <c r="CO27" s="4">
        <v>0</v>
      </c>
      <c r="CP27" s="4">
        <v>0</v>
      </c>
      <c r="CQ27" s="4">
        <v>0</v>
      </c>
      <c r="CR27" s="4" t="str">
        <f t="shared" si="1"/>
        <v>金质地板</v>
      </c>
      <c r="CS27" s="4">
        <v>0</v>
      </c>
      <c r="CT27" s="4">
        <v>1</v>
      </c>
      <c r="CU27" s="4">
        <v>1</v>
      </c>
      <c r="CV27" s="4">
        <v>608001</v>
      </c>
      <c r="CW27" s="4" t="s">
        <v>119</v>
      </c>
      <c r="CX27" s="4">
        <v>1</v>
      </c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25" t="s">
        <v>715</v>
      </c>
    </row>
    <row r="28" spans="1:119" x14ac:dyDescent="0.15">
      <c r="A28" s="4">
        <v>102008</v>
      </c>
      <c r="B28" s="6" t="s">
        <v>134</v>
      </c>
      <c r="C28" s="47" t="s">
        <v>677</v>
      </c>
      <c r="D28" s="26" t="s">
        <v>657</v>
      </c>
      <c r="E28" s="26">
        <v>0</v>
      </c>
      <c r="F28" s="5">
        <v>0</v>
      </c>
      <c r="G28" s="26">
        <v>1</v>
      </c>
      <c r="H28" s="4">
        <v>7</v>
      </c>
      <c r="I28" s="5">
        <v>0</v>
      </c>
      <c r="J28" s="5"/>
      <c r="K28" s="5"/>
      <c r="L28" s="5"/>
      <c r="M28" s="8">
        <v>0</v>
      </c>
      <c r="N28" s="4" t="s">
        <v>135</v>
      </c>
      <c r="O28" s="25">
        <v>0</v>
      </c>
      <c r="P28" s="25">
        <v>0</v>
      </c>
      <c r="Q28" s="25">
        <v>0</v>
      </c>
      <c r="R28" s="4">
        <v>0</v>
      </c>
      <c r="S28" s="4">
        <v>0</v>
      </c>
      <c r="T28" s="4">
        <v>0</v>
      </c>
      <c r="U28" s="4">
        <v>0</v>
      </c>
      <c r="V28" s="5">
        <v>0</v>
      </c>
      <c r="W28" s="5">
        <v>0</v>
      </c>
      <c r="X28" s="5">
        <v>1</v>
      </c>
      <c r="Y28" s="6" t="s">
        <v>134</v>
      </c>
      <c r="Z28" s="5">
        <v>0</v>
      </c>
      <c r="AA28" s="5">
        <v>0</v>
      </c>
      <c r="AB28" s="5">
        <v>1</v>
      </c>
      <c r="AC28" s="5">
        <v>0</v>
      </c>
      <c r="AD28" s="5">
        <v>0</v>
      </c>
      <c r="AE28" s="3">
        <v>0</v>
      </c>
      <c r="AF28" s="5">
        <v>0</v>
      </c>
      <c r="AG28" s="4">
        <v>0</v>
      </c>
      <c r="AH28" s="25">
        <v>0</v>
      </c>
      <c r="AI28" s="26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4">
        <v>0</v>
      </c>
      <c r="AQ28" s="4"/>
      <c r="AR28" s="4">
        <v>1</v>
      </c>
      <c r="AS28" s="4">
        <v>1</v>
      </c>
      <c r="AT28" s="4">
        <v>1</v>
      </c>
      <c r="AU28" s="4">
        <v>1</v>
      </c>
      <c r="AV28" s="12">
        <v>0</v>
      </c>
      <c r="AW28" s="4">
        <v>0</v>
      </c>
      <c r="AX28" s="4">
        <v>0</v>
      </c>
      <c r="AY28" s="4">
        <v>0</v>
      </c>
      <c r="AZ28" s="4">
        <v>0</v>
      </c>
      <c r="BA28" s="4" t="s">
        <v>136</v>
      </c>
      <c r="BB28" s="5">
        <v>0</v>
      </c>
      <c r="BC28" s="17" t="s">
        <v>109</v>
      </c>
      <c r="BD28" s="17" t="s">
        <v>110</v>
      </c>
      <c r="BE28" s="17" t="s">
        <v>110</v>
      </c>
      <c r="BF28" s="17" t="s">
        <v>379</v>
      </c>
      <c r="BG28" s="4" t="str">
        <f t="shared" ref="BG28:BG34" si="10">B28</f>
        <v>城墙</v>
      </c>
      <c r="BH28" s="20">
        <v>3</v>
      </c>
      <c r="BI28" s="4">
        <v>4</v>
      </c>
      <c r="BJ28" s="4">
        <v>0</v>
      </c>
      <c r="BK28" s="4">
        <v>0</v>
      </c>
      <c r="BL28" s="4">
        <v>0</v>
      </c>
      <c r="BM28" s="4">
        <v>1</v>
      </c>
      <c r="BN28" s="4">
        <v>1</v>
      </c>
      <c r="BO28" s="4">
        <v>0</v>
      </c>
      <c r="BP28" s="4">
        <v>1</v>
      </c>
      <c r="BQ28" s="4">
        <v>0</v>
      </c>
      <c r="BR28" s="4">
        <v>1</v>
      </c>
      <c r="BS28" s="4">
        <v>0</v>
      </c>
      <c r="BT28" s="4">
        <v>0</v>
      </c>
      <c r="BU28" s="4">
        <v>1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4</v>
      </c>
      <c r="CF28" s="4">
        <v>0</v>
      </c>
      <c r="CG28" s="4">
        <v>0</v>
      </c>
      <c r="CH28" s="4">
        <v>1</v>
      </c>
      <c r="CI28" s="4">
        <v>1</v>
      </c>
      <c r="CJ28" s="4">
        <v>1</v>
      </c>
      <c r="CK28" s="4">
        <v>1</v>
      </c>
      <c r="CL28" s="4">
        <v>5000</v>
      </c>
      <c r="CM28" s="4">
        <v>1</v>
      </c>
      <c r="CN28" s="4">
        <v>1</v>
      </c>
      <c r="CO28" s="4">
        <v>0</v>
      </c>
      <c r="CP28" s="4">
        <v>0</v>
      </c>
      <c r="CQ28" s="4">
        <v>0</v>
      </c>
      <c r="CR28" s="4" t="str">
        <f t="shared" si="1"/>
        <v>城墙</v>
      </c>
      <c r="CS28" s="4">
        <v>0</v>
      </c>
      <c r="CT28" s="4">
        <v>2</v>
      </c>
      <c r="CU28" s="4">
        <v>20</v>
      </c>
      <c r="CV28" s="4">
        <v>605001</v>
      </c>
      <c r="CW28" s="4" t="s">
        <v>122</v>
      </c>
      <c r="CX28" s="4">
        <v>100</v>
      </c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25" t="s">
        <v>718</v>
      </c>
    </row>
    <row r="29" spans="1:119" x14ac:dyDescent="0.15">
      <c r="A29" s="4">
        <v>102009</v>
      </c>
      <c r="B29" s="6" t="s">
        <v>137</v>
      </c>
      <c r="C29" s="47" t="s">
        <v>677</v>
      </c>
      <c r="D29" s="26" t="s">
        <v>657</v>
      </c>
      <c r="E29" s="26">
        <v>0</v>
      </c>
      <c r="F29" s="5">
        <v>0</v>
      </c>
      <c r="G29" s="26">
        <v>1</v>
      </c>
      <c r="H29" s="4">
        <v>7</v>
      </c>
      <c r="I29" s="5">
        <v>0</v>
      </c>
      <c r="J29" s="5"/>
      <c r="K29" s="5"/>
      <c r="L29" s="5"/>
      <c r="M29" s="8">
        <v>0</v>
      </c>
      <c r="N29" s="4" t="s">
        <v>138</v>
      </c>
      <c r="O29" s="25">
        <v>0</v>
      </c>
      <c r="P29" s="25">
        <v>0</v>
      </c>
      <c r="Q29" s="25">
        <v>0</v>
      </c>
      <c r="R29" s="4">
        <v>1</v>
      </c>
      <c r="S29" s="4">
        <v>0</v>
      </c>
      <c r="T29" s="4">
        <v>0</v>
      </c>
      <c r="U29" s="4">
        <v>0</v>
      </c>
      <c r="V29" s="5">
        <v>0</v>
      </c>
      <c r="W29" s="5">
        <v>0</v>
      </c>
      <c r="X29" s="5">
        <v>1</v>
      </c>
      <c r="Y29" s="6" t="s">
        <v>137</v>
      </c>
      <c r="Z29" s="5">
        <v>0</v>
      </c>
      <c r="AA29" s="5">
        <v>0</v>
      </c>
      <c r="AB29" s="5">
        <v>1</v>
      </c>
      <c r="AC29" s="5">
        <v>0</v>
      </c>
      <c r="AD29" s="5">
        <v>0</v>
      </c>
      <c r="AE29" s="3">
        <v>0</v>
      </c>
      <c r="AF29" s="5">
        <v>0</v>
      </c>
      <c r="AG29" s="4">
        <v>0</v>
      </c>
      <c r="AH29" s="25">
        <v>0</v>
      </c>
      <c r="AI29" s="26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4">
        <v>0</v>
      </c>
      <c r="AQ29" s="4"/>
      <c r="AR29" s="4">
        <v>1</v>
      </c>
      <c r="AS29" s="4">
        <v>1</v>
      </c>
      <c r="AT29" s="4">
        <v>1</v>
      </c>
      <c r="AU29" s="4">
        <v>1</v>
      </c>
      <c r="AV29" s="12">
        <v>0</v>
      </c>
      <c r="AW29" s="4">
        <v>0</v>
      </c>
      <c r="AX29" s="4">
        <v>0</v>
      </c>
      <c r="AY29" s="4">
        <v>0</v>
      </c>
      <c r="AZ29" s="4">
        <v>0</v>
      </c>
      <c r="BA29" s="4" t="s">
        <v>139</v>
      </c>
      <c r="BB29" s="5">
        <v>0</v>
      </c>
      <c r="BC29" s="17" t="s">
        <v>109</v>
      </c>
      <c r="BD29" s="17" t="s">
        <v>110</v>
      </c>
      <c r="BE29" s="17" t="s">
        <v>110</v>
      </c>
      <c r="BF29" s="17" t="s">
        <v>379</v>
      </c>
      <c r="BG29" s="4" t="str">
        <f t="shared" si="10"/>
        <v>城门</v>
      </c>
      <c r="BH29" s="20">
        <v>3</v>
      </c>
      <c r="BI29" s="4">
        <v>4</v>
      </c>
      <c r="BJ29" s="4">
        <v>0</v>
      </c>
      <c r="BK29" s="4">
        <v>0</v>
      </c>
      <c r="BL29" s="4">
        <v>0</v>
      </c>
      <c r="BM29" s="4">
        <v>1</v>
      </c>
      <c r="BN29" s="4">
        <v>1</v>
      </c>
      <c r="BO29" s="4">
        <v>0</v>
      </c>
      <c r="BP29" s="4">
        <v>1</v>
      </c>
      <c r="BQ29" s="4">
        <v>0</v>
      </c>
      <c r="BR29" s="4">
        <v>1</v>
      </c>
      <c r="BS29" s="4">
        <v>0</v>
      </c>
      <c r="BT29" s="4">
        <v>0</v>
      </c>
      <c r="BU29" s="4">
        <v>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4</v>
      </c>
      <c r="CF29" s="4">
        <v>0</v>
      </c>
      <c r="CG29" s="4">
        <v>0</v>
      </c>
      <c r="CH29" s="4">
        <v>1</v>
      </c>
      <c r="CI29" s="4">
        <v>1</v>
      </c>
      <c r="CJ29" s="4">
        <v>1</v>
      </c>
      <c r="CK29" s="4">
        <v>1</v>
      </c>
      <c r="CL29" s="4">
        <v>5000</v>
      </c>
      <c r="CM29" s="4">
        <v>1</v>
      </c>
      <c r="CN29" s="4">
        <v>1</v>
      </c>
      <c r="CO29" s="4">
        <v>0</v>
      </c>
      <c r="CP29" s="4">
        <v>0</v>
      </c>
      <c r="CQ29" s="4">
        <v>0</v>
      </c>
      <c r="CR29" s="4" t="str">
        <f t="shared" si="1"/>
        <v>城门</v>
      </c>
      <c r="CS29" s="4">
        <v>0</v>
      </c>
      <c r="CT29" s="4">
        <v>2</v>
      </c>
      <c r="CU29" s="4">
        <v>20</v>
      </c>
      <c r="CV29" s="4">
        <v>604001</v>
      </c>
      <c r="CW29" s="4" t="s">
        <v>113</v>
      </c>
      <c r="CX29" s="4">
        <v>50</v>
      </c>
      <c r="CY29" s="4">
        <v>605001</v>
      </c>
      <c r="CZ29" s="4" t="s">
        <v>122</v>
      </c>
      <c r="DA29" s="4">
        <v>80</v>
      </c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</row>
    <row r="30" spans="1:119" x14ac:dyDescent="0.15">
      <c r="A30" s="4">
        <v>103002</v>
      </c>
      <c r="B30" s="6" t="s">
        <v>143</v>
      </c>
      <c r="C30" s="47" t="s">
        <v>110</v>
      </c>
      <c r="D30" s="26"/>
      <c r="E30" s="26">
        <v>0</v>
      </c>
      <c r="F30" s="5">
        <v>0</v>
      </c>
      <c r="G30" s="26">
        <v>1</v>
      </c>
      <c r="H30" s="4">
        <v>4</v>
      </c>
      <c r="I30" s="5">
        <v>0</v>
      </c>
      <c r="J30" s="5"/>
      <c r="K30" s="5"/>
      <c r="L30" s="5"/>
      <c r="M30" s="8">
        <v>0</v>
      </c>
      <c r="N30" s="4" t="s">
        <v>144</v>
      </c>
      <c r="O30" s="25">
        <v>1</v>
      </c>
      <c r="P30" s="25">
        <v>0</v>
      </c>
      <c r="Q30" s="25">
        <v>0</v>
      </c>
      <c r="R30" s="4">
        <v>1</v>
      </c>
      <c r="S30" s="4">
        <v>1</v>
      </c>
      <c r="T30" s="4">
        <v>1</v>
      </c>
      <c r="U30" s="4">
        <v>0</v>
      </c>
      <c r="V30" s="5">
        <v>1</v>
      </c>
      <c r="W30" s="5">
        <v>0</v>
      </c>
      <c r="X30" s="5">
        <v>1</v>
      </c>
      <c r="Y30" s="6" t="s">
        <v>143</v>
      </c>
      <c r="Z30" s="5">
        <v>0</v>
      </c>
      <c r="AA30" s="5">
        <v>1</v>
      </c>
      <c r="AB30" s="5">
        <v>1</v>
      </c>
      <c r="AC30" s="5">
        <v>2</v>
      </c>
      <c r="AD30" s="5">
        <v>0</v>
      </c>
      <c r="AE30" s="3">
        <v>1</v>
      </c>
      <c r="AF30" s="5">
        <v>0</v>
      </c>
      <c r="AG30" s="4">
        <v>0</v>
      </c>
      <c r="AH30" s="25">
        <v>0</v>
      </c>
      <c r="AI30" s="26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4">
        <v>1</v>
      </c>
      <c r="AQ30" s="4"/>
      <c r="AR30" s="4">
        <v>0</v>
      </c>
      <c r="AS30" s="4">
        <v>0</v>
      </c>
      <c r="AT30" s="4">
        <v>1</v>
      </c>
      <c r="AU30" s="4">
        <v>0</v>
      </c>
      <c r="AV30" s="12">
        <v>0</v>
      </c>
      <c r="AW30" s="4">
        <v>1</v>
      </c>
      <c r="AX30" s="4">
        <v>1</v>
      </c>
      <c r="AY30" s="4">
        <v>1</v>
      </c>
      <c r="AZ30" s="4">
        <v>1</v>
      </c>
      <c r="BA30" s="13" t="s">
        <v>145</v>
      </c>
      <c r="BB30" s="5">
        <v>1</v>
      </c>
      <c r="BC30" s="17" t="s">
        <v>109</v>
      </c>
      <c r="BD30" s="17" t="s">
        <v>110</v>
      </c>
      <c r="BE30" s="17" t="s">
        <v>109</v>
      </c>
      <c r="BF30" s="17" t="s">
        <v>379</v>
      </c>
      <c r="BG30" s="4" t="str">
        <f t="shared" si="10"/>
        <v>料堆</v>
      </c>
      <c r="BH30" s="20">
        <v>2</v>
      </c>
      <c r="BI30" s="4">
        <v>2</v>
      </c>
      <c r="BJ30" s="4">
        <v>0</v>
      </c>
      <c r="BK30" s="4">
        <v>0</v>
      </c>
      <c r="BL30" s="4">
        <v>1234</v>
      </c>
      <c r="BM30" s="4">
        <v>1</v>
      </c>
      <c r="BN30" s="4">
        <v>1</v>
      </c>
      <c r="BO30" s="4">
        <v>0</v>
      </c>
      <c r="BP30" s="4">
        <v>0</v>
      </c>
      <c r="BQ30" s="4">
        <v>0</v>
      </c>
      <c r="BR30" s="4">
        <v>1</v>
      </c>
      <c r="BS30" s="4">
        <v>0</v>
      </c>
      <c r="BT30" s="4">
        <v>0</v>
      </c>
      <c r="BU30" s="4">
        <v>1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1</v>
      </c>
      <c r="CG30" s="4">
        <v>0</v>
      </c>
      <c r="CH30" s="4">
        <v>1</v>
      </c>
      <c r="CI30" s="4">
        <v>1</v>
      </c>
      <c r="CJ30" s="4">
        <v>1</v>
      </c>
      <c r="CK30" s="4">
        <v>1</v>
      </c>
      <c r="CL30" s="4">
        <v>50</v>
      </c>
      <c r="CM30" s="4">
        <v>1</v>
      </c>
      <c r="CN30" s="4">
        <v>1</v>
      </c>
      <c r="CO30" s="4">
        <v>0</v>
      </c>
      <c r="CP30" s="4">
        <v>0</v>
      </c>
      <c r="CQ30" s="4">
        <v>0</v>
      </c>
      <c r="CR30" s="4" t="str">
        <f t="shared" si="1"/>
        <v>料堆</v>
      </c>
      <c r="CS30" s="4">
        <v>0</v>
      </c>
      <c r="CT30" s="4">
        <v>1</v>
      </c>
      <c r="CU30" s="4">
        <v>0</v>
      </c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</row>
    <row r="31" spans="1:119" ht="54" x14ac:dyDescent="0.15">
      <c r="A31" s="4">
        <v>103001</v>
      </c>
      <c r="B31" s="6" t="s">
        <v>140</v>
      </c>
      <c r="C31" s="47" t="s">
        <v>110</v>
      </c>
      <c r="D31" s="26"/>
      <c r="E31" s="26">
        <v>0</v>
      </c>
      <c r="F31" s="5">
        <v>0</v>
      </c>
      <c r="G31" s="26">
        <v>1</v>
      </c>
      <c r="H31" s="4">
        <v>4</v>
      </c>
      <c r="I31" s="5">
        <v>0</v>
      </c>
      <c r="J31" s="5"/>
      <c r="K31" s="5"/>
      <c r="L31" s="5"/>
      <c r="M31" s="8">
        <v>0</v>
      </c>
      <c r="N31" s="4" t="s">
        <v>141</v>
      </c>
      <c r="O31" s="25">
        <v>1</v>
      </c>
      <c r="P31" s="25">
        <v>0</v>
      </c>
      <c r="Q31" s="25">
        <v>0</v>
      </c>
      <c r="R31" s="4">
        <v>1</v>
      </c>
      <c r="S31" s="4">
        <v>1</v>
      </c>
      <c r="T31" s="4">
        <v>1</v>
      </c>
      <c r="U31" s="4">
        <v>0</v>
      </c>
      <c r="V31" s="5">
        <v>1</v>
      </c>
      <c r="W31" s="5">
        <v>0</v>
      </c>
      <c r="X31" s="5">
        <v>1</v>
      </c>
      <c r="Y31" s="6" t="s">
        <v>140</v>
      </c>
      <c r="Z31" s="5">
        <v>0</v>
      </c>
      <c r="AA31" s="5">
        <v>1</v>
      </c>
      <c r="AB31" s="5">
        <v>1</v>
      </c>
      <c r="AC31" s="5">
        <v>2</v>
      </c>
      <c r="AD31" s="5">
        <v>0</v>
      </c>
      <c r="AE31" s="3">
        <v>1</v>
      </c>
      <c r="AF31" s="5">
        <v>0</v>
      </c>
      <c r="AG31" s="4">
        <v>0</v>
      </c>
      <c r="AH31" s="25">
        <v>0</v>
      </c>
      <c r="AI31" s="26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4">
        <v>1</v>
      </c>
      <c r="AQ31" s="4"/>
      <c r="AR31" s="4">
        <v>1</v>
      </c>
      <c r="AS31" s="4">
        <v>1</v>
      </c>
      <c r="AT31" s="4">
        <v>1</v>
      </c>
      <c r="AU31" s="4">
        <v>1</v>
      </c>
      <c r="AV31" s="12">
        <v>0</v>
      </c>
      <c r="AW31" s="4">
        <v>1</v>
      </c>
      <c r="AX31" s="4">
        <v>1</v>
      </c>
      <c r="AY31" s="4">
        <v>1</v>
      </c>
      <c r="AZ31" s="4">
        <v>1</v>
      </c>
      <c r="BA31" s="13" t="s">
        <v>142</v>
      </c>
      <c r="BB31" s="5">
        <v>1</v>
      </c>
      <c r="BC31" s="17" t="s">
        <v>109</v>
      </c>
      <c r="BD31" s="17" t="s">
        <v>110</v>
      </c>
      <c r="BE31" s="17" t="s">
        <v>109</v>
      </c>
      <c r="BF31" s="17" t="s">
        <v>379</v>
      </c>
      <c r="BG31" s="4" t="str">
        <f t="shared" si="10"/>
        <v>大箱子</v>
      </c>
      <c r="BH31" s="20">
        <v>3</v>
      </c>
      <c r="BI31" s="4">
        <v>2</v>
      </c>
      <c r="BJ31" s="4">
        <v>0</v>
      </c>
      <c r="BK31" s="4">
        <v>0</v>
      </c>
      <c r="BL31" s="4">
        <v>1234</v>
      </c>
      <c r="BM31" s="4">
        <v>1</v>
      </c>
      <c r="BN31" s="4">
        <v>1</v>
      </c>
      <c r="BO31" s="4">
        <v>0</v>
      </c>
      <c r="BP31" s="4">
        <v>0</v>
      </c>
      <c r="BQ31" s="4">
        <v>1</v>
      </c>
      <c r="BR31" s="4">
        <v>1</v>
      </c>
      <c r="BS31" s="4">
        <v>0</v>
      </c>
      <c r="BT31" s="4">
        <v>0</v>
      </c>
      <c r="BU31" s="4">
        <v>1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4</v>
      </c>
      <c r="CF31" s="4">
        <v>1</v>
      </c>
      <c r="CG31" s="4">
        <v>0</v>
      </c>
      <c r="CH31" s="4">
        <v>1</v>
      </c>
      <c r="CI31" s="4">
        <v>1</v>
      </c>
      <c r="CJ31" s="4">
        <v>1</v>
      </c>
      <c r="CK31" s="4">
        <v>1</v>
      </c>
      <c r="CL31" s="4">
        <v>200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 t="str">
        <f t="shared" si="1"/>
        <v>大箱子</v>
      </c>
      <c r="CS31" s="4">
        <v>0</v>
      </c>
      <c r="CT31" s="4">
        <v>2</v>
      </c>
      <c r="CU31" s="4">
        <v>10</v>
      </c>
      <c r="CV31" s="4">
        <v>604001</v>
      </c>
      <c r="CW31" s="4" t="s">
        <v>113</v>
      </c>
      <c r="CX31" s="4">
        <v>100</v>
      </c>
      <c r="CY31" s="4"/>
      <c r="CZ31" s="4"/>
      <c r="DA31" s="4"/>
      <c r="DB31" s="4">
        <v>603001</v>
      </c>
      <c r="DC31" s="4" t="s">
        <v>116</v>
      </c>
      <c r="DD31" s="4">
        <v>5</v>
      </c>
      <c r="DE31" s="4"/>
      <c r="DF31" s="4"/>
      <c r="DG31" s="4"/>
      <c r="DH31" s="4"/>
      <c r="DI31" s="4"/>
      <c r="DJ31" s="4"/>
      <c r="DK31" s="4"/>
      <c r="DL31" s="4"/>
      <c r="DM31" s="4"/>
      <c r="DN31" s="2" t="s">
        <v>690</v>
      </c>
      <c r="DO31" s="4"/>
    </row>
    <row r="32" spans="1:119" ht="18.75" customHeight="1" x14ac:dyDescent="0.15">
      <c r="A32" s="4">
        <v>103008</v>
      </c>
      <c r="B32" s="28" t="s">
        <v>441</v>
      </c>
      <c r="C32" s="47" t="s">
        <v>110</v>
      </c>
      <c r="D32" s="26"/>
      <c r="E32" s="26">
        <v>0</v>
      </c>
      <c r="F32" s="5">
        <v>0</v>
      </c>
      <c r="G32" s="26">
        <v>1</v>
      </c>
      <c r="H32" s="4">
        <v>4</v>
      </c>
      <c r="I32" s="5">
        <v>0</v>
      </c>
      <c r="J32" s="26"/>
      <c r="K32" s="26"/>
      <c r="L32" s="26"/>
      <c r="M32" s="8">
        <v>0</v>
      </c>
      <c r="N32" s="4" t="s">
        <v>322</v>
      </c>
      <c r="O32" s="25">
        <v>1</v>
      </c>
      <c r="P32" s="25">
        <v>0</v>
      </c>
      <c r="Q32" s="25">
        <v>0</v>
      </c>
      <c r="R32" s="4">
        <v>0</v>
      </c>
      <c r="S32" s="4">
        <v>0</v>
      </c>
      <c r="T32" s="4">
        <v>1</v>
      </c>
      <c r="U32" s="4">
        <v>0</v>
      </c>
      <c r="V32" s="5">
        <v>1</v>
      </c>
      <c r="W32" s="5">
        <v>0</v>
      </c>
      <c r="X32" s="5">
        <v>1</v>
      </c>
      <c r="Y32" s="28" t="s">
        <v>441</v>
      </c>
      <c r="Z32" s="5">
        <v>0</v>
      </c>
      <c r="AA32" s="5">
        <v>1</v>
      </c>
      <c r="AB32" s="5">
        <v>1</v>
      </c>
      <c r="AC32" s="5">
        <v>2</v>
      </c>
      <c r="AD32" s="5">
        <v>0</v>
      </c>
      <c r="AE32" s="3">
        <v>1</v>
      </c>
      <c r="AF32" s="5">
        <v>0</v>
      </c>
      <c r="AG32" s="4">
        <v>0</v>
      </c>
      <c r="AH32" s="25">
        <v>0</v>
      </c>
      <c r="AI32" s="26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4">
        <v>1</v>
      </c>
      <c r="AQ32" s="4"/>
      <c r="AR32" s="4">
        <v>1</v>
      </c>
      <c r="AS32" s="4">
        <v>1</v>
      </c>
      <c r="AT32" s="4">
        <v>1</v>
      </c>
      <c r="AU32" s="4">
        <v>1</v>
      </c>
      <c r="AV32" s="12">
        <v>0</v>
      </c>
      <c r="AW32" s="4">
        <v>1</v>
      </c>
      <c r="AX32" s="4">
        <v>1</v>
      </c>
      <c r="AY32" s="4">
        <v>1</v>
      </c>
      <c r="AZ32" s="4">
        <v>0</v>
      </c>
      <c r="BA32" s="4" t="s">
        <v>146</v>
      </c>
      <c r="BB32" s="5">
        <v>1</v>
      </c>
      <c r="BC32" s="17" t="s">
        <v>109</v>
      </c>
      <c r="BD32" s="17" t="s">
        <v>110</v>
      </c>
      <c r="BE32" s="17" t="s">
        <v>109</v>
      </c>
      <c r="BF32" s="17" t="s">
        <v>379</v>
      </c>
      <c r="BG32" s="4" t="str">
        <f t="shared" si="10"/>
        <v>周转箱</v>
      </c>
      <c r="BH32" s="20">
        <v>1</v>
      </c>
      <c r="BI32" s="4">
        <v>1</v>
      </c>
      <c r="BJ32" s="4">
        <v>0</v>
      </c>
      <c r="BK32" s="4">
        <v>0</v>
      </c>
      <c r="BL32" s="4">
        <v>1234</v>
      </c>
      <c r="BM32" s="4">
        <v>1</v>
      </c>
      <c r="BN32" s="4">
        <v>1</v>
      </c>
      <c r="BO32" s="4">
        <v>0</v>
      </c>
      <c r="BP32" s="4">
        <v>0</v>
      </c>
      <c r="BQ32" s="4">
        <v>1</v>
      </c>
      <c r="BR32" s="4">
        <v>1</v>
      </c>
      <c r="BS32" s="4">
        <v>0</v>
      </c>
      <c r="BT32" s="4">
        <v>0</v>
      </c>
      <c r="BU32" s="4">
        <v>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1</v>
      </c>
      <c r="CB32" s="4">
        <v>1</v>
      </c>
      <c r="CC32" s="4">
        <v>20</v>
      </c>
      <c r="CD32" s="4">
        <v>0</v>
      </c>
      <c r="CE32" s="4">
        <v>4</v>
      </c>
      <c r="CF32" s="4">
        <v>1</v>
      </c>
      <c r="CG32" s="4">
        <v>0</v>
      </c>
      <c r="CH32" s="4">
        <v>1</v>
      </c>
      <c r="CI32" s="4">
        <v>1</v>
      </c>
      <c r="CJ32" s="4">
        <v>1</v>
      </c>
      <c r="CK32" s="4">
        <v>1</v>
      </c>
      <c r="CL32" s="4">
        <v>100</v>
      </c>
      <c r="CM32" s="4">
        <v>0</v>
      </c>
      <c r="CN32" s="4">
        <v>1</v>
      </c>
      <c r="CO32" s="4">
        <v>0</v>
      </c>
      <c r="CP32" s="4">
        <v>0</v>
      </c>
      <c r="CQ32" s="4">
        <v>0</v>
      </c>
      <c r="CR32" s="4" t="str">
        <f t="shared" si="1"/>
        <v>周转箱</v>
      </c>
      <c r="CS32" s="4">
        <v>0</v>
      </c>
      <c r="CT32" s="4">
        <v>1</v>
      </c>
      <c r="CU32" s="4">
        <v>10</v>
      </c>
      <c r="CV32" s="4">
        <v>604001</v>
      </c>
      <c r="CW32" s="4" t="s">
        <v>113</v>
      </c>
      <c r="CX32" s="4">
        <v>30</v>
      </c>
      <c r="CY32" s="4">
        <v>603001</v>
      </c>
      <c r="CZ32" s="4" t="s">
        <v>116</v>
      </c>
      <c r="DA32" s="4">
        <v>5</v>
      </c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31" t="s">
        <v>642</v>
      </c>
      <c r="DO32" s="4"/>
    </row>
    <row r="33" spans="1:119" ht="40.5" x14ac:dyDescent="0.15">
      <c r="A33" s="4">
        <v>103003</v>
      </c>
      <c r="B33" s="34" t="s">
        <v>442</v>
      </c>
      <c r="C33" s="47" t="s">
        <v>110</v>
      </c>
      <c r="D33" s="26"/>
      <c r="E33" s="26">
        <v>0</v>
      </c>
      <c r="F33" s="5">
        <v>1</v>
      </c>
      <c r="G33" s="26">
        <v>1</v>
      </c>
      <c r="H33" s="4">
        <v>4</v>
      </c>
      <c r="I33" s="5">
        <v>0</v>
      </c>
      <c r="J33" s="26"/>
      <c r="K33" s="26"/>
      <c r="L33" s="26"/>
      <c r="M33" s="8">
        <v>0</v>
      </c>
      <c r="N33" s="4" t="s">
        <v>323</v>
      </c>
      <c r="O33" s="25">
        <v>0</v>
      </c>
      <c r="P33" s="25">
        <v>0</v>
      </c>
      <c r="Q33" s="25">
        <v>0</v>
      </c>
      <c r="R33" s="4">
        <v>1</v>
      </c>
      <c r="S33" s="4">
        <v>0</v>
      </c>
      <c r="T33" s="4">
        <v>0</v>
      </c>
      <c r="U33" s="4">
        <v>0</v>
      </c>
      <c r="V33" s="5">
        <v>1</v>
      </c>
      <c r="W33" s="5">
        <v>0</v>
      </c>
      <c r="X33" s="5">
        <v>1</v>
      </c>
      <c r="Y33" s="34" t="s">
        <v>442</v>
      </c>
      <c r="Z33" s="5">
        <v>0</v>
      </c>
      <c r="AA33" s="5">
        <v>1</v>
      </c>
      <c r="AB33" s="5">
        <v>0</v>
      </c>
      <c r="AC33" s="5">
        <v>2</v>
      </c>
      <c r="AD33" s="5">
        <v>0</v>
      </c>
      <c r="AE33" s="3">
        <v>0</v>
      </c>
      <c r="AF33" s="5">
        <v>1</v>
      </c>
      <c r="AG33" s="4">
        <v>1</v>
      </c>
      <c r="AH33" s="25">
        <v>1</v>
      </c>
      <c r="AI33" s="26">
        <v>0</v>
      </c>
      <c r="AJ33" s="5">
        <v>0</v>
      </c>
      <c r="AK33" s="5">
        <v>0</v>
      </c>
      <c r="AL33" s="5">
        <v>1</v>
      </c>
      <c r="AM33" s="5">
        <v>0</v>
      </c>
      <c r="AN33" s="5">
        <v>1</v>
      </c>
      <c r="AO33" s="5">
        <v>1</v>
      </c>
      <c r="AP33" s="4">
        <v>1</v>
      </c>
      <c r="AQ33" s="4"/>
      <c r="AR33" s="13">
        <v>1</v>
      </c>
      <c r="AS33" s="13">
        <v>0</v>
      </c>
      <c r="AT33" s="4">
        <v>1</v>
      </c>
      <c r="AU33" s="4">
        <v>1</v>
      </c>
      <c r="AV33" s="12">
        <v>0</v>
      </c>
      <c r="AW33" s="4">
        <v>1</v>
      </c>
      <c r="AX33" s="4">
        <v>1</v>
      </c>
      <c r="AY33" s="4">
        <v>1</v>
      </c>
      <c r="AZ33" s="4">
        <v>0</v>
      </c>
      <c r="BA33" s="38" t="s">
        <v>376</v>
      </c>
      <c r="BB33" s="5">
        <v>90</v>
      </c>
      <c r="BC33" s="17" t="s">
        <v>109</v>
      </c>
      <c r="BD33" s="17" t="s">
        <v>110</v>
      </c>
      <c r="BE33" s="17" t="s">
        <v>109</v>
      </c>
      <c r="BF33" s="17" t="s">
        <v>379</v>
      </c>
      <c r="BG33" s="4" t="str">
        <f t="shared" si="10"/>
        <v>货架</v>
      </c>
      <c r="BH33" s="20">
        <v>1</v>
      </c>
      <c r="BI33" s="4">
        <v>1</v>
      </c>
      <c r="BJ33" s="4">
        <v>0</v>
      </c>
      <c r="BK33" s="4">
        <v>0</v>
      </c>
      <c r="BL33" s="4">
        <v>1234</v>
      </c>
      <c r="BM33" s="4">
        <v>1</v>
      </c>
      <c r="BN33" s="4">
        <v>1</v>
      </c>
      <c r="BO33" s="4">
        <v>0</v>
      </c>
      <c r="BP33" s="4">
        <v>0</v>
      </c>
      <c r="BQ33" s="4">
        <v>0</v>
      </c>
      <c r="BR33" s="4">
        <v>1</v>
      </c>
      <c r="BS33" s="4">
        <v>0</v>
      </c>
      <c r="BT33" s="4">
        <v>0</v>
      </c>
      <c r="BU33" s="4">
        <v>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1</v>
      </c>
      <c r="CB33" s="4">
        <v>1</v>
      </c>
      <c r="CC33" s="4">
        <v>2</v>
      </c>
      <c r="CD33" s="4">
        <v>0</v>
      </c>
      <c r="CE33" s="4">
        <v>3</v>
      </c>
      <c r="CF33" s="4">
        <v>1</v>
      </c>
      <c r="CG33" s="4">
        <v>0</v>
      </c>
      <c r="CH33" s="4">
        <v>1</v>
      </c>
      <c r="CI33" s="4">
        <v>2</v>
      </c>
      <c r="CJ33" s="4">
        <v>2</v>
      </c>
      <c r="CK33" s="4">
        <v>50</v>
      </c>
      <c r="CL33" s="4">
        <v>100</v>
      </c>
      <c r="CM33" s="4">
        <v>0</v>
      </c>
      <c r="CN33" s="4">
        <v>1</v>
      </c>
      <c r="CO33" s="4">
        <v>1</v>
      </c>
      <c r="CP33" s="4">
        <v>0</v>
      </c>
      <c r="CQ33" s="4">
        <v>0</v>
      </c>
      <c r="CR33" s="4" t="str">
        <f>B33</f>
        <v>货架</v>
      </c>
      <c r="CS33" s="4">
        <v>0</v>
      </c>
      <c r="CT33" s="4">
        <v>3</v>
      </c>
      <c r="CU33" s="4">
        <v>1</v>
      </c>
      <c r="CV33" s="4">
        <v>604001</v>
      </c>
      <c r="CW33" s="4" t="s">
        <v>113</v>
      </c>
      <c r="CX33" s="4">
        <v>6</v>
      </c>
      <c r="CY33" s="4">
        <v>605001</v>
      </c>
      <c r="CZ33" s="4" t="s">
        <v>122</v>
      </c>
      <c r="DA33" s="4">
        <v>1</v>
      </c>
      <c r="DB33" s="4">
        <v>603001</v>
      </c>
      <c r="DC33" s="4" t="s">
        <v>116</v>
      </c>
      <c r="DD33" s="4">
        <v>1</v>
      </c>
      <c r="DE33" s="4"/>
      <c r="DF33" s="4"/>
      <c r="DG33" s="4"/>
      <c r="DH33" s="4"/>
      <c r="DI33" s="4"/>
      <c r="DJ33" s="4"/>
      <c r="DK33" s="4"/>
      <c r="DL33" s="4"/>
      <c r="DM33" s="4"/>
      <c r="DN33" s="31" t="s">
        <v>582</v>
      </c>
      <c r="DO33" s="25" t="s">
        <v>720</v>
      </c>
    </row>
    <row r="34" spans="1:119" ht="18" customHeight="1" x14ac:dyDescent="0.15">
      <c r="A34" s="4">
        <v>103012</v>
      </c>
      <c r="B34" s="25" t="s">
        <v>597</v>
      </c>
      <c r="C34" s="47" t="s">
        <v>110</v>
      </c>
      <c r="D34" s="26"/>
      <c r="E34" s="26">
        <v>0</v>
      </c>
      <c r="F34" s="5">
        <v>1</v>
      </c>
      <c r="G34" s="26">
        <v>1</v>
      </c>
      <c r="H34" s="4">
        <v>4</v>
      </c>
      <c r="I34" s="4">
        <v>0</v>
      </c>
      <c r="J34" s="4"/>
      <c r="K34" s="4"/>
      <c r="L34" s="4"/>
      <c r="M34" s="8">
        <v>0</v>
      </c>
      <c r="N34" s="4" t="s">
        <v>151</v>
      </c>
      <c r="O34" s="25">
        <v>0</v>
      </c>
      <c r="P34" s="25">
        <v>0</v>
      </c>
      <c r="Q34" s="25">
        <v>0</v>
      </c>
      <c r="R34" s="4">
        <v>1</v>
      </c>
      <c r="S34" s="4">
        <v>0</v>
      </c>
      <c r="T34" s="4">
        <v>0</v>
      </c>
      <c r="U34" s="4">
        <v>0</v>
      </c>
      <c r="V34" s="5">
        <v>1</v>
      </c>
      <c r="W34" s="5">
        <v>0</v>
      </c>
      <c r="X34" s="5">
        <v>1</v>
      </c>
      <c r="Y34" s="25" t="s">
        <v>597</v>
      </c>
      <c r="Z34" s="5">
        <v>0</v>
      </c>
      <c r="AA34" s="5">
        <v>1</v>
      </c>
      <c r="AB34" s="5">
        <v>1</v>
      </c>
      <c r="AC34" s="5">
        <v>2</v>
      </c>
      <c r="AD34" s="5">
        <v>0</v>
      </c>
      <c r="AE34" s="3">
        <v>1</v>
      </c>
      <c r="AF34" s="5">
        <v>0</v>
      </c>
      <c r="AG34" s="4">
        <v>0</v>
      </c>
      <c r="AH34" s="25">
        <v>0</v>
      </c>
      <c r="AI34" s="26">
        <v>0</v>
      </c>
      <c r="AJ34" s="5">
        <v>0</v>
      </c>
      <c r="AK34" s="5">
        <v>0</v>
      </c>
      <c r="AL34" s="32">
        <v>1</v>
      </c>
      <c r="AM34" s="11">
        <v>1</v>
      </c>
      <c r="AN34" s="5">
        <v>1</v>
      </c>
      <c r="AO34" s="5">
        <v>0</v>
      </c>
      <c r="AP34" s="4">
        <v>1</v>
      </c>
      <c r="AQ34" s="4"/>
      <c r="AR34" s="13">
        <v>1</v>
      </c>
      <c r="AS34" s="4">
        <v>0</v>
      </c>
      <c r="AT34" s="4">
        <v>0</v>
      </c>
      <c r="AU34" s="4">
        <v>0</v>
      </c>
      <c r="AV34" s="12">
        <v>0</v>
      </c>
      <c r="AW34" s="4">
        <v>1</v>
      </c>
      <c r="AX34" s="4">
        <v>1</v>
      </c>
      <c r="AY34" s="4">
        <v>1</v>
      </c>
      <c r="AZ34" s="4">
        <v>0</v>
      </c>
      <c r="BA34" s="16" t="s">
        <v>152</v>
      </c>
      <c r="BB34" s="5">
        <v>100</v>
      </c>
      <c r="BC34" s="17" t="s">
        <v>109</v>
      </c>
      <c r="BD34" s="17" t="s">
        <v>110</v>
      </c>
      <c r="BE34" s="17" t="s">
        <v>109</v>
      </c>
      <c r="BF34" s="17" t="s">
        <v>379</v>
      </c>
      <c r="BG34" s="4" t="str">
        <f t="shared" si="10"/>
        <v>马车站</v>
      </c>
      <c r="BH34" s="20">
        <v>1</v>
      </c>
      <c r="BI34" s="4">
        <v>1</v>
      </c>
      <c r="BJ34" s="4">
        <v>0</v>
      </c>
      <c r="BK34" s="4">
        <v>0</v>
      </c>
      <c r="BL34" s="4">
        <v>1</v>
      </c>
      <c r="BM34" s="4">
        <v>1</v>
      </c>
      <c r="BN34" s="4">
        <v>0</v>
      </c>
      <c r="BO34" s="4">
        <v>0</v>
      </c>
      <c r="BP34" s="4">
        <v>1</v>
      </c>
      <c r="BQ34" s="4">
        <v>1</v>
      </c>
      <c r="BR34" s="4">
        <v>1</v>
      </c>
      <c r="BS34" s="4">
        <v>0</v>
      </c>
      <c r="BT34" s="4">
        <v>0</v>
      </c>
      <c r="BU34" s="4">
        <v>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1</v>
      </c>
      <c r="CB34" s="4">
        <v>0</v>
      </c>
      <c r="CC34" s="4">
        <v>50</v>
      </c>
      <c r="CD34" s="4">
        <v>0</v>
      </c>
      <c r="CE34" s="4">
        <v>4</v>
      </c>
      <c r="CF34" s="4">
        <v>0</v>
      </c>
      <c r="CG34" s="4">
        <v>0</v>
      </c>
      <c r="CH34" s="4">
        <v>1</v>
      </c>
      <c r="CI34" s="4">
        <v>5</v>
      </c>
      <c r="CJ34" s="4">
        <v>3</v>
      </c>
      <c r="CK34" s="4">
        <v>9</v>
      </c>
      <c r="CL34" s="4">
        <v>100</v>
      </c>
      <c r="CM34" s="4">
        <v>0</v>
      </c>
      <c r="CN34" s="4">
        <v>0</v>
      </c>
      <c r="CO34" s="4">
        <v>1</v>
      </c>
      <c r="CP34" s="4">
        <v>0</v>
      </c>
      <c r="CQ34" s="4">
        <v>0</v>
      </c>
      <c r="CR34" s="4" t="str">
        <f>B34</f>
        <v>马车站</v>
      </c>
      <c r="CS34" s="4">
        <v>0</v>
      </c>
      <c r="CT34" s="4">
        <v>5</v>
      </c>
      <c r="CU34" s="4">
        <v>1</v>
      </c>
      <c r="CV34" s="4">
        <v>604001</v>
      </c>
      <c r="CW34" s="4" t="s">
        <v>113</v>
      </c>
      <c r="CX34" s="4">
        <v>2</v>
      </c>
      <c r="CY34" s="4">
        <v>605001</v>
      </c>
      <c r="CZ34" s="4" t="s">
        <v>122</v>
      </c>
      <c r="DA34" s="4">
        <v>2</v>
      </c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31" t="s">
        <v>507</v>
      </c>
      <c r="DO34" s="25" t="s">
        <v>719</v>
      </c>
    </row>
    <row r="35" spans="1:119" x14ac:dyDescent="0.15">
      <c r="A35" s="4">
        <v>103007</v>
      </c>
      <c r="B35" s="6" t="s">
        <v>464</v>
      </c>
      <c r="C35" s="47" t="s">
        <v>667</v>
      </c>
      <c r="D35" s="26" t="s">
        <v>658</v>
      </c>
      <c r="E35" s="26">
        <v>0</v>
      </c>
      <c r="F35" s="5">
        <v>1</v>
      </c>
      <c r="G35" s="26">
        <v>1</v>
      </c>
      <c r="H35" s="4">
        <v>0</v>
      </c>
      <c r="I35" s="5">
        <v>0</v>
      </c>
      <c r="J35" s="5"/>
      <c r="K35" s="5"/>
      <c r="L35" s="5"/>
      <c r="M35" s="8">
        <v>0</v>
      </c>
      <c r="N35" s="25" t="s">
        <v>465</v>
      </c>
      <c r="O35" s="25">
        <v>0</v>
      </c>
      <c r="P35" s="25">
        <v>0</v>
      </c>
      <c r="Q35" s="25">
        <v>1</v>
      </c>
      <c r="R35" s="4">
        <v>1</v>
      </c>
      <c r="S35" s="4">
        <v>0</v>
      </c>
      <c r="T35" s="4">
        <v>0</v>
      </c>
      <c r="U35" s="4">
        <v>0</v>
      </c>
      <c r="V35" s="5">
        <v>1</v>
      </c>
      <c r="W35" s="5">
        <v>0</v>
      </c>
      <c r="X35" s="5">
        <v>1</v>
      </c>
      <c r="Y35" s="6" t="s">
        <v>464</v>
      </c>
      <c r="Z35" s="5">
        <v>0</v>
      </c>
      <c r="AA35" s="5">
        <v>1</v>
      </c>
      <c r="AB35" s="5">
        <v>1</v>
      </c>
      <c r="AC35" s="5">
        <v>2</v>
      </c>
      <c r="AD35" s="5">
        <v>0</v>
      </c>
      <c r="AE35" s="3">
        <v>1</v>
      </c>
      <c r="AF35" s="5">
        <v>0</v>
      </c>
      <c r="AG35" s="4">
        <v>0</v>
      </c>
      <c r="AH35" s="25">
        <v>0</v>
      </c>
      <c r="AI35" s="26">
        <v>0</v>
      </c>
      <c r="AJ35" s="5">
        <v>0</v>
      </c>
      <c r="AK35" s="5">
        <v>0</v>
      </c>
      <c r="AL35" s="5">
        <v>1</v>
      </c>
      <c r="AM35" s="5">
        <v>0</v>
      </c>
      <c r="AN35" s="5">
        <v>1</v>
      </c>
      <c r="AO35" s="5">
        <v>1</v>
      </c>
      <c r="AP35" s="4">
        <v>1</v>
      </c>
      <c r="AQ35" s="4"/>
      <c r="AR35" s="4">
        <v>0</v>
      </c>
      <c r="AS35" s="4">
        <v>0</v>
      </c>
      <c r="AT35" s="4">
        <v>1</v>
      </c>
      <c r="AU35" s="4">
        <v>0</v>
      </c>
      <c r="AV35" s="12">
        <v>0</v>
      </c>
      <c r="AW35" s="4">
        <v>1</v>
      </c>
      <c r="AX35" s="4">
        <v>1</v>
      </c>
      <c r="AY35" s="4">
        <v>1</v>
      </c>
      <c r="AZ35" s="4">
        <v>0</v>
      </c>
      <c r="BA35" s="37" t="s">
        <v>466</v>
      </c>
      <c r="BB35" s="5">
        <v>1</v>
      </c>
      <c r="BC35" s="17" t="s">
        <v>109</v>
      </c>
      <c r="BD35" s="17" t="s">
        <v>110</v>
      </c>
      <c r="BE35" s="17" t="s">
        <v>109</v>
      </c>
      <c r="BF35" s="17" t="s">
        <v>309</v>
      </c>
      <c r="BG35" s="4" t="str">
        <f t="shared" ref="BG35" si="11">B35</f>
        <v>冰窖</v>
      </c>
      <c r="BH35" s="20">
        <v>2</v>
      </c>
      <c r="BI35" s="4">
        <v>2</v>
      </c>
      <c r="BJ35" s="4">
        <v>0</v>
      </c>
      <c r="BK35" s="4">
        <v>0</v>
      </c>
      <c r="BL35" s="4">
        <v>1234</v>
      </c>
      <c r="BM35" s="4">
        <v>1</v>
      </c>
      <c r="BN35" s="4">
        <v>1</v>
      </c>
      <c r="BO35" s="4">
        <v>0</v>
      </c>
      <c r="BP35" s="4">
        <v>0</v>
      </c>
      <c r="BQ35" s="4">
        <v>0</v>
      </c>
      <c r="BR35" s="4">
        <v>1</v>
      </c>
      <c r="BS35" s="4">
        <v>0</v>
      </c>
      <c r="BT35" s="4">
        <v>0</v>
      </c>
      <c r="BU35" s="4">
        <v>1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1</v>
      </c>
      <c r="CG35" s="4">
        <v>0</v>
      </c>
      <c r="CH35" s="4">
        <v>1</v>
      </c>
      <c r="CI35" s="4">
        <v>1</v>
      </c>
      <c r="CJ35" s="4">
        <v>1</v>
      </c>
      <c r="CK35" s="4">
        <v>1</v>
      </c>
      <c r="CL35" s="4">
        <v>50</v>
      </c>
      <c r="CM35" s="4">
        <v>0</v>
      </c>
      <c r="CN35" s="4">
        <v>1</v>
      </c>
      <c r="CO35" s="4">
        <v>0</v>
      </c>
      <c r="CP35" s="4">
        <v>0</v>
      </c>
      <c r="CQ35" s="4">
        <v>0</v>
      </c>
      <c r="CR35" s="4" t="str">
        <f t="shared" ref="CR35" si="12">B35</f>
        <v>冰窖</v>
      </c>
      <c r="CS35" s="4">
        <v>0</v>
      </c>
      <c r="CT35" s="4">
        <v>10</v>
      </c>
      <c r="CU35" s="4">
        <v>100</v>
      </c>
      <c r="CV35" s="4">
        <v>604001</v>
      </c>
      <c r="CW35" s="4" t="s">
        <v>113</v>
      </c>
      <c r="CX35" s="4">
        <v>50</v>
      </c>
      <c r="CY35" s="4">
        <v>605001</v>
      </c>
      <c r="CZ35" s="4" t="s">
        <v>122</v>
      </c>
      <c r="DA35" s="4">
        <v>1000</v>
      </c>
      <c r="DB35" s="4">
        <v>603001</v>
      </c>
      <c r="DC35" s="4" t="s">
        <v>116</v>
      </c>
      <c r="DD35" s="4">
        <v>50</v>
      </c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</row>
    <row r="36" spans="1:119" ht="54" x14ac:dyDescent="0.15">
      <c r="A36" s="4">
        <v>103009</v>
      </c>
      <c r="B36" s="6" t="s">
        <v>464</v>
      </c>
      <c r="C36" s="47" t="s">
        <v>667</v>
      </c>
      <c r="D36" s="26" t="s">
        <v>658</v>
      </c>
      <c r="E36" s="26">
        <v>0</v>
      </c>
      <c r="F36" s="5">
        <v>1</v>
      </c>
      <c r="G36" s="26">
        <v>1</v>
      </c>
      <c r="H36" s="4">
        <v>4</v>
      </c>
      <c r="I36" s="5">
        <v>0</v>
      </c>
      <c r="J36" s="5"/>
      <c r="K36" s="5"/>
      <c r="L36" s="5"/>
      <c r="M36" s="8">
        <v>0</v>
      </c>
      <c r="N36" s="25" t="s">
        <v>543</v>
      </c>
      <c r="O36" s="25">
        <v>0</v>
      </c>
      <c r="P36" s="25">
        <v>0</v>
      </c>
      <c r="Q36" s="25">
        <v>1</v>
      </c>
      <c r="R36" s="4">
        <v>1</v>
      </c>
      <c r="S36" s="4">
        <v>0</v>
      </c>
      <c r="T36" s="4">
        <v>0</v>
      </c>
      <c r="U36" s="4">
        <v>0</v>
      </c>
      <c r="V36" s="5">
        <v>1</v>
      </c>
      <c r="W36" s="5">
        <v>0</v>
      </c>
      <c r="X36" s="5">
        <v>1</v>
      </c>
      <c r="Y36" s="6" t="s">
        <v>464</v>
      </c>
      <c r="Z36" s="5">
        <v>0</v>
      </c>
      <c r="AA36" s="5">
        <v>1</v>
      </c>
      <c r="AB36" s="5">
        <v>1</v>
      </c>
      <c r="AC36" s="5">
        <v>2</v>
      </c>
      <c r="AD36" s="5">
        <v>0</v>
      </c>
      <c r="AE36" s="3">
        <v>1</v>
      </c>
      <c r="AF36" s="5">
        <v>0</v>
      </c>
      <c r="AG36" s="4">
        <v>0</v>
      </c>
      <c r="AH36" s="25">
        <v>0</v>
      </c>
      <c r="AI36" s="26">
        <v>0</v>
      </c>
      <c r="AJ36" s="5">
        <v>0</v>
      </c>
      <c r="AK36" s="5">
        <v>0</v>
      </c>
      <c r="AL36" s="5">
        <v>1</v>
      </c>
      <c r="AM36" s="5">
        <v>0</v>
      </c>
      <c r="AN36" s="5">
        <v>1</v>
      </c>
      <c r="AO36" s="5">
        <v>1</v>
      </c>
      <c r="AP36" s="4">
        <v>1</v>
      </c>
      <c r="AQ36" s="4"/>
      <c r="AR36" s="4">
        <v>0</v>
      </c>
      <c r="AS36" s="4">
        <v>0</v>
      </c>
      <c r="AT36" s="4">
        <v>1</v>
      </c>
      <c r="AU36" s="4">
        <v>0</v>
      </c>
      <c r="AV36" s="12">
        <v>0</v>
      </c>
      <c r="AW36" s="4">
        <v>1</v>
      </c>
      <c r="AX36" s="4">
        <v>1</v>
      </c>
      <c r="AY36" s="4">
        <v>1</v>
      </c>
      <c r="AZ36" s="4">
        <v>0</v>
      </c>
      <c r="BA36" s="37" t="s">
        <v>466</v>
      </c>
      <c r="BB36" s="5">
        <v>1</v>
      </c>
      <c r="BC36" s="17" t="s">
        <v>109</v>
      </c>
      <c r="BD36" s="17" t="s">
        <v>110</v>
      </c>
      <c r="BE36" s="17" t="s">
        <v>109</v>
      </c>
      <c r="BF36" s="17" t="s">
        <v>309</v>
      </c>
      <c r="BG36" s="4" t="str">
        <f t="shared" ref="BG36" si="13">B36</f>
        <v>冰窖</v>
      </c>
      <c r="BH36" s="20">
        <v>7</v>
      </c>
      <c r="BI36" s="4">
        <v>7</v>
      </c>
      <c r="BJ36" s="4">
        <v>0</v>
      </c>
      <c r="BK36" s="4">
        <v>0</v>
      </c>
      <c r="BL36" s="4">
        <v>1234</v>
      </c>
      <c r="BM36" s="4">
        <v>1</v>
      </c>
      <c r="BN36" s="4">
        <v>1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1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1</v>
      </c>
      <c r="CG36" s="4">
        <v>0</v>
      </c>
      <c r="CH36" s="4">
        <v>1</v>
      </c>
      <c r="CI36" s="4">
        <v>1</v>
      </c>
      <c r="CJ36" s="4">
        <v>1</v>
      </c>
      <c r="CK36" s="4">
        <v>1</v>
      </c>
      <c r="CL36" s="4">
        <v>50</v>
      </c>
      <c r="CM36" s="4">
        <v>0</v>
      </c>
      <c r="CN36" s="4">
        <v>1</v>
      </c>
      <c r="CO36" s="4">
        <v>0</v>
      </c>
      <c r="CP36" s="4">
        <v>0</v>
      </c>
      <c r="CQ36" s="4">
        <v>0</v>
      </c>
      <c r="CR36" s="4" t="str">
        <f t="shared" ref="CR36" si="14">B36</f>
        <v>冰窖</v>
      </c>
      <c r="CS36" s="4">
        <v>0</v>
      </c>
      <c r="CT36" s="4">
        <v>10</v>
      </c>
      <c r="CU36" s="4">
        <v>100</v>
      </c>
      <c r="CV36" s="4">
        <v>604001</v>
      </c>
      <c r="CW36" s="4" t="s">
        <v>113</v>
      </c>
      <c r="CX36" s="4">
        <v>50</v>
      </c>
      <c r="CY36" s="4">
        <v>605001</v>
      </c>
      <c r="CZ36" s="4" t="s">
        <v>122</v>
      </c>
      <c r="DA36" s="4">
        <v>1000</v>
      </c>
      <c r="DB36" s="4">
        <v>603001</v>
      </c>
      <c r="DC36" s="4" t="s">
        <v>116</v>
      </c>
      <c r="DD36" s="4">
        <v>50</v>
      </c>
      <c r="DE36" s="4"/>
      <c r="DF36" s="4"/>
      <c r="DG36" s="4"/>
      <c r="DH36" s="4"/>
      <c r="DI36" s="4"/>
      <c r="DJ36" s="4"/>
      <c r="DK36" s="4"/>
      <c r="DL36" s="4"/>
      <c r="DM36" s="4"/>
      <c r="DN36" s="31" t="s">
        <v>634</v>
      </c>
      <c r="DO36" s="4"/>
    </row>
    <row r="37" spans="1:119" ht="15.75" customHeight="1" x14ac:dyDescent="0.15">
      <c r="A37" s="4">
        <v>109005</v>
      </c>
      <c r="B37" s="6" t="s">
        <v>272</v>
      </c>
      <c r="C37" s="47" t="s">
        <v>110</v>
      </c>
      <c r="D37" s="26"/>
      <c r="E37" s="26">
        <v>0</v>
      </c>
      <c r="F37" s="5">
        <v>1</v>
      </c>
      <c r="G37" s="26">
        <v>1</v>
      </c>
      <c r="H37" s="4">
        <v>4</v>
      </c>
      <c r="I37" s="5">
        <v>0</v>
      </c>
      <c r="J37" s="5"/>
      <c r="K37" s="5"/>
      <c r="L37" s="5"/>
      <c r="M37" s="8">
        <v>0</v>
      </c>
      <c r="N37" s="4" t="s">
        <v>273</v>
      </c>
      <c r="O37" s="25">
        <v>0</v>
      </c>
      <c r="P37" s="25">
        <v>0</v>
      </c>
      <c r="Q37" s="25">
        <v>0</v>
      </c>
      <c r="R37" s="4">
        <v>0</v>
      </c>
      <c r="S37" s="4">
        <v>0</v>
      </c>
      <c r="T37" s="4">
        <v>0</v>
      </c>
      <c r="U37" s="4">
        <v>0</v>
      </c>
      <c r="V37" s="5">
        <v>1</v>
      </c>
      <c r="W37" s="5">
        <v>0</v>
      </c>
      <c r="X37" s="5">
        <v>1</v>
      </c>
      <c r="Y37" s="6" t="s">
        <v>272</v>
      </c>
      <c r="Z37" s="5">
        <v>0</v>
      </c>
      <c r="AA37" s="5">
        <v>1</v>
      </c>
      <c r="AB37" s="5">
        <v>1</v>
      </c>
      <c r="AC37" s="5">
        <v>0</v>
      </c>
      <c r="AD37" s="5">
        <v>0</v>
      </c>
      <c r="AE37" s="3">
        <v>0</v>
      </c>
      <c r="AF37" s="5">
        <v>0</v>
      </c>
      <c r="AG37" s="4">
        <v>0</v>
      </c>
      <c r="AH37" s="25">
        <v>0</v>
      </c>
      <c r="AI37" s="26">
        <v>0</v>
      </c>
      <c r="AJ37" s="5">
        <v>0</v>
      </c>
      <c r="AK37" s="5">
        <v>0</v>
      </c>
      <c r="AL37" s="5">
        <v>1</v>
      </c>
      <c r="AM37" s="5">
        <v>0</v>
      </c>
      <c r="AN37" s="5">
        <v>1</v>
      </c>
      <c r="AO37" s="5">
        <v>1</v>
      </c>
      <c r="AP37" s="4">
        <v>1</v>
      </c>
      <c r="AQ37" s="4"/>
      <c r="AR37" s="4">
        <v>0</v>
      </c>
      <c r="AS37" s="4">
        <v>0</v>
      </c>
      <c r="AT37" s="4">
        <v>1</v>
      </c>
      <c r="AU37" s="4">
        <v>0</v>
      </c>
      <c r="AV37" s="12">
        <v>0</v>
      </c>
      <c r="AW37" s="4">
        <v>1</v>
      </c>
      <c r="AX37" s="4">
        <v>1</v>
      </c>
      <c r="AY37" s="4">
        <v>1</v>
      </c>
      <c r="AZ37" s="4">
        <v>0</v>
      </c>
      <c r="BA37" s="4" t="s">
        <v>274</v>
      </c>
      <c r="BB37" s="5">
        <v>1</v>
      </c>
      <c r="BC37" s="17" t="s">
        <v>109</v>
      </c>
      <c r="BD37" s="17" t="s">
        <v>110</v>
      </c>
      <c r="BE37" s="17" t="s">
        <v>109</v>
      </c>
      <c r="BF37" s="17" t="s">
        <v>379</v>
      </c>
      <c r="BG37" s="4" t="str">
        <f>B37</f>
        <v>国库</v>
      </c>
      <c r="BH37" s="20">
        <v>6</v>
      </c>
      <c r="BI37" s="4">
        <v>6</v>
      </c>
      <c r="BJ37" s="4">
        <v>0</v>
      </c>
      <c r="BK37" s="4">
        <v>0</v>
      </c>
      <c r="BL37" s="4">
        <v>1</v>
      </c>
      <c r="BM37" s="4">
        <v>1</v>
      </c>
      <c r="BN37" s="4">
        <v>1</v>
      </c>
      <c r="BO37" s="4">
        <v>0</v>
      </c>
      <c r="BP37" s="4">
        <v>0</v>
      </c>
      <c r="BQ37" s="4">
        <v>1</v>
      </c>
      <c r="BR37" s="4">
        <v>1</v>
      </c>
      <c r="BS37" s="4">
        <v>0</v>
      </c>
      <c r="BT37" s="4">
        <v>0</v>
      </c>
      <c r="BU37" s="4">
        <v>1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4</v>
      </c>
      <c r="CF37" s="4">
        <v>0</v>
      </c>
      <c r="CG37" s="4">
        <v>1</v>
      </c>
      <c r="CH37" s="4">
        <v>0</v>
      </c>
      <c r="CI37" s="4">
        <v>1</v>
      </c>
      <c r="CJ37" s="4">
        <v>1</v>
      </c>
      <c r="CK37" s="4">
        <v>1</v>
      </c>
      <c r="CL37" s="4">
        <v>1000</v>
      </c>
      <c r="CM37" s="4">
        <v>0</v>
      </c>
      <c r="CN37" s="4">
        <v>1</v>
      </c>
      <c r="CO37" s="4">
        <v>0</v>
      </c>
      <c r="CP37" s="4">
        <v>0</v>
      </c>
      <c r="CQ37" s="4">
        <v>0</v>
      </c>
      <c r="CR37" s="4" t="str">
        <f>B37</f>
        <v>国库</v>
      </c>
      <c r="CS37" s="4">
        <v>0</v>
      </c>
      <c r="CT37" s="4">
        <v>1</v>
      </c>
      <c r="CU37" s="4">
        <v>20</v>
      </c>
      <c r="CV37" s="4">
        <v>604001</v>
      </c>
      <c r="CW37" s="4" t="s">
        <v>113</v>
      </c>
      <c r="CX37" s="4">
        <v>50</v>
      </c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2" t="s">
        <v>689</v>
      </c>
      <c r="DO37" s="4"/>
    </row>
    <row r="38" spans="1:119" x14ac:dyDescent="0.15">
      <c r="A38" s="4">
        <v>103004</v>
      </c>
      <c r="B38" s="34" t="s">
        <v>599</v>
      </c>
      <c r="C38" s="47" t="s">
        <v>681</v>
      </c>
      <c r="D38" s="26" t="s">
        <v>659</v>
      </c>
      <c r="E38" s="26">
        <v>0</v>
      </c>
      <c r="F38" s="5">
        <v>1</v>
      </c>
      <c r="G38" s="26">
        <v>1</v>
      </c>
      <c r="H38" s="4">
        <v>5</v>
      </c>
      <c r="I38" s="5">
        <v>1</v>
      </c>
      <c r="J38" s="5"/>
      <c r="K38" s="5"/>
      <c r="L38" s="5"/>
      <c r="M38" s="8">
        <v>0</v>
      </c>
      <c r="N38" s="4" t="s">
        <v>324</v>
      </c>
      <c r="O38" s="25">
        <v>0</v>
      </c>
      <c r="P38" s="25">
        <v>0</v>
      </c>
      <c r="Q38" s="25">
        <v>0</v>
      </c>
      <c r="R38" s="4">
        <v>0</v>
      </c>
      <c r="S38" s="4">
        <v>0</v>
      </c>
      <c r="T38" s="4">
        <v>0</v>
      </c>
      <c r="U38" s="4">
        <v>0</v>
      </c>
      <c r="V38" s="5">
        <v>1</v>
      </c>
      <c r="W38" s="5">
        <v>0</v>
      </c>
      <c r="X38" s="5">
        <v>1</v>
      </c>
      <c r="Y38" s="34" t="s">
        <v>599</v>
      </c>
      <c r="Z38" s="5">
        <v>0</v>
      </c>
      <c r="AA38" s="5">
        <v>1</v>
      </c>
      <c r="AB38" s="5">
        <v>1</v>
      </c>
      <c r="AC38" s="5">
        <v>0</v>
      </c>
      <c r="AD38" s="5">
        <v>0</v>
      </c>
      <c r="AE38" s="3">
        <v>0</v>
      </c>
      <c r="AF38" s="5">
        <v>0</v>
      </c>
      <c r="AG38" s="4">
        <v>0</v>
      </c>
      <c r="AH38" s="25">
        <v>0</v>
      </c>
      <c r="AI38" s="26">
        <v>0</v>
      </c>
      <c r="AJ38" s="5">
        <v>0</v>
      </c>
      <c r="AK38" s="5">
        <v>0</v>
      </c>
      <c r="AL38" s="5">
        <v>1</v>
      </c>
      <c r="AM38" s="5">
        <v>0</v>
      </c>
      <c r="AN38" s="5">
        <v>1</v>
      </c>
      <c r="AO38" s="5">
        <v>1</v>
      </c>
      <c r="AP38" s="4">
        <v>1</v>
      </c>
      <c r="AQ38" s="4"/>
      <c r="AR38" s="13">
        <v>0</v>
      </c>
      <c r="AS38" s="13">
        <v>0</v>
      </c>
      <c r="AT38" s="4">
        <v>0</v>
      </c>
      <c r="AU38" s="4">
        <v>0</v>
      </c>
      <c r="AV38" s="12">
        <v>0</v>
      </c>
      <c r="AW38" s="4">
        <v>1</v>
      </c>
      <c r="AX38" s="4">
        <v>1</v>
      </c>
      <c r="AY38" s="4">
        <v>1</v>
      </c>
      <c r="AZ38" s="4">
        <v>0</v>
      </c>
      <c r="BA38" s="16" t="s">
        <v>147</v>
      </c>
      <c r="BB38" s="5">
        <v>70</v>
      </c>
      <c r="BC38" s="17" t="s">
        <v>109</v>
      </c>
      <c r="BD38" s="17" t="s">
        <v>110</v>
      </c>
      <c r="BE38" s="17" t="s">
        <v>109</v>
      </c>
      <c r="BF38" s="17" t="s">
        <v>379</v>
      </c>
      <c r="BG38" s="4" t="str">
        <f t="shared" ref="BG38:BG48" si="15">B38</f>
        <v>交易台</v>
      </c>
      <c r="BH38" s="20">
        <v>3</v>
      </c>
      <c r="BI38" s="4">
        <v>3</v>
      </c>
      <c r="BJ38" s="4">
        <v>0</v>
      </c>
      <c r="BK38" s="4">
        <v>0</v>
      </c>
      <c r="BL38" s="4">
        <v>1234</v>
      </c>
      <c r="BM38" s="4">
        <v>1</v>
      </c>
      <c r="BN38" s="4">
        <v>1</v>
      </c>
      <c r="BO38" s="4">
        <v>0</v>
      </c>
      <c r="BP38" s="4">
        <v>0</v>
      </c>
      <c r="BQ38" s="4">
        <v>1</v>
      </c>
      <c r="BR38" s="4">
        <v>0</v>
      </c>
      <c r="BS38" s="4">
        <v>0</v>
      </c>
      <c r="BT38" s="4">
        <v>1</v>
      </c>
      <c r="BU38" s="4">
        <v>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1</v>
      </c>
      <c r="CB38" s="4">
        <v>0</v>
      </c>
      <c r="CC38" s="4">
        <v>999</v>
      </c>
      <c r="CD38" s="4">
        <v>0</v>
      </c>
      <c r="CE38" s="4">
        <v>3</v>
      </c>
      <c r="CF38" s="4">
        <v>1</v>
      </c>
      <c r="CG38" s="4">
        <v>1</v>
      </c>
      <c r="CH38" s="4">
        <v>1</v>
      </c>
      <c r="CI38" s="4">
        <v>1</v>
      </c>
      <c r="CJ38" s="4">
        <v>1</v>
      </c>
      <c r="CK38" s="4">
        <v>1</v>
      </c>
      <c r="CL38" s="4">
        <v>300</v>
      </c>
      <c r="CM38" s="4">
        <v>0</v>
      </c>
      <c r="CN38" s="4">
        <v>1</v>
      </c>
      <c r="CO38" s="4">
        <v>0</v>
      </c>
      <c r="CP38" s="4">
        <v>0</v>
      </c>
      <c r="CQ38" s="4">
        <v>0</v>
      </c>
      <c r="CR38" s="4" t="str">
        <f t="shared" ref="CR38:CR64" si="16">B38</f>
        <v>交易台</v>
      </c>
      <c r="CS38" s="4">
        <v>0</v>
      </c>
      <c r="CT38" s="4">
        <v>10</v>
      </c>
      <c r="CU38" s="4">
        <v>10</v>
      </c>
      <c r="CV38" s="4">
        <v>604001</v>
      </c>
      <c r="CW38" s="4" t="s">
        <v>113</v>
      </c>
      <c r="CX38" s="4">
        <v>100</v>
      </c>
      <c r="CY38" s="4">
        <v>605001</v>
      </c>
      <c r="CZ38" s="4" t="s">
        <v>122</v>
      </c>
      <c r="DA38" s="4">
        <v>10</v>
      </c>
      <c r="DB38" s="4">
        <v>603001</v>
      </c>
      <c r="DC38" s="4" t="s">
        <v>116</v>
      </c>
      <c r="DD38" s="4">
        <v>50</v>
      </c>
      <c r="DE38" s="4"/>
      <c r="DF38" s="4"/>
      <c r="DG38" s="4"/>
      <c r="DH38" s="4"/>
      <c r="DI38" s="4"/>
      <c r="DJ38" s="4"/>
      <c r="DK38" s="4"/>
      <c r="DL38" s="4"/>
      <c r="DM38" s="4"/>
      <c r="DN38" s="4" t="s">
        <v>409</v>
      </c>
      <c r="DO38" s="4"/>
    </row>
    <row r="39" spans="1:119" ht="18" customHeight="1" x14ac:dyDescent="0.15">
      <c r="A39" s="4">
        <v>103005</v>
      </c>
      <c r="B39" s="34" t="s">
        <v>598</v>
      </c>
      <c r="C39" s="47" t="s">
        <v>688</v>
      </c>
      <c r="D39" s="26" t="s">
        <v>659</v>
      </c>
      <c r="E39" s="26">
        <v>0</v>
      </c>
      <c r="F39" s="5">
        <v>1</v>
      </c>
      <c r="G39" s="26">
        <v>1</v>
      </c>
      <c r="H39" s="4">
        <v>5</v>
      </c>
      <c r="I39" s="5">
        <v>1</v>
      </c>
      <c r="J39" s="5"/>
      <c r="K39" s="5"/>
      <c r="L39" s="5"/>
      <c r="M39" s="8">
        <v>0</v>
      </c>
      <c r="N39" s="4" t="s">
        <v>148</v>
      </c>
      <c r="O39" s="25">
        <v>0</v>
      </c>
      <c r="P39" s="25">
        <v>0</v>
      </c>
      <c r="Q39" s="25">
        <v>0</v>
      </c>
      <c r="R39" s="4">
        <v>1</v>
      </c>
      <c r="S39" s="4">
        <v>0</v>
      </c>
      <c r="T39" s="4">
        <v>0</v>
      </c>
      <c r="U39" s="4">
        <v>0</v>
      </c>
      <c r="V39" s="5">
        <v>1</v>
      </c>
      <c r="W39" s="5">
        <v>0</v>
      </c>
      <c r="X39" s="5">
        <v>1</v>
      </c>
      <c r="Y39" s="34" t="s">
        <v>598</v>
      </c>
      <c r="Z39" s="5">
        <v>0</v>
      </c>
      <c r="AA39" s="5">
        <v>1</v>
      </c>
      <c r="AB39" s="5">
        <v>1</v>
      </c>
      <c r="AC39" s="5">
        <v>0</v>
      </c>
      <c r="AD39" s="5">
        <v>0</v>
      </c>
      <c r="AE39" s="3">
        <v>0</v>
      </c>
      <c r="AF39" s="5">
        <v>0</v>
      </c>
      <c r="AG39" s="4">
        <v>0</v>
      </c>
      <c r="AH39" s="25">
        <v>0</v>
      </c>
      <c r="AI39" s="26">
        <v>0</v>
      </c>
      <c r="AJ39" s="5">
        <v>0</v>
      </c>
      <c r="AK39" s="5">
        <v>0</v>
      </c>
      <c r="AL39" s="5">
        <v>1</v>
      </c>
      <c r="AM39" s="5">
        <v>0</v>
      </c>
      <c r="AN39" s="5">
        <v>1</v>
      </c>
      <c r="AO39" s="5">
        <v>1</v>
      </c>
      <c r="AP39" s="4">
        <v>1</v>
      </c>
      <c r="AQ39" s="4"/>
      <c r="AR39" s="13">
        <v>0</v>
      </c>
      <c r="AS39" s="13">
        <v>0</v>
      </c>
      <c r="AT39" s="4">
        <v>0</v>
      </c>
      <c r="AU39" s="4">
        <v>0</v>
      </c>
      <c r="AV39" s="12">
        <v>0</v>
      </c>
      <c r="AW39" s="4">
        <v>1</v>
      </c>
      <c r="AX39" s="4">
        <v>1</v>
      </c>
      <c r="AY39" s="4">
        <v>1</v>
      </c>
      <c r="AZ39" s="4">
        <v>0</v>
      </c>
      <c r="BA39" s="16" t="s">
        <v>149</v>
      </c>
      <c r="BB39" s="5">
        <v>80</v>
      </c>
      <c r="BC39" s="17" t="s">
        <v>109</v>
      </c>
      <c r="BD39" s="17" t="s">
        <v>110</v>
      </c>
      <c r="BE39" s="17" t="s">
        <v>109</v>
      </c>
      <c r="BF39" s="17" t="s">
        <v>379</v>
      </c>
      <c r="BG39" s="4" t="str">
        <f t="shared" si="15"/>
        <v>边贸口岸</v>
      </c>
      <c r="BH39" s="20">
        <v>3</v>
      </c>
      <c r="BI39" s="4">
        <v>7</v>
      </c>
      <c r="BJ39" s="4">
        <v>0</v>
      </c>
      <c r="BK39" s="4">
        <v>0</v>
      </c>
      <c r="BL39" s="4">
        <v>1234</v>
      </c>
      <c r="BM39" s="4">
        <v>1</v>
      </c>
      <c r="BN39" s="4">
        <v>1</v>
      </c>
      <c r="BO39" s="4">
        <v>0</v>
      </c>
      <c r="BP39" s="4">
        <v>0</v>
      </c>
      <c r="BQ39" s="4">
        <v>1</v>
      </c>
      <c r="BR39" s="4">
        <v>0</v>
      </c>
      <c r="BS39" s="4">
        <v>0</v>
      </c>
      <c r="BT39" s="4">
        <v>1</v>
      </c>
      <c r="BU39" s="4">
        <v>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1</v>
      </c>
      <c r="CB39" s="4">
        <v>0</v>
      </c>
      <c r="CC39" s="4">
        <v>999</v>
      </c>
      <c r="CD39" s="4">
        <v>0</v>
      </c>
      <c r="CE39" s="4">
        <v>3</v>
      </c>
      <c r="CF39" s="4">
        <v>1</v>
      </c>
      <c r="CG39" s="4">
        <v>0</v>
      </c>
      <c r="CH39" s="4">
        <v>1</v>
      </c>
      <c r="CI39" s="4">
        <v>1</v>
      </c>
      <c r="CJ39" s="4">
        <v>1</v>
      </c>
      <c r="CK39" s="4">
        <v>1</v>
      </c>
      <c r="CL39" s="4">
        <v>300</v>
      </c>
      <c r="CM39" s="4">
        <v>0</v>
      </c>
      <c r="CN39" s="4">
        <v>1</v>
      </c>
      <c r="CO39" s="4">
        <v>0</v>
      </c>
      <c r="CP39" s="4">
        <v>0</v>
      </c>
      <c r="CQ39" s="4">
        <v>0</v>
      </c>
      <c r="CR39" s="4" t="str">
        <f t="shared" si="16"/>
        <v>边贸口岸</v>
      </c>
      <c r="CS39" s="4">
        <v>0</v>
      </c>
      <c r="CT39" s="4">
        <v>10</v>
      </c>
      <c r="CU39" s="4">
        <v>10</v>
      </c>
      <c r="CV39" s="4">
        <v>604001</v>
      </c>
      <c r="CW39" s="4" t="s">
        <v>113</v>
      </c>
      <c r="CX39" s="4">
        <v>100</v>
      </c>
      <c r="CY39" s="4">
        <v>605001</v>
      </c>
      <c r="CZ39" s="4" t="s">
        <v>122</v>
      </c>
      <c r="DA39" s="4">
        <v>10</v>
      </c>
      <c r="DB39" s="4">
        <v>603001</v>
      </c>
      <c r="DC39" s="4" t="s">
        <v>116</v>
      </c>
      <c r="DD39" s="4">
        <v>50</v>
      </c>
      <c r="DE39" s="4"/>
      <c r="DF39" s="4"/>
      <c r="DG39" s="4"/>
      <c r="DH39" s="4"/>
      <c r="DI39" s="4"/>
      <c r="DJ39" s="4"/>
      <c r="DK39" s="4"/>
      <c r="DL39" s="4"/>
      <c r="DM39" s="4"/>
      <c r="DN39" s="31" t="s">
        <v>468</v>
      </c>
      <c r="DO39" s="4" t="s">
        <v>410</v>
      </c>
    </row>
    <row r="40" spans="1:119" x14ac:dyDescent="0.15">
      <c r="A40" s="4">
        <v>103006</v>
      </c>
      <c r="B40" s="34" t="s">
        <v>443</v>
      </c>
      <c r="C40" s="47" t="s">
        <v>668</v>
      </c>
      <c r="D40" s="26" t="s">
        <v>660</v>
      </c>
      <c r="E40" s="26">
        <v>0</v>
      </c>
      <c r="F40" s="5">
        <v>0</v>
      </c>
      <c r="G40" s="26">
        <v>1</v>
      </c>
      <c r="H40" s="4">
        <v>5</v>
      </c>
      <c r="I40" s="5">
        <v>1</v>
      </c>
      <c r="J40" s="26"/>
      <c r="K40" s="26"/>
      <c r="L40" s="26"/>
      <c r="M40" s="8">
        <v>0</v>
      </c>
      <c r="N40" s="4" t="s">
        <v>150</v>
      </c>
      <c r="O40" s="25">
        <v>0</v>
      </c>
      <c r="P40" s="25">
        <v>0</v>
      </c>
      <c r="Q40" s="25">
        <v>0</v>
      </c>
      <c r="R40" s="4">
        <v>1</v>
      </c>
      <c r="S40" s="4">
        <v>0</v>
      </c>
      <c r="T40" s="4">
        <v>0</v>
      </c>
      <c r="U40" s="4">
        <v>0</v>
      </c>
      <c r="V40" s="5">
        <v>0</v>
      </c>
      <c r="W40" s="5">
        <v>0</v>
      </c>
      <c r="X40" s="5">
        <v>1</v>
      </c>
      <c r="Y40" s="34" t="s">
        <v>443</v>
      </c>
      <c r="Z40" s="5">
        <v>0</v>
      </c>
      <c r="AA40" s="5">
        <v>0</v>
      </c>
      <c r="AB40" s="5">
        <v>1</v>
      </c>
      <c r="AC40" s="5">
        <v>0</v>
      </c>
      <c r="AD40" s="5">
        <v>0</v>
      </c>
      <c r="AE40" s="3">
        <v>0</v>
      </c>
      <c r="AF40" s="5">
        <v>0</v>
      </c>
      <c r="AG40" s="4">
        <v>0</v>
      </c>
      <c r="AH40" s="25">
        <v>0</v>
      </c>
      <c r="AI40" s="26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4">
        <v>1</v>
      </c>
      <c r="AQ40" s="4"/>
      <c r="AR40" s="13">
        <v>0</v>
      </c>
      <c r="AS40" s="13">
        <v>0</v>
      </c>
      <c r="AT40" s="4">
        <v>0</v>
      </c>
      <c r="AU40" s="4">
        <v>0</v>
      </c>
      <c r="AV40" s="12">
        <v>0</v>
      </c>
      <c r="AW40" s="4">
        <v>0</v>
      </c>
      <c r="AX40" s="4">
        <v>0</v>
      </c>
      <c r="AY40" s="4">
        <v>0</v>
      </c>
      <c r="AZ40" s="4">
        <v>0</v>
      </c>
      <c r="BA40" s="25" t="s">
        <v>472</v>
      </c>
      <c r="BB40" s="5">
        <v>1</v>
      </c>
      <c r="BC40" s="17" t="s">
        <v>109</v>
      </c>
      <c r="BD40" s="17" t="s">
        <v>110</v>
      </c>
      <c r="BE40" s="17" t="s">
        <v>110</v>
      </c>
      <c r="BF40" s="17" t="s">
        <v>379</v>
      </c>
      <c r="BG40" s="4" t="str">
        <f t="shared" si="15"/>
        <v>路标</v>
      </c>
      <c r="BH40" s="20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4</v>
      </c>
      <c r="CF40" s="4">
        <v>0</v>
      </c>
      <c r="CG40" s="4">
        <v>0</v>
      </c>
      <c r="CH40" s="4">
        <v>0</v>
      </c>
      <c r="CI40" s="4">
        <v>1</v>
      </c>
      <c r="CJ40" s="4">
        <v>1</v>
      </c>
      <c r="CK40" s="4">
        <v>1</v>
      </c>
      <c r="CL40" s="4">
        <v>10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 t="str">
        <f t="shared" si="16"/>
        <v>路标</v>
      </c>
      <c r="CS40" s="4">
        <v>0</v>
      </c>
      <c r="CT40" s="4">
        <v>1</v>
      </c>
      <c r="CU40" s="4">
        <v>1</v>
      </c>
      <c r="CV40" s="4">
        <v>604001</v>
      </c>
      <c r="CW40" s="4" t="s">
        <v>113</v>
      </c>
      <c r="CX40" s="4">
        <v>10</v>
      </c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 t="s">
        <v>411</v>
      </c>
    </row>
    <row r="41" spans="1:119" x14ac:dyDescent="0.15">
      <c r="A41" s="4">
        <v>104017</v>
      </c>
      <c r="B41" s="6" t="s">
        <v>177</v>
      </c>
      <c r="C41" s="47" t="s">
        <v>110</v>
      </c>
      <c r="D41" s="26"/>
      <c r="E41" s="26">
        <v>0</v>
      </c>
      <c r="F41" s="5">
        <v>0</v>
      </c>
      <c r="G41" s="26">
        <v>1</v>
      </c>
      <c r="H41" s="4">
        <v>7</v>
      </c>
      <c r="I41" s="4">
        <v>0</v>
      </c>
      <c r="J41" s="5"/>
      <c r="K41" s="5"/>
      <c r="L41" s="5"/>
      <c r="M41" s="8">
        <v>0</v>
      </c>
      <c r="N41" s="4" t="s">
        <v>178</v>
      </c>
      <c r="O41" s="25">
        <v>0</v>
      </c>
      <c r="P41" s="25">
        <v>0</v>
      </c>
      <c r="Q41" s="25">
        <v>0</v>
      </c>
      <c r="R41" s="4">
        <v>1</v>
      </c>
      <c r="S41" s="4">
        <v>0</v>
      </c>
      <c r="T41" s="4">
        <v>0</v>
      </c>
      <c r="U41" s="4">
        <v>0</v>
      </c>
      <c r="V41" s="5">
        <v>1</v>
      </c>
      <c r="W41" s="5">
        <v>0</v>
      </c>
      <c r="X41" s="5">
        <v>1</v>
      </c>
      <c r="Y41" s="6" t="s">
        <v>177</v>
      </c>
      <c r="Z41" s="5">
        <v>1</v>
      </c>
      <c r="AA41" s="5">
        <v>0</v>
      </c>
      <c r="AB41" s="5">
        <v>1</v>
      </c>
      <c r="AC41" s="5">
        <v>1</v>
      </c>
      <c r="AD41" s="5">
        <v>0</v>
      </c>
      <c r="AE41" s="3">
        <v>1</v>
      </c>
      <c r="AF41" s="5">
        <v>0</v>
      </c>
      <c r="AG41" s="4">
        <v>0</v>
      </c>
      <c r="AH41" s="25">
        <v>0</v>
      </c>
      <c r="AI41" s="26">
        <v>1</v>
      </c>
      <c r="AJ41" s="5">
        <v>0</v>
      </c>
      <c r="AK41" s="5">
        <v>0</v>
      </c>
      <c r="AL41" s="5">
        <v>1</v>
      </c>
      <c r="AM41" s="5">
        <v>1</v>
      </c>
      <c r="AN41" s="5">
        <v>0</v>
      </c>
      <c r="AO41" s="5">
        <v>0</v>
      </c>
      <c r="AP41" s="4">
        <v>1</v>
      </c>
      <c r="AQ41" s="4"/>
      <c r="AR41" s="4">
        <v>0</v>
      </c>
      <c r="AS41" s="4">
        <v>0</v>
      </c>
      <c r="AT41" s="4">
        <v>1</v>
      </c>
      <c r="AU41" s="4">
        <v>0</v>
      </c>
      <c r="AV41" s="12">
        <v>0</v>
      </c>
      <c r="AW41" s="4">
        <v>1</v>
      </c>
      <c r="AX41" s="4">
        <v>0</v>
      </c>
      <c r="AY41" s="4">
        <v>0</v>
      </c>
      <c r="AZ41" s="4">
        <v>0</v>
      </c>
      <c r="BA41" s="4" t="s">
        <v>179</v>
      </c>
      <c r="BB41" s="5">
        <v>60</v>
      </c>
      <c r="BC41" s="17" t="s">
        <v>109</v>
      </c>
      <c r="BD41" s="17" t="s">
        <v>110</v>
      </c>
      <c r="BE41" s="17" t="s">
        <v>540</v>
      </c>
      <c r="BF41" s="17" t="s">
        <v>379</v>
      </c>
      <c r="BG41" s="4" t="str">
        <f>B41</f>
        <v>研究台</v>
      </c>
      <c r="BH41" s="20">
        <v>3</v>
      </c>
      <c r="BI41" s="4">
        <v>2</v>
      </c>
      <c r="BJ41" s="4">
        <v>0</v>
      </c>
      <c r="BK41" s="4">
        <v>0</v>
      </c>
      <c r="BL41" s="4">
        <v>1</v>
      </c>
      <c r="BM41" s="4">
        <v>1</v>
      </c>
      <c r="BN41" s="4">
        <v>1</v>
      </c>
      <c r="BO41" s="4">
        <v>0</v>
      </c>
      <c r="BP41" s="4">
        <v>0</v>
      </c>
      <c r="BQ41" s="4">
        <v>1</v>
      </c>
      <c r="BR41" s="4">
        <v>1</v>
      </c>
      <c r="BS41" s="4">
        <v>0</v>
      </c>
      <c r="BT41" s="4">
        <v>1</v>
      </c>
      <c r="BU41" s="4">
        <v>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1</v>
      </c>
      <c r="CB41" s="4">
        <v>0</v>
      </c>
      <c r="CC41" s="4">
        <v>30</v>
      </c>
      <c r="CD41" s="4">
        <v>0</v>
      </c>
      <c r="CE41" s="4">
        <v>4</v>
      </c>
      <c r="CF41" s="4">
        <v>0</v>
      </c>
      <c r="CG41" s="4">
        <v>0</v>
      </c>
      <c r="CH41" s="4">
        <v>1</v>
      </c>
      <c r="CI41" s="4">
        <v>1</v>
      </c>
      <c r="CJ41" s="4">
        <v>1</v>
      </c>
      <c r="CK41" s="4">
        <v>1</v>
      </c>
      <c r="CL41" s="4">
        <v>300</v>
      </c>
      <c r="CM41" s="4">
        <v>0</v>
      </c>
      <c r="CN41" s="4">
        <v>1</v>
      </c>
      <c r="CO41" s="4">
        <v>0</v>
      </c>
      <c r="CP41" s="4">
        <v>0</v>
      </c>
      <c r="CQ41" s="4">
        <v>0</v>
      </c>
      <c r="CR41" s="4" t="str">
        <f>B41</f>
        <v>研究台</v>
      </c>
      <c r="CS41" s="4">
        <v>0</v>
      </c>
      <c r="CT41" s="4">
        <v>5</v>
      </c>
      <c r="CU41" s="4">
        <v>20</v>
      </c>
      <c r="CV41" s="4">
        <v>604001</v>
      </c>
      <c r="CW41" s="4" t="s">
        <v>113</v>
      </c>
      <c r="CX41" s="4">
        <v>100</v>
      </c>
      <c r="CY41" s="4">
        <v>605001</v>
      </c>
      <c r="CZ41" s="4" t="s">
        <v>122</v>
      </c>
      <c r="DA41" s="4">
        <v>150</v>
      </c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</row>
    <row r="42" spans="1:119" x14ac:dyDescent="0.15">
      <c r="A42" s="4">
        <v>104002</v>
      </c>
      <c r="B42" s="35" t="s">
        <v>445</v>
      </c>
      <c r="C42" s="47" t="s">
        <v>110</v>
      </c>
      <c r="D42" s="26"/>
      <c r="E42" s="26">
        <v>0</v>
      </c>
      <c r="F42" s="5">
        <v>0</v>
      </c>
      <c r="G42" s="26">
        <v>1</v>
      </c>
      <c r="H42" s="4">
        <v>7</v>
      </c>
      <c r="I42" s="4">
        <v>0</v>
      </c>
      <c r="J42" s="26"/>
      <c r="K42" s="26"/>
      <c r="L42" s="26"/>
      <c r="M42" s="8">
        <v>0</v>
      </c>
      <c r="N42" s="4" t="s">
        <v>156</v>
      </c>
      <c r="O42" s="25">
        <v>0</v>
      </c>
      <c r="P42" s="25">
        <v>0</v>
      </c>
      <c r="Q42" s="25">
        <v>0</v>
      </c>
      <c r="R42" s="4">
        <v>1</v>
      </c>
      <c r="S42" s="4">
        <v>0</v>
      </c>
      <c r="T42" s="4">
        <v>0</v>
      </c>
      <c r="U42" s="4">
        <v>0</v>
      </c>
      <c r="V42" s="5">
        <v>1</v>
      </c>
      <c r="W42" s="5">
        <v>0</v>
      </c>
      <c r="X42" s="5">
        <v>1</v>
      </c>
      <c r="Y42" s="35" t="s">
        <v>445</v>
      </c>
      <c r="Z42" s="5">
        <v>0</v>
      </c>
      <c r="AA42" s="5">
        <v>0</v>
      </c>
      <c r="AB42" s="5">
        <v>1</v>
      </c>
      <c r="AC42" s="5">
        <v>0</v>
      </c>
      <c r="AD42" s="5">
        <v>0</v>
      </c>
      <c r="AE42" s="3">
        <v>0</v>
      </c>
      <c r="AF42" s="5">
        <v>0</v>
      </c>
      <c r="AG42" s="4">
        <v>0</v>
      </c>
      <c r="AH42" s="25">
        <v>0</v>
      </c>
      <c r="AI42" s="26">
        <v>0</v>
      </c>
      <c r="AJ42" s="5">
        <v>0</v>
      </c>
      <c r="AK42" s="5">
        <v>0</v>
      </c>
      <c r="AL42" s="5">
        <v>1</v>
      </c>
      <c r="AM42" s="5">
        <v>1</v>
      </c>
      <c r="AN42" s="5">
        <v>0</v>
      </c>
      <c r="AO42" s="5">
        <v>0</v>
      </c>
      <c r="AP42" s="4">
        <v>1</v>
      </c>
      <c r="AQ42" s="4"/>
      <c r="AR42" s="4">
        <v>0</v>
      </c>
      <c r="AS42" s="4">
        <v>0</v>
      </c>
      <c r="AT42" s="4">
        <v>1</v>
      </c>
      <c r="AU42" s="4">
        <v>0</v>
      </c>
      <c r="AV42" s="12">
        <v>0</v>
      </c>
      <c r="AW42" s="4">
        <v>1</v>
      </c>
      <c r="AX42" s="4">
        <v>0</v>
      </c>
      <c r="AY42" s="4">
        <v>0</v>
      </c>
      <c r="AZ42" s="4">
        <v>0</v>
      </c>
      <c r="BA42" s="4" t="s">
        <v>157</v>
      </c>
      <c r="BB42" s="5">
        <v>1</v>
      </c>
      <c r="BC42" s="17" t="s">
        <v>109</v>
      </c>
      <c r="BD42" s="17" t="s">
        <v>110</v>
      </c>
      <c r="BE42" s="17" t="s">
        <v>540</v>
      </c>
      <c r="BF42" s="17" t="s">
        <v>379</v>
      </c>
      <c r="BG42" s="4" t="str">
        <f t="shared" si="15"/>
        <v>讲台</v>
      </c>
      <c r="BH42" s="20">
        <v>2</v>
      </c>
      <c r="BI42" s="4">
        <v>1</v>
      </c>
      <c r="BJ42" s="4">
        <v>0</v>
      </c>
      <c r="BK42" s="4">
        <v>0</v>
      </c>
      <c r="BL42" s="4">
        <v>3</v>
      </c>
      <c r="BM42" s="4">
        <v>1</v>
      </c>
      <c r="BN42" s="4">
        <v>1</v>
      </c>
      <c r="BO42" s="4">
        <v>0</v>
      </c>
      <c r="BP42" s="4">
        <v>0</v>
      </c>
      <c r="BQ42" s="4">
        <v>1</v>
      </c>
      <c r="BR42" s="4">
        <v>0</v>
      </c>
      <c r="BS42" s="4">
        <v>0</v>
      </c>
      <c r="BT42" s="4">
        <v>1</v>
      </c>
      <c r="BU42" s="4">
        <v>1</v>
      </c>
      <c r="BV42" s="4">
        <v>0</v>
      </c>
      <c r="BW42" s="4">
        <v>0</v>
      </c>
      <c r="BX42" s="4">
        <v>0</v>
      </c>
      <c r="BY42" s="4">
        <v>0</v>
      </c>
      <c r="BZ42" s="4">
        <v>1</v>
      </c>
      <c r="CA42" s="4">
        <v>1</v>
      </c>
      <c r="CB42" s="4">
        <v>1</v>
      </c>
      <c r="CC42" s="13">
        <v>4</v>
      </c>
      <c r="CD42" s="4">
        <v>1</v>
      </c>
      <c r="CE42" s="4">
        <v>4</v>
      </c>
      <c r="CF42" s="4">
        <v>0</v>
      </c>
      <c r="CG42" s="4">
        <v>0</v>
      </c>
      <c r="CH42" s="4">
        <v>1</v>
      </c>
      <c r="CI42" s="4">
        <v>1</v>
      </c>
      <c r="CJ42" s="4">
        <v>1</v>
      </c>
      <c r="CK42" s="4">
        <v>1</v>
      </c>
      <c r="CL42" s="4">
        <v>100</v>
      </c>
      <c r="CM42" s="4">
        <v>0</v>
      </c>
      <c r="CN42" s="4">
        <v>1</v>
      </c>
      <c r="CO42" s="4">
        <v>0</v>
      </c>
      <c r="CP42" s="4">
        <v>0</v>
      </c>
      <c r="CQ42" s="4">
        <v>0</v>
      </c>
      <c r="CR42" s="4" t="str">
        <f t="shared" si="16"/>
        <v>讲台</v>
      </c>
      <c r="CS42" s="4">
        <v>0</v>
      </c>
      <c r="CT42" s="4">
        <v>3</v>
      </c>
      <c r="CU42" s="4">
        <v>20</v>
      </c>
      <c r="CV42" s="4">
        <v>604001</v>
      </c>
      <c r="CW42" s="4" t="s">
        <v>113</v>
      </c>
      <c r="CX42" s="4">
        <v>30</v>
      </c>
      <c r="CY42" s="4">
        <v>605001</v>
      </c>
      <c r="CZ42" s="4" t="s">
        <v>122</v>
      </c>
      <c r="DA42" s="4">
        <v>10</v>
      </c>
      <c r="DB42" s="4">
        <v>603001</v>
      </c>
      <c r="DC42" s="4" t="s">
        <v>116</v>
      </c>
      <c r="DD42" s="4">
        <v>3</v>
      </c>
      <c r="DE42" s="4"/>
      <c r="DF42" s="4"/>
      <c r="DG42" s="4"/>
      <c r="DH42" s="4"/>
      <c r="DI42" s="4"/>
      <c r="DJ42" s="4"/>
      <c r="DK42" s="4"/>
      <c r="DL42" s="4"/>
      <c r="DM42" s="4"/>
      <c r="DN42" s="4" t="s">
        <v>158</v>
      </c>
      <c r="DO42" s="25" t="s">
        <v>649</v>
      </c>
    </row>
    <row r="43" spans="1:119" ht="17.25" customHeight="1" x14ac:dyDescent="0.15">
      <c r="A43" s="4">
        <v>104015</v>
      </c>
      <c r="B43" s="9" t="s">
        <v>174</v>
      </c>
      <c r="C43" s="47" t="s">
        <v>110</v>
      </c>
      <c r="D43" s="26"/>
      <c r="E43" s="26">
        <v>0</v>
      </c>
      <c r="F43" s="5">
        <v>0</v>
      </c>
      <c r="G43" s="26">
        <v>1</v>
      </c>
      <c r="H43" s="4">
        <v>7</v>
      </c>
      <c r="I43" s="4">
        <v>0</v>
      </c>
      <c r="J43" s="5"/>
      <c r="K43" s="5"/>
      <c r="L43" s="5"/>
      <c r="M43" s="8">
        <v>0</v>
      </c>
      <c r="N43" s="4" t="s">
        <v>175</v>
      </c>
      <c r="O43" s="25">
        <v>0</v>
      </c>
      <c r="P43" s="25">
        <v>0</v>
      </c>
      <c r="Q43" s="25">
        <v>0</v>
      </c>
      <c r="R43" s="4">
        <v>1</v>
      </c>
      <c r="S43" s="4">
        <v>0</v>
      </c>
      <c r="T43" s="4">
        <v>0</v>
      </c>
      <c r="U43" s="4">
        <v>0</v>
      </c>
      <c r="V43" s="5">
        <v>1</v>
      </c>
      <c r="W43" s="5">
        <v>0</v>
      </c>
      <c r="X43" s="5">
        <v>1</v>
      </c>
      <c r="Y43" s="9" t="s">
        <v>174</v>
      </c>
      <c r="Z43" s="5">
        <v>0</v>
      </c>
      <c r="AA43" s="5">
        <v>0</v>
      </c>
      <c r="AB43" s="5">
        <v>1</v>
      </c>
      <c r="AC43" s="5">
        <v>0</v>
      </c>
      <c r="AD43" s="5">
        <v>0</v>
      </c>
      <c r="AE43" s="3">
        <v>0</v>
      </c>
      <c r="AF43" s="5">
        <v>0</v>
      </c>
      <c r="AG43" s="4">
        <v>0</v>
      </c>
      <c r="AH43" s="25">
        <v>0</v>
      </c>
      <c r="AI43" s="26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4">
        <v>1</v>
      </c>
      <c r="AQ43" s="4"/>
      <c r="AR43" s="4">
        <v>0</v>
      </c>
      <c r="AS43" s="4">
        <v>0</v>
      </c>
      <c r="AT43" s="4">
        <v>1</v>
      </c>
      <c r="AU43" s="4">
        <v>0</v>
      </c>
      <c r="AV43" s="12">
        <v>0</v>
      </c>
      <c r="AW43" s="4">
        <v>0</v>
      </c>
      <c r="AX43" s="4">
        <v>0</v>
      </c>
      <c r="AY43" s="4">
        <v>0</v>
      </c>
      <c r="AZ43" s="4">
        <v>0</v>
      </c>
      <c r="BA43" s="4" t="s">
        <v>355</v>
      </c>
      <c r="BB43" s="5">
        <v>1</v>
      </c>
      <c r="BC43" s="17" t="s">
        <v>109</v>
      </c>
      <c r="BD43" s="17" t="s">
        <v>110</v>
      </c>
      <c r="BE43" s="17" t="s">
        <v>110</v>
      </c>
      <c r="BF43" s="17" t="s">
        <v>379</v>
      </c>
      <c r="BG43" s="4" t="str">
        <f>B43</f>
        <v>椅子</v>
      </c>
      <c r="BH43" s="20">
        <v>1</v>
      </c>
      <c r="BI43" s="4">
        <v>1</v>
      </c>
      <c r="BJ43" s="4">
        <v>0</v>
      </c>
      <c r="BK43" s="4">
        <v>0</v>
      </c>
      <c r="BL43" s="4">
        <v>0</v>
      </c>
      <c r="BM43" s="4">
        <v>1</v>
      </c>
      <c r="BN43" s="4">
        <v>1</v>
      </c>
      <c r="BO43" s="4">
        <v>0</v>
      </c>
      <c r="BP43" s="4">
        <v>0</v>
      </c>
      <c r="BQ43" s="4">
        <v>1</v>
      </c>
      <c r="BR43" s="4">
        <v>1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4</v>
      </c>
      <c r="CF43" s="4">
        <v>0</v>
      </c>
      <c r="CG43" s="4">
        <v>0</v>
      </c>
      <c r="CH43" s="4">
        <v>1</v>
      </c>
      <c r="CI43" s="4">
        <v>1</v>
      </c>
      <c r="CJ43" s="4">
        <v>1</v>
      </c>
      <c r="CK43" s="4">
        <v>1</v>
      </c>
      <c r="CL43" s="4">
        <v>100</v>
      </c>
      <c r="CM43" s="4">
        <v>0</v>
      </c>
      <c r="CN43" s="4">
        <v>1</v>
      </c>
      <c r="CO43" s="4">
        <v>0</v>
      </c>
      <c r="CP43" s="4">
        <v>0</v>
      </c>
      <c r="CQ43" s="4">
        <v>0</v>
      </c>
      <c r="CR43" s="4" t="str">
        <f>B43</f>
        <v>椅子</v>
      </c>
      <c r="CS43" s="4">
        <v>0</v>
      </c>
      <c r="CT43" s="4">
        <v>1</v>
      </c>
      <c r="CU43" s="4">
        <v>10</v>
      </c>
      <c r="CV43" s="4">
        <v>604001</v>
      </c>
      <c r="CW43" s="4" t="s">
        <v>113</v>
      </c>
      <c r="CX43" s="4">
        <v>5</v>
      </c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</row>
    <row r="44" spans="1:119" ht="15.75" customHeight="1" x14ac:dyDescent="0.15">
      <c r="A44" s="4">
        <v>104004</v>
      </c>
      <c r="B44" s="28" t="s">
        <v>446</v>
      </c>
      <c r="C44" s="47" t="s">
        <v>669</v>
      </c>
      <c r="D44" s="26"/>
      <c r="E44" s="26">
        <v>1</v>
      </c>
      <c r="F44" s="5">
        <v>0</v>
      </c>
      <c r="G44" s="26">
        <v>1</v>
      </c>
      <c r="H44" s="4">
        <v>7</v>
      </c>
      <c r="I44" s="4">
        <v>0</v>
      </c>
      <c r="J44" s="26"/>
      <c r="K44" s="26"/>
      <c r="L44" s="26"/>
      <c r="M44" s="8">
        <v>0</v>
      </c>
      <c r="N44" s="4" t="s">
        <v>159</v>
      </c>
      <c r="O44" s="25">
        <v>0</v>
      </c>
      <c r="P44" s="25">
        <v>0</v>
      </c>
      <c r="Q44" s="25">
        <v>0</v>
      </c>
      <c r="R44" s="4">
        <v>1</v>
      </c>
      <c r="S44" s="4">
        <v>0</v>
      </c>
      <c r="T44" s="4">
        <v>0</v>
      </c>
      <c r="U44" s="4">
        <v>0</v>
      </c>
      <c r="V44" s="5">
        <v>1</v>
      </c>
      <c r="W44" s="5">
        <v>0</v>
      </c>
      <c r="X44" s="5">
        <v>0</v>
      </c>
      <c r="Y44" s="28" t="s">
        <v>446</v>
      </c>
      <c r="Z44" s="5">
        <v>0</v>
      </c>
      <c r="AA44" s="5">
        <v>0</v>
      </c>
      <c r="AB44" s="5">
        <v>1</v>
      </c>
      <c r="AC44" s="5">
        <v>2</v>
      </c>
      <c r="AD44" s="5">
        <v>0</v>
      </c>
      <c r="AE44" s="3">
        <v>0</v>
      </c>
      <c r="AF44" s="5">
        <v>0</v>
      </c>
      <c r="AG44" s="4">
        <v>0</v>
      </c>
      <c r="AH44" s="25">
        <v>0</v>
      </c>
      <c r="AI44" s="26">
        <v>0</v>
      </c>
      <c r="AJ44" s="5">
        <v>0</v>
      </c>
      <c r="AK44" s="5">
        <v>0</v>
      </c>
      <c r="AL44" s="5">
        <v>1</v>
      </c>
      <c r="AM44" s="5">
        <v>1</v>
      </c>
      <c r="AN44" s="5">
        <v>0</v>
      </c>
      <c r="AO44" s="5">
        <v>0</v>
      </c>
      <c r="AP44" s="4">
        <v>1</v>
      </c>
      <c r="AQ44" s="4"/>
      <c r="AR44" s="13">
        <v>1</v>
      </c>
      <c r="AS44" s="13">
        <v>1</v>
      </c>
      <c r="AT44" s="4">
        <v>1</v>
      </c>
      <c r="AU44" s="4">
        <v>1</v>
      </c>
      <c r="AV44" s="12">
        <v>0</v>
      </c>
      <c r="AW44" s="4">
        <v>1</v>
      </c>
      <c r="AX44" s="4">
        <v>0</v>
      </c>
      <c r="AY44" s="4">
        <v>0</v>
      </c>
      <c r="AZ44" s="4">
        <v>0</v>
      </c>
      <c r="BA44" s="4" t="s">
        <v>160</v>
      </c>
      <c r="BB44" s="5">
        <v>1</v>
      </c>
      <c r="BC44" s="17" t="s">
        <v>109</v>
      </c>
      <c r="BD44" s="17" t="s">
        <v>110</v>
      </c>
      <c r="BE44" s="17" t="s">
        <v>540</v>
      </c>
      <c r="BF44" s="17" t="s">
        <v>379</v>
      </c>
      <c r="BG44" s="4" t="str">
        <f t="shared" si="15"/>
        <v>布道台</v>
      </c>
      <c r="BH44" s="20">
        <v>2</v>
      </c>
      <c r="BI44" s="4">
        <v>2</v>
      </c>
      <c r="BJ44" s="4">
        <v>0</v>
      </c>
      <c r="BK44" s="4">
        <v>0</v>
      </c>
      <c r="BL44" s="4">
        <v>1234</v>
      </c>
      <c r="BM44" s="4">
        <v>1</v>
      </c>
      <c r="BN44" s="4">
        <v>1</v>
      </c>
      <c r="BO44" s="4">
        <v>0</v>
      </c>
      <c r="BP44" s="4">
        <v>0</v>
      </c>
      <c r="BQ44" s="4">
        <v>0</v>
      </c>
      <c r="BR44" s="4">
        <v>1</v>
      </c>
      <c r="BS44" s="4">
        <v>0</v>
      </c>
      <c r="BT44" s="4">
        <v>0</v>
      </c>
      <c r="BU44" s="4">
        <v>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1</v>
      </c>
      <c r="CB44" s="4">
        <v>0</v>
      </c>
      <c r="CC44" s="4">
        <v>30</v>
      </c>
      <c r="CD44" s="4">
        <v>0</v>
      </c>
      <c r="CE44" s="4">
        <v>4</v>
      </c>
      <c r="CF44" s="4">
        <v>0</v>
      </c>
      <c r="CG44" s="4">
        <v>0</v>
      </c>
      <c r="CH44" s="4">
        <v>1</v>
      </c>
      <c r="CI44" s="4">
        <v>1</v>
      </c>
      <c r="CJ44" s="4">
        <v>1</v>
      </c>
      <c r="CK44" s="4">
        <v>1</v>
      </c>
      <c r="CL44" s="4">
        <v>100</v>
      </c>
      <c r="CM44" s="4">
        <v>0</v>
      </c>
      <c r="CN44" s="4">
        <v>1</v>
      </c>
      <c r="CO44" s="4">
        <v>0</v>
      </c>
      <c r="CP44" s="4">
        <v>0</v>
      </c>
      <c r="CQ44" s="4">
        <v>0</v>
      </c>
      <c r="CR44" s="4" t="str">
        <f t="shared" si="16"/>
        <v>布道台</v>
      </c>
      <c r="CS44" s="4">
        <v>0</v>
      </c>
      <c r="CT44" s="4">
        <v>3</v>
      </c>
      <c r="CU44" s="4">
        <v>20</v>
      </c>
      <c r="CV44" s="4">
        <v>604001</v>
      </c>
      <c r="CW44" s="4" t="s">
        <v>113</v>
      </c>
      <c r="CX44" s="4">
        <v>50</v>
      </c>
      <c r="CY44" s="4">
        <v>605001</v>
      </c>
      <c r="CZ44" s="4" t="s">
        <v>122</v>
      </c>
      <c r="DA44" s="4">
        <v>150</v>
      </c>
      <c r="DB44" s="4">
        <v>603001</v>
      </c>
      <c r="DC44" s="4" t="s">
        <v>116</v>
      </c>
      <c r="DD44" s="4">
        <v>10</v>
      </c>
      <c r="DE44" s="4"/>
      <c r="DF44" s="4"/>
      <c r="DG44" s="4"/>
      <c r="DH44" s="4"/>
      <c r="DI44" s="4"/>
      <c r="DJ44" s="4"/>
      <c r="DK44" s="4"/>
      <c r="DL44" s="4"/>
      <c r="DM44" s="4"/>
      <c r="DN44" s="31" t="s">
        <v>419</v>
      </c>
      <c r="DO44" s="25"/>
    </row>
    <row r="45" spans="1:119" x14ac:dyDescent="0.15">
      <c r="A45" s="4">
        <v>104005</v>
      </c>
      <c r="B45" s="28" t="s">
        <v>595</v>
      </c>
      <c r="C45" s="47" t="s">
        <v>665</v>
      </c>
      <c r="D45" s="26"/>
      <c r="E45" s="26">
        <v>0</v>
      </c>
      <c r="F45" s="5">
        <v>0</v>
      </c>
      <c r="G45" s="26">
        <v>1</v>
      </c>
      <c r="H45" s="4">
        <v>7</v>
      </c>
      <c r="I45" s="4">
        <v>0</v>
      </c>
      <c r="J45" s="5"/>
      <c r="K45" s="5"/>
      <c r="L45" s="5"/>
      <c r="M45" s="8">
        <v>0</v>
      </c>
      <c r="N45" s="4" t="s">
        <v>161</v>
      </c>
      <c r="O45" s="25">
        <v>1</v>
      </c>
      <c r="P45" s="25">
        <v>0</v>
      </c>
      <c r="Q45" s="25">
        <v>1</v>
      </c>
      <c r="R45" s="4">
        <v>1</v>
      </c>
      <c r="S45" s="4">
        <v>0</v>
      </c>
      <c r="T45" s="4">
        <v>0</v>
      </c>
      <c r="U45" s="4">
        <v>0</v>
      </c>
      <c r="V45" s="5">
        <v>1</v>
      </c>
      <c r="W45" s="5">
        <v>0</v>
      </c>
      <c r="X45" s="5">
        <v>1</v>
      </c>
      <c r="Y45" s="28" t="s">
        <v>595</v>
      </c>
      <c r="Z45" s="5">
        <v>0</v>
      </c>
      <c r="AA45" s="5">
        <v>0</v>
      </c>
      <c r="AB45" s="5">
        <v>1</v>
      </c>
      <c r="AC45" s="5">
        <v>2</v>
      </c>
      <c r="AD45" s="5">
        <v>0</v>
      </c>
      <c r="AE45" s="3">
        <v>0</v>
      </c>
      <c r="AF45" s="5">
        <v>1</v>
      </c>
      <c r="AG45" s="4">
        <v>0</v>
      </c>
      <c r="AH45" s="25">
        <v>1</v>
      </c>
      <c r="AI45" s="26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4">
        <v>1</v>
      </c>
      <c r="AQ45" s="4"/>
      <c r="AR45" s="16">
        <v>1</v>
      </c>
      <c r="AS45" s="4">
        <v>0</v>
      </c>
      <c r="AT45" s="4">
        <v>0</v>
      </c>
      <c r="AU45" s="4">
        <v>1</v>
      </c>
      <c r="AV45" s="12">
        <v>0</v>
      </c>
      <c r="AW45" s="4">
        <v>1</v>
      </c>
      <c r="AX45" s="4">
        <v>0</v>
      </c>
      <c r="AY45" s="4">
        <v>0</v>
      </c>
      <c r="AZ45" s="4">
        <v>0</v>
      </c>
      <c r="BA45" s="4" t="s">
        <v>162</v>
      </c>
      <c r="BB45" s="5">
        <v>1</v>
      </c>
      <c r="BC45" s="17" t="s">
        <v>109</v>
      </c>
      <c r="BD45" s="17" t="s">
        <v>110</v>
      </c>
      <c r="BE45" s="17" t="s">
        <v>110</v>
      </c>
      <c r="BF45" s="17" t="s">
        <v>379</v>
      </c>
      <c r="BG45" s="4" t="str">
        <f t="shared" si="15"/>
        <v>墓地</v>
      </c>
      <c r="BH45" s="20">
        <v>1</v>
      </c>
      <c r="BI45" s="4">
        <v>1</v>
      </c>
      <c r="BJ45" s="4">
        <v>0</v>
      </c>
      <c r="BK45" s="4">
        <v>0</v>
      </c>
      <c r="BL45" s="4">
        <v>13</v>
      </c>
      <c r="BM45" s="4">
        <v>1</v>
      </c>
      <c r="BN45" s="4">
        <v>0</v>
      </c>
      <c r="BO45" s="4">
        <v>0</v>
      </c>
      <c r="BP45" s="4">
        <v>1</v>
      </c>
      <c r="BQ45" s="4">
        <v>1</v>
      </c>
      <c r="BR45" s="4">
        <v>1</v>
      </c>
      <c r="BS45" s="4">
        <v>0</v>
      </c>
      <c r="BT45" s="4">
        <v>0</v>
      </c>
      <c r="BU45" s="4">
        <v>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4</v>
      </c>
      <c r="CF45" s="4">
        <v>0</v>
      </c>
      <c r="CG45" s="4">
        <v>0</v>
      </c>
      <c r="CH45" s="4">
        <v>1</v>
      </c>
      <c r="CI45" s="4">
        <v>7</v>
      </c>
      <c r="CJ45" s="4">
        <v>7</v>
      </c>
      <c r="CK45" s="4">
        <v>19</v>
      </c>
      <c r="CL45" s="4">
        <v>100</v>
      </c>
      <c r="CM45" s="4">
        <v>0</v>
      </c>
      <c r="CN45" s="4">
        <v>1</v>
      </c>
      <c r="CO45" s="4">
        <v>1</v>
      </c>
      <c r="CP45" s="4">
        <v>0</v>
      </c>
      <c r="CQ45" s="4">
        <v>0</v>
      </c>
      <c r="CR45" s="4" t="str">
        <f t="shared" si="16"/>
        <v>墓地</v>
      </c>
      <c r="CS45" s="4">
        <v>0</v>
      </c>
      <c r="CT45" s="4">
        <v>5</v>
      </c>
      <c r="CU45" s="4">
        <v>1</v>
      </c>
      <c r="CV45" s="4">
        <v>605001</v>
      </c>
      <c r="CW45" s="4" t="s">
        <v>122</v>
      </c>
      <c r="CX45" s="4">
        <v>1</v>
      </c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25" t="s">
        <v>721</v>
      </c>
    </row>
    <row r="46" spans="1:119" x14ac:dyDescent="0.15">
      <c r="A46" s="4">
        <v>104022</v>
      </c>
      <c r="B46" s="25" t="s">
        <v>457</v>
      </c>
      <c r="C46" s="47" t="s">
        <v>665</v>
      </c>
      <c r="D46" s="26"/>
      <c r="E46" s="26">
        <v>0</v>
      </c>
      <c r="F46" s="5">
        <v>0</v>
      </c>
      <c r="G46" s="26">
        <v>1</v>
      </c>
      <c r="H46" s="4">
        <v>7</v>
      </c>
      <c r="I46" s="4">
        <v>1</v>
      </c>
      <c r="J46" s="25"/>
      <c r="K46" s="25"/>
      <c r="L46" s="25"/>
      <c r="M46" s="8">
        <v>0</v>
      </c>
      <c r="N46" s="25" t="s">
        <v>456</v>
      </c>
      <c r="O46" s="25">
        <v>1</v>
      </c>
      <c r="P46" s="25">
        <v>0</v>
      </c>
      <c r="Q46" s="25">
        <v>0</v>
      </c>
      <c r="R46" s="4">
        <v>1</v>
      </c>
      <c r="S46" s="4">
        <v>0</v>
      </c>
      <c r="T46" s="4">
        <v>0</v>
      </c>
      <c r="U46" s="4">
        <v>0</v>
      </c>
      <c r="V46" s="5">
        <v>1</v>
      </c>
      <c r="W46" s="5">
        <v>0</v>
      </c>
      <c r="X46" s="5">
        <v>1</v>
      </c>
      <c r="Y46" s="25" t="s">
        <v>457</v>
      </c>
      <c r="Z46" s="5">
        <v>0</v>
      </c>
      <c r="AA46" s="5">
        <v>0</v>
      </c>
      <c r="AB46" s="5">
        <v>1</v>
      </c>
      <c r="AC46" s="5">
        <v>0</v>
      </c>
      <c r="AD46" s="5">
        <v>0</v>
      </c>
      <c r="AE46" s="3">
        <v>0</v>
      </c>
      <c r="AF46" s="5">
        <v>0</v>
      </c>
      <c r="AG46" s="4">
        <v>0</v>
      </c>
      <c r="AH46" s="25">
        <v>0</v>
      </c>
      <c r="AI46" s="26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4">
        <v>1</v>
      </c>
      <c r="AQ46" s="4"/>
      <c r="AR46" s="4">
        <v>0</v>
      </c>
      <c r="AS46" s="4">
        <v>0</v>
      </c>
      <c r="AT46" s="4"/>
      <c r="AU46" s="4">
        <v>0</v>
      </c>
      <c r="AV46" s="12">
        <v>0</v>
      </c>
      <c r="AW46" s="4">
        <v>0</v>
      </c>
      <c r="AX46" s="4">
        <v>0</v>
      </c>
      <c r="AY46" s="4">
        <v>0</v>
      </c>
      <c r="AZ46" s="4">
        <v>0</v>
      </c>
      <c r="BA46" s="25" t="s">
        <v>458</v>
      </c>
      <c r="BB46" s="5">
        <v>1</v>
      </c>
      <c r="BC46" s="30" t="s">
        <v>333</v>
      </c>
      <c r="BD46" s="30" t="s">
        <v>309</v>
      </c>
      <c r="BE46" s="30" t="s">
        <v>333</v>
      </c>
      <c r="BF46" s="17" t="s">
        <v>309</v>
      </c>
      <c r="BG46" s="4" t="str">
        <f>B46</f>
        <v>英雄纪念碑</v>
      </c>
      <c r="BH46" s="20">
        <v>6</v>
      </c>
      <c r="BI46" s="4">
        <v>4</v>
      </c>
      <c r="BJ46" s="4">
        <v>0</v>
      </c>
      <c r="BK46" s="4">
        <v>0</v>
      </c>
      <c r="BL46" s="4">
        <v>1</v>
      </c>
      <c r="BM46" s="4">
        <v>0</v>
      </c>
      <c r="BN46" s="4">
        <v>1</v>
      </c>
      <c r="BO46" s="4">
        <v>0</v>
      </c>
      <c r="BP46" s="4">
        <v>1</v>
      </c>
      <c r="BQ46" s="4">
        <v>0</v>
      </c>
      <c r="BR46" s="4">
        <v>0</v>
      </c>
      <c r="BS46" s="4">
        <v>0</v>
      </c>
      <c r="BT46" s="4">
        <v>0</v>
      </c>
      <c r="BU46" s="4">
        <v>1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4</v>
      </c>
      <c r="CF46" s="4">
        <v>0</v>
      </c>
      <c r="CG46" s="4">
        <v>0</v>
      </c>
      <c r="CH46" s="4">
        <v>1</v>
      </c>
      <c r="CI46" s="4">
        <v>1</v>
      </c>
      <c r="CJ46" s="4">
        <v>1</v>
      </c>
      <c r="CK46" s="4">
        <v>1</v>
      </c>
      <c r="CL46" s="4">
        <v>1000</v>
      </c>
      <c r="CM46" s="4">
        <v>0</v>
      </c>
      <c r="CN46" s="4">
        <v>1</v>
      </c>
      <c r="CO46" s="4">
        <v>0</v>
      </c>
      <c r="CP46" s="4">
        <v>0</v>
      </c>
      <c r="CQ46" s="4">
        <v>0</v>
      </c>
      <c r="CR46" s="4" t="str">
        <f>B46</f>
        <v>英雄纪念碑</v>
      </c>
      <c r="CS46" s="4">
        <v>0</v>
      </c>
      <c r="CT46" s="4">
        <v>10</v>
      </c>
      <c r="CU46" s="4">
        <v>500</v>
      </c>
      <c r="CV46" s="4">
        <v>604001</v>
      </c>
      <c r="CW46" s="4" t="s">
        <v>113</v>
      </c>
      <c r="CX46" s="4">
        <v>100</v>
      </c>
      <c r="CY46" s="4">
        <v>605001</v>
      </c>
      <c r="CZ46" s="4" t="s">
        <v>122</v>
      </c>
      <c r="DA46" s="4">
        <v>1000</v>
      </c>
      <c r="DB46" s="4">
        <v>603001</v>
      </c>
      <c r="DC46" s="4" t="s">
        <v>116</v>
      </c>
      <c r="DD46" s="4">
        <v>100</v>
      </c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</row>
    <row r="47" spans="1:119" ht="20.25" customHeight="1" x14ac:dyDescent="0.15">
      <c r="A47" s="4">
        <v>104007</v>
      </c>
      <c r="B47" s="6" t="s">
        <v>163</v>
      </c>
      <c r="C47" s="47" t="s">
        <v>666</v>
      </c>
      <c r="D47" s="26"/>
      <c r="E47" s="26">
        <v>0</v>
      </c>
      <c r="F47" s="5">
        <v>0</v>
      </c>
      <c r="G47" s="26">
        <v>1</v>
      </c>
      <c r="H47" s="4">
        <v>7</v>
      </c>
      <c r="I47" s="4">
        <v>0</v>
      </c>
      <c r="J47" s="5"/>
      <c r="K47" s="5"/>
      <c r="L47" s="5"/>
      <c r="M47" s="8">
        <v>0</v>
      </c>
      <c r="N47" s="4" t="s">
        <v>164</v>
      </c>
      <c r="O47" s="25">
        <v>0</v>
      </c>
      <c r="P47" s="25">
        <v>0</v>
      </c>
      <c r="Q47" s="25">
        <v>0</v>
      </c>
      <c r="R47" s="4">
        <v>1</v>
      </c>
      <c r="S47" s="4">
        <v>0</v>
      </c>
      <c r="T47" s="4">
        <v>0</v>
      </c>
      <c r="U47" s="4">
        <v>0</v>
      </c>
      <c r="V47" s="5">
        <v>1</v>
      </c>
      <c r="W47" s="5">
        <v>0</v>
      </c>
      <c r="X47" s="5">
        <v>1</v>
      </c>
      <c r="Y47" s="6" t="s">
        <v>163</v>
      </c>
      <c r="Z47" s="5">
        <v>0</v>
      </c>
      <c r="AA47" s="5">
        <v>0</v>
      </c>
      <c r="AB47" s="5">
        <v>1</v>
      </c>
      <c r="AC47" s="5">
        <v>2</v>
      </c>
      <c r="AD47" s="5">
        <v>0</v>
      </c>
      <c r="AE47" s="3">
        <v>0</v>
      </c>
      <c r="AF47" s="5">
        <v>0</v>
      </c>
      <c r="AG47" s="4">
        <v>0</v>
      </c>
      <c r="AH47" s="25">
        <v>0</v>
      </c>
      <c r="AI47" s="26">
        <v>0</v>
      </c>
      <c r="AJ47" s="5">
        <v>0</v>
      </c>
      <c r="AK47" s="5">
        <v>0</v>
      </c>
      <c r="AL47" s="5">
        <v>1</v>
      </c>
      <c r="AM47" s="5">
        <v>1</v>
      </c>
      <c r="AN47" s="5">
        <v>1</v>
      </c>
      <c r="AO47" s="5">
        <v>1</v>
      </c>
      <c r="AP47" s="4">
        <v>1</v>
      </c>
      <c r="AQ47" s="4"/>
      <c r="AR47" s="4">
        <v>0</v>
      </c>
      <c r="AS47" s="4">
        <v>0</v>
      </c>
      <c r="AT47" s="4">
        <v>1</v>
      </c>
      <c r="AU47" s="4">
        <v>0</v>
      </c>
      <c r="AV47" s="12">
        <v>0</v>
      </c>
      <c r="AW47" s="4">
        <v>1</v>
      </c>
      <c r="AX47" s="4">
        <v>0</v>
      </c>
      <c r="AY47" s="4">
        <v>0</v>
      </c>
      <c r="AZ47" s="4">
        <v>0</v>
      </c>
      <c r="BA47" s="4" t="s">
        <v>165</v>
      </c>
      <c r="BB47" s="5">
        <v>1</v>
      </c>
      <c r="BC47" s="17" t="s">
        <v>109</v>
      </c>
      <c r="BD47" s="17" t="s">
        <v>110</v>
      </c>
      <c r="BE47" s="17" t="s">
        <v>109</v>
      </c>
      <c r="BF47" s="17" t="s">
        <v>379</v>
      </c>
      <c r="BG47" s="4" t="str">
        <f t="shared" si="15"/>
        <v>诊断台</v>
      </c>
      <c r="BH47" s="20">
        <v>2</v>
      </c>
      <c r="BI47" s="4">
        <v>1</v>
      </c>
      <c r="BJ47" s="4">
        <v>0</v>
      </c>
      <c r="BK47" s="4">
        <v>0</v>
      </c>
      <c r="BL47" s="4">
        <v>13</v>
      </c>
      <c r="BM47" s="4">
        <v>1</v>
      </c>
      <c r="BN47" s="4">
        <v>1</v>
      </c>
      <c r="BO47" s="4">
        <v>0</v>
      </c>
      <c r="BP47" s="4">
        <v>0</v>
      </c>
      <c r="BQ47" s="4">
        <v>1</v>
      </c>
      <c r="BR47" s="4">
        <v>0</v>
      </c>
      <c r="BS47" s="4">
        <v>0</v>
      </c>
      <c r="BT47" s="4">
        <v>1</v>
      </c>
      <c r="BU47" s="4">
        <v>1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1</v>
      </c>
      <c r="CB47" s="4">
        <v>0</v>
      </c>
      <c r="CC47" s="4">
        <v>40</v>
      </c>
      <c r="CD47" s="4">
        <v>0</v>
      </c>
      <c r="CE47" s="4">
        <v>4</v>
      </c>
      <c r="CF47" s="4">
        <v>0</v>
      </c>
      <c r="CG47" s="4">
        <v>0</v>
      </c>
      <c r="CH47" s="4">
        <v>1</v>
      </c>
      <c r="CI47" s="4">
        <v>1</v>
      </c>
      <c r="CJ47" s="4">
        <v>1</v>
      </c>
      <c r="CK47" s="4">
        <v>1</v>
      </c>
      <c r="CL47" s="4">
        <v>100</v>
      </c>
      <c r="CM47" s="4">
        <v>0</v>
      </c>
      <c r="CN47" s="4">
        <v>1</v>
      </c>
      <c r="CO47" s="4">
        <v>0</v>
      </c>
      <c r="CP47" s="4">
        <v>0</v>
      </c>
      <c r="CQ47" s="4">
        <v>0</v>
      </c>
      <c r="CR47" s="4" t="str">
        <f t="shared" si="16"/>
        <v>诊断台</v>
      </c>
      <c r="CS47" s="4">
        <v>0</v>
      </c>
      <c r="CT47" s="4">
        <v>1</v>
      </c>
      <c r="CU47" s="4">
        <v>20</v>
      </c>
      <c r="CV47" s="4">
        <v>604001</v>
      </c>
      <c r="CW47" s="4" t="s">
        <v>113</v>
      </c>
      <c r="CX47" s="4">
        <v>40</v>
      </c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31" t="s">
        <v>434</v>
      </c>
      <c r="DO47" s="4"/>
    </row>
    <row r="48" spans="1:119" x14ac:dyDescent="0.15">
      <c r="A48" s="4">
        <v>104008</v>
      </c>
      <c r="B48" s="5" t="s">
        <v>166</v>
      </c>
      <c r="C48" s="47" t="s">
        <v>666</v>
      </c>
      <c r="D48" s="26"/>
      <c r="E48" s="26">
        <v>0</v>
      </c>
      <c r="F48" s="5">
        <v>0</v>
      </c>
      <c r="G48" s="26">
        <v>1</v>
      </c>
      <c r="H48" s="4">
        <v>7</v>
      </c>
      <c r="I48" s="4">
        <v>0</v>
      </c>
      <c r="J48" s="5"/>
      <c r="K48" s="5"/>
      <c r="L48" s="5"/>
      <c r="M48" s="8">
        <v>0</v>
      </c>
      <c r="N48" s="4" t="s">
        <v>167</v>
      </c>
      <c r="O48" s="25">
        <v>0</v>
      </c>
      <c r="P48" s="25">
        <v>16</v>
      </c>
      <c r="Q48" s="25">
        <v>0</v>
      </c>
      <c r="R48" s="4">
        <v>1</v>
      </c>
      <c r="S48" s="4">
        <v>0</v>
      </c>
      <c r="T48" s="4">
        <v>0</v>
      </c>
      <c r="U48" s="4">
        <v>0</v>
      </c>
      <c r="V48" s="5">
        <v>1</v>
      </c>
      <c r="W48" s="5">
        <v>0</v>
      </c>
      <c r="X48" s="5">
        <v>1</v>
      </c>
      <c r="Y48" s="5" t="s">
        <v>166</v>
      </c>
      <c r="Z48" s="5">
        <v>0</v>
      </c>
      <c r="AA48" s="5">
        <v>0</v>
      </c>
      <c r="AB48" s="5">
        <v>1</v>
      </c>
      <c r="AC48" s="5">
        <v>2</v>
      </c>
      <c r="AD48" s="5">
        <v>0</v>
      </c>
      <c r="AE48" s="3">
        <v>1</v>
      </c>
      <c r="AF48" s="5">
        <v>0</v>
      </c>
      <c r="AG48" s="4">
        <v>0</v>
      </c>
      <c r="AH48" s="25">
        <v>0</v>
      </c>
      <c r="AI48" s="26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4">
        <v>1</v>
      </c>
      <c r="AQ48" s="4"/>
      <c r="AR48" s="4">
        <v>0</v>
      </c>
      <c r="AS48" s="4">
        <v>0</v>
      </c>
      <c r="AT48" s="4">
        <v>1</v>
      </c>
      <c r="AU48" s="4">
        <v>0</v>
      </c>
      <c r="AV48" s="12">
        <v>0</v>
      </c>
      <c r="AW48" s="4">
        <v>1</v>
      </c>
      <c r="AX48" s="4">
        <v>0</v>
      </c>
      <c r="AY48" s="4">
        <v>0</v>
      </c>
      <c r="AZ48" s="4">
        <v>0</v>
      </c>
      <c r="BA48" s="4" t="s">
        <v>356</v>
      </c>
      <c r="BB48" s="5">
        <v>1</v>
      </c>
      <c r="BC48" s="17" t="s">
        <v>109</v>
      </c>
      <c r="BD48" s="17" t="s">
        <v>110</v>
      </c>
      <c r="BE48" s="17" t="s">
        <v>110</v>
      </c>
      <c r="BF48" s="17" t="s">
        <v>379</v>
      </c>
      <c r="BG48" s="4" t="str">
        <f t="shared" si="15"/>
        <v>医疗床</v>
      </c>
      <c r="BH48" s="20">
        <v>1</v>
      </c>
      <c r="BI48" s="4">
        <v>2</v>
      </c>
      <c r="BJ48" s="4">
        <v>0</v>
      </c>
      <c r="BK48" s="4">
        <v>0</v>
      </c>
      <c r="BL48" s="4">
        <v>24</v>
      </c>
      <c r="BM48" s="4">
        <v>1</v>
      </c>
      <c r="BN48" s="4">
        <v>1</v>
      </c>
      <c r="BO48" s="4">
        <v>0</v>
      </c>
      <c r="BP48" s="4">
        <v>0</v>
      </c>
      <c r="BQ48" s="4">
        <v>1</v>
      </c>
      <c r="BR48" s="4">
        <v>1</v>
      </c>
      <c r="BS48" s="4">
        <v>0</v>
      </c>
      <c r="BT48" s="4">
        <v>1</v>
      </c>
      <c r="BU48" s="4">
        <v>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4</v>
      </c>
      <c r="CF48" s="4">
        <v>0</v>
      </c>
      <c r="CG48" s="4">
        <v>0</v>
      </c>
      <c r="CH48" s="4">
        <v>1</v>
      </c>
      <c r="CI48" s="4">
        <v>1</v>
      </c>
      <c r="CJ48" s="4">
        <v>1</v>
      </c>
      <c r="CK48" s="4">
        <v>1</v>
      </c>
      <c r="CL48" s="4">
        <v>100</v>
      </c>
      <c r="CM48" s="4">
        <v>0</v>
      </c>
      <c r="CN48" s="4">
        <v>1</v>
      </c>
      <c r="CO48" s="4">
        <v>0</v>
      </c>
      <c r="CP48" s="4">
        <v>0</v>
      </c>
      <c r="CQ48" s="4">
        <v>0</v>
      </c>
      <c r="CR48" s="4" t="str">
        <f t="shared" si="16"/>
        <v>医疗床</v>
      </c>
      <c r="CS48" s="4">
        <v>0</v>
      </c>
      <c r="CT48" s="4">
        <v>2</v>
      </c>
      <c r="CU48" s="4">
        <v>20</v>
      </c>
      <c r="CV48" s="4">
        <v>604001</v>
      </c>
      <c r="CW48" s="4" t="s">
        <v>113</v>
      </c>
      <c r="CX48" s="4">
        <v>20</v>
      </c>
      <c r="CY48" s="4">
        <v>605001</v>
      </c>
      <c r="CZ48" s="4" t="s">
        <v>122</v>
      </c>
      <c r="DA48" s="4">
        <v>20</v>
      </c>
      <c r="DB48" s="4">
        <v>603001</v>
      </c>
      <c r="DC48" s="4" t="s">
        <v>116</v>
      </c>
      <c r="DD48" s="4">
        <v>3</v>
      </c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</row>
    <row r="49" spans="1:119" x14ac:dyDescent="0.15">
      <c r="A49" s="4">
        <v>104011</v>
      </c>
      <c r="B49" s="28" t="s">
        <v>447</v>
      </c>
      <c r="C49" s="47" t="s">
        <v>684</v>
      </c>
      <c r="D49" s="26"/>
      <c r="E49" s="26">
        <v>0</v>
      </c>
      <c r="F49" s="5">
        <v>0</v>
      </c>
      <c r="G49" s="26">
        <v>1</v>
      </c>
      <c r="H49" s="4">
        <v>7</v>
      </c>
      <c r="I49" s="4">
        <v>0</v>
      </c>
      <c r="J49" s="26"/>
      <c r="K49" s="26" t="s">
        <v>519</v>
      </c>
      <c r="L49" s="26"/>
      <c r="M49" s="8">
        <v>1</v>
      </c>
      <c r="N49" s="4" t="s">
        <v>168</v>
      </c>
      <c r="O49" s="25">
        <v>0</v>
      </c>
      <c r="P49" s="25">
        <v>0</v>
      </c>
      <c r="Q49" s="25">
        <v>0</v>
      </c>
      <c r="R49" s="4">
        <v>1</v>
      </c>
      <c r="S49" s="4">
        <v>0</v>
      </c>
      <c r="T49" s="4">
        <v>0</v>
      </c>
      <c r="U49" s="4">
        <v>0</v>
      </c>
      <c r="V49" s="5">
        <v>1</v>
      </c>
      <c r="W49" s="5">
        <v>0</v>
      </c>
      <c r="X49" s="5">
        <v>1</v>
      </c>
      <c r="Y49" s="28" t="s">
        <v>447</v>
      </c>
      <c r="Z49" s="5">
        <v>0</v>
      </c>
      <c r="AA49" s="5">
        <v>0</v>
      </c>
      <c r="AB49" s="5">
        <v>1</v>
      </c>
      <c r="AC49" s="5">
        <v>0</v>
      </c>
      <c r="AD49" s="5">
        <v>0</v>
      </c>
      <c r="AE49" s="3">
        <v>0</v>
      </c>
      <c r="AF49" s="5">
        <v>0</v>
      </c>
      <c r="AG49" s="4">
        <v>0</v>
      </c>
      <c r="AH49" s="25">
        <v>0</v>
      </c>
      <c r="AI49" s="26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4">
        <v>1</v>
      </c>
      <c r="AQ49" s="4"/>
      <c r="AR49" s="4">
        <v>0</v>
      </c>
      <c r="AS49" s="4">
        <v>0</v>
      </c>
      <c r="AT49" s="4">
        <v>0</v>
      </c>
      <c r="AU49" s="4">
        <v>0</v>
      </c>
      <c r="AV49" s="12">
        <v>0</v>
      </c>
      <c r="AW49" s="4">
        <v>1</v>
      </c>
      <c r="AX49" s="4">
        <v>0</v>
      </c>
      <c r="AY49" s="4">
        <v>0</v>
      </c>
      <c r="AZ49" s="4">
        <v>0</v>
      </c>
      <c r="BA49" s="4" t="s">
        <v>169</v>
      </c>
      <c r="BB49" s="5">
        <v>1</v>
      </c>
      <c r="BC49" s="17" t="s">
        <v>109</v>
      </c>
      <c r="BD49" s="17" t="s">
        <v>110</v>
      </c>
      <c r="BE49" s="17" t="s">
        <v>110</v>
      </c>
      <c r="BF49" s="17" t="s">
        <v>379</v>
      </c>
      <c r="BG49" s="4" t="str">
        <f>B49</f>
        <v>篝火堆</v>
      </c>
      <c r="BH49" s="20">
        <v>2</v>
      </c>
      <c r="BI49" s="4">
        <v>2</v>
      </c>
      <c r="BJ49" s="4">
        <v>0</v>
      </c>
      <c r="BK49" s="4">
        <v>0</v>
      </c>
      <c r="BL49" s="4">
        <v>1234</v>
      </c>
      <c r="BM49" s="4">
        <v>1</v>
      </c>
      <c r="BN49" s="4">
        <v>1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1</v>
      </c>
      <c r="BV49" s="4">
        <v>0</v>
      </c>
      <c r="BW49" s="4">
        <v>0</v>
      </c>
      <c r="BX49" s="4">
        <v>0</v>
      </c>
      <c r="BY49" s="4">
        <v>0</v>
      </c>
      <c r="BZ49" s="4">
        <v>1</v>
      </c>
      <c r="CA49" s="4">
        <v>0</v>
      </c>
      <c r="CB49" s="4">
        <v>0</v>
      </c>
      <c r="CC49" s="4">
        <v>108</v>
      </c>
      <c r="CD49" s="4">
        <v>0</v>
      </c>
      <c r="CE49" s="4">
        <v>4</v>
      </c>
      <c r="CF49" s="4">
        <v>0</v>
      </c>
      <c r="CG49" s="4">
        <v>0</v>
      </c>
      <c r="CH49" s="4">
        <v>1</v>
      </c>
      <c r="CI49" s="4">
        <v>1</v>
      </c>
      <c r="CJ49" s="4">
        <v>1</v>
      </c>
      <c r="CK49" s="4">
        <v>1</v>
      </c>
      <c r="CL49" s="4">
        <v>100</v>
      </c>
      <c r="CM49" s="4">
        <v>0</v>
      </c>
      <c r="CN49" s="4">
        <v>1</v>
      </c>
      <c r="CO49" s="4">
        <v>0</v>
      </c>
      <c r="CP49" s="4">
        <v>0</v>
      </c>
      <c r="CQ49" s="4">
        <v>0</v>
      </c>
      <c r="CR49" s="4" t="str">
        <f>B49</f>
        <v>篝火堆</v>
      </c>
      <c r="CS49" s="4">
        <v>0</v>
      </c>
      <c r="CT49" s="4">
        <v>2</v>
      </c>
      <c r="CU49" s="4">
        <v>20</v>
      </c>
      <c r="CV49" s="4">
        <v>604001</v>
      </c>
      <c r="CW49" s="4" t="s">
        <v>113</v>
      </c>
      <c r="CX49" s="4">
        <v>40</v>
      </c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 t="s">
        <v>170</v>
      </c>
      <c r="DO49" s="4"/>
    </row>
    <row r="50" spans="1:119" x14ac:dyDescent="0.15">
      <c r="A50" s="4">
        <v>104016</v>
      </c>
      <c r="B50" s="26" t="s">
        <v>381</v>
      </c>
      <c r="C50" s="47" t="s">
        <v>667</v>
      </c>
      <c r="D50" s="26"/>
      <c r="E50" s="26">
        <v>0</v>
      </c>
      <c r="F50" s="5">
        <v>1</v>
      </c>
      <c r="G50" s="26">
        <v>1</v>
      </c>
      <c r="H50" s="4">
        <v>7</v>
      </c>
      <c r="I50" s="4">
        <v>0</v>
      </c>
      <c r="J50" s="26"/>
      <c r="K50" s="26"/>
      <c r="L50" s="26"/>
      <c r="M50" s="8">
        <v>0</v>
      </c>
      <c r="N50" s="4" t="s">
        <v>176</v>
      </c>
      <c r="O50" s="25">
        <v>0</v>
      </c>
      <c r="P50" s="25">
        <v>0</v>
      </c>
      <c r="Q50" s="25">
        <v>0</v>
      </c>
      <c r="R50" s="4">
        <v>1</v>
      </c>
      <c r="S50" s="4">
        <v>0</v>
      </c>
      <c r="T50" s="4">
        <v>0</v>
      </c>
      <c r="U50" s="4">
        <v>0</v>
      </c>
      <c r="V50" s="5">
        <v>1</v>
      </c>
      <c r="W50" s="5">
        <v>0</v>
      </c>
      <c r="X50" s="5">
        <v>0</v>
      </c>
      <c r="Y50" s="26" t="s">
        <v>381</v>
      </c>
      <c r="Z50" s="5">
        <v>0</v>
      </c>
      <c r="AA50" s="5">
        <v>0</v>
      </c>
      <c r="AB50" s="5">
        <v>1</v>
      </c>
      <c r="AC50" s="5">
        <v>2</v>
      </c>
      <c r="AD50" s="5">
        <v>0</v>
      </c>
      <c r="AE50" s="3">
        <v>0</v>
      </c>
      <c r="AF50" s="5">
        <v>0</v>
      </c>
      <c r="AG50" s="4">
        <v>0</v>
      </c>
      <c r="AH50" s="25">
        <v>0</v>
      </c>
      <c r="AI50" s="26">
        <v>0</v>
      </c>
      <c r="AJ50" s="5">
        <v>0</v>
      </c>
      <c r="AK50" s="5">
        <v>0</v>
      </c>
      <c r="AL50" s="5">
        <v>1</v>
      </c>
      <c r="AM50" s="5">
        <v>0</v>
      </c>
      <c r="AN50" s="5">
        <v>1</v>
      </c>
      <c r="AO50" s="5">
        <v>1</v>
      </c>
      <c r="AP50" s="4">
        <v>1</v>
      </c>
      <c r="AQ50" s="4"/>
      <c r="AR50" s="4">
        <v>0</v>
      </c>
      <c r="AS50" s="4">
        <v>0</v>
      </c>
      <c r="AT50" s="4">
        <v>0</v>
      </c>
      <c r="AU50" s="4">
        <v>0</v>
      </c>
      <c r="AV50" s="12">
        <v>0</v>
      </c>
      <c r="AW50" s="4">
        <v>1</v>
      </c>
      <c r="AX50" s="4">
        <v>1</v>
      </c>
      <c r="AY50" s="4">
        <v>1</v>
      </c>
      <c r="AZ50" s="4">
        <v>0</v>
      </c>
      <c r="BA50" s="4" t="s">
        <v>375</v>
      </c>
      <c r="BB50" s="5">
        <v>1</v>
      </c>
      <c r="BC50" s="17" t="s">
        <v>109</v>
      </c>
      <c r="BD50" s="17" t="s">
        <v>110</v>
      </c>
      <c r="BE50" s="17" t="s">
        <v>109</v>
      </c>
      <c r="BF50" s="17" t="s">
        <v>379</v>
      </c>
      <c r="BG50" s="4" t="str">
        <f t="shared" ref="BG50:BG62" si="17">B50</f>
        <v>餐桌</v>
      </c>
      <c r="BH50" s="20">
        <v>3</v>
      </c>
      <c r="BI50" s="4">
        <v>2</v>
      </c>
      <c r="BJ50" s="4">
        <v>0</v>
      </c>
      <c r="BK50" s="4">
        <v>0</v>
      </c>
      <c r="BL50" s="4">
        <v>13</v>
      </c>
      <c r="BM50" s="4">
        <v>1</v>
      </c>
      <c r="BN50" s="4">
        <v>1</v>
      </c>
      <c r="BO50" s="4">
        <v>0</v>
      </c>
      <c r="BP50" s="4">
        <v>0</v>
      </c>
      <c r="BQ50" s="4">
        <v>1</v>
      </c>
      <c r="BR50" s="4">
        <v>1</v>
      </c>
      <c r="BS50" s="4">
        <v>0</v>
      </c>
      <c r="BT50" s="4">
        <v>0</v>
      </c>
      <c r="BU50" s="4">
        <v>1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1</v>
      </c>
      <c r="CB50" s="4">
        <v>1</v>
      </c>
      <c r="CC50" s="4">
        <v>20</v>
      </c>
      <c r="CD50" s="4">
        <v>0</v>
      </c>
      <c r="CE50" s="4">
        <v>4</v>
      </c>
      <c r="CF50" s="4">
        <v>0</v>
      </c>
      <c r="CG50" s="4">
        <v>0</v>
      </c>
      <c r="CH50" s="4">
        <v>1</v>
      </c>
      <c r="CI50" s="4">
        <v>1</v>
      </c>
      <c r="CJ50" s="4">
        <v>1</v>
      </c>
      <c r="CK50" s="4">
        <v>1</v>
      </c>
      <c r="CL50" s="4">
        <v>100</v>
      </c>
      <c r="CM50" s="4">
        <v>0</v>
      </c>
      <c r="CN50" s="4">
        <v>1</v>
      </c>
      <c r="CO50" s="4">
        <v>0</v>
      </c>
      <c r="CP50" s="4">
        <v>0</v>
      </c>
      <c r="CQ50" s="4">
        <v>0</v>
      </c>
      <c r="CR50" s="4" t="str">
        <f t="shared" si="16"/>
        <v>餐桌</v>
      </c>
      <c r="CS50" s="4">
        <v>0</v>
      </c>
      <c r="CT50" s="4">
        <v>2</v>
      </c>
      <c r="CU50" s="4">
        <v>10</v>
      </c>
      <c r="CV50" s="4">
        <v>604001</v>
      </c>
      <c r="CW50" s="4" t="s">
        <v>113</v>
      </c>
      <c r="CX50" s="4">
        <v>50</v>
      </c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</row>
    <row r="51" spans="1:119" x14ac:dyDescent="0.15">
      <c r="A51" s="4">
        <v>104020</v>
      </c>
      <c r="B51" s="25" t="s">
        <v>329</v>
      </c>
      <c r="C51" s="47" t="s">
        <v>685</v>
      </c>
      <c r="D51" s="26"/>
      <c r="E51" s="26">
        <v>0</v>
      </c>
      <c r="F51" s="5">
        <v>1</v>
      </c>
      <c r="G51" s="26">
        <v>1</v>
      </c>
      <c r="H51" s="4">
        <v>7</v>
      </c>
      <c r="I51" s="4">
        <v>0</v>
      </c>
      <c r="J51" s="25"/>
      <c r="K51" s="25"/>
      <c r="L51" s="25"/>
      <c r="M51" s="8">
        <v>0</v>
      </c>
      <c r="N51" s="25" t="s">
        <v>331</v>
      </c>
      <c r="O51" s="25">
        <v>0</v>
      </c>
      <c r="P51" s="25">
        <v>0</v>
      </c>
      <c r="Q51" s="25">
        <v>0</v>
      </c>
      <c r="R51" s="4">
        <v>1</v>
      </c>
      <c r="S51" s="4">
        <v>0</v>
      </c>
      <c r="T51" s="4">
        <v>0</v>
      </c>
      <c r="U51" s="4">
        <v>0</v>
      </c>
      <c r="V51" s="5">
        <v>1</v>
      </c>
      <c r="W51" s="5">
        <v>0</v>
      </c>
      <c r="X51" s="5">
        <v>0</v>
      </c>
      <c r="Y51" s="25" t="s">
        <v>329</v>
      </c>
      <c r="Z51" s="5">
        <v>0</v>
      </c>
      <c r="AA51" s="5">
        <v>0</v>
      </c>
      <c r="AB51" s="5">
        <v>1</v>
      </c>
      <c r="AC51" s="5">
        <v>2</v>
      </c>
      <c r="AD51" s="5">
        <v>0</v>
      </c>
      <c r="AE51" s="3">
        <v>0</v>
      </c>
      <c r="AF51" s="5">
        <v>0</v>
      </c>
      <c r="AG51" s="4">
        <v>0</v>
      </c>
      <c r="AH51" s="25">
        <v>0</v>
      </c>
      <c r="AI51" s="26">
        <v>0</v>
      </c>
      <c r="AJ51" s="5">
        <v>0</v>
      </c>
      <c r="AK51" s="5">
        <v>0</v>
      </c>
      <c r="AL51" s="5">
        <v>0</v>
      </c>
      <c r="AM51" s="5">
        <v>0</v>
      </c>
      <c r="AN51" s="5">
        <v>1</v>
      </c>
      <c r="AO51" s="5">
        <v>1</v>
      </c>
      <c r="AP51" s="4">
        <v>1</v>
      </c>
      <c r="AQ51" s="4"/>
      <c r="AR51" s="4">
        <v>0</v>
      </c>
      <c r="AS51" s="4">
        <v>0</v>
      </c>
      <c r="AT51" s="4">
        <v>0</v>
      </c>
      <c r="AU51" s="4">
        <v>0</v>
      </c>
      <c r="AV51" s="12">
        <v>0</v>
      </c>
      <c r="AW51" s="4">
        <v>1</v>
      </c>
      <c r="AX51" s="4">
        <v>1</v>
      </c>
      <c r="AY51" s="4">
        <v>1</v>
      </c>
      <c r="AZ51" s="4">
        <v>0</v>
      </c>
      <c r="BA51" s="25" t="s">
        <v>332</v>
      </c>
      <c r="BB51" s="5">
        <v>1</v>
      </c>
      <c r="BC51" s="30" t="s">
        <v>333</v>
      </c>
      <c r="BD51" s="30" t="s">
        <v>334</v>
      </c>
      <c r="BE51" s="30" t="s">
        <v>333</v>
      </c>
      <c r="BF51" s="17" t="s">
        <v>379</v>
      </c>
      <c r="BG51" s="4" t="str">
        <f>B51</f>
        <v>宴会桌</v>
      </c>
      <c r="BH51" s="20">
        <v>5</v>
      </c>
      <c r="BI51" s="4">
        <v>2</v>
      </c>
      <c r="BJ51" s="4">
        <v>0</v>
      </c>
      <c r="BK51" s="4">
        <v>0</v>
      </c>
      <c r="BL51" s="4">
        <v>1234</v>
      </c>
      <c r="BM51" s="4">
        <v>1</v>
      </c>
      <c r="BN51" s="4">
        <v>1</v>
      </c>
      <c r="BO51" s="4">
        <v>0</v>
      </c>
      <c r="BP51" s="4">
        <v>0</v>
      </c>
      <c r="BQ51" s="4">
        <v>1</v>
      </c>
      <c r="BR51" s="4">
        <v>0</v>
      </c>
      <c r="BS51" s="4">
        <v>0</v>
      </c>
      <c r="BT51" s="4">
        <v>1</v>
      </c>
      <c r="BU51" s="4">
        <v>1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1</v>
      </c>
      <c r="CB51" s="4">
        <v>1</v>
      </c>
      <c r="CC51" s="4">
        <v>30</v>
      </c>
      <c r="CD51" s="4">
        <v>0</v>
      </c>
      <c r="CE51" s="4">
        <v>4</v>
      </c>
      <c r="CF51" s="4">
        <v>0</v>
      </c>
      <c r="CG51" s="4">
        <v>0</v>
      </c>
      <c r="CH51" s="4">
        <v>1</v>
      </c>
      <c r="CI51" s="4">
        <v>1</v>
      </c>
      <c r="CJ51" s="4">
        <v>1</v>
      </c>
      <c r="CK51" s="4">
        <v>1</v>
      </c>
      <c r="CL51" s="4">
        <v>300</v>
      </c>
      <c r="CM51" s="4">
        <v>0</v>
      </c>
      <c r="CN51" s="4">
        <v>1</v>
      </c>
      <c r="CO51" s="4">
        <v>0</v>
      </c>
      <c r="CP51" s="4">
        <v>0</v>
      </c>
      <c r="CQ51" s="4">
        <v>0</v>
      </c>
      <c r="CR51" s="4" t="str">
        <f>B51</f>
        <v>宴会桌</v>
      </c>
      <c r="CS51" s="4">
        <v>0</v>
      </c>
      <c r="CT51" s="4">
        <v>5</v>
      </c>
      <c r="CU51" s="4">
        <v>50</v>
      </c>
      <c r="CV51" s="4">
        <v>604001</v>
      </c>
      <c r="CW51" s="4" t="s">
        <v>113</v>
      </c>
      <c r="CX51" s="4">
        <v>1000</v>
      </c>
      <c r="CY51" s="4">
        <v>603001</v>
      </c>
      <c r="CZ51" s="4" t="s">
        <v>116</v>
      </c>
      <c r="DA51" s="4">
        <v>100</v>
      </c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</row>
    <row r="52" spans="1:119" x14ac:dyDescent="0.15">
      <c r="A52" s="4">
        <v>104021</v>
      </c>
      <c r="B52" s="25" t="s">
        <v>451</v>
      </c>
      <c r="C52" s="47" t="s">
        <v>667</v>
      </c>
      <c r="D52" s="26" t="s">
        <v>663</v>
      </c>
      <c r="E52" s="26">
        <v>0</v>
      </c>
      <c r="F52" s="5">
        <v>0</v>
      </c>
      <c r="G52" s="26">
        <v>1</v>
      </c>
      <c r="H52" s="4">
        <v>7</v>
      </c>
      <c r="I52" s="4">
        <v>0</v>
      </c>
      <c r="J52" s="25"/>
      <c r="K52" s="25"/>
      <c r="L52" s="25"/>
      <c r="M52" s="8">
        <v>0</v>
      </c>
      <c r="N52" s="25" t="s">
        <v>336</v>
      </c>
      <c r="O52" s="25">
        <v>1</v>
      </c>
      <c r="P52" s="25">
        <v>0</v>
      </c>
      <c r="Q52" s="25">
        <v>0</v>
      </c>
      <c r="R52" s="4">
        <v>1</v>
      </c>
      <c r="S52" s="4">
        <v>0</v>
      </c>
      <c r="T52" s="4">
        <v>0</v>
      </c>
      <c r="U52" s="4">
        <v>0</v>
      </c>
      <c r="V52" s="5">
        <v>1</v>
      </c>
      <c r="W52" s="5">
        <v>0</v>
      </c>
      <c r="X52" s="5">
        <v>1</v>
      </c>
      <c r="Y52" s="25" t="s">
        <v>451</v>
      </c>
      <c r="Z52" s="5">
        <v>1</v>
      </c>
      <c r="AA52" s="5">
        <v>0</v>
      </c>
      <c r="AB52" s="5">
        <v>1</v>
      </c>
      <c r="AC52" s="5">
        <v>0</v>
      </c>
      <c r="AD52" s="5">
        <v>0</v>
      </c>
      <c r="AE52" s="3">
        <v>0</v>
      </c>
      <c r="AF52" s="5">
        <v>0</v>
      </c>
      <c r="AG52" s="4">
        <v>0</v>
      </c>
      <c r="AH52" s="25">
        <v>0</v>
      </c>
      <c r="AI52" s="26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4">
        <v>1</v>
      </c>
      <c r="AQ52" s="4"/>
      <c r="AR52" s="4">
        <v>0</v>
      </c>
      <c r="AS52" s="4">
        <v>0</v>
      </c>
      <c r="AT52" s="4"/>
      <c r="AU52" s="4">
        <v>0</v>
      </c>
      <c r="AV52" s="12">
        <v>0</v>
      </c>
      <c r="AW52" s="4">
        <v>1</v>
      </c>
      <c r="AX52" s="4">
        <v>0</v>
      </c>
      <c r="AY52" s="4">
        <v>0</v>
      </c>
      <c r="AZ52" s="4">
        <v>0</v>
      </c>
      <c r="BA52" s="25" t="s">
        <v>337</v>
      </c>
      <c r="BB52" s="5">
        <v>1</v>
      </c>
      <c r="BC52" s="30" t="s">
        <v>333</v>
      </c>
      <c r="BD52" s="30" t="s">
        <v>309</v>
      </c>
      <c r="BE52" s="30" t="s">
        <v>333</v>
      </c>
      <c r="BF52" s="17" t="s">
        <v>379</v>
      </c>
      <c r="BG52" s="4" t="str">
        <f>B52</f>
        <v>厕所</v>
      </c>
      <c r="BH52" s="20">
        <v>1</v>
      </c>
      <c r="BI52" s="4">
        <v>1</v>
      </c>
      <c r="BJ52" s="4">
        <v>0</v>
      </c>
      <c r="BK52" s="4">
        <v>0</v>
      </c>
      <c r="BL52" s="4">
        <v>13</v>
      </c>
      <c r="BM52" s="4">
        <v>1</v>
      </c>
      <c r="BN52" s="4">
        <v>1</v>
      </c>
      <c r="BO52" s="4">
        <v>0</v>
      </c>
      <c r="BP52" s="4">
        <v>0</v>
      </c>
      <c r="BQ52" s="4">
        <v>1</v>
      </c>
      <c r="BR52" s="4">
        <v>1</v>
      </c>
      <c r="BS52" s="4">
        <v>0</v>
      </c>
      <c r="BT52" s="4">
        <v>0</v>
      </c>
      <c r="BU52" s="4">
        <v>1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1</v>
      </c>
      <c r="CB52" s="4">
        <v>0</v>
      </c>
      <c r="CC52" s="4">
        <v>3</v>
      </c>
      <c r="CD52" s="4">
        <v>0</v>
      </c>
      <c r="CE52" s="4">
        <v>4</v>
      </c>
      <c r="CF52" s="4">
        <v>0</v>
      </c>
      <c r="CG52" s="4">
        <v>0</v>
      </c>
      <c r="CH52" s="4">
        <v>1</v>
      </c>
      <c r="CI52" s="4">
        <v>1</v>
      </c>
      <c r="CJ52" s="4">
        <v>1</v>
      </c>
      <c r="CK52" s="4">
        <v>1</v>
      </c>
      <c r="CL52" s="4">
        <v>100</v>
      </c>
      <c r="CM52" s="4">
        <v>0</v>
      </c>
      <c r="CN52" s="4">
        <v>1</v>
      </c>
      <c r="CO52" s="4">
        <v>0</v>
      </c>
      <c r="CP52" s="4">
        <v>0</v>
      </c>
      <c r="CQ52" s="4">
        <v>0</v>
      </c>
      <c r="CR52" s="4" t="str">
        <f>B52</f>
        <v>厕所</v>
      </c>
      <c r="CS52" s="4">
        <v>0</v>
      </c>
      <c r="CT52" s="4">
        <v>2</v>
      </c>
      <c r="CU52" s="4">
        <v>10</v>
      </c>
      <c r="CV52" s="4">
        <v>604001</v>
      </c>
      <c r="CW52" s="4" t="s">
        <v>113</v>
      </c>
      <c r="CX52" s="4">
        <v>10</v>
      </c>
      <c r="CY52" s="4">
        <v>605001</v>
      </c>
      <c r="CZ52" s="4" t="s">
        <v>122</v>
      </c>
      <c r="DA52" s="4">
        <v>20</v>
      </c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 t="s">
        <v>345</v>
      </c>
      <c r="DO52" s="4"/>
    </row>
    <row r="53" spans="1:119" x14ac:dyDescent="0.15">
      <c r="A53" s="4">
        <v>104031</v>
      </c>
      <c r="B53" s="25" t="s">
        <v>732</v>
      </c>
      <c r="C53" s="47" t="s">
        <v>733</v>
      </c>
      <c r="D53" s="26"/>
      <c r="E53" s="26">
        <v>0</v>
      </c>
      <c r="F53" s="5">
        <v>0</v>
      </c>
      <c r="G53" s="26">
        <v>1</v>
      </c>
      <c r="H53" s="4">
        <v>7</v>
      </c>
      <c r="I53" s="4">
        <v>0</v>
      </c>
      <c r="J53" s="25"/>
      <c r="K53" s="25"/>
      <c r="L53" s="25"/>
      <c r="M53" s="8">
        <v>0</v>
      </c>
      <c r="N53" s="25" t="s">
        <v>734</v>
      </c>
      <c r="O53" s="25">
        <v>1</v>
      </c>
      <c r="P53" s="25">
        <v>0</v>
      </c>
      <c r="Q53" s="25">
        <v>0</v>
      </c>
      <c r="R53" s="4">
        <v>1</v>
      </c>
      <c r="S53" s="4">
        <v>0</v>
      </c>
      <c r="T53" s="4">
        <v>0</v>
      </c>
      <c r="U53" s="4">
        <v>0</v>
      </c>
      <c r="V53" s="5">
        <v>1</v>
      </c>
      <c r="W53" s="5">
        <v>0</v>
      </c>
      <c r="X53" s="5">
        <v>1</v>
      </c>
      <c r="Y53" s="25" t="s">
        <v>732</v>
      </c>
      <c r="Z53" s="5">
        <v>0</v>
      </c>
      <c r="AA53" s="5">
        <v>0</v>
      </c>
      <c r="AB53" s="5">
        <v>1</v>
      </c>
      <c r="AC53" s="5">
        <v>0</v>
      </c>
      <c r="AD53" s="5">
        <v>0</v>
      </c>
      <c r="AE53" s="3">
        <v>0</v>
      </c>
      <c r="AF53" s="5">
        <v>0</v>
      </c>
      <c r="AG53" s="4">
        <v>0</v>
      </c>
      <c r="AH53" s="25">
        <v>0</v>
      </c>
      <c r="AI53" s="26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4">
        <v>1</v>
      </c>
      <c r="AQ53" s="4"/>
      <c r="AR53" s="4">
        <v>0</v>
      </c>
      <c r="AS53" s="4">
        <v>0</v>
      </c>
      <c r="AT53" s="4"/>
      <c r="AU53" s="4">
        <v>0</v>
      </c>
      <c r="AV53" s="12">
        <v>0</v>
      </c>
      <c r="AW53" s="4">
        <v>0</v>
      </c>
      <c r="AX53" s="4">
        <v>0</v>
      </c>
      <c r="AY53" s="4">
        <v>0</v>
      </c>
      <c r="AZ53" s="4">
        <v>0</v>
      </c>
      <c r="BA53" s="25" t="s">
        <v>735</v>
      </c>
      <c r="BB53" s="5">
        <v>1</v>
      </c>
      <c r="BC53" s="30" t="s">
        <v>333</v>
      </c>
      <c r="BD53" s="30" t="s">
        <v>309</v>
      </c>
      <c r="BE53" s="30" t="s">
        <v>333</v>
      </c>
      <c r="BF53" s="17" t="s">
        <v>309</v>
      </c>
      <c r="BG53" s="4" t="str">
        <f>B53</f>
        <v>木牌</v>
      </c>
      <c r="BH53" s="20">
        <v>1</v>
      </c>
      <c r="BI53" s="4">
        <v>1</v>
      </c>
      <c r="BJ53" s="4">
        <v>0</v>
      </c>
      <c r="BK53" s="4">
        <v>0</v>
      </c>
      <c r="BL53" s="4">
        <v>0</v>
      </c>
      <c r="BM53" s="4">
        <v>1</v>
      </c>
      <c r="BN53" s="4">
        <v>1</v>
      </c>
      <c r="BO53" s="4">
        <v>0</v>
      </c>
      <c r="BP53" s="4">
        <v>0</v>
      </c>
      <c r="BQ53" s="4">
        <v>0</v>
      </c>
      <c r="BR53" s="4">
        <v>1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4</v>
      </c>
      <c r="CF53" s="4">
        <v>0</v>
      </c>
      <c r="CG53" s="4">
        <v>0</v>
      </c>
      <c r="CH53" s="4">
        <v>1</v>
      </c>
      <c r="CI53" s="4">
        <v>1</v>
      </c>
      <c r="CJ53" s="4">
        <v>1</v>
      </c>
      <c r="CK53" s="4">
        <v>1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 t="str">
        <f>B53</f>
        <v>木牌</v>
      </c>
      <c r="CS53" s="4">
        <v>0</v>
      </c>
      <c r="CT53" s="4">
        <v>1</v>
      </c>
      <c r="CU53" s="4">
        <v>0</v>
      </c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</row>
    <row r="54" spans="1:119" x14ac:dyDescent="0.15">
      <c r="A54" s="4">
        <v>104018</v>
      </c>
      <c r="B54" s="26" t="s">
        <v>593</v>
      </c>
      <c r="C54" s="47" t="s">
        <v>669</v>
      </c>
      <c r="D54" s="26"/>
      <c r="E54" s="26">
        <v>0</v>
      </c>
      <c r="F54" s="5">
        <v>0</v>
      </c>
      <c r="G54" s="26">
        <v>1</v>
      </c>
      <c r="H54" s="4">
        <v>0</v>
      </c>
      <c r="I54" s="4">
        <v>0</v>
      </c>
      <c r="K54" s="5"/>
      <c r="L54" s="5"/>
      <c r="M54" s="8">
        <v>0</v>
      </c>
      <c r="N54" s="4" t="s">
        <v>180</v>
      </c>
      <c r="O54" s="25">
        <v>0</v>
      </c>
      <c r="P54" s="25">
        <v>0</v>
      </c>
      <c r="Q54" s="25">
        <v>0</v>
      </c>
      <c r="R54" s="4">
        <v>0</v>
      </c>
      <c r="S54" s="4">
        <v>0</v>
      </c>
      <c r="T54" s="4">
        <v>0</v>
      </c>
      <c r="U54" s="4">
        <v>0</v>
      </c>
      <c r="V54" s="5">
        <v>1</v>
      </c>
      <c r="W54" s="5">
        <v>0</v>
      </c>
      <c r="X54" s="5">
        <v>1</v>
      </c>
      <c r="Y54" s="26" t="s">
        <v>593</v>
      </c>
      <c r="Z54" s="5">
        <v>0</v>
      </c>
      <c r="AA54" s="5">
        <v>0</v>
      </c>
      <c r="AB54" s="5">
        <v>1</v>
      </c>
      <c r="AC54" s="5">
        <v>1</v>
      </c>
      <c r="AD54" s="5">
        <v>0</v>
      </c>
      <c r="AE54" s="3">
        <v>0</v>
      </c>
      <c r="AF54" s="5">
        <v>0</v>
      </c>
      <c r="AG54" s="4">
        <v>0</v>
      </c>
      <c r="AH54" s="25">
        <v>0</v>
      </c>
      <c r="AI54" s="26">
        <v>0</v>
      </c>
      <c r="AJ54" s="5">
        <v>1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4">
        <v>1</v>
      </c>
      <c r="AQ54" s="4"/>
      <c r="AR54" s="4">
        <v>0</v>
      </c>
      <c r="AS54" s="4">
        <v>0</v>
      </c>
      <c r="AT54" s="4">
        <v>0</v>
      </c>
      <c r="AU54" s="4">
        <v>0</v>
      </c>
      <c r="AV54" s="12">
        <v>0</v>
      </c>
      <c r="AW54" s="4">
        <v>0</v>
      </c>
      <c r="AX54" s="4">
        <v>0</v>
      </c>
      <c r="AY54" s="4">
        <v>0</v>
      </c>
      <c r="AZ54" s="4">
        <v>0</v>
      </c>
      <c r="BA54" s="4" t="s">
        <v>181</v>
      </c>
      <c r="BB54" s="5">
        <v>1</v>
      </c>
      <c r="BC54" s="17" t="s">
        <v>109</v>
      </c>
      <c r="BD54" s="17" t="s">
        <v>110</v>
      </c>
      <c r="BE54" s="17" t="s">
        <v>110</v>
      </c>
      <c r="BF54" s="17" t="s">
        <v>379</v>
      </c>
      <c r="BG54" s="4" t="str">
        <f t="shared" si="17"/>
        <v>小花盆</v>
      </c>
      <c r="BH54" s="20">
        <v>1</v>
      </c>
      <c r="BI54" s="4">
        <v>1</v>
      </c>
      <c r="BJ54" s="4">
        <v>0</v>
      </c>
      <c r="BK54" s="4">
        <v>0</v>
      </c>
      <c r="BL54" s="4">
        <v>0</v>
      </c>
      <c r="BM54" s="4">
        <v>1</v>
      </c>
      <c r="BN54" s="4">
        <v>1</v>
      </c>
      <c r="BO54" s="4">
        <v>0</v>
      </c>
      <c r="BP54" s="4">
        <v>0</v>
      </c>
      <c r="BQ54" s="4">
        <v>1</v>
      </c>
      <c r="BR54" s="4">
        <v>1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4</v>
      </c>
      <c r="CF54" s="4">
        <v>0</v>
      </c>
      <c r="CG54" s="4">
        <v>0</v>
      </c>
      <c r="CH54" s="4">
        <v>1</v>
      </c>
      <c r="CI54" s="4">
        <v>1</v>
      </c>
      <c r="CJ54" s="4">
        <v>1</v>
      </c>
      <c r="CK54" s="4">
        <v>1</v>
      </c>
      <c r="CL54" s="4">
        <v>100</v>
      </c>
      <c r="CM54" s="4">
        <v>0</v>
      </c>
      <c r="CN54" s="4">
        <v>1</v>
      </c>
      <c r="CO54" s="4">
        <v>0</v>
      </c>
      <c r="CP54" s="4">
        <v>0</v>
      </c>
      <c r="CQ54" s="4">
        <v>0</v>
      </c>
      <c r="CR54" s="4" t="str">
        <f t="shared" si="16"/>
        <v>小花盆</v>
      </c>
      <c r="CS54" s="4">
        <v>0</v>
      </c>
      <c r="CT54" s="4">
        <v>1</v>
      </c>
      <c r="CU54" s="4">
        <v>10</v>
      </c>
      <c r="CV54" s="4">
        <v>605001</v>
      </c>
      <c r="CW54" s="4" t="s">
        <v>122</v>
      </c>
      <c r="CX54" s="4">
        <v>1</v>
      </c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</row>
    <row r="55" spans="1:119" x14ac:dyDescent="0.15">
      <c r="A55" s="4">
        <v>104028</v>
      </c>
      <c r="B55" s="25" t="s">
        <v>586</v>
      </c>
      <c r="C55" s="47" t="s">
        <v>670</v>
      </c>
      <c r="D55" s="26"/>
      <c r="E55" s="26">
        <v>0</v>
      </c>
      <c r="F55" s="5">
        <v>0</v>
      </c>
      <c r="G55" s="26">
        <v>1</v>
      </c>
      <c r="H55" s="4">
        <v>7</v>
      </c>
      <c r="I55" s="4">
        <v>0</v>
      </c>
      <c r="J55" s="45" t="s">
        <v>592</v>
      </c>
      <c r="K55" s="5"/>
      <c r="L55" s="5"/>
      <c r="M55" s="8">
        <v>0</v>
      </c>
      <c r="N55" s="25" t="s">
        <v>589</v>
      </c>
      <c r="O55" s="25">
        <v>0</v>
      </c>
      <c r="P55" s="25">
        <v>0</v>
      </c>
      <c r="Q55" s="25">
        <v>0</v>
      </c>
      <c r="R55" s="4">
        <v>0</v>
      </c>
      <c r="S55" s="4">
        <v>0</v>
      </c>
      <c r="T55" s="4">
        <v>0</v>
      </c>
      <c r="U55" s="4">
        <v>0</v>
      </c>
      <c r="V55" s="5">
        <v>1</v>
      </c>
      <c r="W55" s="5">
        <v>0</v>
      </c>
      <c r="X55" s="5">
        <v>1</v>
      </c>
      <c r="Y55" s="25" t="s">
        <v>586</v>
      </c>
      <c r="Z55" s="5">
        <v>0</v>
      </c>
      <c r="AA55" s="5">
        <v>0</v>
      </c>
      <c r="AB55" s="5">
        <v>1</v>
      </c>
      <c r="AC55" s="5">
        <v>1</v>
      </c>
      <c r="AD55" s="5">
        <v>0</v>
      </c>
      <c r="AE55" s="3">
        <v>0</v>
      </c>
      <c r="AF55" s="5">
        <v>0</v>
      </c>
      <c r="AG55" s="4">
        <v>0</v>
      </c>
      <c r="AH55" s="25">
        <v>0</v>
      </c>
      <c r="AI55" s="26">
        <v>0</v>
      </c>
      <c r="AJ55" s="5">
        <v>1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4">
        <v>1</v>
      </c>
      <c r="AQ55" s="4"/>
      <c r="AR55" s="4">
        <v>0</v>
      </c>
      <c r="AS55" s="4">
        <v>0</v>
      </c>
      <c r="AT55" s="4">
        <v>0</v>
      </c>
      <c r="AU55" s="4">
        <v>0</v>
      </c>
      <c r="AV55" s="12">
        <v>0</v>
      </c>
      <c r="AW55" s="4">
        <v>0</v>
      </c>
      <c r="AX55" s="4">
        <v>0</v>
      </c>
      <c r="AY55" s="4">
        <v>0</v>
      </c>
      <c r="AZ55" s="4">
        <v>0</v>
      </c>
      <c r="BA55" s="4" t="s">
        <v>181</v>
      </c>
      <c r="BB55" s="5">
        <v>1</v>
      </c>
      <c r="BC55" s="17" t="s">
        <v>109</v>
      </c>
      <c r="BD55" s="17" t="s">
        <v>110</v>
      </c>
      <c r="BE55" s="17" t="s">
        <v>110</v>
      </c>
      <c r="BF55" s="17" t="s">
        <v>309</v>
      </c>
      <c r="BG55" s="4" t="str">
        <f t="shared" ref="BG55:BG57" si="18">B55</f>
        <v>花盆</v>
      </c>
      <c r="BH55" s="20">
        <v>1</v>
      </c>
      <c r="BI55" s="4">
        <v>1</v>
      </c>
      <c r="BJ55" s="4">
        <v>0</v>
      </c>
      <c r="BK55" s="4">
        <v>0</v>
      </c>
      <c r="BL55" s="4">
        <v>1234</v>
      </c>
      <c r="BM55" s="4">
        <v>1</v>
      </c>
      <c r="BN55" s="4">
        <v>1</v>
      </c>
      <c r="BO55" s="4">
        <v>0</v>
      </c>
      <c r="BP55" s="4">
        <v>0</v>
      </c>
      <c r="BQ55" s="4">
        <v>0</v>
      </c>
      <c r="BR55" s="4">
        <v>1</v>
      </c>
      <c r="BS55" s="4">
        <v>0</v>
      </c>
      <c r="BT55" s="4">
        <v>0</v>
      </c>
      <c r="BU55" s="4">
        <v>1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4</v>
      </c>
      <c r="CF55" s="4">
        <v>0</v>
      </c>
      <c r="CG55" s="4">
        <v>0</v>
      </c>
      <c r="CH55" s="4">
        <v>1</v>
      </c>
      <c r="CI55" s="4">
        <v>1</v>
      </c>
      <c r="CJ55" s="4">
        <v>1</v>
      </c>
      <c r="CK55" s="4">
        <v>1</v>
      </c>
      <c r="CL55" s="4">
        <v>100</v>
      </c>
      <c r="CM55" s="4">
        <v>0</v>
      </c>
      <c r="CN55" s="4">
        <v>1</v>
      </c>
      <c r="CO55" s="4">
        <v>0</v>
      </c>
      <c r="CP55" s="4">
        <v>0</v>
      </c>
      <c r="CQ55" s="4">
        <v>0</v>
      </c>
      <c r="CR55" s="4" t="str">
        <f t="shared" ref="CR55:CR57" si="19">B55</f>
        <v>花盆</v>
      </c>
      <c r="CS55" s="4">
        <v>0</v>
      </c>
      <c r="CT55" s="4">
        <v>1</v>
      </c>
      <c r="CU55" s="4">
        <v>10</v>
      </c>
      <c r="CV55" s="4">
        <v>605001</v>
      </c>
      <c r="CW55" s="4" t="s">
        <v>122</v>
      </c>
      <c r="CX55" s="4">
        <v>1</v>
      </c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</row>
    <row r="56" spans="1:119" x14ac:dyDescent="0.15">
      <c r="A56" s="4">
        <v>104029</v>
      </c>
      <c r="B56" s="25" t="s">
        <v>587</v>
      </c>
      <c r="C56" s="47" t="s">
        <v>670</v>
      </c>
      <c r="D56" s="26"/>
      <c r="E56" s="26">
        <v>0</v>
      </c>
      <c r="F56" s="5">
        <v>0</v>
      </c>
      <c r="G56" s="26">
        <v>1</v>
      </c>
      <c r="H56" s="4">
        <v>0</v>
      </c>
      <c r="I56" s="4">
        <v>0</v>
      </c>
      <c r="J56" s="5"/>
      <c r="K56" s="5"/>
      <c r="L56" s="5"/>
      <c r="M56" s="8">
        <v>0</v>
      </c>
      <c r="N56" s="25" t="s">
        <v>590</v>
      </c>
      <c r="O56" s="25">
        <v>0</v>
      </c>
      <c r="P56" s="25">
        <v>0</v>
      </c>
      <c r="Q56" s="25">
        <v>0</v>
      </c>
      <c r="R56" s="4">
        <v>0</v>
      </c>
      <c r="S56" s="4">
        <v>0</v>
      </c>
      <c r="T56" s="4">
        <v>0</v>
      </c>
      <c r="U56" s="4">
        <v>0</v>
      </c>
      <c r="V56" s="5">
        <v>1</v>
      </c>
      <c r="W56" s="5">
        <v>0</v>
      </c>
      <c r="X56" s="5">
        <v>1</v>
      </c>
      <c r="Y56" s="25" t="s">
        <v>587</v>
      </c>
      <c r="Z56" s="5">
        <v>1</v>
      </c>
      <c r="AA56" s="5">
        <v>0</v>
      </c>
      <c r="AB56" s="5">
        <v>1</v>
      </c>
      <c r="AC56" s="5">
        <v>1</v>
      </c>
      <c r="AD56" s="5">
        <v>0</v>
      </c>
      <c r="AE56" s="3">
        <v>0</v>
      </c>
      <c r="AF56" s="5">
        <v>0</v>
      </c>
      <c r="AG56" s="4">
        <v>0</v>
      </c>
      <c r="AH56" s="25">
        <v>0</v>
      </c>
      <c r="AI56" s="26">
        <v>0</v>
      </c>
      <c r="AJ56" s="5">
        <v>1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4">
        <v>1</v>
      </c>
      <c r="AQ56" s="4"/>
      <c r="AR56" s="4">
        <v>0</v>
      </c>
      <c r="AS56" s="4">
        <v>0</v>
      </c>
      <c r="AT56" s="4">
        <v>0</v>
      </c>
      <c r="AU56" s="4">
        <v>0</v>
      </c>
      <c r="AV56" s="12">
        <v>0</v>
      </c>
      <c r="AW56" s="4">
        <v>0</v>
      </c>
      <c r="AX56" s="4">
        <v>0</v>
      </c>
      <c r="AY56" s="4">
        <v>0</v>
      </c>
      <c r="AZ56" s="4">
        <v>0</v>
      </c>
      <c r="BA56" s="25" t="s">
        <v>600</v>
      </c>
      <c r="BB56" s="5">
        <v>1</v>
      </c>
      <c r="BC56" s="17" t="s">
        <v>109</v>
      </c>
      <c r="BD56" s="17" t="s">
        <v>110</v>
      </c>
      <c r="BE56" s="30" t="s">
        <v>594</v>
      </c>
      <c r="BF56" s="17" t="s">
        <v>309</v>
      </c>
      <c r="BG56" s="4" t="str">
        <f t="shared" si="18"/>
        <v>灌木花盆</v>
      </c>
      <c r="BH56" s="20">
        <v>2</v>
      </c>
      <c r="BI56" s="4">
        <v>1</v>
      </c>
      <c r="BJ56" s="4">
        <v>0</v>
      </c>
      <c r="BK56" s="4">
        <v>0</v>
      </c>
      <c r="BL56" s="4">
        <v>1234</v>
      </c>
      <c r="BM56" s="4">
        <v>1</v>
      </c>
      <c r="BN56" s="4">
        <v>1</v>
      </c>
      <c r="BO56" s="4">
        <v>0</v>
      </c>
      <c r="BP56" s="4">
        <v>0</v>
      </c>
      <c r="BQ56" s="4">
        <v>1</v>
      </c>
      <c r="BR56" s="4">
        <v>1</v>
      </c>
      <c r="BS56" s="4">
        <v>0</v>
      </c>
      <c r="BT56" s="4">
        <v>2</v>
      </c>
      <c r="BU56" s="4">
        <v>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4</v>
      </c>
      <c r="CF56" s="4">
        <v>0</v>
      </c>
      <c r="CG56" s="4">
        <v>0</v>
      </c>
      <c r="CH56" s="4">
        <v>1</v>
      </c>
      <c r="CI56" s="4">
        <v>1</v>
      </c>
      <c r="CJ56" s="4">
        <v>1</v>
      </c>
      <c r="CK56" s="4">
        <v>1</v>
      </c>
      <c r="CL56" s="4">
        <v>100</v>
      </c>
      <c r="CM56" s="4">
        <v>0</v>
      </c>
      <c r="CN56" s="4">
        <v>1</v>
      </c>
      <c r="CO56" s="4">
        <v>0</v>
      </c>
      <c r="CP56" s="4">
        <v>0</v>
      </c>
      <c r="CQ56" s="4">
        <v>0</v>
      </c>
      <c r="CR56" s="4" t="str">
        <f t="shared" si="19"/>
        <v>灌木花盆</v>
      </c>
      <c r="CS56" s="4">
        <v>0</v>
      </c>
      <c r="CT56" s="4">
        <v>1</v>
      </c>
      <c r="CU56" s="4">
        <v>10</v>
      </c>
      <c r="CV56" s="4">
        <v>605001</v>
      </c>
      <c r="CW56" s="4" t="s">
        <v>122</v>
      </c>
      <c r="CX56" s="4">
        <v>1</v>
      </c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</row>
    <row r="57" spans="1:119" x14ac:dyDescent="0.15">
      <c r="A57" s="4">
        <v>104030</v>
      </c>
      <c r="B57" s="25" t="s">
        <v>588</v>
      </c>
      <c r="C57" s="47" t="s">
        <v>667</v>
      </c>
      <c r="D57" s="26"/>
      <c r="E57" s="26">
        <v>0</v>
      </c>
      <c r="F57" s="5">
        <v>0</v>
      </c>
      <c r="G57" s="26">
        <v>1</v>
      </c>
      <c r="H57" s="4">
        <v>0</v>
      </c>
      <c r="I57" s="4">
        <v>0</v>
      </c>
      <c r="J57" s="5"/>
      <c r="K57" s="5"/>
      <c r="L57" s="5"/>
      <c r="M57" s="8">
        <v>0</v>
      </c>
      <c r="N57" s="25" t="s">
        <v>591</v>
      </c>
      <c r="O57" s="25">
        <v>0</v>
      </c>
      <c r="P57" s="25">
        <v>0</v>
      </c>
      <c r="Q57" s="25">
        <v>0</v>
      </c>
      <c r="R57" s="4">
        <v>0</v>
      </c>
      <c r="S57" s="4">
        <v>0</v>
      </c>
      <c r="T57" s="4">
        <v>0</v>
      </c>
      <c r="U57" s="4">
        <v>0</v>
      </c>
      <c r="V57" s="5">
        <v>1</v>
      </c>
      <c r="W57" s="5">
        <v>0</v>
      </c>
      <c r="X57" s="5">
        <v>1</v>
      </c>
      <c r="Y57" s="25" t="s">
        <v>588</v>
      </c>
      <c r="Z57" s="5">
        <v>0</v>
      </c>
      <c r="AA57" s="5">
        <v>0</v>
      </c>
      <c r="AB57" s="5">
        <v>1</v>
      </c>
      <c r="AC57" s="5">
        <v>1</v>
      </c>
      <c r="AD57" s="5">
        <v>0</v>
      </c>
      <c r="AE57" s="3">
        <v>0</v>
      </c>
      <c r="AF57" s="5">
        <v>0</v>
      </c>
      <c r="AG57" s="4">
        <v>0</v>
      </c>
      <c r="AH57" s="25">
        <v>0</v>
      </c>
      <c r="AI57" s="26">
        <v>0</v>
      </c>
      <c r="AJ57" s="5">
        <v>1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4">
        <v>1</v>
      </c>
      <c r="AQ57" s="4"/>
      <c r="AR57" s="4">
        <v>0</v>
      </c>
      <c r="AS57" s="4">
        <v>0</v>
      </c>
      <c r="AT57" s="4">
        <v>0</v>
      </c>
      <c r="AU57" s="4">
        <v>0</v>
      </c>
      <c r="AV57" s="12">
        <v>0</v>
      </c>
      <c r="AW57" s="4">
        <v>0</v>
      </c>
      <c r="AX57" s="4">
        <v>0</v>
      </c>
      <c r="AY57" s="4">
        <v>0</v>
      </c>
      <c r="AZ57" s="4">
        <v>0</v>
      </c>
      <c r="BA57" s="25" t="s">
        <v>601</v>
      </c>
      <c r="BB57" s="5">
        <v>1</v>
      </c>
      <c r="BC57" s="17" t="s">
        <v>109</v>
      </c>
      <c r="BD57" s="17" t="s">
        <v>110</v>
      </c>
      <c r="BE57" s="17" t="s">
        <v>110</v>
      </c>
      <c r="BF57" s="17" t="s">
        <v>309</v>
      </c>
      <c r="BG57" s="4" t="str">
        <f t="shared" si="18"/>
        <v>种树花盆</v>
      </c>
      <c r="BH57" s="20">
        <v>2</v>
      </c>
      <c r="BI57" s="4">
        <v>2</v>
      </c>
      <c r="BJ57" s="4">
        <v>0</v>
      </c>
      <c r="BK57" s="4">
        <v>0</v>
      </c>
      <c r="BL57" s="4">
        <v>1234</v>
      </c>
      <c r="BM57" s="4">
        <v>1</v>
      </c>
      <c r="BN57" s="4">
        <v>1</v>
      </c>
      <c r="BO57" s="4">
        <v>0</v>
      </c>
      <c r="BP57" s="4">
        <v>0</v>
      </c>
      <c r="BQ57" s="4">
        <v>0</v>
      </c>
      <c r="BR57" s="4">
        <v>1</v>
      </c>
      <c r="BS57" s="4">
        <v>0</v>
      </c>
      <c r="BT57" s="4">
        <v>2</v>
      </c>
      <c r="BU57" s="4">
        <v>1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4</v>
      </c>
      <c r="CF57" s="4">
        <v>0</v>
      </c>
      <c r="CG57" s="4">
        <v>0</v>
      </c>
      <c r="CH57" s="4">
        <v>1</v>
      </c>
      <c r="CI57" s="4">
        <v>1</v>
      </c>
      <c r="CJ57" s="4">
        <v>1</v>
      </c>
      <c r="CK57" s="4">
        <v>1</v>
      </c>
      <c r="CL57" s="4">
        <v>100</v>
      </c>
      <c r="CM57" s="4">
        <v>0</v>
      </c>
      <c r="CN57" s="4">
        <v>1</v>
      </c>
      <c r="CO57" s="4">
        <v>0</v>
      </c>
      <c r="CP57" s="4">
        <v>0</v>
      </c>
      <c r="CQ57" s="4">
        <v>0</v>
      </c>
      <c r="CR57" s="4" t="str">
        <f t="shared" si="19"/>
        <v>种树花盆</v>
      </c>
      <c r="CS57" s="4">
        <v>0</v>
      </c>
      <c r="CT57" s="4">
        <v>1</v>
      </c>
      <c r="CU57" s="4">
        <v>10</v>
      </c>
      <c r="CV57" s="4">
        <v>605001</v>
      </c>
      <c r="CW57" s="4" t="s">
        <v>122</v>
      </c>
      <c r="CX57" s="4">
        <v>1</v>
      </c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</row>
    <row r="58" spans="1:119" x14ac:dyDescent="0.15">
      <c r="A58" s="4">
        <v>105024</v>
      </c>
      <c r="B58" s="4" t="s">
        <v>248</v>
      </c>
      <c r="C58" s="47" t="s">
        <v>667</v>
      </c>
      <c r="D58" s="26"/>
      <c r="E58" s="26">
        <v>1</v>
      </c>
      <c r="F58" s="5">
        <v>0</v>
      </c>
      <c r="G58" s="26">
        <v>1</v>
      </c>
      <c r="H58" s="4">
        <v>7</v>
      </c>
      <c r="I58" s="4">
        <v>0</v>
      </c>
      <c r="J58" s="4"/>
      <c r="K58" s="4"/>
      <c r="L58" s="4"/>
      <c r="M58" s="8">
        <v>0</v>
      </c>
      <c r="N58" s="4" t="s">
        <v>249</v>
      </c>
      <c r="O58" s="25">
        <v>1</v>
      </c>
      <c r="P58" s="25">
        <v>0</v>
      </c>
      <c r="Q58" s="25">
        <v>0</v>
      </c>
      <c r="R58" s="4">
        <v>1</v>
      </c>
      <c r="S58" s="4">
        <v>0</v>
      </c>
      <c r="T58" s="4">
        <v>0</v>
      </c>
      <c r="U58" s="4">
        <v>0</v>
      </c>
      <c r="V58" s="5">
        <v>0</v>
      </c>
      <c r="W58" s="5">
        <v>0</v>
      </c>
      <c r="X58" s="5">
        <v>1</v>
      </c>
      <c r="Y58" s="4" t="s">
        <v>248</v>
      </c>
      <c r="Z58" s="5">
        <v>0</v>
      </c>
      <c r="AA58" s="5">
        <v>0</v>
      </c>
      <c r="AB58" s="5">
        <v>1</v>
      </c>
      <c r="AC58" s="5">
        <v>1</v>
      </c>
      <c r="AD58" s="5">
        <v>1</v>
      </c>
      <c r="AE58" s="3">
        <v>1</v>
      </c>
      <c r="AF58" s="5">
        <v>0</v>
      </c>
      <c r="AG58" s="4">
        <v>0</v>
      </c>
      <c r="AH58" s="25">
        <v>0</v>
      </c>
      <c r="AI58" s="26">
        <v>0</v>
      </c>
      <c r="AJ58" s="5">
        <v>0</v>
      </c>
      <c r="AK58" s="5">
        <v>0</v>
      </c>
      <c r="AL58" s="5">
        <v>0</v>
      </c>
      <c r="AM58" s="4">
        <v>0</v>
      </c>
      <c r="AN58" s="5">
        <v>0</v>
      </c>
      <c r="AO58" s="5">
        <v>0</v>
      </c>
      <c r="AP58" s="4">
        <v>1</v>
      </c>
      <c r="AQ58" s="4"/>
      <c r="AR58" s="4">
        <v>0</v>
      </c>
      <c r="AS58" s="4">
        <v>0</v>
      </c>
      <c r="AT58" s="4">
        <v>0</v>
      </c>
      <c r="AU58" s="4">
        <v>0</v>
      </c>
      <c r="AV58" s="12">
        <v>0</v>
      </c>
      <c r="AW58" s="4">
        <v>1</v>
      </c>
      <c r="AX58" s="4">
        <v>0</v>
      </c>
      <c r="AY58" s="4">
        <v>0</v>
      </c>
      <c r="AZ58" s="4">
        <v>0</v>
      </c>
      <c r="BA58" s="4" t="s">
        <v>250</v>
      </c>
      <c r="BB58" s="5">
        <v>1</v>
      </c>
      <c r="BC58" s="17" t="s">
        <v>109</v>
      </c>
      <c r="BD58" s="17" t="s">
        <v>110</v>
      </c>
      <c r="BE58" s="17" t="s">
        <v>109</v>
      </c>
      <c r="BF58" s="17" t="s">
        <v>379</v>
      </c>
      <c r="BG58" s="4" t="str">
        <f>B58</f>
        <v>雕像座</v>
      </c>
      <c r="BH58" s="20">
        <v>1</v>
      </c>
      <c r="BI58" s="4">
        <v>1</v>
      </c>
      <c r="BJ58" s="4">
        <v>0</v>
      </c>
      <c r="BK58" s="4">
        <v>0</v>
      </c>
      <c r="BL58" s="4">
        <v>1234</v>
      </c>
      <c r="BM58" s="4">
        <v>1</v>
      </c>
      <c r="BN58" s="4">
        <v>1</v>
      </c>
      <c r="BO58" s="4">
        <v>0</v>
      </c>
      <c r="BP58" s="4">
        <v>0</v>
      </c>
      <c r="BQ58" s="4">
        <v>1</v>
      </c>
      <c r="BR58" s="4">
        <v>1</v>
      </c>
      <c r="BS58" s="4">
        <v>0</v>
      </c>
      <c r="BT58" s="4">
        <v>0</v>
      </c>
      <c r="BU58" s="4">
        <v>1</v>
      </c>
      <c r="BV58" s="4">
        <v>0</v>
      </c>
      <c r="BW58" s="4">
        <v>15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4</v>
      </c>
      <c r="CF58" s="4">
        <v>1</v>
      </c>
      <c r="CG58" s="4">
        <v>0</v>
      </c>
      <c r="CH58" s="4">
        <v>1</v>
      </c>
      <c r="CI58" s="4">
        <v>1</v>
      </c>
      <c r="CJ58" s="4">
        <v>1</v>
      </c>
      <c r="CK58" s="4">
        <v>1</v>
      </c>
      <c r="CL58" s="4">
        <v>300</v>
      </c>
      <c r="CM58" s="4">
        <v>0</v>
      </c>
      <c r="CN58" s="4">
        <v>1</v>
      </c>
      <c r="CO58" s="4">
        <v>0</v>
      </c>
      <c r="CP58" s="4">
        <v>0</v>
      </c>
      <c r="CQ58" s="4">
        <v>0</v>
      </c>
      <c r="CR58" s="4" t="str">
        <f>B58</f>
        <v>雕像座</v>
      </c>
      <c r="CS58" s="4">
        <v>0</v>
      </c>
      <c r="CT58" s="4">
        <v>2</v>
      </c>
      <c r="CU58" s="4">
        <v>20</v>
      </c>
      <c r="CV58" s="4">
        <v>605001</v>
      </c>
      <c r="CW58" s="4" t="s">
        <v>122</v>
      </c>
      <c r="CX58" s="4">
        <v>50</v>
      </c>
      <c r="CY58" s="4">
        <v>608001</v>
      </c>
      <c r="CZ58" s="4" t="s">
        <v>119</v>
      </c>
      <c r="DA58" s="4">
        <v>1</v>
      </c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 t="s">
        <v>251</v>
      </c>
      <c r="DO58" s="4"/>
    </row>
    <row r="59" spans="1:119" x14ac:dyDescent="0.15">
      <c r="A59" s="4">
        <v>104019</v>
      </c>
      <c r="B59" s="4" t="s">
        <v>182</v>
      </c>
      <c r="C59" s="47" t="s">
        <v>668</v>
      </c>
      <c r="D59" s="26" t="s">
        <v>662</v>
      </c>
      <c r="E59" s="26">
        <v>0</v>
      </c>
      <c r="F59" s="5">
        <v>0</v>
      </c>
      <c r="G59" s="26">
        <v>1</v>
      </c>
      <c r="H59" s="4">
        <v>5</v>
      </c>
      <c r="I59" s="4">
        <v>1</v>
      </c>
      <c r="J59" s="4"/>
      <c r="K59" s="4"/>
      <c r="L59" s="4"/>
      <c r="M59" s="8">
        <v>0</v>
      </c>
      <c r="N59" s="25" t="s">
        <v>330</v>
      </c>
      <c r="O59" s="25">
        <v>0</v>
      </c>
      <c r="P59" s="25">
        <v>0</v>
      </c>
      <c r="Q59" s="25">
        <v>0</v>
      </c>
      <c r="R59" s="4">
        <v>1</v>
      </c>
      <c r="S59" s="4">
        <v>0</v>
      </c>
      <c r="T59" s="4">
        <v>0</v>
      </c>
      <c r="U59" s="4">
        <v>0</v>
      </c>
      <c r="V59" s="5">
        <v>1</v>
      </c>
      <c r="W59" s="5">
        <v>0</v>
      </c>
      <c r="X59" s="5">
        <v>1</v>
      </c>
      <c r="Y59" s="4" t="s">
        <v>182</v>
      </c>
      <c r="Z59" s="5">
        <v>0</v>
      </c>
      <c r="AA59" s="5">
        <v>0</v>
      </c>
      <c r="AB59" s="5">
        <v>1</v>
      </c>
      <c r="AC59" s="5">
        <v>2</v>
      </c>
      <c r="AD59" s="5">
        <v>0</v>
      </c>
      <c r="AE59" s="3">
        <v>0</v>
      </c>
      <c r="AF59" s="5">
        <v>0</v>
      </c>
      <c r="AG59" s="4">
        <v>0</v>
      </c>
      <c r="AH59" s="25">
        <v>0</v>
      </c>
      <c r="AI59" s="26">
        <v>0</v>
      </c>
      <c r="AJ59" s="5">
        <v>0</v>
      </c>
      <c r="AK59" s="5">
        <v>0</v>
      </c>
      <c r="AL59" s="5">
        <v>1</v>
      </c>
      <c r="AM59" s="5">
        <v>1</v>
      </c>
      <c r="AN59" s="5">
        <v>1</v>
      </c>
      <c r="AO59" s="5">
        <v>1</v>
      </c>
      <c r="AP59" s="4">
        <v>1</v>
      </c>
      <c r="AQ59" s="4"/>
      <c r="AR59" s="4">
        <v>0</v>
      </c>
      <c r="AS59" s="4">
        <v>0</v>
      </c>
      <c r="AT59" s="4">
        <v>0</v>
      </c>
      <c r="AU59" s="4">
        <v>0</v>
      </c>
      <c r="AV59" s="12">
        <v>0</v>
      </c>
      <c r="AW59" s="4">
        <v>1</v>
      </c>
      <c r="AX59" s="4">
        <v>1</v>
      </c>
      <c r="AY59" s="4">
        <v>1</v>
      </c>
      <c r="AZ59" s="4">
        <v>0</v>
      </c>
      <c r="BA59" s="4" t="s">
        <v>183</v>
      </c>
      <c r="BB59" s="5">
        <v>1</v>
      </c>
      <c r="BC59" s="17" t="s">
        <v>109</v>
      </c>
      <c r="BD59" s="17" t="s">
        <v>110</v>
      </c>
      <c r="BE59" s="17" t="s">
        <v>109</v>
      </c>
      <c r="BF59" s="17" t="s">
        <v>379</v>
      </c>
      <c r="BG59" s="4" t="str">
        <f t="shared" si="17"/>
        <v>接待台</v>
      </c>
      <c r="BH59" s="20">
        <v>3</v>
      </c>
      <c r="BI59" s="4">
        <v>2</v>
      </c>
      <c r="BJ59" s="4">
        <v>0</v>
      </c>
      <c r="BK59" s="4">
        <v>0</v>
      </c>
      <c r="BL59" s="4">
        <v>13</v>
      </c>
      <c r="BM59" s="4">
        <v>1</v>
      </c>
      <c r="BN59" s="4">
        <v>1</v>
      </c>
      <c r="BO59" s="4">
        <v>0</v>
      </c>
      <c r="BP59" s="4">
        <v>0</v>
      </c>
      <c r="BQ59" s="4">
        <v>1</v>
      </c>
      <c r="BR59" s="4">
        <v>0</v>
      </c>
      <c r="BS59" s="4">
        <v>0</v>
      </c>
      <c r="BT59" s="4">
        <v>1</v>
      </c>
      <c r="BU59" s="4">
        <v>1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1</v>
      </c>
      <c r="CB59" s="4">
        <v>1</v>
      </c>
      <c r="CC59" s="11">
        <v>7</v>
      </c>
      <c r="CD59" s="4">
        <v>2</v>
      </c>
      <c r="CE59" s="4">
        <v>4</v>
      </c>
      <c r="CF59" s="4">
        <v>0</v>
      </c>
      <c r="CG59" s="4">
        <v>0</v>
      </c>
      <c r="CH59" s="4">
        <v>1</v>
      </c>
      <c r="CI59" s="4">
        <v>1</v>
      </c>
      <c r="CJ59" s="4">
        <v>1</v>
      </c>
      <c r="CK59" s="4">
        <v>1</v>
      </c>
      <c r="CL59" s="4">
        <v>100</v>
      </c>
      <c r="CM59" s="4">
        <v>0</v>
      </c>
      <c r="CN59" s="4">
        <v>1</v>
      </c>
      <c r="CO59" s="4">
        <v>0</v>
      </c>
      <c r="CP59" s="4">
        <v>0</v>
      </c>
      <c r="CQ59" s="4">
        <v>0</v>
      </c>
      <c r="CR59" s="4" t="str">
        <f t="shared" si="16"/>
        <v>接待台</v>
      </c>
      <c r="CS59" s="4">
        <v>0</v>
      </c>
      <c r="CT59" s="4">
        <v>2</v>
      </c>
      <c r="CU59" s="4">
        <v>50</v>
      </c>
      <c r="CV59" s="4">
        <v>604001</v>
      </c>
      <c r="CW59" s="4" t="s">
        <v>113</v>
      </c>
      <c r="CX59" s="4">
        <v>100</v>
      </c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 t="s">
        <v>184</v>
      </c>
      <c r="DO59" s="4"/>
    </row>
    <row r="60" spans="1:119" x14ac:dyDescent="0.15">
      <c r="A60" s="4">
        <v>104023</v>
      </c>
      <c r="B60" s="25" t="s">
        <v>554</v>
      </c>
      <c r="C60" s="47" t="s">
        <v>668</v>
      </c>
      <c r="D60" s="26"/>
      <c r="E60" s="26">
        <v>0</v>
      </c>
      <c r="F60" s="5">
        <v>0</v>
      </c>
      <c r="G60" s="26">
        <v>1</v>
      </c>
      <c r="H60" s="4">
        <v>5</v>
      </c>
      <c r="I60" s="4">
        <v>1</v>
      </c>
      <c r="J60" s="42" t="s">
        <v>570</v>
      </c>
      <c r="K60" s="25"/>
      <c r="L60" s="25"/>
      <c r="M60" s="8">
        <v>0</v>
      </c>
      <c r="N60" s="25" t="s">
        <v>559</v>
      </c>
      <c r="O60" s="25">
        <v>0</v>
      </c>
      <c r="P60" s="25">
        <v>0</v>
      </c>
      <c r="Q60" s="25">
        <v>0</v>
      </c>
      <c r="R60" s="4">
        <v>1</v>
      </c>
      <c r="S60" s="4">
        <v>0</v>
      </c>
      <c r="T60" s="4">
        <v>0</v>
      </c>
      <c r="U60" s="4">
        <v>0</v>
      </c>
      <c r="V60" s="5">
        <v>1</v>
      </c>
      <c r="W60" s="5">
        <v>0</v>
      </c>
      <c r="X60" s="5">
        <v>0</v>
      </c>
      <c r="Y60" s="25" t="s">
        <v>554</v>
      </c>
      <c r="Z60" s="5">
        <v>0</v>
      </c>
      <c r="AA60" s="5">
        <v>0</v>
      </c>
      <c r="AB60" s="5">
        <v>1</v>
      </c>
      <c r="AC60" s="5">
        <v>2</v>
      </c>
      <c r="AD60" s="5">
        <v>0</v>
      </c>
      <c r="AE60" s="3">
        <v>1</v>
      </c>
      <c r="AF60" s="5">
        <v>0</v>
      </c>
      <c r="AG60" s="4">
        <v>0</v>
      </c>
      <c r="AH60" s="25">
        <v>0</v>
      </c>
      <c r="AI60" s="26">
        <v>0</v>
      </c>
      <c r="AJ60" s="5">
        <v>0</v>
      </c>
      <c r="AK60" s="5">
        <v>0</v>
      </c>
      <c r="AL60" s="5">
        <v>1</v>
      </c>
      <c r="AM60" s="5">
        <v>0</v>
      </c>
      <c r="AN60" s="5">
        <v>1</v>
      </c>
      <c r="AO60" s="5">
        <v>1</v>
      </c>
      <c r="AP60" s="4">
        <v>1</v>
      </c>
      <c r="AQ60" s="4"/>
      <c r="AR60" s="4">
        <v>0</v>
      </c>
      <c r="AS60" s="4">
        <v>0</v>
      </c>
      <c r="AT60" s="4"/>
      <c r="AU60" s="4">
        <v>0</v>
      </c>
      <c r="AV60" s="12">
        <v>0</v>
      </c>
      <c r="AW60" s="4">
        <v>1</v>
      </c>
      <c r="AX60" s="4">
        <v>0</v>
      </c>
      <c r="AY60" s="4">
        <v>0</v>
      </c>
      <c r="AZ60" s="4">
        <v>0</v>
      </c>
      <c r="BA60" s="25" t="s">
        <v>562</v>
      </c>
      <c r="BB60" s="5">
        <v>1</v>
      </c>
      <c r="BC60" s="30" t="s">
        <v>333</v>
      </c>
      <c r="BD60" s="30" t="s">
        <v>309</v>
      </c>
      <c r="BE60" s="30" t="s">
        <v>333</v>
      </c>
      <c r="BF60" s="17" t="s">
        <v>309</v>
      </c>
      <c r="BG60" s="4" t="str">
        <f t="shared" si="17"/>
        <v>扑克桌</v>
      </c>
      <c r="BH60" s="20">
        <v>2</v>
      </c>
      <c r="BI60" s="4">
        <v>2</v>
      </c>
      <c r="BJ60" s="4">
        <v>0</v>
      </c>
      <c r="BK60" s="4">
        <v>0</v>
      </c>
      <c r="BL60" s="4">
        <v>1234</v>
      </c>
      <c r="BM60" s="4">
        <v>1</v>
      </c>
      <c r="BN60" s="4">
        <v>1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1</v>
      </c>
      <c r="BU60" s="4">
        <v>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4</v>
      </c>
      <c r="CF60" s="4">
        <v>0</v>
      </c>
      <c r="CG60" s="4">
        <v>0</v>
      </c>
      <c r="CH60" s="4">
        <v>1</v>
      </c>
      <c r="CI60" s="4">
        <v>1</v>
      </c>
      <c r="CJ60" s="4">
        <v>1</v>
      </c>
      <c r="CK60" s="4">
        <v>1</v>
      </c>
      <c r="CL60" s="4">
        <v>100</v>
      </c>
      <c r="CM60" s="4">
        <v>0</v>
      </c>
      <c r="CN60" s="4">
        <v>1</v>
      </c>
      <c r="CO60" s="4">
        <v>0</v>
      </c>
      <c r="CP60" s="4">
        <v>0</v>
      </c>
      <c r="CQ60" s="4">
        <v>0</v>
      </c>
      <c r="CR60" s="4" t="str">
        <f t="shared" si="16"/>
        <v>扑克桌</v>
      </c>
      <c r="CS60" s="4">
        <v>0</v>
      </c>
      <c r="CT60" s="4">
        <v>1</v>
      </c>
      <c r="CU60" s="4">
        <v>10</v>
      </c>
      <c r="CV60" s="4">
        <v>604001</v>
      </c>
      <c r="CW60" s="4" t="s">
        <v>113</v>
      </c>
      <c r="CX60" s="4">
        <v>50</v>
      </c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</row>
    <row r="61" spans="1:119" x14ac:dyDescent="0.15">
      <c r="A61" s="4">
        <v>104024</v>
      </c>
      <c r="B61" s="25" t="s">
        <v>555</v>
      </c>
      <c r="C61" s="47" t="s">
        <v>668</v>
      </c>
      <c r="D61" s="26"/>
      <c r="E61" s="26">
        <v>0</v>
      </c>
      <c r="F61" s="5">
        <v>0</v>
      </c>
      <c r="G61" s="26">
        <v>1</v>
      </c>
      <c r="H61" s="4">
        <v>0</v>
      </c>
      <c r="I61" s="4">
        <v>1</v>
      </c>
      <c r="J61" s="25"/>
      <c r="K61" s="25"/>
      <c r="L61" s="25"/>
      <c r="M61" s="8">
        <v>0</v>
      </c>
      <c r="N61" s="25" t="s">
        <v>559</v>
      </c>
      <c r="O61" s="25">
        <v>0</v>
      </c>
      <c r="P61" s="25">
        <v>0</v>
      </c>
      <c r="Q61" s="25">
        <v>0</v>
      </c>
      <c r="R61" s="4">
        <v>1</v>
      </c>
      <c r="S61" s="4">
        <v>0</v>
      </c>
      <c r="T61" s="4">
        <v>0</v>
      </c>
      <c r="U61" s="4">
        <v>0</v>
      </c>
      <c r="V61" s="5">
        <v>1</v>
      </c>
      <c r="W61" s="5">
        <v>0</v>
      </c>
      <c r="X61" s="5">
        <v>0</v>
      </c>
      <c r="Y61" s="25" t="s">
        <v>555</v>
      </c>
      <c r="Z61" s="5">
        <v>0</v>
      </c>
      <c r="AA61" s="5">
        <v>0</v>
      </c>
      <c r="AB61" s="5">
        <v>1</v>
      </c>
      <c r="AC61" s="5">
        <v>2</v>
      </c>
      <c r="AD61" s="5">
        <v>0</v>
      </c>
      <c r="AE61" s="3">
        <v>1</v>
      </c>
      <c r="AF61" s="5">
        <v>0</v>
      </c>
      <c r="AG61" s="4">
        <v>0</v>
      </c>
      <c r="AH61" s="25">
        <v>0</v>
      </c>
      <c r="AI61" s="26">
        <v>0</v>
      </c>
      <c r="AJ61" s="5">
        <v>0</v>
      </c>
      <c r="AK61" s="5">
        <v>0</v>
      </c>
      <c r="AL61" s="5">
        <v>1</v>
      </c>
      <c r="AM61" s="5">
        <v>0</v>
      </c>
      <c r="AN61" s="5">
        <v>1</v>
      </c>
      <c r="AO61" s="5">
        <v>1</v>
      </c>
      <c r="AP61" s="4">
        <v>1</v>
      </c>
      <c r="AQ61" s="4"/>
      <c r="AR61" s="4">
        <v>0</v>
      </c>
      <c r="AS61" s="4">
        <v>0</v>
      </c>
      <c r="AT61" s="4"/>
      <c r="AU61" s="4">
        <v>0</v>
      </c>
      <c r="AV61" s="12">
        <v>0</v>
      </c>
      <c r="AW61" s="4">
        <v>1</v>
      </c>
      <c r="AX61" s="4">
        <v>0</v>
      </c>
      <c r="AY61" s="4">
        <v>0</v>
      </c>
      <c r="AZ61" s="4">
        <v>0</v>
      </c>
      <c r="BA61" s="25" t="s">
        <v>562</v>
      </c>
      <c r="BB61" s="5">
        <v>1</v>
      </c>
      <c r="BC61" s="30" t="s">
        <v>333</v>
      </c>
      <c r="BD61" s="30" t="s">
        <v>309</v>
      </c>
      <c r="BE61" s="30" t="s">
        <v>333</v>
      </c>
      <c r="BF61" s="17" t="s">
        <v>309</v>
      </c>
      <c r="BG61" s="4" t="str">
        <f t="shared" si="17"/>
        <v>高级扑克桌</v>
      </c>
      <c r="BH61" s="20">
        <v>2</v>
      </c>
      <c r="BI61" s="4">
        <v>2</v>
      </c>
      <c r="BJ61" s="4">
        <v>0</v>
      </c>
      <c r="BK61" s="4">
        <v>0</v>
      </c>
      <c r="BL61" s="4">
        <v>1234</v>
      </c>
      <c r="BM61" s="4">
        <v>1</v>
      </c>
      <c r="BN61" s="4">
        <v>1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1</v>
      </c>
      <c r="BU61" s="4">
        <v>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4</v>
      </c>
      <c r="CF61" s="4">
        <v>0</v>
      </c>
      <c r="CG61" s="4">
        <v>0</v>
      </c>
      <c r="CH61" s="4">
        <v>1</v>
      </c>
      <c r="CI61" s="4">
        <v>1</v>
      </c>
      <c r="CJ61" s="4">
        <v>1</v>
      </c>
      <c r="CK61" s="4">
        <v>1</v>
      </c>
      <c r="CL61" s="4">
        <v>100</v>
      </c>
      <c r="CM61" s="4">
        <v>0</v>
      </c>
      <c r="CN61" s="4">
        <v>1</v>
      </c>
      <c r="CO61" s="4">
        <v>0</v>
      </c>
      <c r="CP61" s="4">
        <v>0</v>
      </c>
      <c r="CQ61" s="4">
        <v>0</v>
      </c>
      <c r="CR61" s="4" t="str">
        <f t="shared" si="16"/>
        <v>高级扑克桌</v>
      </c>
      <c r="CS61" s="4">
        <v>0</v>
      </c>
      <c r="CT61" s="4">
        <v>2</v>
      </c>
      <c r="CU61" s="4">
        <v>50</v>
      </c>
      <c r="CV61" s="4">
        <v>604001</v>
      </c>
      <c r="CW61" s="4" t="s">
        <v>113</v>
      </c>
      <c r="CX61" s="4">
        <v>50</v>
      </c>
      <c r="CY61" s="4">
        <v>607001</v>
      </c>
      <c r="CZ61" s="4" t="s">
        <v>566</v>
      </c>
      <c r="DA61" s="4">
        <v>1</v>
      </c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</row>
    <row r="62" spans="1:119" x14ac:dyDescent="0.15">
      <c r="A62" s="4">
        <v>104025</v>
      </c>
      <c r="B62" s="25" t="s">
        <v>556</v>
      </c>
      <c r="C62" s="47" t="s">
        <v>668</v>
      </c>
      <c r="D62" s="26"/>
      <c r="E62" s="26">
        <v>0</v>
      </c>
      <c r="F62" s="5">
        <v>0</v>
      </c>
      <c r="G62" s="26">
        <v>1</v>
      </c>
      <c r="H62" s="4">
        <v>0</v>
      </c>
      <c r="I62" s="4">
        <v>1</v>
      </c>
      <c r="J62" s="25"/>
      <c r="K62" s="25"/>
      <c r="L62" s="25"/>
      <c r="M62" s="8">
        <v>0</v>
      </c>
      <c r="N62" s="25" t="s">
        <v>559</v>
      </c>
      <c r="O62" s="25">
        <v>0</v>
      </c>
      <c r="P62" s="25">
        <v>0</v>
      </c>
      <c r="Q62" s="25">
        <v>0</v>
      </c>
      <c r="R62" s="4">
        <v>1</v>
      </c>
      <c r="S62" s="4">
        <v>0</v>
      </c>
      <c r="T62" s="4">
        <v>0</v>
      </c>
      <c r="U62" s="4">
        <v>0</v>
      </c>
      <c r="V62" s="5">
        <v>1</v>
      </c>
      <c r="W62" s="5">
        <v>0</v>
      </c>
      <c r="X62" s="5">
        <v>0</v>
      </c>
      <c r="Y62" s="25" t="s">
        <v>556</v>
      </c>
      <c r="Z62" s="5">
        <v>0</v>
      </c>
      <c r="AA62" s="5">
        <v>0</v>
      </c>
      <c r="AB62" s="5">
        <v>1</v>
      </c>
      <c r="AC62" s="5">
        <v>2</v>
      </c>
      <c r="AD62" s="5">
        <v>0</v>
      </c>
      <c r="AE62" s="3">
        <v>1</v>
      </c>
      <c r="AF62" s="5">
        <v>0</v>
      </c>
      <c r="AG62" s="4">
        <v>0</v>
      </c>
      <c r="AH62" s="25">
        <v>0</v>
      </c>
      <c r="AI62" s="26">
        <v>0</v>
      </c>
      <c r="AJ62" s="5">
        <v>0</v>
      </c>
      <c r="AK62" s="5">
        <v>0</v>
      </c>
      <c r="AL62" s="5">
        <v>1</v>
      </c>
      <c r="AM62" s="5">
        <v>0</v>
      </c>
      <c r="AN62" s="5">
        <v>1</v>
      </c>
      <c r="AO62" s="5">
        <v>1</v>
      </c>
      <c r="AP62" s="4">
        <v>1</v>
      </c>
      <c r="AQ62" s="4"/>
      <c r="AR62" s="4">
        <v>0</v>
      </c>
      <c r="AS62" s="4">
        <v>0</v>
      </c>
      <c r="AT62" s="4"/>
      <c r="AU62" s="4">
        <v>0</v>
      </c>
      <c r="AV62" s="12">
        <v>0</v>
      </c>
      <c r="AW62" s="4">
        <v>1</v>
      </c>
      <c r="AX62" s="4">
        <v>0</v>
      </c>
      <c r="AY62" s="4">
        <v>0</v>
      </c>
      <c r="AZ62" s="4">
        <v>0</v>
      </c>
      <c r="BA62" s="25" t="s">
        <v>562</v>
      </c>
      <c r="BB62" s="5">
        <v>1</v>
      </c>
      <c r="BC62" s="30" t="s">
        <v>333</v>
      </c>
      <c r="BD62" s="30" t="s">
        <v>309</v>
      </c>
      <c r="BE62" s="30" t="s">
        <v>333</v>
      </c>
      <c r="BF62" s="17" t="s">
        <v>309</v>
      </c>
      <c r="BG62" s="4" t="str">
        <f t="shared" si="17"/>
        <v>豪华扑克桌</v>
      </c>
      <c r="BH62" s="20">
        <v>2</v>
      </c>
      <c r="BI62" s="4">
        <v>2</v>
      </c>
      <c r="BJ62" s="4">
        <v>0</v>
      </c>
      <c r="BK62" s="4">
        <v>0</v>
      </c>
      <c r="BL62" s="4">
        <v>1234</v>
      </c>
      <c r="BM62" s="4">
        <v>1</v>
      </c>
      <c r="BN62" s="4">
        <v>1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1</v>
      </c>
      <c r="BU62" s="4">
        <v>1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4</v>
      </c>
      <c r="CF62" s="4">
        <v>0</v>
      </c>
      <c r="CG62" s="4">
        <v>0</v>
      </c>
      <c r="CH62" s="4">
        <v>1</v>
      </c>
      <c r="CI62" s="4">
        <v>1</v>
      </c>
      <c r="CJ62" s="4">
        <v>1</v>
      </c>
      <c r="CK62" s="4">
        <v>1</v>
      </c>
      <c r="CL62" s="4">
        <v>100</v>
      </c>
      <c r="CM62" s="4">
        <v>0</v>
      </c>
      <c r="CN62" s="4">
        <v>1</v>
      </c>
      <c r="CO62" s="4">
        <v>0</v>
      </c>
      <c r="CP62" s="4">
        <v>0</v>
      </c>
      <c r="CQ62" s="4">
        <v>0</v>
      </c>
      <c r="CR62" s="4" t="str">
        <f t="shared" si="16"/>
        <v>豪华扑克桌</v>
      </c>
      <c r="CS62" s="4">
        <v>0</v>
      </c>
      <c r="CT62" s="4">
        <v>2</v>
      </c>
      <c r="CU62" s="4">
        <v>50</v>
      </c>
      <c r="CV62" s="4">
        <v>604001</v>
      </c>
      <c r="CW62" s="4" t="s">
        <v>113</v>
      </c>
      <c r="CX62" s="4">
        <v>50</v>
      </c>
      <c r="CY62" s="4">
        <v>608001</v>
      </c>
      <c r="CZ62" s="4" t="s">
        <v>119</v>
      </c>
      <c r="DA62" s="4">
        <v>1</v>
      </c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</row>
    <row r="63" spans="1:119" ht="14.25" customHeight="1" x14ac:dyDescent="0.15">
      <c r="A63" s="4">
        <v>104026</v>
      </c>
      <c r="B63" s="25" t="s">
        <v>557</v>
      </c>
      <c r="C63" s="47" t="s">
        <v>668</v>
      </c>
      <c r="D63" s="26"/>
      <c r="E63" s="26">
        <v>0</v>
      </c>
      <c r="F63" s="5">
        <v>1</v>
      </c>
      <c r="G63" s="26">
        <v>1</v>
      </c>
      <c r="H63" s="4">
        <v>5</v>
      </c>
      <c r="I63" s="4">
        <v>1</v>
      </c>
      <c r="J63" s="25"/>
      <c r="K63" s="25"/>
      <c r="L63" s="25"/>
      <c r="M63" s="8">
        <v>0</v>
      </c>
      <c r="N63" s="25" t="s">
        <v>560</v>
      </c>
      <c r="O63" s="25">
        <v>0</v>
      </c>
      <c r="P63" s="25">
        <v>0</v>
      </c>
      <c r="Q63" s="25">
        <v>0</v>
      </c>
      <c r="R63" s="4">
        <v>1</v>
      </c>
      <c r="S63" s="4">
        <v>0</v>
      </c>
      <c r="T63" s="4">
        <v>0</v>
      </c>
      <c r="U63" s="4">
        <v>0</v>
      </c>
      <c r="V63" s="5">
        <v>1</v>
      </c>
      <c r="W63" s="5">
        <v>0</v>
      </c>
      <c r="X63" s="5">
        <v>0</v>
      </c>
      <c r="Y63" s="25" t="s">
        <v>557</v>
      </c>
      <c r="Z63" s="5">
        <v>0</v>
      </c>
      <c r="AA63" s="5">
        <v>0</v>
      </c>
      <c r="AB63" s="5">
        <v>1</v>
      </c>
      <c r="AC63" s="5">
        <v>2</v>
      </c>
      <c r="AD63" s="5">
        <v>0</v>
      </c>
      <c r="AE63" s="3">
        <v>1</v>
      </c>
      <c r="AF63" s="5">
        <v>0</v>
      </c>
      <c r="AG63" s="4">
        <v>0</v>
      </c>
      <c r="AH63" s="25">
        <v>0</v>
      </c>
      <c r="AI63" s="26">
        <v>0</v>
      </c>
      <c r="AJ63" s="5">
        <v>0</v>
      </c>
      <c r="AK63" s="5">
        <v>0</v>
      </c>
      <c r="AL63" s="5">
        <v>1</v>
      </c>
      <c r="AM63" s="5">
        <v>0</v>
      </c>
      <c r="AN63" s="5">
        <v>1</v>
      </c>
      <c r="AO63" s="5">
        <v>1</v>
      </c>
      <c r="AP63" s="4">
        <v>1</v>
      </c>
      <c r="AQ63" s="4"/>
      <c r="AR63" s="4">
        <v>0</v>
      </c>
      <c r="AS63" s="4">
        <v>0</v>
      </c>
      <c r="AT63" s="4"/>
      <c r="AU63" s="4">
        <v>0</v>
      </c>
      <c r="AV63" s="12">
        <v>0</v>
      </c>
      <c r="AW63" s="4">
        <v>1</v>
      </c>
      <c r="AX63" s="4">
        <v>0</v>
      </c>
      <c r="AY63" s="4">
        <v>0</v>
      </c>
      <c r="AZ63" s="4">
        <v>0</v>
      </c>
      <c r="BA63" s="25" t="s">
        <v>563</v>
      </c>
      <c r="BB63" s="5">
        <v>1</v>
      </c>
      <c r="BC63" s="30" t="s">
        <v>333</v>
      </c>
      <c r="BD63" s="30" t="s">
        <v>309</v>
      </c>
      <c r="BE63" s="30" t="s">
        <v>333</v>
      </c>
      <c r="BF63" s="17" t="s">
        <v>309</v>
      </c>
      <c r="BG63" s="4" t="str">
        <f t="shared" ref="BG63:BG82" si="20">B63</f>
        <v>幸运轮盘</v>
      </c>
      <c r="BH63" s="20">
        <v>3</v>
      </c>
      <c r="BI63" s="4">
        <v>3</v>
      </c>
      <c r="BJ63" s="4">
        <v>0</v>
      </c>
      <c r="BK63" s="4">
        <v>0</v>
      </c>
      <c r="BL63" s="4">
        <v>1</v>
      </c>
      <c r="BM63" s="4">
        <v>1</v>
      </c>
      <c r="BN63" s="4">
        <v>1</v>
      </c>
      <c r="BO63" s="4">
        <v>0</v>
      </c>
      <c r="BP63" s="4">
        <v>1</v>
      </c>
      <c r="BQ63" s="4">
        <v>0</v>
      </c>
      <c r="BR63" s="4">
        <v>0</v>
      </c>
      <c r="BS63" s="4">
        <v>0</v>
      </c>
      <c r="BT63" s="4">
        <v>1</v>
      </c>
      <c r="BU63" s="4">
        <v>1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4</v>
      </c>
      <c r="CF63" s="4">
        <v>0</v>
      </c>
      <c r="CG63" s="4">
        <v>0</v>
      </c>
      <c r="CH63" s="4">
        <v>1</v>
      </c>
      <c r="CI63" s="4">
        <v>1</v>
      </c>
      <c r="CJ63" s="4">
        <v>1</v>
      </c>
      <c r="CK63" s="4">
        <v>1</v>
      </c>
      <c r="CL63" s="4">
        <v>100</v>
      </c>
      <c r="CM63" s="4">
        <v>0</v>
      </c>
      <c r="CN63" s="4">
        <v>1</v>
      </c>
      <c r="CO63" s="4">
        <v>0</v>
      </c>
      <c r="CP63" s="4">
        <v>0</v>
      </c>
      <c r="CQ63" s="4">
        <v>0</v>
      </c>
      <c r="CR63" s="4" t="str">
        <f t="shared" si="16"/>
        <v>幸运轮盘</v>
      </c>
      <c r="CS63" s="4">
        <v>0</v>
      </c>
      <c r="CT63" s="4">
        <v>2</v>
      </c>
      <c r="CU63" s="4">
        <v>10</v>
      </c>
      <c r="CV63" s="4">
        <v>604001</v>
      </c>
      <c r="CW63" s="4" t="s">
        <v>113</v>
      </c>
      <c r="CX63" s="4">
        <v>50</v>
      </c>
      <c r="CY63" s="4">
        <v>603001</v>
      </c>
      <c r="CZ63" s="4" t="s">
        <v>116</v>
      </c>
      <c r="DA63" s="4">
        <v>3</v>
      </c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</row>
    <row r="64" spans="1:119" x14ac:dyDescent="0.15">
      <c r="A64" s="4">
        <v>104027</v>
      </c>
      <c r="B64" s="25" t="s">
        <v>558</v>
      </c>
      <c r="C64" s="47" t="s">
        <v>668</v>
      </c>
      <c r="D64" s="26"/>
      <c r="E64" s="26">
        <v>0</v>
      </c>
      <c r="F64" s="5">
        <v>0</v>
      </c>
      <c r="G64" s="26">
        <v>1</v>
      </c>
      <c r="H64" s="4">
        <v>5</v>
      </c>
      <c r="I64" s="4">
        <v>0</v>
      </c>
      <c r="J64" s="25"/>
      <c r="K64" s="25" t="s">
        <v>571</v>
      </c>
      <c r="L64" s="25"/>
      <c r="M64" s="8">
        <v>0</v>
      </c>
      <c r="N64" s="25" t="s">
        <v>561</v>
      </c>
      <c r="O64" s="25">
        <v>0</v>
      </c>
      <c r="P64" s="25">
        <v>0</v>
      </c>
      <c r="Q64" s="25">
        <v>0</v>
      </c>
      <c r="R64" s="4">
        <v>1</v>
      </c>
      <c r="S64" s="4">
        <v>0</v>
      </c>
      <c r="T64" s="4">
        <v>0</v>
      </c>
      <c r="U64" s="4">
        <v>0</v>
      </c>
      <c r="V64" s="5">
        <v>1</v>
      </c>
      <c r="W64" s="5">
        <v>0</v>
      </c>
      <c r="X64" s="5">
        <v>0</v>
      </c>
      <c r="Y64" s="25" t="s">
        <v>558</v>
      </c>
      <c r="Z64" s="5">
        <v>0</v>
      </c>
      <c r="AA64" s="5">
        <v>0</v>
      </c>
      <c r="AB64" s="5">
        <v>1</v>
      </c>
      <c r="AC64" s="5">
        <v>2</v>
      </c>
      <c r="AD64" s="5">
        <v>0</v>
      </c>
      <c r="AE64" s="3">
        <v>0</v>
      </c>
      <c r="AF64" s="5">
        <v>0</v>
      </c>
      <c r="AG64" s="4">
        <v>0</v>
      </c>
      <c r="AH64" s="25">
        <v>0</v>
      </c>
      <c r="AI64" s="26">
        <v>0</v>
      </c>
      <c r="AJ64" s="5">
        <v>0</v>
      </c>
      <c r="AK64" s="5">
        <v>0</v>
      </c>
      <c r="AL64" s="5">
        <v>1</v>
      </c>
      <c r="AM64" s="5">
        <v>0</v>
      </c>
      <c r="AN64" s="5">
        <v>1</v>
      </c>
      <c r="AO64" s="5">
        <v>1</v>
      </c>
      <c r="AP64" s="4">
        <v>1</v>
      </c>
      <c r="AQ64" s="4"/>
      <c r="AR64" s="4">
        <v>0</v>
      </c>
      <c r="AS64" s="4">
        <v>0</v>
      </c>
      <c r="AT64" s="4"/>
      <c r="AU64" s="4">
        <v>0</v>
      </c>
      <c r="AV64" s="12">
        <v>1</v>
      </c>
      <c r="AW64" s="4">
        <v>1</v>
      </c>
      <c r="AX64" s="4">
        <v>0</v>
      </c>
      <c r="AY64" s="4">
        <v>0</v>
      </c>
      <c r="AZ64" s="4">
        <v>0</v>
      </c>
      <c r="BA64" s="25" t="s">
        <v>564</v>
      </c>
      <c r="BB64" s="5">
        <v>1</v>
      </c>
      <c r="BC64" s="30" t="s">
        <v>333</v>
      </c>
      <c r="BD64" s="30" t="s">
        <v>309</v>
      </c>
      <c r="BE64" s="30" t="s">
        <v>333</v>
      </c>
      <c r="BF64" s="17" t="s">
        <v>309</v>
      </c>
      <c r="BG64" s="4" t="str">
        <f t="shared" si="20"/>
        <v>公共浴场</v>
      </c>
      <c r="BH64" s="20">
        <v>10</v>
      </c>
      <c r="BI64" s="4">
        <v>7</v>
      </c>
      <c r="BJ64" s="4">
        <v>0</v>
      </c>
      <c r="BK64" s="4">
        <v>0</v>
      </c>
      <c r="BL64" s="4">
        <v>1234</v>
      </c>
      <c r="BM64" s="4">
        <v>1</v>
      </c>
      <c r="BN64" s="4">
        <v>1</v>
      </c>
      <c r="BO64" s="4">
        <v>0</v>
      </c>
      <c r="BP64" s="4">
        <v>0</v>
      </c>
      <c r="BQ64" s="4">
        <v>1</v>
      </c>
      <c r="BR64" s="4">
        <v>0</v>
      </c>
      <c r="BS64" s="4">
        <v>0</v>
      </c>
      <c r="BT64" s="4">
        <v>1</v>
      </c>
      <c r="BU64" s="4">
        <v>1</v>
      </c>
      <c r="BV64" s="4">
        <v>0</v>
      </c>
      <c r="BW64" s="4">
        <v>0</v>
      </c>
      <c r="BX64" s="4">
        <v>0</v>
      </c>
      <c r="BY64" s="4">
        <v>0</v>
      </c>
      <c r="BZ64" s="4">
        <v>1</v>
      </c>
      <c r="CA64" s="4">
        <v>1</v>
      </c>
      <c r="CB64" s="4">
        <v>1</v>
      </c>
      <c r="CC64" s="4">
        <v>50</v>
      </c>
      <c r="CD64" s="4">
        <v>0</v>
      </c>
      <c r="CE64" s="4">
        <v>4</v>
      </c>
      <c r="CF64" s="4">
        <v>0</v>
      </c>
      <c r="CG64" s="4">
        <v>0</v>
      </c>
      <c r="CH64" s="4">
        <v>1</v>
      </c>
      <c r="CI64" s="4">
        <v>1</v>
      </c>
      <c r="CJ64" s="4">
        <v>1</v>
      </c>
      <c r="CK64" s="4">
        <v>1</v>
      </c>
      <c r="CL64" s="4">
        <v>10000</v>
      </c>
      <c r="CM64" s="4">
        <v>0</v>
      </c>
      <c r="CN64" s="4">
        <v>1</v>
      </c>
      <c r="CO64" s="4">
        <v>0</v>
      </c>
      <c r="CP64" s="4">
        <v>0</v>
      </c>
      <c r="CQ64" s="4">
        <v>0</v>
      </c>
      <c r="CR64" s="4" t="str">
        <f t="shared" si="16"/>
        <v>公共浴场</v>
      </c>
      <c r="CS64" s="4">
        <v>0</v>
      </c>
      <c r="CT64" s="4">
        <v>10</v>
      </c>
      <c r="CU64" s="4">
        <v>1000</v>
      </c>
      <c r="CV64" s="4">
        <v>604001</v>
      </c>
      <c r="CW64" s="4" t="s">
        <v>113</v>
      </c>
      <c r="CX64" s="4">
        <v>100</v>
      </c>
      <c r="CY64" s="4">
        <v>605001</v>
      </c>
      <c r="CZ64" s="4" t="s">
        <v>122</v>
      </c>
      <c r="DA64" s="4">
        <v>2000</v>
      </c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</row>
    <row r="65" spans="1:119" x14ac:dyDescent="0.15">
      <c r="A65" s="4">
        <v>105031</v>
      </c>
      <c r="B65" s="25" t="s">
        <v>508</v>
      </c>
      <c r="C65" s="47" t="s">
        <v>110</v>
      </c>
      <c r="D65" s="26"/>
      <c r="E65" s="26">
        <v>0</v>
      </c>
      <c r="F65" s="5">
        <v>0</v>
      </c>
      <c r="G65" s="26">
        <v>1</v>
      </c>
      <c r="H65" s="4">
        <v>0</v>
      </c>
      <c r="I65" s="4">
        <v>0</v>
      </c>
      <c r="J65" s="25"/>
      <c r="K65" s="25"/>
      <c r="L65" s="25"/>
      <c r="M65" s="8">
        <v>0</v>
      </c>
      <c r="N65" s="25" t="s">
        <v>509</v>
      </c>
      <c r="O65" s="25">
        <v>1</v>
      </c>
      <c r="P65" s="25">
        <v>0</v>
      </c>
      <c r="Q65" s="25">
        <v>0</v>
      </c>
      <c r="R65" s="4">
        <v>1</v>
      </c>
      <c r="S65" s="4">
        <v>1</v>
      </c>
      <c r="T65" s="4">
        <v>1</v>
      </c>
      <c r="U65" s="4">
        <v>0</v>
      </c>
      <c r="V65" s="5">
        <v>1</v>
      </c>
      <c r="W65" s="5">
        <v>0</v>
      </c>
      <c r="X65" s="5">
        <v>1</v>
      </c>
      <c r="Y65" s="25" t="s">
        <v>508</v>
      </c>
      <c r="Z65" s="5">
        <v>0</v>
      </c>
      <c r="AA65" s="5">
        <v>0</v>
      </c>
      <c r="AB65" s="5">
        <v>1</v>
      </c>
      <c r="AC65" s="5">
        <v>0</v>
      </c>
      <c r="AD65" s="5">
        <v>0</v>
      </c>
      <c r="AE65" s="3">
        <v>0</v>
      </c>
      <c r="AF65" s="5">
        <v>0</v>
      </c>
      <c r="AG65" s="4">
        <v>0</v>
      </c>
      <c r="AH65" s="25">
        <v>0</v>
      </c>
      <c r="AI65" s="26">
        <v>0</v>
      </c>
      <c r="AJ65" s="5">
        <v>0</v>
      </c>
      <c r="AK65" s="5">
        <v>1</v>
      </c>
      <c r="AL65" s="5">
        <v>0</v>
      </c>
      <c r="AM65" s="5">
        <v>0</v>
      </c>
      <c r="AN65" s="5">
        <v>0</v>
      </c>
      <c r="AO65" s="5">
        <v>0</v>
      </c>
      <c r="AP65" s="4">
        <v>1</v>
      </c>
      <c r="AQ65" s="4"/>
      <c r="AR65" s="4">
        <v>0</v>
      </c>
      <c r="AS65" s="4">
        <v>0</v>
      </c>
      <c r="AT65" s="4">
        <v>1</v>
      </c>
      <c r="AU65" s="4">
        <v>0</v>
      </c>
      <c r="AV65" s="12">
        <v>0</v>
      </c>
      <c r="AW65" s="4">
        <v>1</v>
      </c>
      <c r="AX65" s="4">
        <v>0</v>
      </c>
      <c r="AY65" s="4">
        <v>1</v>
      </c>
      <c r="AZ65" s="4">
        <v>0</v>
      </c>
      <c r="BA65" s="37" t="s">
        <v>510</v>
      </c>
      <c r="BB65" s="5">
        <v>1</v>
      </c>
      <c r="BC65" s="17" t="s">
        <v>109</v>
      </c>
      <c r="BD65" s="17" t="s">
        <v>110</v>
      </c>
      <c r="BE65" s="17" t="s">
        <v>109</v>
      </c>
      <c r="BF65" s="17" t="s">
        <v>309</v>
      </c>
      <c r="BG65" s="4" t="str">
        <f t="shared" si="20"/>
        <v>资源搜集点</v>
      </c>
      <c r="BH65" s="20">
        <v>2</v>
      </c>
      <c r="BI65" s="4">
        <v>2</v>
      </c>
      <c r="BJ65" s="4">
        <v>0</v>
      </c>
      <c r="BK65" s="4">
        <v>0</v>
      </c>
      <c r="BL65" s="4">
        <v>1234</v>
      </c>
      <c r="BM65" s="4">
        <v>1</v>
      </c>
      <c r="BN65" s="4">
        <v>1</v>
      </c>
      <c r="BO65" s="4">
        <v>0</v>
      </c>
      <c r="BP65" s="4">
        <v>0</v>
      </c>
      <c r="BQ65" s="4">
        <v>0</v>
      </c>
      <c r="BR65" s="4">
        <v>1</v>
      </c>
      <c r="BS65" s="4">
        <v>0</v>
      </c>
      <c r="BT65" s="4">
        <v>0</v>
      </c>
      <c r="BU65" s="4">
        <v>1</v>
      </c>
      <c r="BV65" s="4">
        <v>0</v>
      </c>
      <c r="BW65" s="4">
        <v>0</v>
      </c>
      <c r="BX65" s="4">
        <v>0</v>
      </c>
      <c r="BY65" s="4">
        <v>1</v>
      </c>
      <c r="BZ65" s="4">
        <v>0</v>
      </c>
      <c r="CA65" s="4">
        <v>1</v>
      </c>
      <c r="CB65" s="4">
        <v>1</v>
      </c>
      <c r="CC65" s="4">
        <v>25</v>
      </c>
      <c r="CD65" s="4">
        <v>0</v>
      </c>
      <c r="CE65" s="4">
        <v>0</v>
      </c>
      <c r="CF65" s="4">
        <v>1</v>
      </c>
      <c r="CG65" s="4">
        <v>0</v>
      </c>
      <c r="CH65" s="4">
        <v>1</v>
      </c>
      <c r="CI65" s="4">
        <v>1</v>
      </c>
      <c r="CJ65" s="4">
        <v>1</v>
      </c>
      <c r="CK65" s="4">
        <v>1</v>
      </c>
      <c r="CL65" s="4">
        <v>50</v>
      </c>
      <c r="CM65" s="4">
        <v>0</v>
      </c>
      <c r="CN65" s="4">
        <v>1</v>
      </c>
      <c r="CO65" s="4">
        <v>0</v>
      </c>
      <c r="CP65" s="4">
        <v>0</v>
      </c>
      <c r="CQ65" s="4">
        <v>0</v>
      </c>
      <c r="CR65" s="4" t="str">
        <f t="shared" ref="CR65" si="21">B65</f>
        <v>资源搜集点</v>
      </c>
      <c r="CS65" s="4">
        <v>0</v>
      </c>
      <c r="CT65" s="4">
        <v>1</v>
      </c>
      <c r="CU65" s="4">
        <v>0</v>
      </c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</row>
    <row r="66" spans="1:119" x14ac:dyDescent="0.15">
      <c r="A66" s="13">
        <v>105006</v>
      </c>
      <c r="B66" s="6" t="s">
        <v>202</v>
      </c>
      <c r="C66" s="47" t="s">
        <v>667</v>
      </c>
      <c r="D66" s="26"/>
      <c r="E66" s="26">
        <v>0</v>
      </c>
      <c r="F66" s="5">
        <v>0</v>
      </c>
      <c r="G66" s="26">
        <v>1</v>
      </c>
      <c r="H66" s="4">
        <v>2</v>
      </c>
      <c r="I66" s="5">
        <v>0</v>
      </c>
      <c r="J66" s="5"/>
      <c r="K66" s="5"/>
      <c r="L66" s="5"/>
      <c r="M66" s="8">
        <v>0</v>
      </c>
      <c r="N66" s="4" t="s">
        <v>203</v>
      </c>
      <c r="O66" s="25">
        <v>1</v>
      </c>
      <c r="P66" s="25">
        <v>0</v>
      </c>
      <c r="Q66" s="25">
        <v>0</v>
      </c>
      <c r="R66" s="4">
        <v>1</v>
      </c>
      <c r="S66" s="4">
        <v>0</v>
      </c>
      <c r="T66" s="4">
        <v>0</v>
      </c>
      <c r="U66" s="4">
        <v>0</v>
      </c>
      <c r="V66" s="5">
        <v>1</v>
      </c>
      <c r="W66" s="5">
        <v>0</v>
      </c>
      <c r="X66" s="5">
        <v>1</v>
      </c>
      <c r="Y66" s="6" t="s">
        <v>202</v>
      </c>
      <c r="Z66" s="5">
        <v>1</v>
      </c>
      <c r="AA66" s="5">
        <v>0</v>
      </c>
      <c r="AB66" s="5">
        <v>1</v>
      </c>
      <c r="AC66" s="5">
        <v>0</v>
      </c>
      <c r="AD66" s="5">
        <v>0</v>
      </c>
      <c r="AE66" s="3">
        <v>0</v>
      </c>
      <c r="AF66" s="5">
        <v>0</v>
      </c>
      <c r="AG66" s="4">
        <v>0</v>
      </c>
      <c r="AH66" s="25">
        <v>0</v>
      </c>
      <c r="AI66" s="26">
        <v>1</v>
      </c>
      <c r="AJ66" s="5">
        <v>0</v>
      </c>
      <c r="AK66" s="5">
        <v>0</v>
      </c>
      <c r="AL66" s="5">
        <v>1</v>
      </c>
      <c r="AM66" s="5">
        <v>1</v>
      </c>
      <c r="AN66" s="5">
        <v>1</v>
      </c>
      <c r="AO66" s="5">
        <v>0</v>
      </c>
      <c r="AP66" s="4">
        <v>1</v>
      </c>
      <c r="AQ66" s="4" t="s">
        <v>200</v>
      </c>
      <c r="AR66" s="13">
        <v>1</v>
      </c>
      <c r="AS66" s="13">
        <v>1</v>
      </c>
      <c r="AT66" s="4">
        <v>1</v>
      </c>
      <c r="AU66" s="4">
        <v>1</v>
      </c>
      <c r="AV66" s="12">
        <v>0</v>
      </c>
      <c r="AW66" s="4">
        <v>1</v>
      </c>
      <c r="AX66" s="4">
        <v>0</v>
      </c>
      <c r="AY66" s="4">
        <v>1</v>
      </c>
      <c r="AZ66" s="4">
        <v>0</v>
      </c>
      <c r="BA66" s="4" t="s">
        <v>204</v>
      </c>
      <c r="BB66" s="5">
        <v>1</v>
      </c>
      <c r="BC66" s="17" t="s">
        <v>109</v>
      </c>
      <c r="BD66" s="17" t="s">
        <v>110</v>
      </c>
      <c r="BE66" s="17" t="s">
        <v>109</v>
      </c>
      <c r="BF66" s="17" t="s">
        <v>379</v>
      </c>
      <c r="BG66" s="16" t="str">
        <f t="shared" si="20"/>
        <v>采集营地</v>
      </c>
      <c r="BH66" s="20">
        <v>3</v>
      </c>
      <c r="BI66" s="4">
        <v>2</v>
      </c>
      <c r="BJ66" s="4">
        <v>0</v>
      </c>
      <c r="BK66" s="4">
        <v>1000</v>
      </c>
      <c r="BL66" s="4">
        <v>1234</v>
      </c>
      <c r="BM66" s="4">
        <v>1</v>
      </c>
      <c r="BN66" s="4">
        <v>1</v>
      </c>
      <c r="BO66" s="4">
        <v>0</v>
      </c>
      <c r="BP66" s="4">
        <v>1</v>
      </c>
      <c r="BQ66" s="4">
        <v>0</v>
      </c>
      <c r="BR66" s="4">
        <v>1</v>
      </c>
      <c r="BS66" s="4">
        <v>0</v>
      </c>
      <c r="BT66" s="4">
        <v>0</v>
      </c>
      <c r="BU66" s="4">
        <v>1</v>
      </c>
      <c r="BV66" s="4">
        <v>0</v>
      </c>
      <c r="BW66" s="4">
        <v>15</v>
      </c>
      <c r="BX66" s="4">
        <v>0</v>
      </c>
      <c r="BY66" s="4">
        <v>1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4</v>
      </c>
      <c r="CF66" s="4">
        <v>1</v>
      </c>
      <c r="CG66" s="4">
        <v>0</v>
      </c>
      <c r="CH66" s="4">
        <v>1</v>
      </c>
      <c r="CI66" s="4">
        <v>1</v>
      </c>
      <c r="CJ66" s="4">
        <v>1</v>
      </c>
      <c r="CK66" s="4">
        <v>1</v>
      </c>
      <c r="CL66" s="4">
        <v>200</v>
      </c>
      <c r="CM66" s="4">
        <v>0</v>
      </c>
      <c r="CN66" s="4">
        <v>1</v>
      </c>
      <c r="CO66" s="4">
        <v>0</v>
      </c>
      <c r="CP66" s="4">
        <v>0</v>
      </c>
      <c r="CQ66" s="4">
        <v>0</v>
      </c>
      <c r="CR66" s="4" t="str">
        <f t="shared" ref="CR66:CR82" si="22">B66</f>
        <v>采集营地</v>
      </c>
      <c r="CS66" s="4">
        <v>0</v>
      </c>
      <c r="CT66" s="4">
        <v>1</v>
      </c>
      <c r="CU66" s="4">
        <v>10</v>
      </c>
      <c r="CV66" s="4">
        <v>604001</v>
      </c>
      <c r="CW66" s="4" t="s">
        <v>113</v>
      </c>
      <c r="CX66" s="4">
        <v>30</v>
      </c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 t="s">
        <v>205</v>
      </c>
      <c r="DO66" s="4" t="s">
        <v>417</v>
      </c>
    </row>
    <row r="67" spans="1:119" ht="27" x14ac:dyDescent="0.15">
      <c r="A67" s="13">
        <v>105005</v>
      </c>
      <c r="B67" s="6" t="s">
        <v>198</v>
      </c>
      <c r="C67" s="47" t="s">
        <v>671</v>
      </c>
      <c r="D67" s="26"/>
      <c r="E67" s="26">
        <v>0</v>
      </c>
      <c r="F67" s="5">
        <v>0</v>
      </c>
      <c r="G67" s="26">
        <v>1</v>
      </c>
      <c r="H67" s="4">
        <v>2</v>
      </c>
      <c r="I67" s="5">
        <v>0</v>
      </c>
      <c r="J67" s="5"/>
      <c r="K67" s="5"/>
      <c r="L67" s="5"/>
      <c r="M67" s="8">
        <v>0</v>
      </c>
      <c r="N67" s="4" t="s">
        <v>199</v>
      </c>
      <c r="O67" s="25">
        <v>1</v>
      </c>
      <c r="P67" s="25">
        <v>0</v>
      </c>
      <c r="Q67" s="25">
        <v>0</v>
      </c>
      <c r="R67" s="4">
        <v>1</v>
      </c>
      <c r="S67" s="4">
        <v>0</v>
      </c>
      <c r="T67" s="4">
        <v>0</v>
      </c>
      <c r="U67" s="4">
        <v>0</v>
      </c>
      <c r="V67" s="5">
        <v>1</v>
      </c>
      <c r="W67" s="5">
        <v>0</v>
      </c>
      <c r="X67" s="5">
        <v>1</v>
      </c>
      <c r="Y67" s="6" t="s">
        <v>198</v>
      </c>
      <c r="Z67" s="5">
        <v>1</v>
      </c>
      <c r="AA67" s="5">
        <v>0</v>
      </c>
      <c r="AB67" s="5">
        <v>1</v>
      </c>
      <c r="AC67" s="5">
        <v>0</v>
      </c>
      <c r="AD67" s="5">
        <v>0</v>
      </c>
      <c r="AE67" s="3">
        <v>0</v>
      </c>
      <c r="AF67" s="5">
        <v>0</v>
      </c>
      <c r="AG67" s="4">
        <v>0</v>
      </c>
      <c r="AH67" s="25">
        <v>0</v>
      </c>
      <c r="AI67" s="26">
        <v>1</v>
      </c>
      <c r="AJ67" s="5">
        <v>0</v>
      </c>
      <c r="AK67" s="5">
        <v>0</v>
      </c>
      <c r="AL67" s="5">
        <v>1</v>
      </c>
      <c r="AM67" s="5">
        <v>1</v>
      </c>
      <c r="AN67" s="5">
        <v>0</v>
      </c>
      <c r="AO67" s="5">
        <v>0</v>
      </c>
      <c r="AP67" s="4">
        <v>1</v>
      </c>
      <c r="AQ67" s="4" t="s">
        <v>200</v>
      </c>
      <c r="AR67" s="13">
        <v>1</v>
      </c>
      <c r="AS67" s="13">
        <v>1</v>
      </c>
      <c r="AT67" s="4">
        <v>1</v>
      </c>
      <c r="AU67" s="4">
        <v>1</v>
      </c>
      <c r="AV67" s="12">
        <v>0</v>
      </c>
      <c r="AW67" s="4">
        <v>1</v>
      </c>
      <c r="AX67" s="4">
        <v>0</v>
      </c>
      <c r="AY67" s="4">
        <v>1</v>
      </c>
      <c r="AZ67" s="4">
        <v>0</v>
      </c>
      <c r="BA67" s="4" t="s">
        <v>201</v>
      </c>
      <c r="BB67" s="5">
        <v>1</v>
      </c>
      <c r="BC67" s="17" t="s">
        <v>109</v>
      </c>
      <c r="BD67" s="17" t="s">
        <v>110</v>
      </c>
      <c r="BE67" s="17" t="s">
        <v>109</v>
      </c>
      <c r="BF67" s="17" t="s">
        <v>379</v>
      </c>
      <c r="BG67" s="16" t="str">
        <f>B67</f>
        <v>猎人营地</v>
      </c>
      <c r="BH67" s="20">
        <v>3</v>
      </c>
      <c r="BI67" s="4">
        <v>2</v>
      </c>
      <c r="BJ67" s="4">
        <v>0</v>
      </c>
      <c r="BK67" s="4">
        <v>1000</v>
      </c>
      <c r="BL67" s="4">
        <v>1234</v>
      </c>
      <c r="BM67" s="4">
        <v>1</v>
      </c>
      <c r="BN67" s="4">
        <v>1</v>
      </c>
      <c r="BO67" s="4">
        <v>0</v>
      </c>
      <c r="BP67" s="4">
        <v>1</v>
      </c>
      <c r="BQ67" s="4">
        <v>0</v>
      </c>
      <c r="BR67" s="4">
        <v>1</v>
      </c>
      <c r="BS67" s="4">
        <v>0</v>
      </c>
      <c r="BT67" s="4">
        <v>0</v>
      </c>
      <c r="BU67" s="4">
        <v>1</v>
      </c>
      <c r="BV67" s="4">
        <v>0</v>
      </c>
      <c r="BW67" s="4">
        <v>40</v>
      </c>
      <c r="BX67" s="4">
        <v>0</v>
      </c>
      <c r="BY67" s="4">
        <v>1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4</v>
      </c>
      <c r="CF67" s="4">
        <v>1</v>
      </c>
      <c r="CG67" s="4">
        <v>0</v>
      </c>
      <c r="CH67" s="4">
        <v>1</v>
      </c>
      <c r="CI67" s="4">
        <v>1</v>
      </c>
      <c r="CJ67" s="4">
        <v>1</v>
      </c>
      <c r="CK67" s="4">
        <v>1</v>
      </c>
      <c r="CL67" s="4">
        <v>200</v>
      </c>
      <c r="CM67" s="4">
        <v>0</v>
      </c>
      <c r="CN67" s="4">
        <v>1</v>
      </c>
      <c r="CO67" s="4">
        <v>0</v>
      </c>
      <c r="CP67" s="4">
        <v>0</v>
      </c>
      <c r="CQ67" s="4">
        <v>0</v>
      </c>
      <c r="CR67" s="4" t="str">
        <f>B67</f>
        <v>猎人营地</v>
      </c>
      <c r="CS67" s="4">
        <v>0</v>
      </c>
      <c r="CT67" s="4">
        <v>2</v>
      </c>
      <c r="CU67" s="4">
        <v>20</v>
      </c>
      <c r="CV67" s="4">
        <v>604001</v>
      </c>
      <c r="CW67" s="4" t="s">
        <v>113</v>
      </c>
      <c r="CX67" s="4">
        <v>32</v>
      </c>
      <c r="CY67" s="4">
        <v>605001</v>
      </c>
      <c r="CZ67" s="4" t="s">
        <v>122</v>
      </c>
      <c r="DA67" s="4">
        <v>10</v>
      </c>
      <c r="DB67" s="4">
        <v>603001</v>
      </c>
      <c r="DC67" s="4" t="s">
        <v>116</v>
      </c>
      <c r="DD67" s="4">
        <v>20</v>
      </c>
      <c r="DE67" s="4"/>
      <c r="DF67" s="4"/>
      <c r="DG67" s="4"/>
      <c r="DH67" s="4"/>
      <c r="DI67" s="4"/>
      <c r="DJ67" s="4"/>
      <c r="DK67" s="4"/>
      <c r="DL67" s="4"/>
      <c r="DM67" s="4"/>
      <c r="DN67" s="31" t="s">
        <v>636</v>
      </c>
      <c r="DO67" s="4" t="s">
        <v>416</v>
      </c>
    </row>
    <row r="68" spans="1:119" x14ac:dyDescent="0.15">
      <c r="A68" s="4">
        <v>105017</v>
      </c>
      <c r="B68" s="12" t="s">
        <v>230</v>
      </c>
      <c r="C68" s="47" t="s">
        <v>677</v>
      </c>
      <c r="D68" s="26"/>
      <c r="E68" s="26">
        <v>0</v>
      </c>
      <c r="F68" s="5">
        <v>0</v>
      </c>
      <c r="G68" s="26">
        <v>1</v>
      </c>
      <c r="H68" s="4">
        <v>2</v>
      </c>
      <c r="I68" s="4">
        <v>0</v>
      </c>
      <c r="J68" s="4"/>
      <c r="K68" s="4"/>
      <c r="L68" s="4"/>
      <c r="M68" s="8">
        <v>0</v>
      </c>
      <c r="N68" s="4" t="s">
        <v>231</v>
      </c>
      <c r="O68" s="25">
        <v>1</v>
      </c>
      <c r="P68" s="25">
        <v>0</v>
      </c>
      <c r="Q68" s="25">
        <v>0</v>
      </c>
      <c r="R68" s="4">
        <v>0</v>
      </c>
      <c r="S68" s="4">
        <v>0</v>
      </c>
      <c r="T68" s="4">
        <v>0</v>
      </c>
      <c r="U68" s="4">
        <v>0</v>
      </c>
      <c r="V68" s="5">
        <v>1</v>
      </c>
      <c r="W68" s="5">
        <v>0</v>
      </c>
      <c r="X68" s="5">
        <v>1</v>
      </c>
      <c r="Y68" s="12" t="s">
        <v>230</v>
      </c>
      <c r="Z68" s="5">
        <v>0</v>
      </c>
      <c r="AA68" s="5">
        <v>0</v>
      </c>
      <c r="AB68" s="5">
        <v>1</v>
      </c>
      <c r="AC68" s="5">
        <v>0</v>
      </c>
      <c r="AD68" s="5">
        <v>0</v>
      </c>
      <c r="AE68" s="3">
        <v>1</v>
      </c>
      <c r="AF68" s="5">
        <v>0</v>
      </c>
      <c r="AG68" s="4">
        <v>0</v>
      </c>
      <c r="AH68" s="25">
        <v>0</v>
      </c>
      <c r="AI68" s="26">
        <v>0</v>
      </c>
      <c r="AJ68" s="5">
        <v>0</v>
      </c>
      <c r="AK68" s="5">
        <v>0</v>
      </c>
      <c r="AL68" s="5">
        <v>0</v>
      </c>
      <c r="AM68" s="4">
        <v>0</v>
      </c>
      <c r="AN68" s="5">
        <v>0</v>
      </c>
      <c r="AO68" s="5">
        <v>0</v>
      </c>
      <c r="AP68" s="4">
        <v>1</v>
      </c>
      <c r="AQ68" s="4"/>
      <c r="AR68" s="4">
        <v>0</v>
      </c>
      <c r="AS68" s="4">
        <v>0</v>
      </c>
      <c r="AT68" s="4">
        <v>1</v>
      </c>
      <c r="AU68" s="4">
        <v>0</v>
      </c>
      <c r="AV68" s="12">
        <v>0</v>
      </c>
      <c r="AW68" s="4">
        <v>1</v>
      </c>
      <c r="AX68" s="4">
        <v>0</v>
      </c>
      <c r="AY68" s="4">
        <v>0</v>
      </c>
      <c r="AZ68" s="4">
        <v>0</v>
      </c>
      <c r="BA68" s="25" t="s">
        <v>348</v>
      </c>
      <c r="BB68" s="5">
        <v>1</v>
      </c>
      <c r="BC68" s="17" t="s">
        <v>109</v>
      </c>
      <c r="BD68" s="17" t="s">
        <v>110</v>
      </c>
      <c r="BE68" s="17" t="s">
        <v>110</v>
      </c>
      <c r="BF68" s="17" t="s">
        <v>379</v>
      </c>
      <c r="BG68" s="4" t="str">
        <f>B68</f>
        <v>捕兽夹</v>
      </c>
      <c r="BH68" s="20">
        <v>1</v>
      </c>
      <c r="BI68" s="4">
        <v>1</v>
      </c>
      <c r="BJ68" s="4">
        <v>5</v>
      </c>
      <c r="BK68" s="4">
        <v>0</v>
      </c>
      <c r="BL68" s="4">
        <v>0</v>
      </c>
      <c r="BM68" s="4">
        <v>1</v>
      </c>
      <c r="BN68" s="4">
        <v>1</v>
      </c>
      <c r="BO68" s="4">
        <v>0</v>
      </c>
      <c r="BP68" s="4">
        <v>0</v>
      </c>
      <c r="BQ68" s="4">
        <v>0</v>
      </c>
      <c r="BR68" s="4">
        <v>1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1</v>
      </c>
      <c r="CF68" s="4">
        <v>0</v>
      </c>
      <c r="CG68" s="4">
        <v>0</v>
      </c>
      <c r="CH68" s="4">
        <v>1</v>
      </c>
      <c r="CI68" s="4">
        <v>1</v>
      </c>
      <c r="CJ68" s="4">
        <v>1</v>
      </c>
      <c r="CK68" s="4">
        <v>1</v>
      </c>
      <c r="CL68" s="4">
        <v>100</v>
      </c>
      <c r="CM68" s="4">
        <v>0</v>
      </c>
      <c r="CN68" s="4">
        <v>1</v>
      </c>
      <c r="CO68" s="4">
        <v>0</v>
      </c>
      <c r="CP68" s="4">
        <v>0</v>
      </c>
      <c r="CQ68" s="4">
        <v>0</v>
      </c>
      <c r="CR68" s="4" t="str">
        <f>B68</f>
        <v>捕兽夹</v>
      </c>
      <c r="CS68" s="4">
        <v>0</v>
      </c>
      <c r="CT68" s="4">
        <v>1</v>
      </c>
      <c r="CU68" s="4">
        <v>10</v>
      </c>
      <c r="CV68" s="4">
        <v>604001</v>
      </c>
      <c r="CW68" s="4" t="s">
        <v>113</v>
      </c>
      <c r="CX68" s="4">
        <v>8</v>
      </c>
      <c r="CY68" s="4">
        <v>603001</v>
      </c>
      <c r="CZ68" s="4" t="s">
        <v>116</v>
      </c>
      <c r="DA68" s="4">
        <v>5</v>
      </c>
      <c r="DB68" s="4"/>
      <c r="DC68" s="4"/>
      <c r="DD68" s="4"/>
      <c r="DE68" s="4">
        <v>604001</v>
      </c>
      <c r="DF68" s="4" t="s">
        <v>113</v>
      </c>
      <c r="DG68" s="4">
        <v>4</v>
      </c>
      <c r="DH68" s="4">
        <v>603001</v>
      </c>
      <c r="DI68" s="4" t="s">
        <v>116</v>
      </c>
      <c r="DJ68" s="4">
        <v>2</v>
      </c>
      <c r="DK68" s="4"/>
      <c r="DL68" s="4"/>
      <c r="DM68" s="4"/>
      <c r="DN68" s="4" t="s">
        <v>361</v>
      </c>
      <c r="DO68" s="4"/>
    </row>
    <row r="69" spans="1:119" x14ac:dyDescent="0.15">
      <c r="A69" s="13">
        <v>105004</v>
      </c>
      <c r="B69" s="10" t="s">
        <v>195</v>
      </c>
      <c r="C69" s="47" t="s">
        <v>667</v>
      </c>
      <c r="D69" s="26"/>
      <c r="E69" s="26">
        <v>0</v>
      </c>
      <c r="F69" s="5">
        <v>0</v>
      </c>
      <c r="G69" s="26">
        <v>1</v>
      </c>
      <c r="H69" s="4">
        <v>2</v>
      </c>
      <c r="I69" s="5">
        <v>0</v>
      </c>
      <c r="J69" s="5"/>
      <c r="K69" s="5"/>
      <c r="L69" s="5"/>
      <c r="M69" s="8">
        <v>0</v>
      </c>
      <c r="N69" s="4" t="s">
        <v>196</v>
      </c>
      <c r="O69" s="25">
        <v>0</v>
      </c>
      <c r="P69" s="25">
        <v>0</v>
      </c>
      <c r="Q69" s="25">
        <v>0</v>
      </c>
      <c r="R69" s="4">
        <v>1</v>
      </c>
      <c r="S69" s="4">
        <v>0</v>
      </c>
      <c r="T69" s="4">
        <v>0</v>
      </c>
      <c r="U69" s="4">
        <v>0</v>
      </c>
      <c r="V69" s="5">
        <v>1</v>
      </c>
      <c r="W69" s="5">
        <v>0</v>
      </c>
      <c r="X69" s="5">
        <v>1</v>
      </c>
      <c r="Y69" s="10" t="s">
        <v>195</v>
      </c>
      <c r="Z69" s="5">
        <v>1</v>
      </c>
      <c r="AA69" s="5">
        <v>0</v>
      </c>
      <c r="AB69" s="5">
        <v>1</v>
      </c>
      <c r="AC69" s="5">
        <v>2</v>
      </c>
      <c r="AD69" s="5">
        <v>0</v>
      </c>
      <c r="AE69" s="3">
        <v>1</v>
      </c>
      <c r="AF69" s="5">
        <v>0</v>
      </c>
      <c r="AG69" s="4">
        <v>0</v>
      </c>
      <c r="AH69" s="25">
        <v>0</v>
      </c>
      <c r="AI69" s="26">
        <v>1</v>
      </c>
      <c r="AJ69" s="5">
        <v>0</v>
      </c>
      <c r="AK69" s="5">
        <v>0</v>
      </c>
      <c r="AL69" s="5">
        <v>1</v>
      </c>
      <c r="AM69" s="5">
        <v>1</v>
      </c>
      <c r="AN69" s="5">
        <v>1</v>
      </c>
      <c r="AO69" s="5">
        <v>1</v>
      </c>
      <c r="AP69" s="4">
        <v>1</v>
      </c>
      <c r="AQ69" s="4"/>
      <c r="AR69" s="13">
        <v>1</v>
      </c>
      <c r="AS69" s="13">
        <v>1</v>
      </c>
      <c r="AT69" s="4">
        <v>1</v>
      </c>
      <c r="AU69" s="4">
        <v>1</v>
      </c>
      <c r="AV69" s="12">
        <v>0</v>
      </c>
      <c r="AW69" s="4">
        <v>1</v>
      </c>
      <c r="AX69" s="4">
        <v>0</v>
      </c>
      <c r="AY69" s="4">
        <v>1</v>
      </c>
      <c r="AZ69" s="4">
        <v>0</v>
      </c>
      <c r="BA69" s="4" t="s">
        <v>347</v>
      </c>
      <c r="BB69" s="5">
        <v>1</v>
      </c>
      <c r="BC69" s="17" t="s">
        <v>109</v>
      </c>
      <c r="BD69" s="17" t="s">
        <v>110</v>
      </c>
      <c r="BE69" s="17" t="s">
        <v>109</v>
      </c>
      <c r="BF69" s="17" t="s">
        <v>379</v>
      </c>
      <c r="BG69" s="4" t="str">
        <f>B69</f>
        <v>渔人码头</v>
      </c>
      <c r="BH69" s="20">
        <v>2</v>
      </c>
      <c r="BI69" s="4">
        <v>3</v>
      </c>
      <c r="BJ69" s="4">
        <v>0</v>
      </c>
      <c r="BK69" s="4">
        <v>0</v>
      </c>
      <c r="BL69" s="4">
        <v>3</v>
      </c>
      <c r="BM69" s="4">
        <v>1</v>
      </c>
      <c r="BN69" s="4">
        <v>1</v>
      </c>
      <c r="BO69" s="4">
        <v>0</v>
      </c>
      <c r="BP69" s="4">
        <v>0</v>
      </c>
      <c r="BQ69" s="4">
        <v>1</v>
      </c>
      <c r="BR69" s="4">
        <v>1</v>
      </c>
      <c r="BS69" s="4">
        <v>0</v>
      </c>
      <c r="BT69" s="4">
        <v>0</v>
      </c>
      <c r="BU69" s="4">
        <v>1</v>
      </c>
      <c r="BV69" s="4">
        <v>0</v>
      </c>
      <c r="BW69" s="4">
        <v>3</v>
      </c>
      <c r="BX69" s="4">
        <v>0</v>
      </c>
      <c r="BY69" s="4">
        <v>1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3</v>
      </c>
      <c r="CF69" s="4">
        <v>0</v>
      </c>
      <c r="CG69" s="4">
        <v>0</v>
      </c>
      <c r="CH69" s="4">
        <v>1</v>
      </c>
      <c r="CI69" s="4">
        <v>1</v>
      </c>
      <c r="CJ69" s="4">
        <v>1</v>
      </c>
      <c r="CK69" s="4">
        <v>1</v>
      </c>
      <c r="CL69" s="4">
        <v>200</v>
      </c>
      <c r="CM69" s="4">
        <v>0</v>
      </c>
      <c r="CN69" s="4">
        <v>1</v>
      </c>
      <c r="CO69" s="4">
        <v>0</v>
      </c>
      <c r="CP69" s="4">
        <v>0</v>
      </c>
      <c r="CQ69" s="4">
        <v>0</v>
      </c>
      <c r="CR69" s="4" t="str">
        <f>B69</f>
        <v>渔人码头</v>
      </c>
      <c r="CS69" s="4">
        <v>0</v>
      </c>
      <c r="CT69" s="4">
        <v>3</v>
      </c>
      <c r="CU69" s="4">
        <v>20</v>
      </c>
      <c r="CV69" s="4">
        <v>604001</v>
      </c>
      <c r="CW69" s="4" t="s">
        <v>113</v>
      </c>
      <c r="CX69" s="4">
        <v>80</v>
      </c>
      <c r="CY69" s="4">
        <v>605001</v>
      </c>
      <c r="CZ69" s="4" t="s">
        <v>122</v>
      </c>
      <c r="DA69" s="4">
        <v>20</v>
      </c>
      <c r="DB69" s="4">
        <v>603001</v>
      </c>
      <c r="DC69" s="4" t="s">
        <v>116</v>
      </c>
      <c r="DD69" s="4">
        <v>10</v>
      </c>
      <c r="DE69" s="4"/>
      <c r="DF69" s="4"/>
      <c r="DG69" s="4"/>
      <c r="DH69" s="4"/>
      <c r="DI69" s="4"/>
      <c r="DJ69" s="4"/>
      <c r="DK69" s="4"/>
      <c r="DL69" s="4"/>
      <c r="DM69" s="4"/>
      <c r="DN69" s="4" t="s">
        <v>197</v>
      </c>
      <c r="DO69" s="25" t="s">
        <v>514</v>
      </c>
    </row>
    <row r="70" spans="1:119" x14ac:dyDescent="0.15">
      <c r="A70" s="4">
        <v>105018</v>
      </c>
      <c r="B70" s="12" t="s">
        <v>232</v>
      </c>
      <c r="C70" s="47" t="s">
        <v>667</v>
      </c>
      <c r="D70" s="26"/>
      <c r="E70" s="26">
        <v>0</v>
      </c>
      <c r="F70" s="5">
        <v>0</v>
      </c>
      <c r="G70" s="26">
        <v>1</v>
      </c>
      <c r="H70" s="4">
        <v>2</v>
      </c>
      <c r="I70" s="5">
        <v>0</v>
      </c>
      <c r="J70" s="4"/>
      <c r="K70" s="4"/>
      <c r="L70" s="4"/>
      <c r="M70" s="8">
        <v>0</v>
      </c>
      <c r="N70" s="4" t="s">
        <v>233</v>
      </c>
      <c r="O70" s="25">
        <v>0</v>
      </c>
      <c r="P70" s="25">
        <v>0</v>
      </c>
      <c r="Q70" s="25">
        <v>0</v>
      </c>
      <c r="R70" s="4">
        <v>0</v>
      </c>
      <c r="S70" s="4">
        <v>0</v>
      </c>
      <c r="T70" s="4">
        <v>0</v>
      </c>
      <c r="U70" s="4">
        <v>0</v>
      </c>
      <c r="V70" s="5">
        <v>1</v>
      </c>
      <c r="W70" s="5">
        <v>0</v>
      </c>
      <c r="X70" s="5">
        <v>1</v>
      </c>
      <c r="Y70" s="12" t="s">
        <v>232</v>
      </c>
      <c r="Z70" s="5">
        <v>1</v>
      </c>
      <c r="AA70" s="5">
        <v>0</v>
      </c>
      <c r="AB70" s="5">
        <v>1</v>
      </c>
      <c r="AC70" s="5">
        <v>1</v>
      </c>
      <c r="AD70" s="5">
        <v>0</v>
      </c>
      <c r="AE70" s="3">
        <v>1</v>
      </c>
      <c r="AF70" s="5">
        <v>0</v>
      </c>
      <c r="AG70" s="4">
        <v>0</v>
      </c>
      <c r="AH70" s="25">
        <v>0</v>
      </c>
      <c r="AI70" s="26">
        <v>1</v>
      </c>
      <c r="AJ70" s="5">
        <v>0</v>
      </c>
      <c r="AK70" s="5">
        <v>0</v>
      </c>
      <c r="AL70" s="5">
        <v>1</v>
      </c>
      <c r="AM70" s="4">
        <v>0</v>
      </c>
      <c r="AN70" s="5">
        <v>1</v>
      </c>
      <c r="AO70" s="5">
        <v>0</v>
      </c>
      <c r="AP70" s="4">
        <v>1</v>
      </c>
      <c r="AQ70" s="4"/>
      <c r="AR70" s="4">
        <v>1</v>
      </c>
      <c r="AS70" s="4">
        <v>1</v>
      </c>
      <c r="AT70" s="4">
        <v>1</v>
      </c>
      <c r="AU70" s="4">
        <v>0</v>
      </c>
      <c r="AV70" s="12">
        <v>0</v>
      </c>
      <c r="AW70" s="4">
        <v>1</v>
      </c>
      <c r="AX70" s="4">
        <v>0</v>
      </c>
      <c r="AY70" s="4">
        <v>0</v>
      </c>
      <c r="AZ70" s="4">
        <v>0</v>
      </c>
      <c r="BA70" s="4" t="s">
        <v>234</v>
      </c>
      <c r="BB70" s="5">
        <v>1</v>
      </c>
      <c r="BC70" s="17" t="s">
        <v>109</v>
      </c>
      <c r="BD70" s="17" t="s">
        <v>110</v>
      </c>
      <c r="BE70" s="17" t="s">
        <v>109</v>
      </c>
      <c r="BF70" s="17" t="s">
        <v>379</v>
      </c>
      <c r="BG70" s="4" t="str">
        <f>B70</f>
        <v>蟹笼</v>
      </c>
      <c r="BH70" s="20">
        <v>1</v>
      </c>
      <c r="BI70" s="4">
        <v>1</v>
      </c>
      <c r="BJ70" s="4">
        <v>500</v>
      </c>
      <c r="BK70" s="4">
        <v>0</v>
      </c>
      <c r="BL70" s="4">
        <v>1234</v>
      </c>
      <c r="BM70" s="4">
        <v>1</v>
      </c>
      <c r="BN70" s="4">
        <v>1</v>
      </c>
      <c r="BO70" s="4">
        <v>0</v>
      </c>
      <c r="BP70" s="4">
        <v>0</v>
      </c>
      <c r="BQ70" s="4">
        <v>1</v>
      </c>
      <c r="BR70" s="4">
        <v>1</v>
      </c>
      <c r="BS70" s="4">
        <v>0</v>
      </c>
      <c r="BT70" s="4">
        <v>0</v>
      </c>
      <c r="BU70" s="4">
        <v>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1</v>
      </c>
      <c r="CF70" s="4">
        <v>0</v>
      </c>
      <c r="CG70" s="4">
        <v>0</v>
      </c>
      <c r="CH70" s="4">
        <v>1</v>
      </c>
      <c r="CI70" s="4">
        <v>1</v>
      </c>
      <c r="CJ70" s="4">
        <v>1</v>
      </c>
      <c r="CK70" s="4">
        <v>1</v>
      </c>
      <c r="CL70" s="4">
        <v>100</v>
      </c>
      <c r="CM70" s="4">
        <v>0</v>
      </c>
      <c r="CN70" s="4">
        <v>1</v>
      </c>
      <c r="CO70" s="4">
        <v>0</v>
      </c>
      <c r="CP70" s="4">
        <v>1</v>
      </c>
      <c r="CQ70" s="4">
        <v>10</v>
      </c>
      <c r="CR70" s="4" t="str">
        <f>B70</f>
        <v>蟹笼</v>
      </c>
      <c r="CS70" s="4">
        <v>0</v>
      </c>
      <c r="CT70" s="4">
        <v>3</v>
      </c>
      <c r="CU70" s="4">
        <v>5</v>
      </c>
      <c r="CV70" s="4">
        <v>604001</v>
      </c>
      <c r="CW70" s="4" t="s">
        <v>113</v>
      </c>
      <c r="CX70" s="4">
        <v>12</v>
      </c>
      <c r="CY70" s="4">
        <v>603001</v>
      </c>
      <c r="CZ70" s="4" t="s">
        <v>116</v>
      </c>
      <c r="DA70" s="4">
        <v>2</v>
      </c>
      <c r="DB70" s="4"/>
      <c r="DC70" s="4"/>
      <c r="DD70" s="4"/>
      <c r="DE70" s="4">
        <v>604001</v>
      </c>
      <c r="DF70" s="4" t="s">
        <v>113</v>
      </c>
      <c r="DG70" s="4">
        <v>6</v>
      </c>
      <c r="DH70" s="4">
        <v>603001</v>
      </c>
      <c r="DI70" s="4" t="s">
        <v>116</v>
      </c>
      <c r="DJ70" s="4">
        <v>1</v>
      </c>
      <c r="DK70" s="4"/>
      <c r="DL70" s="4"/>
      <c r="DM70" s="4"/>
      <c r="DN70" s="4" t="s">
        <v>362</v>
      </c>
      <c r="DO70" s="4"/>
    </row>
    <row r="71" spans="1:119" x14ac:dyDescent="0.15">
      <c r="A71" s="13">
        <v>105001</v>
      </c>
      <c r="B71" s="6" t="s">
        <v>185</v>
      </c>
      <c r="C71" s="47" t="s">
        <v>674</v>
      </c>
      <c r="D71" s="26"/>
      <c r="E71" s="26">
        <v>1</v>
      </c>
      <c r="F71" s="5">
        <v>0</v>
      </c>
      <c r="G71" s="26">
        <v>1</v>
      </c>
      <c r="H71" s="4">
        <v>2</v>
      </c>
      <c r="I71" s="5">
        <v>0</v>
      </c>
      <c r="J71" s="5"/>
      <c r="K71" s="5"/>
      <c r="L71" s="5"/>
      <c r="M71" s="8">
        <v>0</v>
      </c>
      <c r="N71" s="4" t="s">
        <v>186</v>
      </c>
      <c r="O71" s="25">
        <v>0</v>
      </c>
      <c r="P71" s="25">
        <v>0</v>
      </c>
      <c r="Q71" s="25">
        <v>1</v>
      </c>
      <c r="R71" s="4">
        <v>1</v>
      </c>
      <c r="S71" s="4">
        <v>0</v>
      </c>
      <c r="T71" s="4">
        <v>0</v>
      </c>
      <c r="U71" s="4">
        <v>0</v>
      </c>
      <c r="V71" s="5">
        <v>1</v>
      </c>
      <c r="W71" s="5">
        <v>0</v>
      </c>
      <c r="X71" s="5">
        <v>1</v>
      </c>
      <c r="Y71" s="6" t="s">
        <v>185</v>
      </c>
      <c r="Z71" s="5">
        <v>1</v>
      </c>
      <c r="AA71" s="5">
        <v>0</v>
      </c>
      <c r="AB71" s="5">
        <v>1</v>
      </c>
      <c r="AC71" s="5">
        <v>1</v>
      </c>
      <c r="AD71" s="5">
        <v>1</v>
      </c>
      <c r="AE71" s="3">
        <v>0</v>
      </c>
      <c r="AF71" s="5">
        <v>1</v>
      </c>
      <c r="AG71" s="4">
        <v>1</v>
      </c>
      <c r="AH71" s="25">
        <v>1</v>
      </c>
      <c r="AI71" s="26">
        <v>1</v>
      </c>
      <c r="AJ71" s="5">
        <v>0</v>
      </c>
      <c r="AK71" s="5">
        <v>0</v>
      </c>
      <c r="AL71" s="5">
        <v>1</v>
      </c>
      <c r="AM71" s="5">
        <v>1</v>
      </c>
      <c r="AN71" s="5">
        <v>1</v>
      </c>
      <c r="AO71" s="5">
        <v>1</v>
      </c>
      <c r="AP71" s="4">
        <v>1</v>
      </c>
      <c r="AQ71" s="4"/>
      <c r="AR71" s="13">
        <v>1</v>
      </c>
      <c r="AS71" s="4">
        <v>0</v>
      </c>
      <c r="AT71" s="4">
        <v>0</v>
      </c>
      <c r="AU71" s="4">
        <v>1</v>
      </c>
      <c r="AV71" s="12">
        <v>0</v>
      </c>
      <c r="AW71" s="4">
        <v>1</v>
      </c>
      <c r="AX71" s="4">
        <v>0</v>
      </c>
      <c r="AY71" s="4">
        <v>0</v>
      </c>
      <c r="AZ71" s="4">
        <v>0</v>
      </c>
      <c r="BA71" s="4" t="s">
        <v>187</v>
      </c>
      <c r="BB71" s="5">
        <v>1</v>
      </c>
      <c r="BC71" s="17" t="s">
        <v>109</v>
      </c>
      <c r="BD71" s="17" t="s">
        <v>110</v>
      </c>
      <c r="BE71" s="17" t="s">
        <v>110</v>
      </c>
      <c r="BF71" s="17" t="s">
        <v>379</v>
      </c>
      <c r="BG71" s="4" t="str">
        <f t="shared" si="20"/>
        <v>农田</v>
      </c>
      <c r="BH71" s="20">
        <v>1</v>
      </c>
      <c r="BI71" s="4">
        <v>1</v>
      </c>
      <c r="BJ71" s="4">
        <v>0</v>
      </c>
      <c r="BK71" s="4">
        <v>0</v>
      </c>
      <c r="BL71" s="4">
        <v>1</v>
      </c>
      <c r="BM71" s="4">
        <v>1</v>
      </c>
      <c r="BN71" s="4">
        <v>0</v>
      </c>
      <c r="BO71" s="4">
        <v>0</v>
      </c>
      <c r="BP71" s="4">
        <v>0</v>
      </c>
      <c r="BQ71" s="4">
        <v>1</v>
      </c>
      <c r="BR71" s="4">
        <v>1</v>
      </c>
      <c r="BS71" s="4">
        <v>0</v>
      </c>
      <c r="BT71" s="4">
        <v>0</v>
      </c>
      <c r="BU71" s="4">
        <v>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4</v>
      </c>
      <c r="CF71" s="4">
        <v>0</v>
      </c>
      <c r="CG71" s="4">
        <v>0</v>
      </c>
      <c r="CH71" s="4">
        <v>1</v>
      </c>
      <c r="CI71" s="4">
        <v>4</v>
      </c>
      <c r="CJ71" s="4">
        <v>4</v>
      </c>
      <c r="CK71" s="4">
        <v>15</v>
      </c>
      <c r="CL71" s="4">
        <v>10</v>
      </c>
      <c r="CM71" s="4">
        <v>0</v>
      </c>
      <c r="CN71" s="4">
        <v>0</v>
      </c>
      <c r="CO71" s="4">
        <v>1</v>
      </c>
      <c r="CP71" s="4">
        <v>0</v>
      </c>
      <c r="CQ71" s="4">
        <v>0</v>
      </c>
      <c r="CR71" s="4" t="str">
        <f t="shared" si="22"/>
        <v>农田</v>
      </c>
      <c r="CS71" s="4">
        <v>0</v>
      </c>
      <c r="CT71" s="4">
        <v>1</v>
      </c>
      <c r="CU71" s="4">
        <v>0</v>
      </c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25" t="s">
        <v>412</v>
      </c>
      <c r="DO71" s="25" t="s">
        <v>722</v>
      </c>
    </row>
    <row r="72" spans="1:119" ht="16.5" customHeight="1" x14ac:dyDescent="0.15">
      <c r="A72" s="13">
        <v>105002</v>
      </c>
      <c r="B72" s="34" t="s">
        <v>467</v>
      </c>
      <c r="C72" s="47" t="s">
        <v>674</v>
      </c>
      <c r="D72" s="26"/>
      <c r="E72" s="26">
        <v>1</v>
      </c>
      <c r="F72" s="5">
        <v>0</v>
      </c>
      <c r="G72" s="26">
        <v>1</v>
      </c>
      <c r="H72" s="4">
        <v>2</v>
      </c>
      <c r="I72" s="5">
        <v>0</v>
      </c>
      <c r="J72" s="26"/>
      <c r="K72" s="26"/>
      <c r="L72" s="26"/>
      <c r="M72" s="8">
        <v>0</v>
      </c>
      <c r="N72" s="4" t="s">
        <v>188</v>
      </c>
      <c r="O72" s="25">
        <v>0</v>
      </c>
      <c r="P72" s="25">
        <v>0</v>
      </c>
      <c r="Q72" s="25">
        <v>1</v>
      </c>
      <c r="R72" s="4">
        <v>1</v>
      </c>
      <c r="S72" s="4">
        <v>0</v>
      </c>
      <c r="T72" s="4">
        <v>0</v>
      </c>
      <c r="U72" s="4">
        <v>0</v>
      </c>
      <c r="V72" s="5">
        <v>1</v>
      </c>
      <c r="W72" s="5">
        <v>0</v>
      </c>
      <c r="X72" s="5">
        <v>1</v>
      </c>
      <c r="Y72" s="34" t="s">
        <v>467</v>
      </c>
      <c r="Z72" s="5">
        <v>1</v>
      </c>
      <c r="AA72" s="5">
        <v>0</v>
      </c>
      <c r="AB72" s="5">
        <v>1</v>
      </c>
      <c r="AC72" s="5">
        <v>1</v>
      </c>
      <c r="AD72" s="5">
        <v>1</v>
      </c>
      <c r="AE72" s="3">
        <v>0</v>
      </c>
      <c r="AF72" s="5">
        <v>1</v>
      </c>
      <c r="AG72" s="4">
        <v>1</v>
      </c>
      <c r="AH72" s="25">
        <v>1</v>
      </c>
      <c r="AI72" s="26">
        <v>1</v>
      </c>
      <c r="AJ72" s="5">
        <v>0</v>
      </c>
      <c r="AK72" s="5">
        <v>0</v>
      </c>
      <c r="AL72" s="5">
        <v>1</v>
      </c>
      <c r="AM72" s="5">
        <v>1</v>
      </c>
      <c r="AN72" s="5">
        <v>1</v>
      </c>
      <c r="AO72" s="5">
        <v>1</v>
      </c>
      <c r="AP72" s="4">
        <v>1</v>
      </c>
      <c r="AQ72" s="4"/>
      <c r="AR72" s="13">
        <v>1</v>
      </c>
      <c r="AS72" s="4">
        <v>0</v>
      </c>
      <c r="AT72" s="4">
        <v>0</v>
      </c>
      <c r="AU72" s="4">
        <v>1</v>
      </c>
      <c r="AV72" s="12">
        <v>0</v>
      </c>
      <c r="AW72" s="4">
        <v>1</v>
      </c>
      <c r="AX72" s="4">
        <v>0</v>
      </c>
      <c r="AY72" s="4">
        <v>0</v>
      </c>
      <c r="AZ72" s="4">
        <v>0</v>
      </c>
      <c r="BA72" s="4" t="s">
        <v>189</v>
      </c>
      <c r="BB72" s="5">
        <v>1</v>
      </c>
      <c r="BC72" s="17" t="s">
        <v>109</v>
      </c>
      <c r="BD72" s="17" t="s">
        <v>110</v>
      </c>
      <c r="BE72" s="17" t="s">
        <v>110</v>
      </c>
      <c r="BF72" s="17" t="s">
        <v>379</v>
      </c>
      <c r="BG72" s="4" t="str">
        <f>B72</f>
        <v>果园</v>
      </c>
      <c r="BH72" s="20">
        <v>1</v>
      </c>
      <c r="BI72" s="4">
        <v>1</v>
      </c>
      <c r="BJ72" s="4">
        <v>0</v>
      </c>
      <c r="BK72" s="4">
        <v>0</v>
      </c>
      <c r="BL72" s="4">
        <v>1</v>
      </c>
      <c r="BM72" s="4">
        <v>1</v>
      </c>
      <c r="BN72" s="4">
        <v>0</v>
      </c>
      <c r="BO72" s="4">
        <v>0</v>
      </c>
      <c r="BP72" s="4">
        <v>0</v>
      </c>
      <c r="BQ72" s="4">
        <v>1</v>
      </c>
      <c r="BR72" s="4">
        <v>1</v>
      </c>
      <c r="BS72" s="4">
        <v>0</v>
      </c>
      <c r="BT72" s="4">
        <v>0</v>
      </c>
      <c r="BU72" s="4">
        <v>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4</v>
      </c>
      <c r="CF72" s="4">
        <v>0</v>
      </c>
      <c r="CG72" s="4">
        <v>0</v>
      </c>
      <c r="CH72" s="4">
        <v>1</v>
      </c>
      <c r="CI72" s="4">
        <v>4</v>
      </c>
      <c r="CJ72" s="4">
        <v>4</v>
      </c>
      <c r="CK72" s="4">
        <v>15</v>
      </c>
      <c r="CL72" s="4">
        <v>10</v>
      </c>
      <c r="CM72" s="4">
        <v>0</v>
      </c>
      <c r="CN72" s="4">
        <v>0</v>
      </c>
      <c r="CO72" s="4">
        <v>1</v>
      </c>
      <c r="CP72" s="4">
        <v>0</v>
      </c>
      <c r="CQ72" s="4">
        <v>0</v>
      </c>
      <c r="CR72" s="4" t="str">
        <f>B72</f>
        <v>果园</v>
      </c>
      <c r="CS72" s="4">
        <v>0</v>
      </c>
      <c r="CT72" s="4">
        <v>1</v>
      </c>
      <c r="CU72" s="4">
        <v>0</v>
      </c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31" t="s">
        <v>413</v>
      </c>
      <c r="DO72" s="25" t="s">
        <v>723</v>
      </c>
    </row>
    <row r="73" spans="1:119" x14ac:dyDescent="0.15">
      <c r="A73" s="4">
        <v>105030</v>
      </c>
      <c r="B73" s="25" t="s">
        <v>387</v>
      </c>
      <c r="C73" s="47" t="s">
        <v>667</v>
      </c>
      <c r="D73" s="26"/>
      <c r="E73" s="26">
        <v>0</v>
      </c>
      <c r="F73" s="5">
        <v>0</v>
      </c>
      <c r="G73" s="26">
        <v>1</v>
      </c>
      <c r="H73" s="4">
        <v>2</v>
      </c>
      <c r="I73" s="4">
        <v>0</v>
      </c>
      <c r="J73" s="25"/>
      <c r="K73" s="25"/>
      <c r="L73" s="25"/>
      <c r="M73" s="8">
        <v>0</v>
      </c>
      <c r="N73" s="25" t="s">
        <v>388</v>
      </c>
      <c r="O73" s="25">
        <v>0</v>
      </c>
      <c r="P73" s="25">
        <v>0</v>
      </c>
      <c r="Q73" s="25">
        <v>0</v>
      </c>
      <c r="R73" s="4">
        <v>1</v>
      </c>
      <c r="S73" s="4">
        <v>0</v>
      </c>
      <c r="T73" s="4">
        <v>0</v>
      </c>
      <c r="U73" s="4">
        <v>0</v>
      </c>
      <c r="V73" s="5">
        <v>1</v>
      </c>
      <c r="W73" s="5">
        <v>0</v>
      </c>
      <c r="X73" s="5">
        <v>1</v>
      </c>
      <c r="Y73" s="25" t="s">
        <v>387</v>
      </c>
      <c r="Z73" s="5">
        <v>1</v>
      </c>
      <c r="AA73" s="5">
        <v>0</v>
      </c>
      <c r="AB73" s="5">
        <v>1</v>
      </c>
      <c r="AC73" s="5">
        <v>1</v>
      </c>
      <c r="AD73" s="5">
        <v>0</v>
      </c>
      <c r="AE73" s="3">
        <v>1</v>
      </c>
      <c r="AF73" s="5">
        <v>0</v>
      </c>
      <c r="AG73" s="4">
        <v>0</v>
      </c>
      <c r="AH73" s="25">
        <v>0</v>
      </c>
      <c r="AI73" s="26">
        <v>1</v>
      </c>
      <c r="AJ73" s="5">
        <v>0</v>
      </c>
      <c r="AK73" s="5">
        <v>0</v>
      </c>
      <c r="AL73" s="5">
        <v>1</v>
      </c>
      <c r="AM73" s="4">
        <v>0</v>
      </c>
      <c r="AN73" s="5">
        <v>1</v>
      </c>
      <c r="AO73" s="5">
        <v>0</v>
      </c>
      <c r="AP73" s="4">
        <v>1</v>
      </c>
      <c r="AQ73" s="4"/>
      <c r="AR73" s="4">
        <v>0</v>
      </c>
      <c r="AS73" s="4">
        <v>0</v>
      </c>
      <c r="AT73" s="4">
        <v>0</v>
      </c>
      <c r="AU73" s="4">
        <v>0</v>
      </c>
      <c r="AV73" s="12">
        <v>0</v>
      </c>
      <c r="AW73" s="4">
        <v>1</v>
      </c>
      <c r="AX73" s="4">
        <v>0</v>
      </c>
      <c r="AY73" s="4">
        <v>0</v>
      </c>
      <c r="AZ73" s="4">
        <v>0</v>
      </c>
      <c r="BA73" s="25" t="s">
        <v>389</v>
      </c>
      <c r="BB73" s="5">
        <v>1</v>
      </c>
      <c r="BC73" s="17" t="s">
        <v>109</v>
      </c>
      <c r="BD73" s="17" t="s">
        <v>110</v>
      </c>
      <c r="BE73" s="17" t="s">
        <v>109</v>
      </c>
      <c r="BF73" s="17" t="s">
        <v>309</v>
      </c>
      <c r="BG73" s="4" t="str">
        <f>B73</f>
        <v>蘑菇箱</v>
      </c>
      <c r="BH73" s="20">
        <v>1</v>
      </c>
      <c r="BI73" s="4">
        <v>1</v>
      </c>
      <c r="BJ73" s="4">
        <v>0</v>
      </c>
      <c r="BK73" s="4">
        <v>0</v>
      </c>
      <c r="BL73" s="4">
        <v>1234</v>
      </c>
      <c r="BM73" s="4">
        <v>1</v>
      </c>
      <c r="BN73" s="4">
        <v>1</v>
      </c>
      <c r="BO73" s="4">
        <v>0</v>
      </c>
      <c r="BP73" s="4">
        <v>0</v>
      </c>
      <c r="BQ73" s="4">
        <v>0</v>
      </c>
      <c r="BR73" s="4">
        <v>1</v>
      </c>
      <c r="BS73" s="4">
        <v>0</v>
      </c>
      <c r="BT73" s="4">
        <v>1</v>
      </c>
      <c r="BU73" s="4">
        <v>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1</v>
      </c>
      <c r="CB73" s="4">
        <v>0</v>
      </c>
      <c r="CC73" s="4">
        <v>30</v>
      </c>
      <c r="CD73" s="4">
        <v>0</v>
      </c>
      <c r="CE73" s="4">
        <v>4</v>
      </c>
      <c r="CF73" s="4">
        <v>1</v>
      </c>
      <c r="CG73" s="4">
        <v>0</v>
      </c>
      <c r="CH73" s="4">
        <v>1</v>
      </c>
      <c r="CI73" s="4">
        <v>1</v>
      </c>
      <c r="CJ73" s="4">
        <v>1</v>
      </c>
      <c r="CK73" s="4">
        <v>1</v>
      </c>
      <c r="CL73" s="4">
        <v>100</v>
      </c>
      <c r="CM73" s="4">
        <v>0</v>
      </c>
      <c r="CN73" s="4">
        <v>1</v>
      </c>
      <c r="CO73" s="4">
        <v>0</v>
      </c>
      <c r="CP73" s="4">
        <v>0</v>
      </c>
      <c r="CQ73" s="4">
        <v>0</v>
      </c>
      <c r="CR73" s="4" t="str">
        <f>B73</f>
        <v>蘑菇箱</v>
      </c>
      <c r="CS73" s="4">
        <v>0</v>
      </c>
      <c r="CT73" s="4">
        <v>1</v>
      </c>
      <c r="CU73" s="4">
        <v>10</v>
      </c>
      <c r="CV73" s="4">
        <v>604001</v>
      </c>
      <c r="CW73" s="4" t="s">
        <v>113</v>
      </c>
      <c r="CX73" s="4">
        <v>50</v>
      </c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</row>
    <row r="74" spans="1:119" x14ac:dyDescent="0.15">
      <c r="A74" s="4">
        <v>104001</v>
      </c>
      <c r="B74" s="39" t="s">
        <v>596</v>
      </c>
      <c r="C74" s="47" t="s">
        <v>667</v>
      </c>
      <c r="D74" s="26" t="s">
        <v>661</v>
      </c>
      <c r="E74" s="26">
        <v>0</v>
      </c>
      <c r="F74" s="5">
        <v>0</v>
      </c>
      <c r="G74" s="26">
        <v>1</v>
      </c>
      <c r="H74" s="4">
        <v>2</v>
      </c>
      <c r="I74" s="4">
        <v>0</v>
      </c>
      <c r="J74" s="4"/>
      <c r="K74" s="4"/>
      <c r="L74" s="4"/>
      <c r="M74" s="8">
        <v>0</v>
      </c>
      <c r="N74" s="4" t="s">
        <v>325</v>
      </c>
      <c r="O74" s="25">
        <v>0</v>
      </c>
      <c r="P74" s="25">
        <v>0</v>
      </c>
      <c r="Q74" s="25">
        <v>0</v>
      </c>
      <c r="R74" s="4">
        <v>1</v>
      </c>
      <c r="S74" s="4">
        <v>0</v>
      </c>
      <c r="T74" s="4">
        <v>0</v>
      </c>
      <c r="U74" s="4">
        <v>0</v>
      </c>
      <c r="V74" s="5">
        <v>1</v>
      </c>
      <c r="W74" s="5">
        <v>0</v>
      </c>
      <c r="X74" s="5">
        <v>1</v>
      </c>
      <c r="Y74" s="39" t="s">
        <v>596</v>
      </c>
      <c r="Z74" s="5">
        <v>0</v>
      </c>
      <c r="AA74" s="5">
        <v>0</v>
      </c>
      <c r="AB74" s="5">
        <v>1</v>
      </c>
      <c r="AC74" s="5">
        <v>0</v>
      </c>
      <c r="AD74" s="5">
        <v>0</v>
      </c>
      <c r="AE74" s="3">
        <v>0</v>
      </c>
      <c r="AF74" s="5">
        <v>0</v>
      </c>
      <c r="AG74" s="4">
        <v>0</v>
      </c>
      <c r="AH74" s="25">
        <v>0</v>
      </c>
      <c r="AI74" s="26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4">
        <v>1</v>
      </c>
      <c r="AQ74" s="4"/>
      <c r="AR74" s="13">
        <v>1</v>
      </c>
      <c r="AS74" s="13">
        <v>1</v>
      </c>
      <c r="AT74" s="4">
        <v>1</v>
      </c>
      <c r="AU74" s="4">
        <v>1</v>
      </c>
      <c r="AV74" s="12">
        <v>0</v>
      </c>
      <c r="AW74" s="4">
        <v>0</v>
      </c>
      <c r="AX74" s="4">
        <v>0</v>
      </c>
      <c r="AY74" s="4">
        <v>0</v>
      </c>
      <c r="AZ74" s="4">
        <v>0</v>
      </c>
      <c r="BA74" s="25" t="s">
        <v>498</v>
      </c>
      <c r="BB74" s="5">
        <v>1</v>
      </c>
      <c r="BC74" s="17" t="s">
        <v>109</v>
      </c>
      <c r="BD74" s="17" t="s">
        <v>110</v>
      </c>
      <c r="BE74" s="17" t="s">
        <v>540</v>
      </c>
      <c r="BF74" s="17" t="s">
        <v>380</v>
      </c>
      <c r="BG74" s="4" t="str">
        <f>B74</f>
        <v>水井</v>
      </c>
      <c r="BH74" s="20">
        <v>1</v>
      </c>
      <c r="BI74" s="4">
        <v>1</v>
      </c>
      <c r="BJ74" s="4">
        <v>0</v>
      </c>
      <c r="BK74" s="4">
        <v>0</v>
      </c>
      <c r="BL74" s="4">
        <v>1234</v>
      </c>
      <c r="BM74" s="4">
        <v>1</v>
      </c>
      <c r="BN74" s="4">
        <v>1</v>
      </c>
      <c r="BO74" s="4">
        <v>0</v>
      </c>
      <c r="BP74" s="4">
        <v>0</v>
      </c>
      <c r="BQ74" s="4">
        <v>1</v>
      </c>
      <c r="BR74" s="4">
        <v>1</v>
      </c>
      <c r="BS74" s="4">
        <v>0</v>
      </c>
      <c r="BT74" s="4">
        <v>0</v>
      </c>
      <c r="BU74" s="4">
        <v>1</v>
      </c>
      <c r="BV74" s="4">
        <v>0</v>
      </c>
      <c r="BW74" s="4">
        <v>0</v>
      </c>
      <c r="BX74" s="4">
        <v>0</v>
      </c>
      <c r="BY74" s="4">
        <v>0</v>
      </c>
      <c r="BZ74" s="4">
        <v>1</v>
      </c>
      <c r="CA74" s="4">
        <v>1</v>
      </c>
      <c r="CB74" s="4">
        <v>1</v>
      </c>
      <c r="CC74" s="4">
        <v>5</v>
      </c>
      <c r="CD74" s="4">
        <v>0</v>
      </c>
      <c r="CE74" s="4">
        <v>4</v>
      </c>
      <c r="CF74" s="4">
        <v>0</v>
      </c>
      <c r="CG74" s="4">
        <v>0</v>
      </c>
      <c r="CH74" s="4">
        <v>1</v>
      </c>
      <c r="CI74" s="4">
        <v>1</v>
      </c>
      <c r="CJ74" s="4">
        <v>1</v>
      </c>
      <c r="CK74" s="4">
        <v>1</v>
      </c>
      <c r="CL74" s="4">
        <v>200</v>
      </c>
      <c r="CM74" s="4">
        <v>0</v>
      </c>
      <c r="CN74" s="4">
        <v>1</v>
      </c>
      <c r="CO74" s="4">
        <v>0</v>
      </c>
      <c r="CP74" s="4">
        <v>0</v>
      </c>
      <c r="CQ74" s="4">
        <v>0</v>
      </c>
      <c r="CR74" s="4" t="str">
        <f>B74</f>
        <v>水井</v>
      </c>
      <c r="CS74" s="4">
        <v>0</v>
      </c>
      <c r="CT74" s="4">
        <v>3</v>
      </c>
      <c r="CU74" s="4">
        <v>20</v>
      </c>
      <c r="CV74" s="4">
        <v>604001</v>
      </c>
      <c r="CW74" s="4" t="s">
        <v>113</v>
      </c>
      <c r="CX74" s="4">
        <v>20</v>
      </c>
      <c r="CY74" s="4">
        <v>605001</v>
      </c>
      <c r="CZ74" s="4" t="s">
        <v>122</v>
      </c>
      <c r="DA74" s="4">
        <v>150</v>
      </c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25" t="s">
        <v>731</v>
      </c>
    </row>
    <row r="75" spans="1:119" x14ac:dyDescent="0.15">
      <c r="A75" s="4">
        <v>105019</v>
      </c>
      <c r="B75" s="25" t="s">
        <v>444</v>
      </c>
      <c r="C75" s="47" t="s">
        <v>667</v>
      </c>
      <c r="D75" s="26" t="s">
        <v>661</v>
      </c>
      <c r="E75" s="26">
        <v>0</v>
      </c>
      <c r="F75" s="5">
        <v>0</v>
      </c>
      <c r="G75" s="26">
        <v>1</v>
      </c>
      <c r="H75" s="4">
        <v>2</v>
      </c>
      <c r="I75" s="4">
        <v>0</v>
      </c>
      <c r="J75" s="25"/>
      <c r="K75" s="25"/>
      <c r="L75" s="25"/>
      <c r="M75" s="8">
        <v>0</v>
      </c>
      <c r="N75" s="4" t="s">
        <v>154</v>
      </c>
      <c r="O75" s="25">
        <v>0</v>
      </c>
      <c r="P75" s="25">
        <v>0</v>
      </c>
      <c r="Q75" s="25">
        <v>0</v>
      </c>
      <c r="R75" s="4">
        <v>1</v>
      </c>
      <c r="S75" s="4">
        <v>0</v>
      </c>
      <c r="T75" s="4">
        <v>0</v>
      </c>
      <c r="U75" s="4">
        <v>0</v>
      </c>
      <c r="V75" s="5">
        <v>1</v>
      </c>
      <c r="W75" s="5">
        <v>0</v>
      </c>
      <c r="X75" s="5">
        <v>1</v>
      </c>
      <c r="Y75" s="25" t="s">
        <v>444</v>
      </c>
      <c r="Z75" s="5">
        <v>0</v>
      </c>
      <c r="AA75" s="5">
        <v>0</v>
      </c>
      <c r="AB75" s="5">
        <v>1</v>
      </c>
      <c r="AC75" s="5">
        <v>0</v>
      </c>
      <c r="AD75" s="5">
        <v>0</v>
      </c>
      <c r="AE75" s="3">
        <v>0</v>
      </c>
      <c r="AF75" s="5">
        <v>0</v>
      </c>
      <c r="AG75" s="4">
        <v>0</v>
      </c>
      <c r="AH75" s="25">
        <v>0</v>
      </c>
      <c r="AI75" s="26">
        <v>0</v>
      </c>
      <c r="AJ75" s="5">
        <v>0</v>
      </c>
      <c r="AK75" s="5">
        <v>0</v>
      </c>
      <c r="AL75" s="5">
        <v>0</v>
      </c>
      <c r="AM75" s="4">
        <v>0</v>
      </c>
      <c r="AN75" s="5">
        <v>0</v>
      </c>
      <c r="AO75" s="5">
        <v>0</v>
      </c>
      <c r="AP75" s="4">
        <v>1</v>
      </c>
      <c r="AQ75" s="4"/>
      <c r="AR75" s="4">
        <v>1</v>
      </c>
      <c r="AS75" s="4">
        <v>1</v>
      </c>
      <c r="AT75" s="4">
        <v>1</v>
      </c>
      <c r="AU75" s="4">
        <v>1</v>
      </c>
      <c r="AV75" s="12">
        <v>0</v>
      </c>
      <c r="AW75" s="4">
        <v>0</v>
      </c>
      <c r="AX75" s="4">
        <v>0</v>
      </c>
      <c r="AY75" s="4">
        <v>0</v>
      </c>
      <c r="AZ75" s="4">
        <v>0</v>
      </c>
      <c r="BA75" s="4" t="s">
        <v>108</v>
      </c>
      <c r="BB75" s="5">
        <v>1</v>
      </c>
      <c r="BC75" s="17" t="s">
        <v>109</v>
      </c>
      <c r="BD75" s="17" t="s">
        <v>110</v>
      </c>
      <c r="BE75" s="17" t="s">
        <v>110</v>
      </c>
      <c r="BF75" s="17" t="s">
        <v>379</v>
      </c>
      <c r="BG75" s="4" t="str">
        <f>B75</f>
        <v>取水点</v>
      </c>
      <c r="BH75" s="20">
        <v>1</v>
      </c>
      <c r="BI75" s="4">
        <v>1</v>
      </c>
      <c r="BJ75" s="4">
        <v>0</v>
      </c>
      <c r="BK75" s="4">
        <v>0</v>
      </c>
      <c r="BL75" s="4">
        <v>1234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1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3</v>
      </c>
      <c r="CF75" s="4">
        <v>0</v>
      </c>
      <c r="CG75" s="4">
        <v>0</v>
      </c>
      <c r="CH75" s="4">
        <v>1</v>
      </c>
      <c r="CI75" s="4">
        <v>1</v>
      </c>
      <c r="CJ75" s="4">
        <v>1</v>
      </c>
      <c r="CK75" s="4">
        <v>1</v>
      </c>
      <c r="CL75" s="4">
        <v>100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 t="str">
        <f>B75</f>
        <v>取水点</v>
      </c>
      <c r="CS75" s="4">
        <v>0</v>
      </c>
      <c r="CT75" s="4">
        <v>2</v>
      </c>
      <c r="CU75" s="4">
        <v>20</v>
      </c>
      <c r="CV75" s="4">
        <v>604001</v>
      </c>
      <c r="CW75" s="4" t="s">
        <v>113</v>
      </c>
      <c r="CX75" s="4">
        <v>10</v>
      </c>
      <c r="CY75" s="4">
        <v>603001</v>
      </c>
      <c r="CZ75" s="4" t="s">
        <v>116</v>
      </c>
      <c r="DA75" s="4">
        <v>2</v>
      </c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 t="s">
        <v>155</v>
      </c>
    </row>
    <row r="76" spans="1:119" x14ac:dyDescent="0.15">
      <c r="A76" s="13">
        <v>105003</v>
      </c>
      <c r="B76" s="10" t="s">
        <v>190</v>
      </c>
      <c r="C76" s="47" t="s">
        <v>675</v>
      </c>
      <c r="D76" s="26"/>
      <c r="E76" s="26">
        <v>1</v>
      </c>
      <c r="F76" s="5">
        <v>0</v>
      </c>
      <c r="G76" s="26">
        <v>1</v>
      </c>
      <c r="H76" s="4">
        <v>2</v>
      </c>
      <c r="I76" s="5">
        <v>0</v>
      </c>
      <c r="J76" s="5"/>
      <c r="K76" s="5"/>
      <c r="L76" s="5"/>
      <c r="M76" s="8">
        <v>0</v>
      </c>
      <c r="N76" s="4" t="s">
        <v>191</v>
      </c>
      <c r="O76" s="25">
        <v>0</v>
      </c>
      <c r="P76" s="25">
        <v>0</v>
      </c>
      <c r="Q76" s="25">
        <v>1</v>
      </c>
      <c r="R76" s="4">
        <v>1</v>
      </c>
      <c r="S76" s="4">
        <v>0</v>
      </c>
      <c r="T76" s="4">
        <v>0</v>
      </c>
      <c r="U76" s="4">
        <v>0</v>
      </c>
      <c r="V76" s="5">
        <v>1</v>
      </c>
      <c r="W76" s="5">
        <v>0</v>
      </c>
      <c r="X76" s="5">
        <v>1</v>
      </c>
      <c r="Y76" s="10" t="s">
        <v>190</v>
      </c>
      <c r="Z76" s="5">
        <v>1</v>
      </c>
      <c r="AA76" s="5">
        <v>0</v>
      </c>
      <c r="AB76" s="5">
        <v>1</v>
      </c>
      <c r="AC76" s="5">
        <v>1</v>
      </c>
      <c r="AD76" s="5">
        <v>1</v>
      </c>
      <c r="AE76" s="3">
        <v>0</v>
      </c>
      <c r="AF76" s="5">
        <v>1</v>
      </c>
      <c r="AG76" s="4">
        <v>1</v>
      </c>
      <c r="AH76" s="25">
        <v>1</v>
      </c>
      <c r="AI76" s="26">
        <v>1</v>
      </c>
      <c r="AJ76" s="5">
        <v>0</v>
      </c>
      <c r="AK76" s="5">
        <v>0</v>
      </c>
      <c r="AL76" s="5">
        <v>1</v>
      </c>
      <c r="AM76" s="5">
        <v>1</v>
      </c>
      <c r="AN76" s="5">
        <v>1</v>
      </c>
      <c r="AO76" s="5">
        <v>1</v>
      </c>
      <c r="AP76" s="4">
        <v>1</v>
      </c>
      <c r="AQ76" s="4" t="s">
        <v>192</v>
      </c>
      <c r="AR76" s="13">
        <v>1</v>
      </c>
      <c r="AS76" s="4">
        <v>0</v>
      </c>
      <c r="AT76" s="4">
        <v>0</v>
      </c>
      <c r="AU76" s="4">
        <v>1</v>
      </c>
      <c r="AV76" s="12">
        <v>0</v>
      </c>
      <c r="AW76" s="4">
        <v>1</v>
      </c>
      <c r="AX76" s="4">
        <v>1</v>
      </c>
      <c r="AY76" s="4">
        <v>1</v>
      </c>
      <c r="AZ76" s="4">
        <v>0</v>
      </c>
      <c r="BA76" s="4" t="s">
        <v>193</v>
      </c>
      <c r="BB76" s="5">
        <v>1</v>
      </c>
      <c r="BC76" s="17" t="s">
        <v>109</v>
      </c>
      <c r="BD76" s="17" t="s">
        <v>110</v>
      </c>
      <c r="BE76" s="17" t="s">
        <v>364</v>
      </c>
      <c r="BF76" s="17" t="s">
        <v>379</v>
      </c>
      <c r="BG76" s="4" t="str">
        <f t="shared" si="20"/>
        <v>牧场</v>
      </c>
      <c r="BH76" s="20">
        <v>1</v>
      </c>
      <c r="BI76" s="4">
        <v>1</v>
      </c>
      <c r="BJ76" s="4">
        <v>0</v>
      </c>
      <c r="BK76" s="4">
        <v>0</v>
      </c>
      <c r="BL76" s="4">
        <v>1</v>
      </c>
      <c r="BM76" s="4">
        <v>1</v>
      </c>
      <c r="BN76" s="4">
        <v>0</v>
      </c>
      <c r="BO76" s="4">
        <v>0</v>
      </c>
      <c r="BP76" s="4">
        <v>1</v>
      </c>
      <c r="BQ76" s="4">
        <v>1</v>
      </c>
      <c r="BR76" s="4">
        <v>1</v>
      </c>
      <c r="BS76" s="4">
        <v>0</v>
      </c>
      <c r="BT76" s="4">
        <v>0</v>
      </c>
      <c r="BU76" s="4">
        <v>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4</v>
      </c>
      <c r="CF76" s="4">
        <v>0</v>
      </c>
      <c r="CG76" s="4">
        <v>0</v>
      </c>
      <c r="CH76" s="4">
        <v>1</v>
      </c>
      <c r="CI76" s="4">
        <v>7</v>
      </c>
      <c r="CJ76" s="4">
        <v>7</v>
      </c>
      <c r="CK76" s="4">
        <v>15</v>
      </c>
      <c r="CL76" s="4">
        <v>10</v>
      </c>
      <c r="CM76" s="4">
        <v>0</v>
      </c>
      <c r="CN76" s="4">
        <v>0</v>
      </c>
      <c r="CO76" s="4">
        <v>0.5</v>
      </c>
      <c r="CP76" s="4">
        <v>0</v>
      </c>
      <c r="CQ76" s="4">
        <v>0</v>
      </c>
      <c r="CR76" s="4" t="str">
        <f t="shared" si="22"/>
        <v>牧场</v>
      </c>
      <c r="CS76" s="4">
        <v>0</v>
      </c>
      <c r="CT76" s="4">
        <v>1</v>
      </c>
      <c r="CU76" s="4">
        <v>1</v>
      </c>
      <c r="CV76" s="4">
        <v>604001</v>
      </c>
      <c r="CW76" s="4" t="s">
        <v>113</v>
      </c>
      <c r="CX76" s="4">
        <v>1</v>
      </c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 t="s">
        <v>194</v>
      </c>
      <c r="DO76" s="25" t="s">
        <v>724</v>
      </c>
    </row>
    <row r="77" spans="1:119" x14ac:dyDescent="0.15">
      <c r="A77" s="4">
        <v>105023</v>
      </c>
      <c r="B77" s="25" t="s">
        <v>304</v>
      </c>
      <c r="C77" s="47" t="s">
        <v>667</v>
      </c>
      <c r="D77" s="26"/>
      <c r="E77" s="26">
        <v>0</v>
      </c>
      <c r="F77" s="5">
        <v>0</v>
      </c>
      <c r="G77" s="26">
        <v>1</v>
      </c>
      <c r="H77" s="4">
        <v>2</v>
      </c>
      <c r="I77" s="5">
        <v>0</v>
      </c>
      <c r="J77" s="25"/>
      <c r="K77" s="25"/>
      <c r="L77" s="25"/>
      <c r="M77" s="8">
        <v>0</v>
      </c>
      <c r="N77" s="4" t="s">
        <v>243</v>
      </c>
      <c r="O77" s="25">
        <v>0</v>
      </c>
      <c r="P77" s="25">
        <v>0</v>
      </c>
      <c r="Q77" s="25">
        <v>0</v>
      </c>
      <c r="R77" s="4">
        <v>1</v>
      </c>
      <c r="S77" s="4">
        <v>0</v>
      </c>
      <c r="T77" s="4">
        <v>0</v>
      </c>
      <c r="U77" s="4">
        <v>0</v>
      </c>
      <c r="V77" s="5">
        <v>1</v>
      </c>
      <c r="W77" s="5">
        <v>0</v>
      </c>
      <c r="X77" s="5">
        <v>1</v>
      </c>
      <c r="Y77" s="25" t="s">
        <v>304</v>
      </c>
      <c r="Z77" s="5">
        <v>1</v>
      </c>
      <c r="AA77" s="5">
        <v>0</v>
      </c>
      <c r="AB77" s="5">
        <v>1</v>
      </c>
      <c r="AC77" s="5">
        <v>2</v>
      </c>
      <c r="AD77" s="5">
        <v>0</v>
      </c>
      <c r="AE77" s="3">
        <v>1</v>
      </c>
      <c r="AF77" s="5">
        <v>0</v>
      </c>
      <c r="AG77" s="4">
        <v>0</v>
      </c>
      <c r="AH77" s="25">
        <v>0</v>
      </c>
      <c r="AI77" s="26">
        <v>1</v>
      </c>
      <c r="AJ77" s="5">
        <v>0</v>
      </c>
      <c r="AK77" s="5">
        <v>0</v>
      </c>
      <c r="AL77" s="5">
        <v>1</v>
      </c>
      <c r="AM77" s="4">
        <v>0</v>
      </c>
      <c r="AN77" s="5">
        <v>1</v>
      </c>
      <c r="AO77" s="5">
        <v>0</v>
      </c>
      <c r="AP77" s="4">
        <v>1</v>
      </c>
      <c r="AQ77" s="4"/>
      <c r="AR77" s="4">
        <v>1</v>
      </c>
      <c r="AS77" s="4">
        <v>1</v>
      </c>
      <c r="AT77" s="4">
        <v>0</v>
      </c>
      <c r="AU77" s="4">
        <v>1</v>
      </c>
      <c r="AV77" s="12">
        <v>0</v>
      </c>
      <c r="AW77" s="4">
        <v>1</v>
      </c>
      <c r="AX77" s="4">
        <v>0</v>
      </c>
      <c r="AY77" s="4">
        <v>0</v>
      </c>
      <c r="AZ77" s="4">
        <v>0</v>
      </c>
      <c r="BA77" s="4" t="s">
        <v>244</v>
      </c>
      <c r="BB77" s="5">
        <v>1</v>
      </c>
      <c r="BC77" s="17" t="s">
        <v>109</v>
      </c>
      <c r="BD77" s="17" t="s">
        <v>110</v>
      </c>
      <c r="BE77" s="17" t="s">
        <v>109</v>
      </c>
      <c r="BF77" s="17" t="s">
        <v>380</v>
      </c>
      <c r="BG77" s="4" t="str">
        <f>B77</f>
        <v>蜂房</v>
      </c>
      <c r="BH77" s="20">
        <v>1</v>
      </c>
      <c r="BI77" s="4">
        <v>1</v>
      </c>
      <c r="BJ77" s="4">
        <v>500</v>
      </c>
      <c r="BK77" s="4">
        <v>0</v>
      </c>
      <c r="BL77" s="4">
        <v>1234</v>
      </c>
      <c r="BM77" s="4">
        <v>1</v>
      </c>
      <c r="BN77" s="4">
        <v>1</v>
      </c>
      <c r="BO77" s="4">
        <v>0</v>
      </c>
      <c r="BP77" s="4">
        <v>0</v>
      </c>
      <c r="BQ77" s="4">
        <v>1</v>
      </c>
      <c r="BR77" s="4">
        <v>1</v>
      </c>
      <c r="BS77" s="4">
        <v>0</v>
      </c>
      <c r="BT77" s="4">
        <v>0</v>
      </c>
      <c r="BU77" s="4">
        <v>1</v>
      </c>
      <c r="BV77" s="4">
        <v>0</v>
      </c>
      <c r="BW77" s="4">
        <v>5</v>
      </c>
      <c r="BX77" s="4">
        <v>0</v>
      </c>
      <c r="BY77" s="4">
        <v>1</v>
      </c>
      <c r="BZ77" s="4">
        <v>0</v>
      </c>
      <c r="CA77" s="4">
        <v>0</v>
      </c>
      <c r="CB77" s="4">
        <v>1</v>
      </c>
      <c r="CC77" s="4">
        <v>5</v>
      </c>
      <c r="CD77" s="4">
        <v>0</v>
      </c>
      <c r="CE77" s="4">
        <v>4</v>
      </c>
      <c r="CF77" s="4">
        <v>1</v>
      </c>
      <c r="CG77" s="4">
        <v>0</v>
      </c>
      <c r="CH77" s="4">
        <v>1</v>
      </c>
      <c r="CI77" s="4">
        <v>1</v>
      </c>
      <c r="CJ77" s="4">
        <v>1</v>
      </c>
      <c r="CK77" s="4">
        <v>1</v>
      </c>
      <c r="CL77" s="4">
        <v>100</v>
      </c>
      <c r="CM77" s="4">
        <v>0</v>
      </c>
      <c r="CN77" s="4">
        <v>1</v>
      </c>
      <c r="CO77" s="4">
        <v>0</v>
      </c>
      <c r="CP77" s="4">
        <v>1</v>
      </c>
      <c r="CQ77" s="4">
        <v>24</v>
      </c>
      <c r="CR77" s="4" t="str">
        <f>B77</f>
        <v>蜂房</v>
      </c>
      <c r="CS77" s="4">
        <v>0</v>
      </c>
      <c r="CT77" s="4">
        <v>2</v>
      </c>
      <c r="CU77" s="4">
        <v>20</v>
      </c>
      <c r="CV77" s="4">
        <v>604001</v>
      </c>
      <c r="CW77" s="4" t="s">
        <v>113</v>
      </c>
      <c r="CX77" s="4">
        <v>50</v>
      </c>
      <c r="CY77" s="4">
        <v>605001</v>
      </c>
      <c r="CZ77" s="4" t="s">
        <v>122</v>
      </c>
      <c r="DA77" s="4">
        <v>10</v>
      </c>
      <c r="DB77" s="4"/>
      <c r="DC77" s="4"/>
      <c r="DD77" s="4"/>
      <c r="DE77" s="4">
        <v>604001</v>
      </c>
      <c r="DF77" s="4" t="s">
        <v>113</v>
      </c>
      <c r="DG77" s="4">
        <v>30</v>
      </c>
      <c r="DH77" s="4"/>
      <c r="DI77" s="4"/>
      <c r="DJ77" s="4"/>
      <c r="DK77" s="4"/>
      <c r="DL77" s="4"/>
      <c r="DM77" s="4"/>
      <c r="DN77" s="4" t="s">
        <v>363</v>
      </c>
      <c r="DO77" s="4"/>
    </row>
    <row r="78" spans="1:119" x14ac:dyDescent="0.15">
      <c r="A78" s="4">
        <v>103013</v>
      </c>
      <c r="B78" s="4" t="s">
        <v>245</v>
      </c>
      <c r="C78" s="47" t="s">
        <v>678</v>
      </c>
      <c r="D78" s="26"/>
      <c r="E78" s="26">
        <v>0</v>
      </c>
      <c r="F78" s="5">
        <v>0</v>
      </c>
      <c r="G78" s="26">
        <v>1</v>
      </c>
      <c r="H78" s="4">
        <v>2</v>
      </c>
      <c r="I78" s="5">
        <v>0</v>
      </c>
      <c r="J78" s="4"/>
      <c r="K78" s="4"/>
      <c r="L78" s="4"/>
      <c r="M78" s="8">
        <v>0</v>
      </c>
      <c r="N78" s="4" t="s">
        <v>246</v>
      </c>
      <c r="O78" s="25">
        <v>1</v>
      </c>
      <c r="P78" s="25">
        <v>0</v>
      </c>
      <c r="Q78" s="25">
        <v>0</v>
      </c>
      <c r="R78" s="4">
        <v>1</v>
      </c>
      <c r="S78" s="4">
        <v>0</v>
      </c>
      <c r="T78" s="4">
        <v>0</v>
      </c>
      <c r="U78" s="4">
        <v>0</v>
      </c>
      <c r="V78" s="5">
        <v>1</v>
      </c>
      <c r="W78" s="5">
        <v>0</v>
      </c>
      <c r="X78" s="5">
        <v>1</v>
      </c>
      <c r="Y78" s="4" t="s">
        <v>245</v>
      </c>
      <c r="Z78" s="5">
        <v>0</v>
      </c>
      <c r="AA78" s="5">
        <v>0</v>
      </c>
      <c r="AB78" s="5">
        <v>1</v>
      </c>
      <c r="AC78" s="5">
        <v>1</v>
      </c>
      <c r="AD78" s="5">
        <v>1</v>
      </c>
      <c r="AE78" s="3">
        <v>1</v>
      </c>
      <c r="AF78" s="5">
        <v>0</v>
      </c>
      <c r="AG78" s="4">
        <v>0</v>
      </c>
      <c r="AH78" s="25">
        <v>0</v>
      </c>
      <c r="AI78" s="26">
        <v>0</v>
      </c>
      <c r="AJ78" s="5">
        <v>0</v>
      </c>
      <c r="AK78" s="5">
        <v>0</v>
      </c>
      <c r="AL78" s="32">
        <v>0</v>
      </c>
      <c r="AM78" s="11">
        <v>0</v>
      </c>
      <c r="AN78" s="5">
        <v>0</v>
      </c>
      <c r="AO78" s="5">
        <v>0</v>
      </c>
      <c r="AP78" s="4">
        <v>1</v>
      </c>
      <c r="AQ78" s="4"/>
      <c r="AR78" s="13">
        <v>1</v>
      </c>
      <c r="AS78" s="4">
        <v>1</v>
      </c>
      <c r="AT78" s="4">
        <v>0</v>
      </c>
      <c r="AU78" s="4">
        <v>1</v>
      </c>
      <c r="AV78" s="12">
        <v>0</v>
      </c>
      <c r="AW78" s="4">
        <v>1</v>
      </c>
      <c r="AX78" s="4">
        <v>1</v>
      </c>
      <c r="AY78" s="4">
        <v>0</v>
      </c>
      <c r="AZ78" s="4">
        <v>0</v>
      </c>
      <c r="BA78" s="4" t="s">
        <v>247</v>
      </c>
      <c r="BB78" s="5">
        <v>1</v>
      </c>
      <c r="BC78" s="17" t="s">
        <v>109</v>
      </c>
      <c r="BD78" s="17" t="s">
        <v>110</v>
      </c>
      <c r="BE78" s="17" t="s">
        <v>109</v>
      </c>
      <c r="BF78" s="17" t="s">
        <v>379</v>
      </c>
      <c r="BG78" s="4" t="str">
        <f>B78</f>
        <v>喂食器</v>
      </c>
      <c r="BH78" s="20">
        <v>1</v>
      </c>
      <c r="BI78" s="4">
        <v>1</v>
      </c>
      <c r="BJ78" s="4">
        <v>0</v>
      </c>
      <c r="BK78" s="4">
        <v>0</v>
      </c>
      <c r="BL78" s="4">
        <v>13</v>
      </c>
      <c r="BM78" s="4">
        <v>1</v>
      </c>
      <c r="BN78" s="4">
        <v>1</v>
      </c>
      <c r="BO78" s="4">
        <v>0</v>
      </c>
      <c r="BP78" s="4">
        <v>0</v>
      </c>
      <c r="BQ78" s="4">
        <v>1</v>
      </c>
      <c r="BR78" s="4">
        <v>0</v>
      </c>
      <c r="BS78" s="4">
        <v>0</v>
      </c>
      <c r="BT78" s="4">
        <v>0</v>
      </c>
      <c r="BU78" s="4">
        <v>1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1</v>
      </c>
      <c r="CB78" s="4">
        <v>1</v>
      </c>
      <c r="CC78" s="4">
        <v>50</v>
      </c>
      <c r="CD78" s="4">
        <v>0</v>
      </c>
      <c r="CE78" s="4">
        <v>4</v>
      </c>
      <c r="CF78" s="4">
        <v>0</v>
      </c>
      <c r="CG78" s="4">
        <v>0</v>
      </c>
      <c r="CH78" s="4">
        <v>1</v>
      </c>
      <c r="CI78" s="4">
        <v>1</v>
      </c>
      <c r="CJ78" s="4">
        <v>1</v>
      </c>
      <c r="CK78" s="4">
        <v>1</v>
      </c>
      <c r="CL78" s="4">
        <v>100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 t="str">
        <f>B78</f>
        <v>喂食器</v>
      </c>
      <c r="CS78" s="4">
        <v>0</v>
      </c>
      <c r="CT78" s="4">
        <v>1</v>
      </c>
      <c r="CU78" s="4">
        <v>20</v>
      </c>
      <c r="CV78" s="4">
        <v>604001</v>
      </c>
      <c r="CW78" s="4" t="s">
        <v>113</v>
      </c>
      <c r="CX78" s="4">
        <v>10</v>
      </c>
      <c r="CY78" s="4">
        <v>605001</v>
      </c>
      <c r="CZ78" s="4" t="s">
        <v>122</v>
      </c>
      <c r="DA78" s="4">
        <v>2</v>
      </c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</row>
    <row r="79" spans="1:119" x14ac:dyDescent="0.15">
      <c r="A79" s="13">
        <v>105008</v>
      </c>
      <c r="B79" s="28" t="s">
        <v>713</v>
      </c>
      <c r="C79" s="47" t="s">
        <v>109</v>
      </c>
      <c r="D79" s="26"/>
      <c r="E79" s="26">
        <v>0</v>
      </c>
      <c r="F79" s="5">
        <v>0</v>
      </c>
      <c r="G79" s="26">
        <v>1</v>
      </c>
      <c r="H79" s="4">
        <v>3</v>
      </c>
      <c r="I79" s="5">
        <v>0</v>
      </c>
      <c r="J79" s="5"/>
      <c r="K79" s="5"/>
      <c r="L79" s="5"/>
      <c r="M79" s="8">
        <v>0</v>
      </c>
      <c r="N79" s="4" t="s">
        <v>207</v>
      </c>
      <c r="O79" s="25">
        <v>1</v>
      </c>
      <c r="P79" s="25">
        <v>0</v>
      </c>
      <c r="Q79" s="25">
        <v>0</v>
      </c>
      <c r="R79" s="4">
        <v>1</v>
      </c>
      <c r="S79" s="4">
        <v>0</v>
      </c>
      <c r="T79" s="4">
        <v>0</v>
      </c>
      <c r="U79" s="4">
        <v>0</v>
      </c>
      <c r="V79" s="5">
        <v>1</v>
      </c>
      <c r="W79" s="5">
        <v>0</v>
      </c>
      <c r="X79" s="5">
        <v>1</v>
      </c>
      <c r="Y79" s="6" t="s">
        <v>206</v>
      </c>
      <c r="Z79" s="5">
        <v>1</v>
      </c>
      <c r="AA79" s="5">
        <v>0</v>
      </c>
      <c r="AB79" s="5">
        <v>1</v>
      </c>
      <c r="AC79" s="5">
        <v>0</v>
      </c>
      <c r="AD79" s="5">
        <v>0</v>
      </c>
      <c r="AE79" s="3">
        <v>0</v>
      </c>
      <c r="AF79" s="5">
        <v>0</v>
      </c>
      <c r="AG79" s="4">
        <v>0</v>
      </c>
      <c r="AH79" s="25">
        <v>0</v>
      </c>
      <c r="AI79" s="26">
        <v>1</v>
      </c>
      <c r="AJ79" s="5">
        <v>0</v>
      </c>
      <c r="AK79" s="5">
        <v>0</v>
      </c>
      <c r="AL79" s="5">
        <v>1</v>
      </c>
      <c r="AM79" s="5">
        <v>1</v>
      </c>
      <c r="AN79" s="5">
        <v>1</v>
      </c>
      <c r="AO79" s="5">
        <v>1</v>
      </c>
      <c r="AP79" s="4">
        <v>1</v>
      </c>
      <c r="AQ79" s="4" t="s">
        <v>200</v>
      </c>
      <c r="AR79" s="13">
        <v>1</v>
      </c>
      <c r="AS79" s="13">
        <v>1</v>
      </c>
      <c r="AT79" s="4">
        <v>1</v>
      </c>
      <c r="AU79" s="4">
        <v>1</v>
      </c>
      <c r="AV79" s="12">
        <v>0</v>
      </c>
      <c r="AW79" s="4">
        <v>1</v>
      </c>
      <c r="AX79" s="4">
        <v>0</v>
      </c>
      <c r="AY79" s="4">
        <v>1</v>
      </c>
      <c r="AZ79" s="4">
        <v>0</v>
      </c>
      <c r="BA79" s="4" t="s">
        <v>208</v>
      </c>
      <c r="BB79" s="5">
        <v>1</v>
      </c>
      <c r="BC79" s="17" t="s">
        <v>109</v>
      </c>
      <c r="BD79" s="17" t="s">
        <v>110</v>
      </c>
      <c r="BE79" s="17" t="s">
        <v>109</v>
      </c>
      <c r="BF79" s="17" t="s">
        <v>379</v>
      </c>
      <c r="BG79" s="16" t="str">
        <f>B79</f>
        <v>护林营地</v>
      </c>
      <c r="BH79" s="20">
        <v>3</v>
      </c>
      <c r="BI79" s="4">
        <v>2</v>
      </c>
      <c r="BJ79" s="4">
        <v>0</v>
      </c>
      <c r="BK79" s="4">
        <v>500</v>
      </c>
      <c r="BL79" s="4">
        <v>1234</v>
      </c>
      <c r="BM79" s="4">
        <v>1</v>
      </c>
      <c r="BN79" s="4">
        <v>1</v>
      </c>
      <c r="BO79" s="4">
        <v>0</v>
      </c>
      <c r="BP79" s="4">
        <v>1</v>
      </c>
      <c r="BQ79" s="4">
        <v>0</v>
      </c>
      <c r="BR79" s="4">
        <v>1</v>
      </c>
      <c r="BS79" s="4">
        <v>0</v>
      </c>
      <c r="BT79" s="4">
        <v>0</v>
      </c>
      <c r="BU79" s="4">
        <v>1</v>
      </c>
      <c r="BV79" s="4">
        <v>0</v>
      </c>
      <c r="BW79" s="4">
        <v>15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4</v>
      </c>
      <c r="CF79" s="4">
        <v>1</v>
      </c>
      <c r="CG79" s="4">
        <v>0</v>
      </c>
      <c r="CH79" s="4">
        <v>1</v>
      </c>
      <c r="CI79" s="4">
        <v>1</v>
      </c>
      <c r="CJ79" s="4">
        <v>1</v>
      </c>
      <c r="CK79" s="4">
        <v>1</v>
      </c>
      <c r="CL79" s="4">
        <v>200</v>
      </c>
      <c r="CM79" s="4">
        <v>0</v>
      </c>
      <c r="CN79" s="4">
        <v>1</v>
      </c>
      <c r="CO79" s="4">
        <v>0</v>
      </c>
      <c r="CP79" s="4">
        <v>0</v>
      </c>
      <c r="CQ79" s="4">
        <v>0</v>
      </c>
      <c r="CR79" s="4" t="str">
        <f>B79</f>
        <v>护林营地</v>
      </c>
      <c r="CS79" s="4">
        <v>0</v>
      </c>
      <c r="CT79" s="4">
        <v>3</v>
      </c>
      <c r="CU79" s="4">
        <v>20</v>
      </c>
      <c r="CV79" s="4">
        <v>604001</v>
      </c>
      <c r="CW79" s="4" t="s">
        <v>113</v>
      </c>
      <c r="CX79" s="4">
        <v>40</v>
      </c>
      <c r="CY79" s="4">
        <v>605001</v>
      </c>
      <c r="CZ79" s="4" t="s">
        <v>122</v>
      </c>
      <c r="DA79" s="4">
        <v>20</v>
      </c>
      <c r="DB79" s="4">
        <v>603001</v>
      </c>
      <c r="DC79" s="4" t="s">
        <v>116</v>
      </c>
      <c r="DD79" s="4">
        <v>20</v>
      </c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 t="s">
        <v>418</v>
      </c>
    </row>
    <row r="80" spans="1:119" x14ac:dyDescent="0.15">
      <c r="A80" s="13">
        <v>105007</v>
      </c>
      <c r="B80" s="14" t="s">
        <v>213</v>
      </c>
      <c r="C80" s="47" t="s">
        <v>109</v>
      </c>
      <c r="D80" s="26"/>
      <c r="E80" s="26">
        <v>0</v>
      </c>
      <c r="F80" s="5">
        <v>0</v>
      </c>
      <c r="G80" s="26">
        <v>1</v>
      </c>
      <c r="H80" s="4">
        <v>3</v>
      </c>
      <c r="I80" s="5">
        <v>0</v>
      </c>
      <c r="J80" s="5"/>
      <c r="K80" s="5"/>
      <c r="L80" s="5"/>
      <c r="M80" s="8">
        <v>0</v>
      </c>
      <c r="N80" s="4" t="s">
        <v>214</v>
      </c>
      <c r="O80" s="25">
        <v>0</v>
      </c>
      <c r="P80" s="25">
        <v>14</v>
      </c>
      <c r="Q80" s="25">
        <v>0</v>
      </c>
      <c r="R80" s="4">
        <v>1</v>
      </c>
      <c r="S80" s="4">
        <v>0</v>
      </c>
      <c r="T80" s="4">
        <v>0</v>
      </c>
      <c r="U80" s="4">
        <v>0</v>
      </c>
      <c r="V80" s="5">
        <v>1</v>
      </c>
      <c r="W80" s="5">
        <v>0</v>
      </c>
      <c r="X80" s="5">
        <v>1</v>
      </c>
      <c r="Y80" s="14" t="s">
        <v>213</v>
      </c>
      <c r="Z80" s="5">
        <v>1</v>
      </c>
      <c r="AA80" s="5">
        <v>0</v>
      </c>
      <c r="AB80" s="5">
        <v>1</v>
      </c>
      <c r="AC80" s="5">
        <v>2</v>
      </c>
      <c r="AD80" s="5">
        <v>0</v>
      </c>
      <c r="AE80" s="3">
        <v>1</v>
      </c>
      <c r="AF80" s="5">
        <v>0</v>
      </c>
      <c r="AG80" s="4">
        <v>0</v>
      </c>
      <c r="AH80" s="25">
        <v>0</v>
      </c>
      <c r="AI80" s="26">
        <v>1</v>
      </c>
      <c r="AJ80" s="5">
        <v>0</v>
      </c>
      <c r="AK80" s="5">
        <v>0</v>
      </c>
      <c r="AL80" s="5">
        <v>1</v>
      </c>
      <c r="AM80" s="5">
        <v>1</v>
      </c>
      <c r="AN80" s="5">
        <v>0</v>
      </c>
      <c r="AO80" s="5">
        <v>0</v>
      </c>
      <c r="AP80" s="4">
        <v>1</v>
      </c>
      <c r="AQ80" s="4"/>
      <c r="AR80" s="4">
        <v>0</v>
      </c>
      <c r="AS80" s="4">
        <v>0</v>
      </c>
      <c r="AT80" s="4">
        <v>1</v>
      </c>
      <c r="AU80" s="4">
        <v>0</v>
      </c>
      <c r="AV80" s="12">
        <v>0</v>
      </c>
      <c r="AW80" s="4">
        <v>1</v>
      </c>
      <c r="AX80" s="4">
        <v>0</v>
      </c>
      <c r="AY80" s="4">
        <v>0</v>
      </c>
      <c r="AZ80" s="4">
        <v>0</v>
      </c>
      <c r="BA80" s="25" t="s">
        <v>351</v>
      </c>
      <c r="BB80" s="5">
        <v>1</v>
      </c>
      <c r="BC80" s="17" t="s">
        <v>109</v>
      </c>
      <c r="BD80" s="17" t="s">
        <v>110</v>
      </c>
      <c r="BE80" s="17" t="s">
        <v>110</v>
      </c>
      <c r="BF80" s="17" t="s">
        <v>379</v>
      </c>
      <c r="BG80" s="4" t="str">
        <f t="shared" si="20"/>
        <v>劈材桩</v>
      </c>
      <c r="BH80" s="20">
        <v>1</v>
      </c>
      <c r="BI80" s="4">
        <v>1</v>
      </c>
      <c r="BJ80" s="4">
        <v>0</v>
      </c>
      <c r="BK80" s="4">
        <v>0</v>
      </c>
      <c r="BL80" s="4">
        <v>24</v>
      </c>
      <c r="BM80" s="4">
        <v>1</v>
      </c>
      <c r="BN80" s="4">
        <v>1</v>
      </c>
      <c r="BO80" s="4">
        <v>0</v>
      </c>
      <c r="BP80" s="4">
        <v>0</v>
      </c>
      <c r="BQ80" s="4">
        <v>1</v>
      </c>
      <c r="BR80" s="4">
        <v>0</v>
      </c>
      <c r="BS80" s="4">
        <v>0</v>
      </c>
      <c r="BT80" s="4">
        <v>0</v>
      </c>
      <c r="BU80" s="4">
        <v>1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1</v>
      </c>
      <c r="CB80" s="4">
        <v>0</v>
      </c>
      <c r="CC80" s="4">
        <v>30</v>
      </c>
      <c r="CD80" s="4">
        <v>0</v>
      </c>
      <c r="CE80" s="4">
        <v>4</v>
      </c>
      <c r="CF80" s="4">
        <v>1</v>
      </c>
      <c r="CG80" s="4">
        <v>0</v>
      </c>
      <c r="CH80" s="4">
        <v>1</v>
      </c>
      <c r="CI80" s="4">
        <v>1</v>
      </c>
      <c r="CJ80" s="4">
        <v>1</v>
      </c>
      <c r="CK80" s="4">
        <v>1</v>
      </c>
      <c r="CL80" s="4">
        <v>100</v>
      </c>
      <c r="CM80" s="4">
        <v>0</v>
      </c>
      <c r="CN80" s="4">
        <v>1</v>
      </c>
      <c r="CO80" s="4">
        <v>0</v>
      </c>
      <c r="CP80" s="4">
        <v>0</v>
      </c>
      <c r="CQ80" s="4">
        <v>0</v>
      </c>
      <c r="CR80" s="4" t="str">
        <f t="shared" si="22"/>
        <v>劈材桩</v>
      </c>
      <c r="CS80" s="4">
        <v>0</v>
      </c>
      <c r="CT80" s="4">
        <v>1</v>
      </c>
      <c r="CU80" s="4">
        <v>20</v>
      </c>
      <c r="CV80" s="4">
        <v>604001</v>
      </c>
      <c r="CW80" s="4" t="s">
        <v>113</v>
      </c>
      <c r="CX80" s="4">
        <v>20</v>
      </c>
      <c r="CY80" s="4">
        <v>605001</v>
      </c>
      <c r="CZ80" s="4" t="s">
        <v>122</v>
      </c>
      <c r="DA80" s="4">
        <v>10</v>
      </c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</row>
    <row r="81" spans="1:119" x14ac:dyDescent="0.15">
      <c r="A81" s="13">
        <v>105010</v>
      </c>
      <c r="B81" s="14" t="s">
        <v>215</v>
      </c>
      <c r="C81" s="47" t="s">
        <v>678</v>
      </c>
      <c r="D81" s="26"/>
      <c r="E81" s="26">
        <v>0</v>
      </c>
      <c r="F81" s="5">
        <v>0</v>
      </c>
      <c r="G81" s="26">
        <v>1</v>
      </c>
      <c r="H81" s="4">
        <v>3</v>
      </c>
      <c r="I81" s="5">
        <v>0</v>
      </c>
      <c r="J81" s="5"/>
      <c r="K81" s="5"/>
      <c r="L81" s="5"/>
      <c r="M81" s="8">
        <v>0</v>
      </c>
      <c r="N81" s="4" t="s">
        <v>216</v>
      </c>
      <c r="O81" s="25">
        <v>0</v>
      </c>
      <c r="P81" s="25">
        <v>15</v>
      </c>
      <c r="Q81" s="25">
        <v>0</v>
      </c>
      <c r="R81" s="4">
        <v>1</v>
      </c>
      <c r="S81" s="4">
        <v>0</v>
      </c>
      <c r="T81" s="4">
        <v>0</v>
      </c>
      <c r="U81" s="4">
        <v>1</v>
      </c>
      <c r="V81" s="5">
        <v>1</v>
      </c>
      <c r="W81" s="5">
        <v>0</v>
      </c>
      <c r="X81" s="5">
        <v>1</v>
      </c>
      <c r="Y81" s="14" t="s">
        <v>215</v>
      </c>
      <c r="Z81" s="5">
        <v>1</v>
      </c>
      <c r="AA81" s="5">
        <v>0</v>
      </c>
      <c r="AB81" s="5">
        <v>1</v>
      </c>
      <c r="AC81" s="5">
        <v>1</v>
      </c>
      <c r="AD81" s="5">
        <v>0</v>
      </c>
      <c r="AE81" s="3">
        <v>1</v>
      </c>
      <c r="AF81" s="5">
        <v>0</v>
      </c>
      <c r="AG81" s="4">
        <v>0</v>
      </c>
      <c r="AH81" s="25">
        <v>0</v>
      </c>
      <c r="AI81" s="26">
        <v>1</v>
      </c>
      <c r="AJ81" s="5">
        <v>1</v>
      </c>
      <c r="AK81" s="5">
        <v>0</v>
      </c>
      <c r="AL81" s="5">
        <v>1</v>
      </c>
      <c r="AM81" s="5">
        <v>1</v>
      </c>
      <c r="AN81" s="5">
        <v>0</v>
      </c>
      <c r="AO81" s="5">
        <v>0</v>
      </c>
      <c r="AP81" s="4">
        <v>1</v>
      </c>
      <c r="AQ81" s="4"/>
      <c r="AR81" s="4">
        <v>0</v>
      </c>
      <c r="AS81" s="4">
        <v>0</v>
      </c>
      <c r="AT81" s="4">
        <v>1</v>
      </c>
      <c r="AU81" s="4">
        <v>0</v>
      </c>
      <c r="AV81" s="12">
        <v>0</v>
      </c>
      <c r="AW81" s="4">
        <v>1</v>
      </c>
      <c r="AX81" s="4">
        <v>0</v>
      </c>
      <c r="AY81" s="4">
        <v>0</v>
      </c>
      <c r="AZ81" s="4">
        <v>0</v>
      </c>
      <c r="BA81" s="25" t="s">
        <v>350</v>
      </c>
      <c r="BB81" s="5">
        <v>1</v>
      </c>
      <c r="BC81" s="17" t="s">
        <v>109</v>
      </c>
      <c r="BD81" s="17" t="s">
        <v>110</v>
      </c>
      <c r="BE81" s="17" t="s">
        <v>109</v>
      </c>
      <c r="BF81" s="17" t="s">
        <v>379</v>
      </c>
      <c r="BG81" s="4" t="str">
        <f t="shared" si="20"/>
        <v>制造台</v>
      </c>
      <c r="BH81" s="20">
        <v>3</v>
      </c>
      <c r="BI81" s="4">
        <v>1</v>
      </c>
      <c r="BJ81" s="4">
        <v>0</v>
      </c>
      <c r="BK81" s="4">
        <v>0</v>
      </c>
      <c r="BL81" s="4">
        <v>1</v>
      </c>
      <c r="BM81" s="4">
        <v>1</v>
      </c>
      <c r="BN81" s="4">
        <v>1</v>
      </c>
      <c r="BO81" s="4">
        <v>0</v>
      </c>
      <c r="BP81" s="4">
        <v>0</v>
      </c>
      <c r="BQ81" s="4">
        <v>1</v>
      </c>
      <c r="BR81" s="4">
        <v>0</v>
      </c>
      <c r="BS81" s="4">
        <v>0</v>
      </c>
      <c r="BT81" s="4">
        <v>1</v>
      </c>
      <c r="BU81" s="4">
        <v>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1</v>
      </c>
      <c r="CB81" s="4">
        <v>0</v>
      </c>
      <c r="CC81" s="4">
        <v>30</v>
      </c>
      <c r="CD81" s="4">
        <v>0</v>
      </c>
      <c r="CE81" s="4">
        <v>4</v>
      </c>
      <c r="CF81" s="4">
        <v>1</v>
      </c>
      <c r="CG81" s="4">
        <v>0</v>
      </c>
      <c r="CH81" s="4">
        <v>1</v>
      </c>
      <c r="CI81" s="4">
        <v>1</v>
      </c>
      <c r="CJ81" s="4">
        <v>1</v>
      </c>
      <c r="CK81" s="4">
        <v>1</v>
      </c>
      <c r="CL81" s="4">
        <v>100</v>
      </c>
      <c r="CM81" s="4">
        <v>0</v>
      </c>
      <c r="CN81" s="4">
        <v>1</v>
      </c>
      <c r="CO81" s="4">
        <v>0</v>
      </c>
      <c r="CP81" s="4">
        <v>0</v>
      </c>
      <c r="CQ81" s="4">
        <v>0</v>
      </c>
      <c r="CR81" s="4" t="str">
        <f t="shared" si="22"/>
        <v>制造台</v>
      </c>
      <c r="CS81" s="4">
        <v>0</v>
      </c>
      <c r="CT81" s="4">
        <v>3</v>
      </c>
      <c r="CU81" s="4">
        <v>20</v>
      </c>
      <c r="CV81" s="4">
        <v>604001</v>
      </c>
      <c r="CW81" s="4" t="s">
        <v>113</v>
      </c>
      <c r="CX81" s="4">
        <v>30</v>
      </c>
      <c r="CY81" s="4">
        <v>605001</v>
      </c>
      <c r="CZ81" s="4" t="s">
        <v>122</v>
      </c>
      <c r="DA81" s="4">
        <v>60</v>
      </c>
      <c r="DB81" s="4">
        <v>603001</v>
      </c>
      <c r="DC81" s="4" t="s">
        <v>116</v>
      </c>
      <c r="DD81" s="4">
        <v>30</v>
      </c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</row>
    <row r="82" spans="1:119" x14ac:dyDescent="0.15">
      <c r="A82" s="13">
        <v>105011</v>
      </c>
      <c r="B82" s="14" t="s">
        <v>217</v>
      </c>
      <c r="C82" s="47" t="s">
        <v>672</v>
      </c>
      <c r="D82" s="26"/>
      <c r="E82" s="26">
        <v>0</v>
      </c>
      <c r="F82" s="5">
        <v>0</v>
      </c>
      <c r="G82" s="26">
        <v>1</v>
      </c>
      <c r="H82" s="4">
        <v>3</v>
      </c>
      <c r="I82" s="5">
        <v>0</v>
      </c>
      <c r="J82" s="5"/>
      <c r="K82" s="5"/>
      <c r="L82" s="5"/>
      <c r="M82" s="8">
        <v>0</v>
      </c>
      <c r="N82" s="4" t="s">
        <v>218</v>
      </c>
      <c r="O82" s="25">
        <v>0</v>
      </c>
      <c r="P82" s="25">
        <v>13</v>
      </c>
      <c r="Q82" s="25">
        <v>0</v>
      </c>
      <c r="R82" s="4">
        <v>1</v>
      </c>
      <c r="S82" s="4">
        <v>0</v>
      </c>
      <c r="T82" s="4">
        <v>0</v>
      </c>
      <c r="U82" s="4">
        <v>1</v>
      </c>
      <c r="V82" s="5">
        <v>1</v>
      </c>
      <c r="W82" s="5">
        <v>0</v>
      </c>
      <c r="X82" s="5">
        <v>1</v>
      </c>
      <c r="Y82" s="14" t="s">
        <v>217</v>
      </c>
      <c r="Z82" s="5">
        <v>1</v>
      </c>
      <c r="AA82" s="5">
        <v>0</v>
      </c>
      <c r="AB82" s="5">
        <v>1</v>
      </c>
      <c r="AC82" s="5">
        <v>1</v>
      </c>
      <c r="AD82" s="5">
        <v>0</v>
      </c>
      <c r="AE82" s="3">
        <v>1</v>
      </c>
      <c r="AF82" s="5">
        <v>0</v>
      </c>
      <c r="AG82" s="4">
        <v>0</v>
      </c>
      <c r="AH82" s="25">
        <v>0</v>
      </c>
      <c r="AI82" s="26">
        <v>1</v>
      </c>
      <c r="AJ82" s="5">
        <v>1</v>
      </c>
      <c r="AK82" s="5">
        <v>0</v>
      </c>
      <c r="AL82" s="5">
        <v>1</v>
      </c>
      <c r="AM82" s="5">
        <v>1</v>
      </c>
      <c r="AN82" s="5">
        <v>0</v>
      </c>
      <c r="AO82" s="5">
        <v>0</v>
      </c>
      <c r="AP82" s="4">
        <v>1</v>
      </c>
      <c r="AQ82" s="4"/>
      <c r="AR82" s="4">
        <v>0</v>
      </c>
      <c r="AS82" s="4">
        <v>0</v>
      </c>
      <c r="AT82" s="4">
        <v>1</v>
      </c>
      <c r="AU82" s="4">
        <v>0</v>
      </c>
      <c r="AV82" s="12">
        <v>0</v>
      </c>
      <c r="AW82" s="4">
        <v>1</v>
      </c>
      <c r="AX82" s="4">
        <v>0</v>
      </c>
      <c r="AY82" s="4">
        <v>0</v>
      </c>
      <c r="AZ82" s="4">
        <v>0</v>
      </c>
      <c r="BA82" s="25" t="s">
        <v>384</v>
      </c>
      <c r="BB82" s="5">
        <v>1</v>
      </c>
      <c r="BC82" s="17" t="s">
        <v>109</v>
      </c>
      <c r="BD82" s="17" t="s">
        <v>110</v>
      </c>
      <c r="BE82" s="17" t="s">
        <v>109</v>
      </c>
      <c r="BF82" s="17" t="s">
        <v>379</v>
      </c>
      <c r="BG82" s="4" t="str">
        <f t="shared" si="20"/>
        <v>缝纫台</v>
      </c>
      <c r="BH82" s="20">
        <v>2</v>
      </c>
      <c r="BI82" s="4">
        <v>1</v>
      </c>
      <c r="BJ82" s="4">
        <v>0</v>
      </c>
      <c r="BK82" s="4">
        <v>0</v>
      </c>
      <c r="BL82" s="4">
        <v>1</v>
      </c>
      <c r="BM82" s="4">
        <v>1</v>
      </c>
      <c r="BN82" s="4">
        <v>1</v>
      </c>
      <c r="BO82" s="4">
        <v>0</v>
      </c>
      <c r="BP82" s="4">
        <v>0</v>
      </c>
      <c r="BQ82" s="4">
        <v>1</v>
      </c>
      <c r="BR82" s="4">
        <v>0</v>
      </c>
      <c r="BS82" s="4">
        <v>0</v>
      </c>
      <c r="BT82" s="4">
        <v>1</v>
      </c>
      <c r="BU82" s="4">
        <v>1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1</v>
      </c>
      <c r="CB82" s="4">
        <v>0</v>
      </c>
      <c r="CC82" s="4">
        <v>30</v>
      </c>
      <c r="CD82" s="4">
        <v>0</v>
      </c>
      <c r="CE82" s="4">
        <v>4</v>
      </c>
      <c r="CF82" s="4">
        <v>1</v>
      </c>
      <c r="CG82" s="4">
        <v>0</v>
      </c>
      <c r="CH82" s="4">
        <v>1</v>
      </c>
      <c r="CI82" s="4">
        <v>1</v>
      </c>
      <c r="CJ82" s="4">
        <v>1</v>
      </c>
      <c r="CK82" s="4">
        <v>1</v>
      </c>
      <c r="CL82" s="4">
        <v>100</v>
      </c>
      <c r="CM82" s="4">
        <v>0</v>
      </c>
      <c r="CN82" s="4">
        <v>1</v>
      </c>
      <c r="CO82" s="4">
        <v>0</v>
      </c>
      <c r="CP82" s="4">
        <v>0</v>
      </c>
      <c r="CQ82" s="4">
        <v>0</v>
      </c>
      <c r="CR82" s="4" t="str">
        <f t="shared" si="22"/>
        <v>缝纫台</v>
      </c>
      <c r="CS82" s="4">
        <v>0</v>
      </c>
      <c r="CT82" s="4">
        <v>3</v>
      </c>
      <c r="CU82" s="4">
        <v>20</v>
      </c>
      <c r="CV82" s="4">
        <v>604001</v>
      </c>
      <c r="CW82" s="4" t="s">
        <v>113</v>
      </c>
      <c r="CX82" s="4">
        <v>30</v>
      </c>
      <c r="CY82" s="4">
        <v>605001</v>
      </c>
      <c r="CZ82" s="4" t="s">
        <v>122</v>
      </c>
      <c r="DA82" s="4">
        <v>50</v>
      </c>
      <c r="DB82" s="4">
        <v>603001</v>
      </c>
      <c r="DC82" s="4" t="s">
        <v>116</v>
      </c>
      <c r="DD82" s="4">
        <v>20</v>
      </c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</row>
    <row r="83" spans="1:119" x14ac:dyDescent="0.15">
      <c r="A83" s="13">
        <v>105012</v>
      </c>
      <c r="B83" s="40" t="s">
        <v>553</v>
      </c>
      <c r="C83" s="47" t="s">
        <v>665</v>
      </c>
      <c r="D83" s="26"/>
      <c r="E83" s="26">
        <v>0</v>
      </c>
      <c r="F83" s="5">
        <v>0</v>
      </c>
      <c r="G83" s="26">
        <v>1</v>
      </c>
      <c r="H83" s="4">
        <v>3</v>
      </c>
      <c r="I83" s="5">
        <v>0</v>
      </c>
      <c r="J83" s="26"/>
      <c r="K83" s="5"/>
      <c r="L83" s="5"/>
      <c r="M83" s="8">
        <v>0</v>
      </c>
      <c r="N83" s="4" t="s">
        <v>219</v>
      </c>
      <c r="O83" s="25">
        <v>0</v>
      </c>
      <c r="P83" s="25">
        <v>13</v>
      </c>
      <c r="Q83" s="25">
        <v>0</v>
      </c>
      <c r="R83" s="4">
        <v>1</v>
      </c>
      <c r="S83" s="4">
        <v>0</v>
      </c>
      <c r="T83" s="4">
        <v>0</v>
      </c>
      <c r="U83" s="4">
        <v>1</v>
      </c>
      <c r="V83" s="5">
        <v>1</v>
      </c>
      <c r="W83" s="5">
        <v>0</v>
      </c>
      <c r="X83" s="5">
        <v>1</v>
      </c>
      <c r="Y83" s="40" t="s">
        <v>553</v>
      </c>
      <c r="Z83" s="5">
        <v>1</v>
      </c>
      <c r="AA83" s="5">
        <v>0</v>
      </c>
      <c r="AB83" s="5">
        <v>1</v>
      </c>
      <c r="AC83" s="5">
        <v>1</v>
      </c>
      <c r="AD83" s="5">
        <v>0</v>
      </c>
      <c r="AE83" s="3">
        <v>1</v>
      </c>
      <c r="AF83" s="5">
        <v>0</v>
      </c>
      <c r="AG83" s="4">
        <v>0</v>
      </c>
      <c r="AH83" s="25">
        <v>0</v>
      </c>
      <c r="AI83" s="26">
        <v>1</v>
      </c>
      <c r="AJ83" s="5">
        <v>1</v>
      </c>
      <c r="AK83" s="5">
        <v>0</v>
      </c>
      <c r="AL83" s="5">
        <v>1</v>
      </c>
      <c r="AM83" s="5">
        <v>1</v>
      </c>
      <c r="AN83" s="5">
        <v>0</v>
      </c>
      <c r="AO83" s="5">
        <v>0</v>
      </c>
      <c r="AP83" s="4">
        <v>1</v>
      </c>
      <c r="AQ83" s="4"/>
      <c r="AR83" s="4">
        <v>0</v>
      </c>
      <c r="AS83" s="4">
        <v>0</v>
      </c>
      <c r="AT83" s="4">
        <v>1</v>
      </c>
      <c r="AU83" s="4">
        <v>0</v>
      </c>
      <c r="AV83" s="12">
        <v>1</v>
      </c>
      <c r="AW83" s="4">
        <v>1</v>
      </c>
      <c r="AX83" s="4">
        <v>0</v>
      </c>
      <c r="AY83" s="4">
        <v>1</v>
      </c>
      <c r="AZ83" s="4">
        <v>0</v>
      </c>
      <c r="BA83" s="25" t="s">
        <v>374</v>
      </c>
      <c r="BB83" s="5">
        <v>1</v>
      </c>
      <c r="BC83" s="17" t="s">
        <v>109</v>
      </c>
      <c r="BD83" s="17" t="s">
        <v>110</v>
      </c>
      <c r="BE83" s="17" t="s">
        <v>109</v>
      </c>
      <c r="BF83" s="17" t="s">
        <v>379</v>
      </c>
      <c r="BG83" s="4" t="str">
        <f t="shared" ref="BG83:BG92" si="23">B83</f>
        <v>酿酒桶</v>
      </c>
      <c r="BH83" s="20">
        <v>2</v>
      </c>
      <c r="BI83" s="4">
        <v>2</v>
      </c>
      <c r="BJ83" s="4">
        <v>0</v>
      </c>
      <c r="BK83" s="4">
        <v>0</v>
      </c>
      <c r="BL83" s="4">
        <v>1234</v>
      </c>
      <c r="BM83" s="4">
        <v>1</v>
      </c>
      <c r="BN83" s="4">
        <v>1</v>
      </c>
      <c r="BO83" s="4">
        <v>0</v>
      </c>
      <c r="BP83" s="4">
        <v>1</v>
      </c>
      <c r="BQ83" s="4">
        <v>0</v>
      </c>
      <c r="BR83" s="4">
        <v>1</v>
      </c>
      <c r="BS83" s="4">
        <v>0</v>
      </c>
      <c r="BT83" s="4">
        <v>1</v>
      </c>
      <c r="BU83" s="4">
        <v>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1</v>
      </c>
      <c r="CB83" s="4">
        <v>0</v>
      </c>
      <c r="CC83" s="4">
        <v>30</v>
      </c>
      <c r="CD83" s="4">
        <v>0</v>
      </c>
      <c r="CE83" s="4">
        <v>4</v>
      </c>
      <c r="CF83" s="4">
        <v>1</v>
      </c>
      <c r="CG83" s="4">
        <v>0</v>
      </c>
      <c r="CH83" s="4">
        <v>1</v>
      </c>
      <c r="CI83" s="4">
        <v>1</v>
      </c>
      <c r="CJ83" s="4">
        <v>1</v>
      </c>
      <c r="CK83" s="4">
        <v>1</v>
      </c>
      <c r="CL83" s="4">
        <v>100</v>
      </c>
      <c r="CM83" s="4">
        <v>0</v>
      </c>
      <c r="CN83" s="4">
        <v>1</v>
      </c>
      <c r="CO83" s="4">
        <v>0</v>
      </c>
      <c r="CP83" s="4">
        <v>0</v>
      </c>
      <c r="CQ83" s="4">
        <v>0</v>
      </c>
      <c r="CR83" s="4" t="str">
        <f t="shared" ref="CR83:CR92" si="24">B83</f>
        <v>酿酒桶</v>
      </c>
      <c r="CS83" s="4">
        <v>0</v>
      </c>
      <c r="CT83" s="4">
        <v>3</v>
      </c>
      <c r="CU83" s="4">
        <v>20</v>
      </c>
      <c r="CV83" s="4">
        <v>604001</v>
      </c>
      <c r="CW83" s="4" t="s">
        <v>113</v>
      </c>
      <c r="CX83" s="4">
        <v>80</v>
      </c>
      <c r="CY83" s="4">
        <v>605001</v>
      </c>
      <c r="CZ83" s="4" t="s">
        <v>122</v>
      </c>
      <c r="DA83" s="4">
        <v>10</v>
      </c>
      <c r="DB83" s="4">
        <v>603001</v>
      </c>
      <c r="DC83" s="4" t="s">
        <v>116</v>
      </c>
      <c r="DD83" s="4">
        <v>15</v>
      </c>
      <c r="DE83" s="4"/>
      <c r="DF83" s="4"/>
      <c r="DG83" s="4"/>
      <c r="DH83" s="4"/>
      <c r="DI83" s="4"/>
      <c r="DJ83" s="4"/>
      <c r="DK83" s="4"/>
      <c r="DL83" s="4"/>
      <c r="DM83" s="4"/>
      <c r="DN83" s="25" t="s">
        <v>459</v>
      </c>
      <c r="DO83" s="4"/>
    </row>
    <row r="84" spans="1:119" x14ac:dyDescent="0.15">
      <c r="A84" s="13">
        <v>105009</v>
      </c>
      <c r="B84" s="6" t="s">
        <v>209</v>
      </c>
      <c r="C84" s="47" t="s">
        <v>666</v>
      </c>
      <c r="D84" s="26"/>
      <c r="E84" s="26">
        <v>0</v>
      </c>
      <c r="F84" s="5">
        <v>0</v>
      </c>
      <c r="G84" s="26">
        <v>1</v>
      </c>
      <c r="H84" s="4">
        <v>3</v>
      </c>
      <c r="I84" s="5">
        <v>0</v>
      </c>
      <c r="J84" s="5"/>
      <c r="K84" s="5"/>
      <c r="L84" s="5"/>
      <c r="M84" s="8">
        <v>0</v>
      </c>
      <c r="N84" s="4" t="s">
        <v>210</v>
      </c>
      <c r="O84" s="25">
        <v>1</v>
      </c>
      <c r="P84" s="25">
        <v>0</v>
      </c>
      <c r="Q84" s="25">
        <v>0</v>
      </c>
      <c r="R84" s="4">
        <v>1</v>
      </c>
      <c r="S84" s="4">
        <v>0</v>
      </c>
      <c r="T84" s="4">
        <v>0</v>
      </c>
      <c r="U84" s="4">
        <v>0</v>
      </c>
      <c r="V84" s="5">
        <v>1</v>
      </c>
      <c r="W84" s="5">
        <v>0</v>
      </c>
      <c r="X84" s="5">
        <v>1</v>
      </c>
      <c r="Y84" s="6" t="s">
        <v>209</v>
      </c>
      <c r="Z84" s="5">
        <v>1</v>
      </c>
      <c r="AA84" s="5">
        <v>0</v>
      </c>
      <c r="AB84" s="5">
        <v>1</v>
      </c>
      <c r="AC84" s="5">
        <v>0</v>
      </c>
      <c r="AD84" s="5">
        <v>0</v>
      </c>
      <c r="AE84" s="3">
        <v>0</v>
      </c>
      <c r="AF84" s="5">
        <v>0</v>
      </c>
      <c r="AG84" s="4">
        <v>0</v>
      </c>
      <c r="AH84" s="25">
        <v>0</v>
      </c>
      <c r="AI84" s="26">
        <v>1</v>
      </c>
      <c r="AJ84" s="5">
        <v>0</v>
      </c>
      <c r="AK84" s="5">
        <v>0</v>
      </c>
      <c r="AL84" s="5">
        <v>1</v>
      </c>
      <c r="AM84" s="5">
        <v>1</v>
      </c>
      <c r="AN84" s="5">
        <v>0</v>
      </c>
      <c r="AO84" s="5">
        <v>0</v>
      </c>
      <c r="AP84" s="4">
        <v>1</v>
      </c>
      <c r="AQ84" s="4" t="s">
        <v>200</v>
      </c>
      <c r="AR84" s="13">
        <v>1</v>
      </c>
      <c r="AS84" s="13">
        <v>1</v>
      </c>
      <c r="AT84" s="4">
        <v>1</v>
      </c>
      <c r="AU84" s="4">
        <v>1</v>
      </c>
      <c r="AV84" s="12">
        <v>0</v>
      </c>
      <c r="AW84" s="4">
        <v>1</v>
      </c>
      <c r="AX84" s="4">
        <v>0</v>
      </c>
      <c r="AY84" s="4">
        <v>1</v>
      </c>
      <c r="AZ84" s="4">
        <v>0</v>
      </c>
      <c r="BA84" s="4" t="s">
        <v>211</v>
      </c>
      <c r="BB84" s="5">
        <v>1</v>
      </c>
      <c r="BC84" s="17" t="s">
        <v>109</v>
      </c>
      <c r="BD84" s="17" t="s">
        <v>110</v>
      </c>
      <c r="BE84" s="17" t="s">
        <v>109</v>
      </c>
      <c r="BF84" s="17" t="s">
        <v>379</v>
      </c>
      <c r="BG84" s="16" t="str">
        <f>B84</f>
        <v>采药营地</v>
      </c>
      <c r="BH84" s="20">
        <v>3</v>
      </c>
      <c r="BI84" s="4">
        <v>2</v>
      </c>
      <c r="BJ84" s="4">
        <v>0</v>
      </c>
      <c r="BK84" s="4">
        <v>500</v>
      </c>
      <c r="BL84" s="4">
        <v>1234</v>
      </c>
      <c r="BM84" s="4">
        <v>1</v>
      </c>
      <c r="BN84" s="4">
        <v>1</v>
      </c>
      <c r="BO84" s="4">
        <v>0</v>
      </c>
      <c r="BP84" s="4">
        <v>1</v>
      </c>
      <c r="BQ84" s="4">
        <v>0</v>
      </c>
      <c r="BR84" s="4">
        <v>1</v>
      </c>
      <c r="BS84" s="4">
        <v>0</v>
      </c>
      <c r="BT84" s="4">
        <v>0</v>
      </c>
      <c r="BU84" s="4">
        <v>1</v>
      </c>
      <c r="BV84" s="4">
        <v>0</v>
      </c>
      <c r="BW84" s="4">
        <v>15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4</v>
      </c>
      <c r="CF84" s="4">
        <v>1</v>
      </c>
      <c r="CG84" s="4">
        <v>0</v>
      </c>
      <c r="CH84" s="4">
        <v>1</v>
      </c>
      <c r="CI84" s="4">
        <v>1</v>
      </c>
      <c r="CJ84" s="4">
        <v>1</v>
      </c>
      <c r="CK84" s="4">
        <v>1</v>
      </c>
      <c r="CL84" s="4">
        <v>200</v>
      </c>
      <c r="CM84" s="4">
        <v>0</v>
      </c>
      <c r="CN84" s="4">
        <v>1</v>
      </c>
      <c r="CO84" s="4">
        <v>0</v>
      </c>
      <c r="CP84" s="4">
        <v>0</v>
      </c>
      <c r="CQ84" s="4">
        <v>0</v>
      </c>
      <c r="CR84" s="4" t="str">
        <f>B84</f>
        <v>采药营地</v>
      </c>
      <c r="CS84" s="4">
        <v>0</v>
      </c>
      <c r="CT84" s="4">
        <v>3</v>
      </c>
      <c r="CU84" s="4">
        <v>20</v>
      </c>
      <c r="CV84" s="4">
        <v>604001</v>
      </c>
      <c r="CW84" s="4" t="s">
        <v>113</v>
      </c>
      <c r="CX84" s="4">
        <v>30</v>
      </c>
      <c r="CY84" s="4">
        <v>605001</v>
      </c>
      <c r="CZ84" s="4" t="s">
        <v>122</v>
      </c>
      <c r="DA84" s="4">
        <v>50</v>
      </c>
      <c r="DB84" s="4">
        <v>603001</v>
      </c>
      <c r="DC84" s="4" t="s">
        <v>116</v>
      </c>
      <c r="DD84" s="4">
        <v>20</v>
      </c>
      <c r="DE84" s="4"/>
      <c r="DF84" s="4"/>
      <c r="DG84" s="4"/>
      <c r="DH84" s="4"/>
      <c r="DI84" s="4"/>
      <c r="DJ84" s="4"/>
      <c r="DK84" s="4"/>
      <c r="DL84" s="4"/>
      <c r="DM84" s="4"/>
      <c r="DN84" s="4" t="s">
        <v>212</v>
      </c>
      <c r="DO84" s="25" t="s">
        <v>725</v>
      </c>
    </row>
    <row r="85" spans="1:119" ht="22.5" customHeight="1" x14ac:dyDescent="0.15">
      <c r="A85" s="13">
        <v>105025</v>
      </c>
      <c r="B85" s="4" t="s">
        <v>252</v>
      </c>
      <c r="C85" s="47" t="s">
        <v>676</v>
      </c>
      <c r="D85" s="26"/>
      <c r="E85" s="26">
        <v>0</v>
      </c>
      <c r="F85" s="5">
        <v>0</v>
      </c>
      <c r="G85" s="26">
        <v>1</v>
      </c>
      <c r="H85" s="4">
        <v>3</v>
      </c>
      <c r="I85" s="5">
        <v>0</v>
      </c>
      <c r="J85" s="4"/>
      <c r="K85" s="25" t="s">
        <v>527</v>
      </c>
      <c r="L85" s="26"/>
      <c r="M85" s="8">
        <v>1</v>
      </c>
      <c r="N85" s="25" t="s">
        <v>526</v>
      </c>
      <c r="O85" s="25">
        <v>0</v>
      </c>
      <c r="P85" s="25">
        <v>14</v>
      </c>
      <c r="Q85" s="25">
        <v>0</v>
      </c>
      <c r="R85" s="4">
        <v>1</v>
      </c>
      <c r="S85" s="4">
        <v>0</v>
      </c>
      <c r="T85" s="4">
        <v>1</v>
      </c>
      <c r="U85" s="4">
        <v>1</v>
      </c>
      <c r="V85" s="5">
        <v>1</v>
      </c>
      <c r="W85" s="5">
        <v>0</v>
      </c>
      <c r="X85" s="5">
        <v>1</v>
      </c>
      <c r="Y85" s="4" t="s">
        <v>252</v>
      </c>
      <c r="Z85" s="5">
        <v>1</v>
      </c>
      <c r="AA85" s="5">
        <v>0</v>
      </c>
      <c r="AB85" s="5">
        <v>1</v>
      </c>
      <c r="AC85" s="5">
        <v>1</v>
      </c>
      <c r="AD85" s="5">
        <v>0</v>
      </c>
      <c r="AE85" s="3">
        <v>1</v>
      </c>
      <c r="AF85" s="5">
        <v>0</v>
      </c>
      <c r="AG85" s="4">
        <v>0</v>
      </c>
      <c r="AH85" s="25">
        <v>0</v>
      </c>
      <c r="AI85" s="26">
        <v>1</v>
      </c>
      <c r="AJ85" s="5">
        <v>1</v>
      </c>
      <c r="AK85" s="5">
        <v>0</v>
      </c>
      <c r="AL85" s="5">
        <v>1</v>
      </c>
      <c r="AM85" s="4">
        <v>1</v>
      </c>
      <c r="AN85" s="5">
        <v>0</v>
      </c>
      <c r="AO85" s="5">
        <v>0</v>
      </c>
      <c r="AP85" s="4">
        <v>1</v>
      </c>
      <c r="AQ85" s="4"/>
      <c r="AR85" s="4">
        <v>0</v>
      </c>
      <c r="AS85" s="4">
        <v>0</v>
      </c>
      <c r="AT85" s="4">
        <v>1</v>
      </c>
      <c r="AU85" s="4">
        <v>0</v>
      </c>
      <c r="AV85" s="12">
        <v>1</v>
      </c>
      <c r="AW85" s="4">
        <v>1</v>
      </c>
      <c r="AX85" s="4">
        <v>0</v>
      </c>
      <c r="AY85" s="4">
        <v>0</v>
      </c>
      <c r="AZ85" s="4">
        <v>0</v>
      </c>
      <c r="BA85" s="4" t="s">
        <v>352</v>
      </c>
      <c r="BB85" s="5">
        <v>1</v>
      </c>
      <c r="BC85" s="17" t="s">
        <v>109</v>
      </c>
      <c r="BD85" s="17" t="s">
        <v>110</v>
      </c>
      <c r="BE85" s="17" t="s">
        <v>109</v>
      </c>
      <c r="BF85" s="17" t="s">
        <v>379</v>
      </c>
      <c r="BG85" s="4" t="str">
        <f>B85</f>
        <v>炼药锅</v>
      </c>
      <c r="BH85" s="20">
        <v>1</v>
      </c>
      <c r="BI85" s="4">
        <v>1</v>
      </c>
      <c r="BJ85" s="4">
        <v>0</v>
      </c>
      <c r="BK85" s="4">
        <v>0</v>
      </c>
      <c r="BL85" s="4">
        <v>1234</v>
      </c>
      <c r="BM85" s="4">
        <v>1</v>
      </c>
      <c r="BN85" s="4">
        <v>1</v>
      </c>
      <c r="BO85" s="4">
        <v>0</v>
      </c>
      <c r="BP85" s="4">
        <v>0</v>
      </c>
      <c r="BQ85" s="4">
        <v>0</v>
      </c>
      <c r="BR85" s="4">
        <v>1</v>
      </c>
      <c r="BS85" s="4">
        <v>0</v>
      </c>
      <c r="BT85" s="4">
        <v>1</v>
      </c>
      <c r="BU85" s="4">
        <v>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1</v>
      </c>
      <c r="CB85" s="4">
        <v>0</v>
      </c>
      <c r="CC85" s="4">
        <v>30</v>
      </c>
      <c r="CD85" s="4">
        <v>0</v>
      </c>
      <c r="CE85" s="4">
        <v>4</v>
      </c>
      <c r="CF85" s="4">
        <v>1</v>
      </c>
      <c r="CG85" s="4">
        <v>0</v>
      </c>
      <c r="CH85" s="4">
        <v>1</v>
      </c>
      <c r="CI85" s="4">
        <v>1</v>
      </c>
      <c r="CJ85" s="4">
        <v>1</v>
      </c>
      <c r="CK85" s="4">
        <v>1</v>
      </c>
      <c r="CL85" s="4">
        <v>150</v>
      </c>
      <c r="CM85" s="4">
        <v>0</v>
      </c>
      <c r="CN85" s="4">
        <v>1</v>
      </c>
      <c r="CO85" s="4">
        <v>0</v>
      </c>
      <c r="CP85" s="4">
        <v>0</v>
      </c>
      <c r="CQ85" s="4">
        <v>0</v>
      </c>
      <c r="CR85" s="4" t="str">
        <f>B85</f>
        <v>炼药锅</v>
      </c>
      <c r="CS85" s="4">
        <v>0</v>
      </c>
      <c r="CT85" s="4">
        <v>2</v>
      </c>
      <c r="CU85" s="4">
        <v>20</v>
      </c>
      <c r="CV85" s="4">
        <v>605001</v>
      </c>
      <c r="CW85" s="4" t="s">
        <v>122</v>
      </c>
      <c r="CX85" s="4">
        <v>10</v>
      </c>
      <c r="CY85" s="4">
        <v>603001</v>
      </c>
      <c r="CZ85" s="4" t="s">
        <v>116</v>
      </c>
      <c r="DA85" s="4">
        <v>100</v>
      </c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</row>
    <row r="86" spans="1:119" x14ac:dyDescent="0.15">
      <c r="A86" s="4">
        <v>105020</v>
      </c>
      <c r="B86" s="4" t="s">
        <v>235</v>
      </c>
      <c r="C86" s="47" t="s">
        <v>673</v>
      </c>
      <c r="D86" s="26"/>
      <c r="E86" s="26">
        <v>0</v>
      </c>
      <c r="F86" s="5">
        <v>0</v>
      </c>
      <c r="G86" s="26">
        <v>1</v>
      </c>
      <c r="H86" s="4">
        <v>3</v>
      </c>
      <c r="I86" s="5">
        <v>0</v>
      </c>
      <c r="J86" s="4"/>
      <c r="K86" s="4"/>
      <c r="L86" s="4"/>
      <c r="M86" s="8">
        <v>0</v>
      </c>
      <c r="N86" s="4" t="s">
        <v>236</v>
      </c>
      <c r="O86" s="25">
        <v>0</v>
      </c>
      <c r="P86" s="25">
        <v>0</v>
      </c>
      <c r="Q86" s="25">
        <v>0</v>
      </c>
      <c r="R86" s="4">
        <v>1</v>
      </c>
      <c r="S86" s="4">
        <v>0</v>
      </c>
      <c r="T86" s="4">
        <v>0</v>
      </c>
      <c r="U86" s="4">
        <v>0</v>
      </c>
      <c r="V86" s="5">
        <v>1</v>
      </c>
      <c r="W86" s="5">
        <v>0</v>
      </c>
      <c r="X86" s="5">
        <v>1</v>
      </c>
      <c r="Y86" s="4" t="s">
        <v>235</v>
      </c>
      <c r="Z86" s="5">
        <v>1</v>
      </c>
      <c r="AA86" s="5">
        <v>0</v>
      </c>
      <c r="AB86" s="5">
        <v>1</v>
      </c>
      <c r="AC86" s="5">
        <v>1</v>
      </c>
      <c r="AD86" s="5">
        <v>0</v>
      </c>
      <c r="AE86" s="3">
        <v>1</v>
      </c>
      <c r="AF86" s="5">
        <v>0</v>
      </c>
      <c r="AG86" s="4">
        <v>0</v>
      </c>
      <c r="AH86" s="25">
        <v>0</v>
      </c>
      <c r="AI86" s="26">
        <v>1</v>
      </c>
      <c r="AJ86" s="5">
        <v>0</v>
      </c>
      <c r="AK86" s="5">
        <v>0</v>
      </c>
      <c r="AL86" s="5">
        <v>1</v>
      </c>
      <c r="AM86" s="4">
        <v>1</v>
      </c>
      <c r="AN86" s="5">
        <v>0</v>
      </c>
      <c r="AO86" s="5">
        <v>0</v>
      </c>
      <c r="AP86" s="4">
        <v>1</v>
      </c>
      <c r="AQ86" s="4"/>
      <c r="AR86" s="4">
        <v>1</v>
      </c>
      <c r="AS86" s="4">
        <v>1</v>
      </c>
      <c r="AT86" s="4">
        <v>1</v>
      </c>
      <c r="AU86" s="4">
        <v>0</v>
      </c>
      <c r="AV86" s="12">
        <v>0</v>
      </c>
      <c r="AW86" s="4">
        <v>1</v>
      </c>
      <c r="AX86" s="4">
        <v>0</v>
      </c>
      <c r="AY86" s="4">
        <v>1</v>
      </c>
      <c r="AZ86" s="4">
        <v>0</v>
      </c>
      <c r="BA86" s="18" t="s">
        <v>237</v>
      </c>
      <c r="BB86" s="5">
        <v>1</v>
      </c>
      <c r="BC86" s="17" t="s">
        <v>109</v>
      </c>
      <c r="BD86" s="17" t="s">
        <v>110</v>
      </c>
      <c r="BE86" s="17" t="s">
        <v>109</v>
      </c>
      <c r="BF86" s="17" t="s">
        <v>379</v>
      </c>
      <c r="BG86" s="4" t="str">
        <f>B86</f>
        <v>采石点</v>
      </c>
      <c r="BH86" s="20">
        <v>1</v>
      </c>
      <c r="BI86" s="4">
        <v>1</v>
      </c>
      <c r="BJ86" s="4">
        <v>0</v>
      </c>
      <c r="BK86" s="4">
        <v>0</v>
      </c>
      <c r="BL86" s="4">
        <v>1</v>
      </c>
      <c r="BM86" s="4">
        <v>1</v>
      </c>
      <c r="BN86" s="4">
        <v>1</v>
      </c>
      <c r="BO86" s="4">
        <v>0</v>
      </c>
      <c r="BP86" s="4">
        <v>0</v>
      </c>
      <c r="BQ86" s="4">
        <v>1</v>
      </c>
      <c r="BR86" s="4">
        <v>0</v>
      </c>
      <c r="BS86" s="4">
        <v>0</v>
      </c>
      <c r="BT86" s="4">
        <v>0</v>
      </c>
      <c r="BU86" s="4">
        <v>1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4</v>
      </c>
      <c r="CF86" s="4">
        <v>0</v>
      </c>
      <c r="CG86" s="4">
        <v>0</v>
      </c>
      <c r="CH86" s="4">
        <v>1</v>
      </c>
      <c r="CI86" s="4">
        <v>1</v>
      </c>
      <c r="CJ86" s="4">
        <v>1</v>
      </c>
      <c r="CK86" s="4">
        <v>1</v>
      </c>
      <c r="CL86" s="4">
        <v>100</v>
      </c>
      <c r="CM86" s="4">
        <v>0</v>
      </c>
      <c r="CN86" s="4">
        <v>1</v>
      </c>
      <c r="CO86" s="4">
        <v>0</v>
      </c>
      <c r="CP86" s="4">
        <v>0</v>
      </c>
      <c r="CQ86" s="4">
        <v>0</v>
      </c>
      <c r="CR86" s="4" t="str">
        <f>B86</f>
        <v>采石点</v>
      </c>
      <c r="CS86" s="4">
        <v>0</v>
      </c>
      <c r="CT86" s="4">
        <v>3</v>
      </c>
      <c r="CU86" s="4">
        <v>5</v>
      </c>
      <c r="CV86" s="4">
        <v>604001</v>
      </c>
      <c r="CW86" s="4" t="s">
        <v>113</v>
      </c>
      <c r="CX86" s="4">
        <v>5</v>
      </c>
      <c r="CY86" s="4">
        <v>603001</v>
      </c>
      <c r="CZ86" s="4" t="s">
        <v>116</v>
      </c>
      <c r="DA86" s="4">
        <v>3</v>
      </c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 t="s">
        <v>238</v>
      </c>
    </row>
    <row r="87" spans="1:119" x14ac:dyDescent="0.15">
      <c r="A87" s="13">
        <v>105014</v>
      </c>
      <c r="B87" s="9" t="s">
        <v>222</v>
      </c>
      <c r="C87" s="47" t="s">
        <v>673</v>
      </c>
      <c r="D87" s="26"/>
      <c r="E87" s="26">
        <v>0</v>
      </c>
      <c r="F87" s="5">
        <v>0</v>
      </c>
      <c r="G87" s="26">
        <v>1</v>
      </c>
      <c r="H87" s="4">
        <v>3</v>
      </c>
      <c r="I87" s="5">
        <v>0</v>
      </c>
      <c r="J87" s="5"/>
      <c r="K87" s="5"/>
      <c r="L87" s="5"/>
      <c r="M87" s="8">
        <v>0</v>
      </c>
      <c r="N87" s="4" t="s">
        <v>223</v>
      </c>
      <c r="O87" s="25">
        <v>1</v>
      </c>
      <c r="P87" s="25">
        <v>0</v>
      </c>
      <c r="Q87" s="25">
        <v>1</v>
      </c>
      <c r="R87" s="4">
        <v>1</v>
      </c>
      <c r="S87" s="4">
        <v>0</v>
      </c>
      <c r="T87" s="4">
        <v>0</v>
      </c>
      <c r="U87" s="4">
        <v>0</v>
      </c>
      <c r="V87" s="5">
        <v>1</v>
      </c>
      <c r="W87" s="5">
        <v>0</v>
      </c>
      <c r="X87" s="5">
        <v>1</v>
      </c>
      <c r="Y87" s="9" t="s">
        <v>222</v>
      </c>
      <c r="Z87" s="5">
        <v>1</v>
      </c>
      <c r="AA87" s="5">
        <v>0</v>
      </c>
      <c r="AB87" s="5">
        <v>1</v>
      </c>
      <c r="AC87" s="5">
        <v>0</v>
      </c>
      <c r="AD87" s="5">
        <v>0</v>
      </c>
      <c r="AE87" s="3">
        <v>0</v>
      </c>
      <c r="AF87" s="5">
        <v>0</v>
      </c>
      <c r="AG87" s="4">
        <v>0</v>
      </c>
      <c r="AH87" s="25">
        <v>0</v>
      </c>
      <c r="AI87" s="26">
        <v>1</v>
      </c>
      <c r="AJ87" s="5">
        <v>0</v>
      </c>
      <c r="AK87" s="5">
        <v>0</v>
      </c>
      <c r="AL87" s="5">
        <v>1</v>
      </c>
      <c r="AM87" s="5">
        <v>1</v>
      </c>
      <c r="AN87" s="5">
        <v>1</v>
      </c>
      <c r="AO87" s="5">
        <v>1</v>
      </c>
      <c r="AP87" s="4">
        <v>1</v>
      </c>
      <c r="AQ87" s="4"/>
      <c r="AR87" s="4">
        <v>0</v>
      </c>
      <c r="AS87" s="4">
        <v>0</v>
      </c>
      <c r="AT87" s="4">
        <v>0</v>
      </c>
      <c r="AU87" s="4">
        <v>0</v>
      </c>
      <c r="AV87" s="12">
        <v>0</v>
      </c>
      <c r="AW87" s="4">
        <v>1</v>
      </c>
      <c r="AX87" s="4">
        <v>0</v>
      </c>
      <c r="AY87" s="4">
        <v>0</v>
      </c>
      <c r="AZ87" s="4">
        <v>0</v>
      </c>
      <c r="BA87" s="4" t="s">
        <v>224</v>
      </c>
      <c r="BB87" s="5">
        <v>1</v>
      </c>
      <c r="BC87" s="17" t="s">
        <v>109</v>
      </c>
      <c r="BD87" s="17" t="s">
        <v>110</v>
      </c>
      <c r="BE87" s="17" t="s">
        <v>110</v>
      </c>
      <c r="BF87" s="17" t="s">
        <v>379</v>
      </c>
      <c r="BG87" s="4" t="str">
        <f t="shared" si="23"/>
        <v>采石场</v>
      </c>
      <c r="BH87" s="20">
        <v>12</v>
      </c>
      <c r="BI87" s="4">
        <v>12</v>
      </c>
      <c r="BJ87" s="4">
        <v>0</v>
      </c>
      <c r="BK87" s="4">
        <v>0</v>
      </c>
      <c r="BL87" s="4">
        <v>1</v>
      </c>
      <c r="BM87" s="4">
        <v>1</v>
      </c>
      <c r="BN87" s="4">
        <v>0</v>
      </c>
      <c r="BO87" s="4">
        <v>0</v>
      </c>
      <c r="BP87" s="4">
        <v>0</v>
      </c>
      <c r="BQ87" s="4">
        <v>1</v>
      </c>
      <c r="BR87" s="4">
        <v>1</v>
      </c>
      <c r="BS87" s="4">
        <v>0</v>
      </c>
      <c r="BT87" s="4">
        <v>0</v>
      </c>
      <c r="BU87" s="4">
        <v>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3</v>
      </c>
      <c r="CF87" s="4">
        <v>0</v>
      </c>
      <c r="CG87" s="4">
        <v>0</v>
      </c>
      <c r="CH87" s="4">
        <v>1</v>
      </c>
      <c r="CI87" s="4">
        <v>1</v>
      </c>
      <c r="CJ87" s="4">
        <v>1</v>
      </c>
      <c r="CK87" s="4">
        <v>1</v>
      </c>
      <c r="CL87" s="4">
        <v>100</v>
      </c>
      <c r="CM87" s="4">
        <v>0</v>
      </c>
      <c r="CN87" s="4">
        <v>1</v>
      </c>
      <c r="CO87" s="4">
        <v>0</v>
      </c>
      <c r="CP87" s="4">
        <v>0</v>
      </c>
      <c r="CQ87" s="4">
        <v>0</v>
      </c>
      <c r="CR87" s="4" t="str">
        <f t="shared" si="24"/>
        <v>采石场</v>
      </c>
      <c r="CS87" s="4">
        <v>0</v>
      </c>
      <c r="CT87" s="4">
        <v>3</v>
      </c>
      <c r="CU87" s="4">
        <v>25</v>
      </c>
      <c r="CV87" s="4">
        <v>604001</v>
      </c>
      <c r="CW87" s="4" t="s">
        <v>113</v>
      </c>
      <c r="CX87" s="4">
        <v>80</v>
      </c>
      <c r="CY87" s="4">
        <v>603001</v>
      </c>
      <c r="CZ87" s="4" t="s">
        <v>116</v>
      </c>
      <c r="DA87" s="4">
        <v>50</v>
      </c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</row>
    <row r="88" spans="1:119" x14ac:dyDescent="0.15">
      <c r="A88" s="13">
        <v>105013</v>
      </c>
      <c r="B88" s="10" t="s">
        <v>220</v>
      </c>
      <c r="C88" s="47" t="s">
        <v>679</v>
      </c>
      <c r="D88" s="26"/>
      <c r="E88" s="26">
        <v>1</v>
      </c>
      <c r="F88" s="5">
        <v>0</v>
      </c>
      <c r="G88" s="26">
        <v>1</v>
      </c>
      <c r="H88" s="4">
        <v>3</v>
      </c>
      <c r="I88" s="5">
        <v>0</v>
      </c>
      <c r="J88" s="5"/>
      <c r="K88" s="5"/>
      <c r="L88" s="5"/>
      <c r="M88" s="8">
        <v>0</v>
      </c>
      <c r="N88" s="4" t="s">
        <v>221</v>
      </c>
      <c r="O88" s="25">
        <v>0</v>
      </c>
      <c r="P88" s="25">
        <v>0</v>
      </c>
      <c r="Q88" s="25">
        <v>0</v>
      </c>
      <c r="R88" s="4">
        <v>1</v>
      </c>
      <c r="S88" s="4">
        <v>0</v>
      </c>
      <c r="T88" s="4">
        <v>0</v>
      </c>
      <c r="U88" s="4">
        <v>0</v>
      </c>
      <c r="V88" s="5">
        <v>1</v>
      </c>
      <c r="W88" s="5">
        <v>0</v>
      </c>
      <c r="X88" s="5">
        <v>1</v>
      </c>
      <c r="Y88" s="10" t="s">
        <v>220</v>
      </c>
      <c r="Z88" s="5">
        <v>1</v>
      </c>
      <c r="AA88" s="5">
        <v>0</v>
      </c>
      <c r="AB88" s="5">
        <v>1</v>
      </c>
      <c r="AC88" s="5">
        <v>1</v>
      </c>
      <c r="AD88" s="5">
        <v>1</v>
      </c>
      <c r="AE88" s="3">
        <v>0</v>
      </c>
      <c r="AF88" s="5">
        <v>0</v>
      </c>
      <c r="AG88" s="4">
        <v>0</v>
      </c>
      <c r="AH88" s="25">
        <v>0</v>
      </c>
      <c r="AI88" s="26">
        <v>1</v>
      </c>
      <c r="AJ88" s="5">
        <v>0</v>
      </c>
      <c r="AK88" s="5">
        <v>0</v>
      </c>
      <c r="AL88" s="5">
        <v>1</v>
      </c>
      <c r="AM88" s="5">
        <v>1</v>
      </c>
      <c r="AN88" s="5">
        <v>1</v>
      </c>
      <c r="AO88" s="5">
        <v>1</v>
      </c>
      <c r="AP88" s="4">
        <v>1</v>
      </c>
      <c r="AQ88" s="4"/>
      <c r="AR88" s="13">
        <v>1</v>
      </c>
      <c r="AS88" s="13">
        <v>1</v>
      </c>
      <c r="AT88" s="4">
        <v>1</v>
      </c>
      <c r="AU88" s="4">
        <v>0</v>
      </c>
      <c r="AV88" s="12">
        <v>0</v>
      </c>
      <c r="AW88" s="4">
        <v>1</v>
      </c>
      <c r="AX88" s="4">
        <v>0</v>
      </c>
      <c r="AY88" s="4">
        <v>1</v>
      </c>
      <c r="AZ88" s="4">
        <v>0</v>
      </c>
      <c r="BA88" s="25" t="s">
        <v>346</v>
      </c>
      <c r="BB88" s="5">
        <v>1</v>
      </c>
      <c r="BC88" s="17" t="s">
        <v>109</v>
      </c>
      <c r="BD88" s="17" t="s">
        <v>110</v>
      </c>
      <c r="BE88" s="17" t="s">
        <v>109</v>
      </c>
      <c r="BF88" s="17" t="s">
        <v>379</v>
      </c>
      <c r="BG88" s="4" t="str">
        <f>B88</f>
        <v>矿井</v>
      </c>
      <c r="BH88" s="20">
        <v>3</v>
      </c>
      <c r="BI88" s="4">
        <v>3</v>
      </c>
      <c r="BJ88" s="4">
        <v>0</v>
      </c>
      <c r="BK88" s="4">
        <v>0</v>
      </c>
      <c r="BL88" s="4">
        <v>1</v>
      </c>
      <c r="BM88" s="4">
        <v>0</v>
      </c>
      <c r="BN88" s="4">
        <v>0</v>
      </c>
      <c r="BO88" s="4">
        <v>0</v>
      </c>
      <c r="BP88" s="4">
        <v>0</v>
      </c>
      <c r="BQ88" s="4">
        <v>1</v>
      </c>
      <c r="BR88" s="4">
        <v>0</v>
      </c>
      <c r="BS88" s="4">
        <v>0</v>
      </c>
      <c r="BT88" s="4">
        <v>0</v>
      </c>
      <c r="BU88" s="4">
        <v>1</v>
      </c>
      <c r="BV88" s="4">
        <v>0</v>
      </c>
      <c r="BW88" s="4">
        <v>2</v>
      </c>
      <c r="BX88" s="4">
        <v>2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0</v>
      </c>
      <c r="CE88" s="4">
        <v>3</v>
      </c>
      <c r="CF88" s="4">
        <v>0</v>
      </c>
      <c r="CG88" s="4">
        <v>0</v>
      </c>
      <c r="CH88" s="4">
        <v>1</v>
      </c>
      <c r="CI88" s="4">
        <v>1</v>
      </c>
      <c r="CJ88" s="4">
        <v>1</v>
      </c>
      <c r="CK88" s="4">
        <v>1</v>
      </c>
      <c r="CL88" s="4">
        <v>500</v>
      </c>
      <c r="CM88" s="4">
        <v>0</v>
      </c>
      <c r="CN88" s="4">
        <v>1</v>
      </c>
      <c r="CO88" s="4">
        <v>0</v>
      </c>
      <c r="CP88" s="4">
        <v>0</v>
      </c>
      <c r="CQ88" s="4">
        <v>0</v>
      </c>
      <c r="CR88" s="4" t="str">
        <f>B88</f>
        <v>矿井</v>
      </c>
      <c r="CS88" s="4">
        <v>0</v>
      </c>
      <c r="CT88" s="4">
        <v>3</v>
      </c>
      <c r="CU88" s="4">
        <v>25</v>
      </c>
      <c r="CV88" s="4">
        <v>604001</v>
      </c>
      <c r="CW88" s="4" t="s">
        <v>113</v>
      </c>
      <c r="CX88" s="4">
        <v>40</v>
      </c>
      <c r="CY88" s="4">
        <v>605001</v>
      </c>
      <c r="CZ88" s="4" t="s">
        <v>122</v>
      </c>
      <c r="DA88" s="4">
        <v>70</v>
      </c>
      <c r="DB88" s="4">
        <v>603001</v>
      </c>
      <c r="DC88" s="4" t="s">
        <v>116</v>
      </c>
      <c r="DD88" s="4">
        <v>30</v>
      </c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 t="s">
        <v>414</v>
      </c>
    </row>
    <row r="89" spans="1:119" x14ac:dyDescent="0.15">
      <c r="A89" s="4">
        <v>105021</v>
      </c>
      <c r="B89" s="37" t="s">
        <v>739</v>
      </c>
      <c r="C89" s="47" t="s">
        <v>110</v>
      </c>
      <c r="D89" s="26"/>
      <c r="E89" s="26">
        <v>0</v>
      </c>
      <c r="F89" s="5">
        <v>0</v>
      </c>
      <c r="G89" s="26">
        <v>1</v>
      </c>
      <c r="H89" s="4">
        <v>7</v>
      </c>
      <c r="I89" s="5">
        <v>0</v>
      </c>
      <c r="J89" s="4"/>
      <c r="K89" s="4"/>
      <c r="L89" s="4"/>
      <c r="M89" s="8">
        <v>0</v>
      </c>
      <c r="N89" s="4" t="s">
        <v>240</v>
      </c>
      <c r="O89" s="25">
        <v>0</v>
      </c>
      <c r="P89" s="25">
        <v>0</v>
      </c>
      <c r="Q89" s="25">
        <v>0</v>
      </c>
      <c r="R89" s="4">
        <v>0</v>
      </c>
      <c r="S89" s="4">
        <v>0</v>
      </c>
      <c r="T89" s="4">
        <v>0</v>
      </c>
      <c r="U89" s="4">
        <v>0</v>
      </c>
      <c r="V89" s="5">
        <v>1</v>
      </c>
      <c r="W89" s="5">
        <v>0</v>
      </c>
      <c r="X89" s="5">
        <v>1</v>
      </c>
      <c r="Y89" s="13" t="s">
        <v>239</v>
      </c>
      <c r="Z89" s="5">
        <v>0</v>
      </c>
      <c r="AA89" s="5">
        <v>0</v>
      </c>
      <c r="AB89" s="5">
        <v>1</v>
      </c>
      <c r="AC89" s="5">
        <v>0</v>
      </c>
      <c r="AD89" s="5">
        <v>0</v>
      </c>
      <c r="AE89" s="3">
        <v>1</v>
      </c>
      <c r="AF89" s="5">
        <v>0</v>
      </c>
      <c r="AG89" s="4">
        <v>0</v>
      </c>
      <c r="AH89" s="25">
        <v>0</v>
      </c>
      <c r="AI89" s="26">
        <v>0</v>
      </c>
      <c r="AJ89" s="5">
        <v>0</v>
      </c>
      <c r="AK89" s="5">
        <v>0</v>
      </c>
      <c r="AL89" s="5">
        <v>0</v>
      </c>
      <c r="AM89" s="4">
        <v>0</v>
      </c>
      <c r="AN89" s="5">
        <v>0</v>
      </c>
      <c r="AO89" s="5">
        <v>0</v>
      </c>
      <c r="AP89" s="4">
        <v>0</v>
      </c>
      <c r="AQ89" s="4"/>
      <c r="AR89" s="4">
        <v>0</v>
      </c>
      <c r="AS89" s="4">
        <v>0</v>
      </c>
      <c r="AT89" s="4">
        <v>1</v>
      </c>
      <c r="AU89" s="4">
        <v>0</v>
      </c>
      <c r="AV89" s="12">
        <v>0</v>
      </c>
      <c r="AW89" s="4">
        <v>0</v>
      </c>
      <c r="AX89" s="4">
        <v>0</v>
      </c>
      <c r="AY89" s="4">
        <v>0</v>
      </c>
      <c r="AZ89" s="4">
        <v>0</v>
      </c>
      <c r="BA89" s="4" t="s">
        <v>108</v>
      </c>
      <c r="BB89" s="5">
        <v>1</v>
      </c>
      <c r="BC89" s="17" t="s">
        <v>109</v>
      </c>
      <c r="BD89" s="17" t="s">
        <v>110</v>
      </c>
      <c r="BE89" s="17" t="s">
        <v>110</v>
      </c>
      <c r="BF89" s="17" t="s">
        <v>379</v>
      </c>
      <c r="BG89" s="4" t="str">
        <f t="shared" si="23"/>
        <v>挖掘点</v>
      </c>
      <c r="BH89" s="20">
        <v>1</v>
      </c>
      <c r="BI89" s="4">
        <v>1</v>
      </c>
      <c r="BJ89" s="4">
        <v>0</v>
      </c>
      <c r="BK89" s="4">
        <v>0</v>
      </c>
      <c r="BL89" s="4">
        <v>1234</v>
      </c>
      <c r="BM89" s="4">
        <v>1</v>
      </c>
      <c r="BN89" s="4">
        <v>0</v>
      </c>
      <c r="BO89" s="4">
        <v>0</v>
      </c>
      <c r="BP89" s="4">
        <v>0</v>
      </c>
      <c r="BQ89" s="4">
        <v>0</v>
      </c>
      <c r="BR89" s="4">
        <v>1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4</v>
      </c>
      <c r="CF89" s="4">
        <v>0</v>
      </c>
      <c r="CG89" s="4">
        <v>0</v>
      </c>
      <c r="CH89" s="4">
        <v>1</v>
      </c>
      <c r="CI89" s="4">
        <v>1</v>
      </c>
      <c r="CJ89" s="4">
        <v>1</v>
      </c>
      <c r="CK89" s="4">
        <v>1</v>
      </c>
      <c r="CL89" s="4">
        <v>100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 t="str">
        <f t="shared" si="24"/>
        <v>挖掘点</v>
      </c>
      <c r="CS89" s="4">
        <v>0</v>
      </c>
      <c r="CT89" s="4">
        <v>1</v>
      </c>
      <c r="CU89" s="4">
        <v>10</v>
      </c>
      <c r="CV89" s="4">
        <v>604001</v>
      </c>
      <c r="CW89" s="4" t="s">
        <v>113</v>
      </c>
      <c r="CX89" s="4">
        <v>5</v>
      </c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</row>
    <row r="90" spans="1:119" x14ac:dyDescent="0.15">
      <c r="A90" s="4">
        <v>105022</v>
      </c>
      <c r="B90" s="37" t="s">
        <v>738</v>
      </c>
      <c r="C90" s="47" t="s">
        <v>110</v>
      </c>
      <c r="D90" s="26"/>
      <c r="E90" s="26">
        <v>0</v>
      </c>
      <c r="F90" s="5">
        <v>0</v>
      </c>
      <c r="G90" s="26">
        <v>1</v>
      </c>
      <c r="H90" s="4">
        <v>7</v>
      </c>
      <c r="I90" s="5">
        <v>0</v>
      </c>
      <c r="J90" s="4"/>
      <c r="K90" s="4"/>
      <c r="L90" s="4"/>
      <c r="M90" s="8">
        <v>0</v>
      </c>
      <c r="N90" s="4" t="s">
        <v>242</v>
      </c>
      <c r="O90" s="25">
        <v>0</v>
      </c>
      <c r="P90" s="25">
        <v>0</v>
      </c>
      <c r="Q90" s="25">
        <v>0</v>
      </c>
      <c r="R90" s="4">
        <v>0</v>
      </c>
      <c r="S90" s="4">
        <v>0</v>
      </c>
      <c r="T90" s="4">
        <v>0</v>
      </c>
      <c r="U90" s="4">
        <v>0</v>
      </c>
      <c r="V90" s="5">
        <v>1</v>
      </c>
      <c r="W90" s="5">
        <v>0</v>
      </c>
      <c r="X90" s="5">
        <v>1</v>
      </c>
      <c r="Y90" s="13" t="s">
        <v>241</v>
      </c>
      <c r="Z90" s="5">
        <v>0</v>
      </c>
      <c r="AA90" s="5">
        <v>0</v>
      </c>
      <c r="AB90" s="5">
        <v>1</v>
      </c>
      <c r="AC90" s="5">
        <v>0</v>
      </c>
      <c r="AD90" s="5">
        <v>0</v>
      </c>
      <c r="AE90" s="3">
        <v>1</v>
      </c>
      <c r="AF90" s="5">
        <v>0</v>
      </c>
      <c r="AG90" s="4">
        <v>0</v>
      </c>
      <c r="AH90" s="25">
        <v>0</v>
      </c>
      <c r="AI90" s="26">
        <v>0</v>
      </c>
      <c r="AJ90" s="5">
        <v>0</v>
      </c>
      <c r="AK90" s="5">
        <v>0</v>
      </c>
      <c r="AL90" s="5">
        <v>0</v>
      </c>
      <c r="AM90" s="4">
        <v>0</v>
      </c>
      <c r="AN90" s="5">
        <v>0</v>
      </c>
      <c r="AO90" s="5">
        <v>0</v>
      </c>
      <c r="AP90" s="4">
        <v>0</v>
      </c>
      <c r="AQ90" s="4"/>
      <c r="AR90" s="4">
        <v>0</v>
      </c>
      <c r="AS90" s="4">
        <v>0</v>
      </c>
      <c r="AT90" s="4">
        <v>1</v>
      </c>
      <c r="AU90" s="4">
        <v>0</v>
      </c>
      <c r="AV90" s="12">
        <v>0</v>
      </c>
      <c r="AW90" s="4">
        <v>0</v>
      </c>
      <c r="AX90" s="4">
        <v>0</v>
      </c>
      <c r="AY90" s="4">
        <v>0</v>
      </c>
      <c r="AZ90" s="4">
        <v>0</v>
      </c>
      <c r="BA90" s="4" t="s">
        <v>108</v>
      </c>
      <c r="BB90" s="5">
        <v>1</v>
      </c>
      <c r="BC90" s="17" t="s">
        <v>109</v>
      </c>
      <c r="BD90" s="17" t="s">
        <v>110</v>
      </c>
      <c r="BE90" s="17" t="s">
        <v>110</v>
      </c>
      <c r="BF90" s="17" t="s">
        <v>379</v>
      </c>
      <c r="BG90" s="4" t="str">
        <f t="shared" si="23"/>
        <v>造陆点</v>
      </c>
      <c r="BH90" s="20">
        <v>1</v>
      </c>
      <c r="BI90" s="4">
        <v>1</v>
      </c>
      <c r="BJ90" s="4">
        <v>0</v>
      </c>
      <c r="BK90" s="4">
        <v>0</v>
      </c>
      <c r="BL90" s="4">
        <v>1234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1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4</v>
      </c>
      <c r="CF90" s="4">
        <v>0</v>
      </c>
      <c r="CG90" s="4">
        <v>0</v>
      </c>
      <c r="CH90" s="4">
        <v>1</v>
      </c>
      <c r="CI90" s="4">
        <v>1</v>
      </c>
      <c r="CJ90" s="4">
        <v>1</v>
      </c>
      <c r="CK90" s="4">
        <v>1</v>
      </c>
      <c r="CL90" s="4">
        <v>100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 t="str">
        <f t="shared" si="24"/>
        <v>造陆点</v>
      </c>
      <c r="CS90" s="4">
        <v>0</v>
      </c>
      <c r="CT90" s="4">
        <v>2</v>
      </c>
      <c r="CU90" s="4">
        <v>20</v>
      </c>
      <c r="CV90" s="4">
        <v>605001</v>
      </c>
      <c r="CW90" s="4" t="s">
        <v>122</v>
      </c>
      <c r="CX90" s="4">
        <v>50</v>
      </c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25" t="s">
        <v>726</v>
      </c>
    </row>
    <row r="91" spans="1:119" ht="22.5" customHeight="1" x14ac:dyDescent="0.15">
      <c r="A91" s="4">
        <v>105026</v>
      </c>
      <c r="B91" s="4" t="s">
        <v>253</v>
      </c>
      <c r="C91" s="47" t="s">
        <v>668</v>
      </c>
      <c r="D91" s="26"/>
      <c r="E91" s="26">
        <v>0</v>
      </c>
      <c r="F91" s="5">
        <v>1</v>
      </c>
      <c r="G91" s="26">
        <v>1</v>
      </c>
      <c r="H91" s="4">
        <v>5</v>
      </c>
      <c r="I91" s="5">
        <v>0</v>
      </c>
      <c r="J91" s="4"/>
      <c r="K91" s="4"/>
      <c r="L91" s="4"/>
      <c r="M91" s="8">
        <v>0</v>
      </c>
      <c r="N91" s="4" t="s">
        <v>254</v>
      </c>
      <c r="O91" s="25">
        <v>0</v>
      </c>
      <c r="P91" s="25">
        <v>0</v>
      </c>
      <c r="Q91" s="25">
        <v>0</v>
      </c>
      <c r="R91" s="4">
        <v>1</v>
      </c>
      <c r="S91" s="4">
        <v>0</v>
      </c>
      <c r="T91" s="4">
        <v>0</v>
      </c>
      <c r="U91" s="4">
        <v>0</v>
      </c>
      <c r="V91" s="5">
        <v>1</v>
      </c>
      <c r="W91" s="5">
        <v>0</v>
      </c>
      <c r="X91" s="5">
        <v>1</v>
      </c>
      <c r="Y91" s="4" t="s">
        <v>253</v>
      </c>
      <c r="Z91" s="5">
        <v>0</v>
      </c>
      <c r="AA91" s="5">
        <v>0</v>
      </c>
      <c r="AB91" s="5">
        <v>1</v>
      </c>
      <c r="AC91" s="5">
        <v>2</v>
      </c>
      <c r="AD91" s="5">
        <v>0</v>
      </c>
      <c r="AE91" s="3">
        <v>0</v>
      </c>
      <c r="AF91" s="5">
        <v>0</v>
      </c>
      <c r="AG91" s="4">
        <v>0</v>
      </c>
      <c r="AH91" s="25">
        <v>0</v>
      </c>
      <c r="AI91" s="26">
        <v>0</v>
      </c>
      <c r="AJ91" s="5">
        <v>0</v>
      </c>
      <c r="AK91" s="5">
        <v>0</v>
      </c>
      <c r="AL91" s="5">
        <v>1</v>
      </c>
      <c r="AM91" s="5">
        <v>0</v>
      </c>
      <c r="AN91" s="5">
        <v>1</v>
      </c>
      <c r="AO91" s="5">
        <v>1</v>
      </c>
      <c r="AP91" s="4">
        <v>1</v>
      </c>
      <c r="AQ91" s="4"/>
      <c r="AR91" s="4">
        <v>1</v>
      </c>
      <c r="AS91" s="4">
        <v>1</v>
      </c>
      <c r="AT91" s="4">
        <v>0</v>
      </c>
      <c r="AU91" s="4">
        <v>0</v>
      </c>
      <c r="AV91" s="12">
        <v>0</v>
      </c>
      <c r="AW91" s="4">
        <v>1</v>
      </c>
      <c r="AX91" s="4">
        <v>1</v>
      </c>
      <c r="AY91" s="4">
        <v>1</v>
      </c>
      <c r="AZ91" s="4">
        <v>0</v>
      </c>
      <c r="BA91" s="4" t="s">
        <v>255</v>
      </c>
      <c r="BB91" s="5">
        <v>1</v>
      </c>
      <c r="BC91" s="17" t="s">
        <v>109</v>
      </c>
      <c r="BD91" s="17" t="s">
        <v>110</v>
      </c>
      <c r="BE91" s="17" t="s">
        <v>109</v>
      </c>
      <c r="BF91" s="17" t="s">
        <v>379</v>
      </c>
      <c r="BG91" s="4" t="str">
        <f t="shared" si="23"/>
        <v>码头</v>
      </c>
      <c r="BH91" s="20">
        <v>4</v>
      </c>
      <c r="BI91" s="4">
        <v>5</v>
      </c>
      <c r="BJ91" s="4">
        <v>0</v>
      </c>
      <c r="BK91" s="4">
        <v>0</v>
      </c>
      <c r="BL91" s="4">
        <v>3</v>
      </c>
      <c r="BM91" s="4">
        <v>1</v>
      </c>
      <c r="BN91" s="4">
        <v>1</v>
      </c>
      <c r="BO91" s="4">
        <v>0</v>
      </c>
      <c r="BP91" s="4">
        <v>0</v>
      </c>
      <c r="BQ91" s="4">
        <v>1</v>
      </c>
      <c r="BR91" s="4">
        <v>1</v>
      </c>
      <c r="BS91" s="4">
        <v>0</v>
      </c>
      <c r="BT91" s="4">
        <v>0</v>
      </c>
      <c r="BU91" s="4">
        <v>1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1</v>
      </c>
      <c r="CB91" s="4">
        <v>1</v>
      </c>
      <c r="CC91" s="4">
        <v>30</v>
      </c>
      <c r="CD91" s="4">
        <v>0</v>
      </c>
      <c r="CE91" s="4">
        <v>3</v>
      </c>
      <c r="CF91" s="4">
        <v>0</v>
      </c>
      <c r="CG91" s="4">
        <v>0</v>
      </c>
      <c r="CH91" s="4">
        <v>1</v>
      </c>
      <c r="CI91" s="4">
        <v>1</v>
      </c>
      <c r="CJ91" s="4">
        <v>1</v>
      </c>
      <c r="CK91" s="4">
        <v>1</v>
      </c>
      <c r="CL91" s="4">
        <v>200</v>
      </c>
      <c r="CM91" s="4">
        <v>0</v>
      </c>
      <c r="CN91" s="4">
        <v>1</v>
      </c>
      <c r="CO91" s="4">
        <v>0</v>
      </c>
      <c r="CP91" s="4">
        <v>0</v>
      </c>
      <c r="CQ91" s="4">
        <v>0</v>
      </c>
      <c r="CR91" s="4" t="str">
        <f t="shared" si="24"/>
        <v>码头</v>
      </c>
      <c r="CS91" s="4">
        <v>0</v>
      </c>
      <c r="CT91" s="4">
        <v>10</v>
      </c>
      <c r="CU91" s="4">
        <v>20</v>
      </c>
      <c r="CV91" s="4">
        <v>604001</v>
      </c>
      <c r="CW91" s="4" t="s">
        <v>113</v>
      </c>
      <c r="CX91" s="4">
        <v>1000</v>
      </c>
      <c r="CY91" s="4">
        <v>605001</v>
      </c>
      <c r="CZ91" s="4" t="s">
        <v>122</v>
      </c>
      <c r="DA91" s="4">
        <v>200</v>
      </c>
      <c r="DB91" s="4">
        <v>603001</v>
      </c>
      <c r="DC91" s="4" t="s">
        <v>116</v>
      </c>
      <c r="DD91" s="4">
        <v>100</v>
      </c>
      <c r="DE91" s="4"/>
      <c r="DF91" s="4"/>
      <c r="DG91" s="4"/>
      <c r="DH91" s="4"/>
      <c r="DI91" s="4"/>
      <c r="DJ91" s="4"/>
      <c r="DK91" s="4"/>
      <c r="DL91" s="4"/>
      <c r="DM91" s="4"/>
      <c r="DN91" s="2" t="s">
        <v>488</v>
      </c>
      <c r="DO91" s="4"/>
    </row>
    <row r="92" spans="1:119" x14ac:dyDescent="0.15">
      <c r="A92" s="4">
        <v>105027</v>
      </c>
      <c r="B92" s="4" t="s">
        <v>256</v>
      </c>
      <c r="C92" s="47" t="s">
        <v>668</v>
      </c>
      <c r="D92" s="26"/>
      <c r="E92" s="26">
        <v>0</v>
      </c>
      <c r="F92" s="5">
        <v>0</v>
      </c>
      <c r="G92" s="26">
        <v>1</v>
      </c>
      <c r="H92" s="4">
        <v>5</v>
      </c>
      <c r="I92" s="4">
        <v>1</v>
      </c>
      <c r="J92" s="4"/>
      <c r="K92" s="4"/>
      <c r="L92" s="4"/>
      <c r="M92" s="8">
        <v>0</v>
      </c>
      <c r="N92" s="4" t="s">
        <v>303</v>
      </c>
      <c r="O92" s="25">
        <v>0</v>
      </c>
      <c r="P92" s="25">
        <v>0</v>
      </c>
      <c r="Q92" s="25">
        <v>0</v>
      </c>
      <c r="R92" s="4">
        <v>1</v>
      </c>
      <c r="S92" s="4">
        <v>0</v>
      </c>
      <c r="T92" s="4">
        <v>0</v>
      </c>
      <c r="U92" s="4">
        <v>0</v>
      </c>
      <c r="V92" s="5">
        <v>0</v>
      </c>
      <c r="W92" s="5">
        <v>0</v>
      </c>
      <c r="X92" s="5">
        <v>1</v>
      </c>
      <c r="Y92" s="4" t="s">
        <v>256</v>
      </c>
      <c r="Z92" s="5">
        <v>0</v>
      </c>
      <c r="AA92" s="5">
        <v>0</v>
      </c>
      <c r="AB92" s="5">
        <v>1</v>
      </c>
      <c r="AC92" s="5">
        <v>0</v>
      </c>
      <c r="AD92" s="5">
        <v>0</v>
      </c>
      <c r="AE92" s="3">
        <v>0</v>
      </c>
      <c r="AF92" s="5">
        <v>0</v>
      </c>
      <c r="AG92" s="4">
        <v>0</v>
      </c>
      <c r="AH92" s="25">
        <v>0</v>
      </c>
      <c r="AI92" s="26">
        <v>0</v>
      </c>
      <c r="AJ92" s="5">
        <v>0</v>
      </c>
      <c r="AK92" s="5">
        <v>0</v>
      </c>
      <c r="AL92" s="5">
        <v>0</v>
      </c>
      <c r="AM92" s="4">
        <v>0</v>
      </c>
      <c r="AN92" s="5">
        <v>0</v>
      </c>
      <c r="AO92" s="5">
        <v>0</v>
      </c>
      <c r="AP92" s="4">
        <v>1</v>
      </c>
      <c r="AQ92" s="4"/>
      <c r="AR92" s="4">
        <v>0</v>
      </c>
      <c r="AS92" s="4">
        <v>0</v>
      </c>
      <c r="AT92" s="4">
        <v>1</v>
      </c>
      <c r="AU92" s="4">
        <v>0</v>
      </c>
      <c r="AV92" s="12">
        <v>0</v>
      </c>
      <c r="AW92" s="4">
        <v>0</v>
      </c>
      <c r="AX92" s="4">
        <v>0</v>
      </c>
      <c r="AY92" s="4">
        <v>0</v>
      </c>
      <c r="AZ92" s="4">
        <v>0</v>
      </c>
      <c r="BA92" s="4" t="s">
        <v>108</v>
      </c>
      <c r="BB92" s="5">
        <v>1</v>
      </c>
      <c r="BC92" s="17" t="s">
        <v>109</v>
      </c>
      <c r="BD92" s="17" t="s">
        <v>110</v>
      </c>
      <c r="BE92" s="17" t="s">
        <v>110</v>
      </c>
      <c r="BF92" s="17" t="s">
        <v>379</v>
      </c>
      <c r="BG92" s="4" t="str">
        <f t="shared" si="23"/>
        <v>出海口</v>
      </c>
      <c r="BH92" s="20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4</v>
      </c>
      <c r="CF92" s="4">
        <v>0</v>
      </c>
      <c r="CG92" s="4">
        <v>1</v>
      </c>
      <c r="CH92" s="4">
        <v>1</v>
      </c>
      <c r="CI92" s="4">
        <v>1</v>
      </c>
      <c r="CJ92" s="4">
        <v>1</v>
      </c>
      <c r="CK92" s="4">
        <v>1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 t="str">
        <f t="shared" si="24"/>
        <v>出海口</v>
      </c>
      <c r="CS92" s="4">
        <v>0</v>
      </c>
      <c r="CT92" s="4">
        <v>1</v>
      </c>
      <c r="CU92" s="4">
        <v>0</v>
      </c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 t="s">
        <v>310</v>
      </c>
      <c r="DO92" s="4" t="s">
        <v>415</v>
      </c>
    </row>
    <row r="93" spans="1:119" x14ac:dyDescent="0.15">
      <c r="A93" s="4">
        <v>105029</v>
      </c>
      <c r="B93" s="25" t="s">
        <v>372</v>
      </c>
      <c r="C93" s="47" t="s">
        <v>682</v>
      </c>
      <c r="D93" s="26"/>
      <c r="E93" s="26">
        <v>0</v>
      </c>
      <c r="F93" s="5">
        <v>0</v>
      </c>
      <c r="G93" s="26">
        <v>1</v>
      </c>
      <c r="H93" s="4">
        <v>0</v>
      </c>
      <c r="I93" s="4">
        <v>0</v>
      </c>
      <c r="J93" s="25"/>
      <c r="K93" s="25"/>
      <c r="L93" s="25"/>
      <c r="M93" s="8">
        <v>0</v>
      </c>
      <c r="N93" s="25" t="s">
        <v>373</v>
      </c>
      <c r="O93" s="25">
        <v>0</v>
      </c>
      <c r="P93" s="25">
        <v>0</v>
      </c>
      <c r="Q93" s="25">
        <v>0</v>
      </c>
      <c r="R93" s="4">
        <v>1</v>
      </c>
      <c r="S93" s="4">
        <v>0</v>
      </c>
      <c r="T93" s="4">
        <v>0</v>
      </c>
      <c r="U93" s="4">
        <v>1</v>
      </c>
      <c r="V93" s="5">
        <v>1</v>
      </c>
      <c r="W93" s="5">
        <v>0</v>
      </c>
      <c r="X93" s="5">
        <v>1</v>
      </c>
      <c r="Y93" s="25" t="s">
        <v>372</v>
      </c>
      <c r="Z93" s="5">
        <v>1</v>
      </c>
      <c r="AA93" s="5">
        <v>0</v>
      </c>
      <c r="AB93" s="5">
        <v>1</v>
      </c>
      <c r="AC93" s="5">
        <v>1</v>
      </c>
      <c r="AD93" s="5">
        <v>0</v>
      </c>
      <c r="AE93" s="3">
        <v>1</v>
      </c>
      <c r="AF93" s="5">
        <v>0</v>
      </c>
      <c r="AG93" s="4">
        <v>0</v>
      </c>
      <c r="AH93" s="25">
        <v>0</v>
      </c>
      <c r="AI93" s="26">
        <v>1</v>
      </c>
      <c r="AJ93" s="5">
        <v>1</v>
      </c>
      <c r="AK93" s="5">
        <v>0</v>
      </c>
      <c r="AL93" s="5">
        <v>1</v>
      </c>
      <c r="AM93" s="4">
        <v>0</v>
      </c>
      <c r="AN93" s="5">
        <v>1</v>
      </c>
      <c r="AO93" s="5">
        <v>0</v>
      </c>
      <c r="AP93" s="4">
        <v>1</v>
      </c>
      <c r="AQ93" s="4"/>
      <c r="AR93" s="4">
        <v>0</v>
      </c>
      <c r="AS93" s="4">
        <v>0</v>
      </c>
      <c r="AT93" s="4">
        <v>0</v>
      </c>
      <c r="AU93" s="4">
        <v>0</v>
      </c>
      <c r="AV93" s="12">
        <v>0</v>
      </c>
      <c r="AW93" s="4">
        <v>1</v>
      </c>
      <c r="AX93" s="4">
        <v>0</v>
      </c>
      <c r="AY93" s="4">
        <v>0</v>
      </c>
      <c r="AZ93" s="4">
        <v>0</v>
      </c>
      <c r="BA93" s="25" t="s">
        <v>374</v>
      </c>
      <c r="BB93" s="5">
        <v>1</v>
      </c>
      <c r="BC93" s="17" t="s">
        <v>109</v>
      </c>
      <c r="BD93" s="17" t="s">
        <v>110</v>
      </c>
      <c r="BE93" s="17" t="s">
        <v>109</v>
      </c>
      <c r="BF93" s="17" t="s">
        <v>379</v>
      </c>
      <c r="BG93" s="4" t="str">
        <f t="shared" ref="BG93" si="25">B93</f>
        <v>磨坊</v>
      </c>
      <c r="BH93" s="20">
        <v>1</v>
      </c>
      <c r="BI93" s="4">
        <v>1</v>
      </c>
      <c r="BJ93" s="4">
        <v>0</v>
      </c>
      <c r="BK93" s="4">
        <v>0</v>
      </c>
      <c r="BL93" s="4">
        <v>1234</v>
      </c>
      <c r="BM93" s="4">
        <v>1</v>
      </c>
      <c r="BN93" s="4">
        <v>1</v>
      </c>
      <c r="BO93" s="4">
        <v>0</v>
      </c>
      <c r="BP93" s="4">
        <v>0</v>
      </c>
      <c r="BQ93" s="4">
        <v>0</v>
      </c>
      <c r="BR93" s="4">
        <v>1</v>
      </c>
      <c r="BS93" s="4">
        <v>0</v>
      </c>
      <c r="BT93" s="4">
        <v>2</v>
      </c>
      <c r="BU93" s="4">
        <v>1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1</v>
      </c>
      <c r="CB93" s="4">
        <v>0</v>
      </c>
      <c r="CC93" s="4">
        <v>30</v>
      </c>
      <c r="CD93" s="4">
        <v>0</v>
      </c>
      <c r="CE93" s="4">
        <v>4</v>
      </c>
      <c r="CF93" s="4">
        <v>1</v>
      </c>
      <c r="CG93" s="4">
        <v>0</v>
      </c>
      <c r="CH93" s="4">
        <v>1</v>
      </c>
      <c r="CI93" s="4">
        <v>1</v>
      </c>
      <c r="CJ93" s="4">
        <v>1</v>
      </c>
      <c r="CK93" s="4">
        <v>1</v>
      </c>
      <c r="CL93" s="4">
        <v>100</v>
      </c>
      <c r="CM93" s="4">
        <v>0</v>
      </c>
      <c r="CN93" s="4">
        <v>1</v>
      </c>
      <c r="CO93" s="4">
        <v>0</v>
      </c>
      <c r="CP93" s="4">
        <v>0</v>
      </c>
      <c r="CQ93" s="4">
        <v>0</v>
      </c>
      <c r="CR93" s="4" t="str">
        <f t="shared" ref="CR93" si="26">B93</f>
        <v>磨坊</v>
      </c>
      <c r="CS93" s="4">
        <v>0</v>
      </c>
      <c r="CT93" s="4">
        <v>3</v>
      </c>
      <c r="CU93" s="4">
        <v>10</v>
      </c>
      <c r="CV93" s="4">
        <v>604001</v>
      </c>
      <c r="CW93" s="4" t="s">
        <v>113</v>
      </c>
      <c r="CX93" s="4">
        <v>20</v>
      </c>
      <c r="CY93" s="4">
        <v>605001</v>
      </c>
      <c r="CZ93" s="4" t="s">
        <v>122</v>
      </c>
      <c r="DA93" s="4">
        <v>100</v>
      </c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</row>
    <row r="94" spans="1:119" x14ac:dyDescent="0.15">
      <c r="A94" s="4">
        <v>105032</v>
      </c>
      <c r="B94" s="25" t="s">
        <v>372</v>
      </c>
      <c r="C94" s="47" t="s">
        <v>667</v>
      </c>
      <c r="D94" s="26"/>
      <c r="E94" s="26">
        <v>0</v>
      </c>
      <c r="F94" s="5">
        <v>0</v>
      </c>
      <c r="G94" s="26">
        <v>1</v>
      </c>
      <c r="H94" s="4">
        <v>2</v>
      </c>
      <c r="I94" s="4">
        <v>0</v>
      </c>
      <c r="J94" s="25"/>
      <c r="K94" s="25"/>
      <c r="L94" s="25"/>
      <c r="M94" s="8">
        <v>0</v>
      </c>
      <c r="N94" s="25" t="s">
        <v>515</v>
      </c>
      <c r="O94" s="25">
        <v>0</v>
      </c>
      <c r="P94" s="25">
        <v>0</v>
      </c>
      <c r="Q94" s="25">
        <v>0</v>
      </c>
      <c r="R94" s="4">
        <v>1</v>
      </c>
      <c r="S94" s="4">
        <v>0</v>
      </c>
      <c r="T94" s="4">
        <v>0</v>
      </c>
      <c r="U94" s="4">
        <v>1</v>
      </c>
      <c r="V94" s="5">
        <v>1</v>
      </c>
      <c r="W94" s="5">
        <v>0</v>
      </c>
      <c r="X94" s="5">
        <v>1</v>
      </c>
      <c r="Y94" s="25" t="s">
        <v>372</v>
      </c>
      <c r="Z94" s="5">
        <v>1</v>
      </c>
      <c r="AA94" s="5">
        <v>0</v>
      </c>
      <c r="AB94" s="5">
        <v>1</v>
      </c>
      <c r="AC94" s="5">
        <v>1</v>
      </c>
      <c r="AD94" s="5">
        <v>0</v>
      </c>
      <c r="AE94" s="3">
        <v>1</v>
      </c>
      <c r="AF94" s="5">
        <v>0</v>
      </c>
      <c r="AG94" s="4">
        <v>0</v>
      </c>
      <c r="AH94" s="25">
        <v>0</v>
      </c>
      <c r="AI94" s="26">
        <v>1</v>
      </c>
      <c r="AJ94" s="5">
        <v>1</v>
      </c>
      <c r="AK94" s="5">
        <v>0</v>
      </c>
      <c r="AL94" s="5">
        <v>1</v>
      </c>
      <c r="AM94" s="4">
        <v>0</v>
      </c>
      <c r="AN94" s="5">
        <v>1</v>
      </c>
      <c r="AO94" s="5">
        <v>1</v>
      </c>
      <c r="AP94" s="4">
        <v>1</v>
      </c>
      <c r="AQ94" s="4"/>
      <c r="AR94" s="4">
        <v>0</v>
      </c>
      <c r="AS94" s="4">
        <v>0</v>
      </c>
      <c r="AT94" s="4">
        <v>0</v>
      </c>
      <c r="AU94" s="4">
        <v>0</v>
      </c>
      <c r="AV94" s="12">
        <v>0</v>
      </c>
      <c r="AW94" s="4">
        <v>1</v>
      </c>
      <c r="AX94" s="4">
        <v>0</v>
      </c>
      <c r="AY94" s="4">
        <v>0</v>
      </c>
      <c r="AZ94" s="4">
        <v>0</v>
      </c>
      <c r="BA94" s="25" t="s">
        <v>374</v>
      </c>
      <c r="BB94" s="5">
        <v>1</v>
      </c>
      <c r="BC94" s="17" t="s">
        <v>109</v>
      </c>
      <c r="BD94" s="17" t="s">
        <v>110</v>
      </c>
      <c r="BE94" s="17" t="s">
        <v>109</v>
      </c>
      <c r="BF94" s="17" t="s">
        <v>309</v>
      </c>
      <c r="BG94" s="4" t="str">
        <f t="shared" ref="BG94" si="27">B94</f>
        <v>磨坊</v>
      </c>
      <c r="BH94" s="20">
        <v>4</v>
      </c>
      <c r="BI94" s="4">
        <v>4</v>
      </c>
      <c r="BJ94" s="4">
        <v>0</v>
      </c>
      <c r="BK94" s="4">
        <v>0</v>
      </c>
      <c r="BL94" s="4">
        <v>1234</v>
      </c>
      <c r="BM94" s="4">
        <v>1</v>
      </c>
      <c r="BN94" s="4">
        <v>1</v>
      </c>
      <c r="BO94" s="4">
        <v>0</v>
      </c>
      <c r="BP94" s="4">
        <v>0</v>
      </c>
      <c r="BQ94" s="4">
        <v>0</v>
      </c>
      <c r="BR94" s="4">
        <v>1</v>
      </c>
      <c r="BS94" s="4">
        <v>0</v>
      </c>
      <c r="BT94" s="4">
        <v>2</v>
      </c>
      <c r="BU94" s="4">
        <v>1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1</v>
      </c>
      <c r="CB94" s="4">
        <v>0</v>
      </c>
      <c r="CC94" s="4">
        <v>30</v>
      </c>
      <c r="CD94" s="4">
        <v>0</v>
      </c>
      <c r="CE94" s="4">
        <v>4</v>
      </c>
      <c r="CF94" s="4">
        <v>1</v>
      </c>
      <c r="CG94" s="4">
        <v>0</v>
      </c>
      <c r="CH94" s="4">
        <v>1</v>
      </c>
      <c r="CI94" s="4">
        <v>1</v>
      </c>
      <c r="CJ94" s="4">
        <v>1</v>
      </c>
      <c r="CK94" s="4">
        <v>1</v>
      </c>
      <c r="CL94" s="4">
        <v>100</v>
      </c>
      <c r="CM94" s="4">
        <v>0</v>
      </c>
      <c r="CN94" s="4">
        <v>1</v>
      </c>
      <c r="CO94" s="4">
        <v>0</v>
      </c>
      <c r="CP94" s="4">
        <v>0</v>
      </c>
      <c r="CQ94" s="4">
        <v>0</v>
      </c>
      <c r="CR94" s="4" t="str">
        <f t="shared" ref="CR94" si="28">B94</f>
        <v>磨坊</v>
      </c>
      <c r="CS94" s="4">
        <v>0</v>
      </c>
      <c r="CT94" s="4">
        <v>3</v>
      </c>
      <c r="CU94" s="4">
        <v>10</v>
      </c>
      <c r="CV94" s="4">
        <v>604001</v>
      </c>
      <c r="CW94" s="4" t="s">
        <v>113</v>
      </c>
      <c r="CX94" s="4">
        <v>100</v>
      </c>
      <c r="CY94" s="4">
        <v>605001</v>
      </c>
      <c r="CZ94" s="4" t="s">
        <v>122</v>
      </c>
      <c r="DA94" s="4">
        <v>500</v>
      </c>
      <c r="DB94" s="4">
        <v>603001</v>
      </c>
      <c r="DC94" s="4" t="s">
        <v>116</v>
      </c>
      <c r="DD94" s="4">
        <v>10</v>
      </c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</row>
    <row r="95" spans="1:119" x14ac:dyDescent="0.15">
      <c r="A95" s="13">
        <v>105016</v>
      </c>
      <c r="B95" s="15" t="s">
        <v>228</v>
      </c>
      <c r="C95" s="47" t="s">
        <v>667</v>
      </c>
      <c r="D95" s="26"/>
      <c r="E95" s="26">
        <v>0</v>
      </c>
      <c r="F95" s="5">
        <v>0</v>
      </c>
      <c r="G95" s="26">
        <v>1</v>
      </c>
      <c r="H95" s="4">
        <v>2</v>
      </c>
      <c r="I95" s="5">
        <v>0</v>
      </c>
      <c r="J95" s="4"/>
      <c r="K95" s="25" t="s">
        <v>520</v>
      </c>
      <c r="L95" s="26"/>
      <c r="M95" s="8">
        <v>1</v>
      </c>
      <c r="N95" s="4" t="s">
        <v>229</v>
      </c>
      <c r="O95" s="25">
        <v>0</v>
      </c>
      <c r="P95" s="25">
        <v>14</v>
      </c>
      <c r="Q95" s="25">
        <v>0</v>
      </c>
      <c r="R95" s="4">
        <v>1</v>
      </c>
      <c r="S95" s="4">
        <v>0</v>
      </c>
      <c r="T95" s="4">
        <v>1</v>
      </c>
      <c r="U95" s="4">
        <v>1</v>
      </c>
      <c r="V95" s="5">
        <v>1</v>
      </c>
      <c r="W95" s="5">
        <v>0</v>
      </c>
      <c r="X95" s="5">
        <v>1</v>
      </c>
      <c r="Y95" s="15" t="s">
        <v>228</v>
      </c>
      <c r="Z95" s="5">
        <v>1</v>
      </c>
      <c r="AA95" s="5">
        <v>0</v>
      </c>
      <c r="AB95" s="5">
        <v>1</v>
      </c>
      <c r="AC95" s="5">
        <v>1</v>
      </c>
      <c r="AD95" s="5">
        <v>0</v>
      </c>
      <c r="AE95" s="3">
        <v>1</v>
      </c>
      <c r="AF95" s="5">
        <v>0</v>
      </c>
      <c r="AG95" s="4">
        <v>0</v>
      </c>
      <c r="AH95" s="25">
        <v>0</v>
      </c>
      <c r="AI95" s="26">
        <v>1</v>
      </c>
      <c r="AJ95" s="5">
        <v>1</v>
      </c>
      <c r="AK95" s="5">
        <v>0</v>
      </c>
      <c r="AL95" s="5">
        <v>1</v>
      </c>
      <c r="AM95" s="4">
        <v>1</v>
      </c>
      <c r="AN95" s="5">
        <v>0</v>
      </c>
      <c r="AO95" s="5">
        <v>0</v>
      </c>
      <c r="AP95" s="4">
        <v>1</v>
      </c>
      <c r="AQ95" s="4"/>
      <c r="AR95" s="4">
        <v>0</v>
      </c>
      <c r="AS95" s="4">
        <v>0</v>
      </c>
      <c r="AT95" s="4">
        <v>0</v>
      </c>
      <c r="AU95" s="4">
        <v>0</v>
      </c>
      <c r="AV95" s="12">
        <v>0</v>
      </c>
      <c r="AW95" s="4">
        <v>1</v>
      </c>
      <c r="AX95" s="4">
        <v>0</v>
      </c>
      <c r="AY95" s="4">
        <v>0</v>
      </c>
      <c r="AZ95" s="4">
        <v>0</v>
      </c>
      <c r="BA95" s="25" t="s">
        <v>349</v>
      </c>
      <c r="BB95" s="5">
        <v>1</v>
      </c>
      <c r="BC95" s="17" t="s">
        <v>109</v>
      </c>
      <c r="BD95" s="17" t="s">
        <v>110</v>
      </c>
      <c r="BE95" s="17" t="s">
        <v>109</v>
      </c>
      <c r="BF95" s="17" t="s">
        <v>379</v>
      </c>
      <c r="BG95" s="4" t="str">
        <f>B95</f>
        <v>烹饪台</v>
      </c>
      <c r="BH95" s="20">
        <v>1</v>
      </c>
      <c r="BI95" s="4">
        <v>1</v>
      </c>
      <c r="BJ95" s="4">
        <v>0</v>
      </c>
      <c r="BK95" s="4">
        <v>0</v>
      </c>
      <c r="BL95" s="4">
        <v>1</v>
      </c>
      <c r="BM95" s="4">
        <v>1</v>
      </c>
      <c r="BN95" s="4">
        <v>1</v>
      </c>
      <c r="BO95" s="4">
        <v>0</v>
      </c>
      <c r="BP95" s="4">
        <v>0</v>
      </c>
      <c r="BQ95" s="4">
        <v>1</v>
      </c>
      <c r="BR95" s="4">
        <v>0</v>
      </c>
      <c r="BS95" s="4">
        <v>0</v>
      </c>
      <c r="BT95" s="4">
        <v>1</v>
      </c>
      <c r="BU95" s="4">
        <v>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1</v>
      </c>
      <c r="CB95" s="4">
        <v>0</v>
      </c>
      <c r="CC95" s="4">
        <v>30</v>
      </c>
      <c r="CD95" s="4">
        <v>0</v>
      </c>
      <c r="CE95" s="4">
        <v>4</v>
      </c>
      <c r="CF95" s="4">
        <v>1</v>
      </c>
      <c r="CG95" s="4">
        <v>0</v>
      </c>
      <c r="CH95" s="4">
        <v>1</v>
      </c>
      <c r="CI95" s="4">
        <v>1</v>
      </c>
      <c r="CJ95" s="4">
        <v>1</v>
      </c>
      <c r="CK95" s="4">
        <v>1</v>
      </c>
      <c r="CL95" s="4">
        <v>100</v>
      </c>
      <c r="CM95" s="4">
        <v>0</v>
      </c>
      <c r="CN95" s="4">
        <v>1</v>
      </c>
      <c r="CO95" s="4">
        <v>0</v>
      </c>
      <c r="CP95" s="4">
        <v>0</v>
      </c>
      <c r="CQ95" s="4">
        <v>0</v>
      </c>
      <c r="CR95" s="4" t="str">
        <f>B95</f>
        <v>烹饪台</v>
      </c>
      <c r="CS95" s="4">
        <v>0</v>
      </c>
      <c r="CT95" s="4">
        <v>2</v>
      </c>
      <c r="CU95" s="4">
        <v>10</v>
      </c>
      <c r="CV95" s="4">
        <v>604001</v>
      </c>
      <c r="CW95" s="4" t="s">
        <v>113</v>
      </c>
      <c r="CX95" s="4">
        <v>40</v>
      </c>
      <c r="CY95" s="4">
        <v>605001</v>
      </c>
      <c r="CZ95" s="4" t="s">
        <v>122</v>
      </c>
      <c r="DA95" s="4">
        <v>50</v>
      </c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 t="s">
        <v>343</v>
      </c>
      <c r="DO95" s="4"/>
    </row>
    <row r="96" spans="1:119" x14ac:dyDescent="0.15">
      <c r="A96" s="13">
        <v>105015</v>
      </c>
      <c r="B96" s="14" t="s">
        <v>225</v>
      </c>
      <c r="C96" s="47" t="s">
        <v>667</v>
      </c>
      <c r="D96" s="26"/>
      <c r="E96" s="26">
        <v>0</v>
      </c>
      <c r="F96" s="5">
        <v>0</v>
      </c>
      <c r="G96" s="26">
        <v>1</v>
      </c>
      <c r="H96" s="4">
        <v>3</v>
      </c>
      <c r="I96" s="5">
        <v>0</v>
      </c>
      <c r="J96" s="5"/>
      <c r="K96" s="5"/>
      <c r="L96" s="5"/>
      <c r="M96" s="8">
        <v>0</v>
      </c>
      <c r="N96" s="4" t="s">
        <v>226</v>
      </c>
      <c r="O96" s="25">
        <v>0</v>
      </c>
      <c r="P96" s="25">
        <v>0</v>
      </c>
      <c r="Q96" s="25">
        <v>0</v>
      </c>
      <c r="R96" s="4">
        <v>1</v>
      </c>
      <c r="S96" s="4">
        <v>0</v>
      </c>
      <c r="T96" s="4">
        <v>0</v>
      </c>
      <c r="U96" s="4">
        <v>0</v>
      </c>
      <c r="V96" s="5">
        <v>1</v>
      </c>
      <c r="W96" s="5">
        <v>0</v>
      </c>
      <c r="X96" s="5">
        <v>1</v>
      </c>
      <c r="Y96" s="14" t="s">
        <v>225</v>
      </c>
      <c r="Z96" s="5">
        <v>0</v>
      </c>
      <c r="AA96" s="5">
        <v>1</v>
      </c>
      <c r="AB96" s="5">
        <v>1</v>
      </c>
      <c r="AC96" s="5">
        <v>2</v>
      </c>
      <c r="AD96" s="5">
        <v>0</v>
      </c>
      <c r="AE96" s="3">
        <v>0</v>
      </c>
      <c r="AF96" s="5">
        <v>0</v>
      </c>
      <c r="AG96" s="4">
        <v>0</v>
      </c>
      <c r="AH96" s="25">
        <v>0</v>
      </c>
      <c r="AI96" s="26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4">
        <v>1</v>
      </c>
      <c r="AQ96" s="4"/>
      <c r="AR96" s="4">
        <v>1</v>
      </c>
      <c r="AS96" s="4">
        <v>1</v>
      </c>
      <c r="AT96" s="4">
        <v>1</v>
      </c>
      <c r="AU96" s="4">
        <v>1</v>
      </c>
      <c r="AV96" s="12">
        <v>0</v>
      </c>
      <c r="AW96" s="4">
        <v>1</v>
      </c>
      <c r="AX96" s="4">
        <v>1</v>
      </c>
      <c r="AY96" s="4">
        <v>1</v>
      </c>
      <c r="AZ96" s="4">
        <v>0</v>
      </c>
      <c r="BA96" s="4" t="s">
        <v>227</v>
      </c>
      <c r="BB96" s="5">
        <v>1</v>
      </c>
      <c r="BC96" s="17" t="s">
        <v>109</v>
      </c>
      <c r="BD96" s="17" t="s">
        <v>110</v>
      </c>
      <c r="BE96" s="17" t="s">
        <v>109</v>
      </c>
      <c r="BF96" s="17" t="s">
        <v>379</v>
      </c>
      <c r="BG96" s="4" t="str">
        <f>B96</f>
        <v>堆肥桶</v>
      </c>
      <c r="BH96" s="20">
        <v>1</v>
      </c>
      <c r="BI96" s="4">
        <v>1</v>
      </c>
      <c r="BJ96" s="4">
        <v>0</v>
      </c>
      <c r="BK96" s="4">
        <v>0</v>
      </c>
      <c r="BL96" s="4">
        <v>1234</v>
      </c>
      <c r="BM96" s="4">
        <v>1</v>
      </c>
      <c r="BN96" s="4">
        <v>1</v>
      </c>
      <c r="BO96" s="4">
        <v>0</v>
      </c>
      <c r="BP96" s="4">
        <v>0</v>
      </c>
      <c r="BQ96" s="4">
        <v>1</v>
      </c>
      <c r="BR96" s="4">
        <v>1</v>
      </c>
      <c r="BS96" s="4">
        <v>0</v>
      </c>
      <c r="BT96" s="4">
        <v>0</v>
      </c>
      <c r="BU96" s="4">
        <v>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1</v>
      </c>
      <c r="CB96" s="4">
        <v>0</v>
      </c>
      <c r="CC96" s="4">
        <v>3</v>
      </c>
      <c r="CD96" s="4">
        <v>0</v>
      </c>
      <c r="CE96" s="4">
        <v>4</v>
      </c>
      <c r="CF96" s="4">
        <v>1</v>
      </c>
      <c r="CG96" s="4">
        <v>0</v>
      </c>
      <c r="CH96" s="4">
        <v>1</v>
      </c>
      <c r="CI96" s="4">
        <v>1</v>
      </c>
      <c r="CJ96" s="4">
        <v>1</v>
      </c>
      <c r="CK96" s="4">
        <v>1</v>
      </c>
      <c r="CL96" s="4">
        <v>100</v>
      </c>
      <c r="CM96" s="4">
        <v>0</v>
      </c>
      <c r="CN96" s="4">
        <v>1</v>
      </c>
      <c r="CO96" s="4">
        <v>0</v>
      </c>
      <c r="CP96" s="4">
        <v>0</v>
      </c>
      <c r="CQ96" s="4">
        <v>0</v>
      </c>
      <c r="CR96" s="4" t="str">
        <f>B96</f>
        <v>堆肥桶</v>
      </c>
      <c r="CS96" s="4">
        <v>0</v>
      </c>
      <c r="CT96" s="4">
        <v>3</v>
      </c>
      <c r="CU96" s="4">
        <v>10</v>
      </c>
      <c r="CV96" s="4">
        <v>604001</v>
      </c>
      <c r="CW96" s="4" t="s">
        <v>113</v>
      </c>
      <c r="CX96" s="4">
        <v>30</v>
      </c>
      <c r="CY96" s="4">
        <v>605001</v>
      </c>
      <c r="CZ96" s="4" t="s">
        <v>122</v>
      </c>
      <c r="DA96" s="4">
        <v>60</v>
      </c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 t="s">
        <v>344</v>
      </c>
      <c r="DO96" s="4"/>
    </row>
    <row r="97" spans="1:119" x14ac:dyDescent="0.15">
      <c r="A97" s="13">
        <v>105028</v>
      </c>
      <c r="B97" s="15" t="s">
        <v>301</v>
      </c>
      <c r="C97" s="47" t="s">
        <v>680</v>
      </c>
      <c r="D97" s="26"/>
      <c r="E97" s="26">
        <v>0</v>
      </c>
      <c r="F97" s="5">
        <v>0</v>
      </c>
      <c r="G97" s="26">
        <v>1</v>
      </c>
      <c r="H97" s="4">
        <v>3</v>
      </c>
      <c r="I97" s="5">
        <v>0</v>
      </c>
      <c r="J97" s="4"/>
      <c r="K97" s="25" t="s">
        <v>525</v>
      </c>
      <c r="L97" s="26"/>
      <c r="M97" s="8">
        <v>1</v>
      </c>
      <c r="N97" s="25" t="s">
        <v>302</v>
      </c>
      <c r="O97" s="25">
        <v>0</v>
      </c>
      <c r="P97" s="25">
        <v>14</v>
      </c>
      <c r="Q97" s="25">
        <v>0</v>
      </c>
      <c r="R97" s="4">
        <v>1</v>
      </c>
      <c r="S97" s="4">
        <v>0</v>
      </c>
      <c r="T97" s="4">
        <v>1</v>
      </c>
      <c r="U97" s="4">
        <v>1</v>
      </c>
      <c r="V97" s="5">
        <v>1</v>
      </c>
      <c r="W97" s="5">
        <v>0</v>
      </c>
      <c r="X97" s="5">
        <v>1</v>
      </c>
      <c r="Y97" s="15" t="s">
        <v>301</v>
      </c>
      <c r="Z97" s="5">
        <v>1</v>
      </c>
      <c r="AA97" s="5">
        <v>0</v>
      </c>
      <c r="AB97" s="5">
        <v>1</v>
      </c>
      <c r="AC97" s="5">
        <v>1</v>
      </c>
      <c r="AD97" s="5">
        <v>0</v>
      </c>
      <c r="AE97" s="3">
        <v>1</v>
      </c>
      <c r="AF97" s="5">
        <v>0</v>
      </c>
      <c r="AG97" s="4">
        <v>0</v>
      </c>
      <c r="AH97" s="25">
        <v>0</v>
      </c>
      <c r="AI97" s="26">
        <v>1</v>
      </c>
      <c r="AJ97" s="5">
        <v>1</v>
      </c>
      <c r="AK97" s="5">
        <v>0</v>
      </c>
      <c r="AL97" s="5">
        <v>1</v>
      </c>
      <c r="AM97" s="4">
        <v>1</v>
      </c>
      <c r="AN97" s="5">
        <v>0</v>
      </c>
      <c r="AO97" s="5">
        <v>0</v>
      </c>
      <c r="AP97" s="4">
        <v>1</v>
      </c>
      <c r="AQ97" s="4"/>
      <c r="AR97" s="4">
        <v>0</v>
      </c>
      <c r="AS97" s="4">
        <v>0</v>
      </c>
      <c r="AT97" s="4">
        <v>0</v>
      </c>
      <c r="AU97" s="4">
        <v>0</v>
      </c>
      <c r="AV97" s="12">
        <v>0</v>
      </c>
      <c r="AW97" s="4">
        <v>1</v>
      </c>
      <c r="AX97" s="4">
        <v>0</v>
      </c>
      <c r="AY97" s="4">
        <v>0</v>
      </c>
      <c r="AZ97" s="4">
        <v>0</v>
      </c>
      <c r="BA97" s="25" t="s">
        <v>305</v>
      </c>
      <c r="BB97" s="5">
        <v>1</v>
      </c>
      <c r="BC97" s="17" t="s">
        <v>109</v>
      </c>
      <c r="BD97" s="17" t="s">
        <v>110</v>
      </c>
      <c r="BE97" s="17" t="s">
        <v>109</v>
      </c>
      <c r="BF97" s="17" t="s">
        <v>379</v>
      </c>
      <c r="BG97" s="4" t="str">
        <f t="shared" ref="BG97" si="29">B97</f>
        <v>熔炉</v>
      </c>
      <c r="BH97" s="20">
        <v>2</v>
      </c>
      <c r="BI97" s="4">
        <v>2</v>
      </c>
      <c r="BJ97" s="4">
        <v>0</v>
      </c>
      <c r="BK97" s="4">
        <v>0</v>
      </c>
      <c r="BL97" s="4">
        <v>1</v>
      </c>
      <c r="BM97" s="4">
        <v>1</v>
      </c>
      <c r="BN97" s="4">
        <v>1</v>
      </c>
      <c r="BO97" s="4">
        <v>0</v>
      </c>
      <c r="BP97" s="4">
        <v>0</v>
      </c>
      <c r="BQ97" s="4">
        <v>1</v>
      </c>
      <c r="BR97" s="4">
        <v>0</v>
      </c>
      <c r="BS97" s="4">
        <v>0</v>
      </c>
      <c r="BT97" s="4">
        <v>1</v>
      </c>
      <c r="BU97" s="4">
        <v>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1</v>
      </c>
      <c r="CB97" s="4">
        <v>0</v>
      </c>
      <c r="CC97" s="4">
        <v>30</v>
      </c>
      <c r="CD97" s="4">
        <v>0</v>
      </c>
      <c r="CE97" s="4">
        <v>4</v>
      </c>
      <c r="CF97" s="4">
        <v>1</v>
      </c>
      <c r="CG97" s="4">
        <v>0</v>
      </c>
      <c r="CH97" s="4">
        <v>1</v>
      </c>
      <c r="CI97" s="4">
        <v>1</v>
      </c>
      <c r="CJ97" s="4">
        <v>1</v>
      </c>
      <c r="CK97" s="4">
        <v>1</v>
      </c>
      <c r="CL97" s="4">
        <v>100</v>
      </c>
      <c r="CM97" s="4">
        <v>0</v>
      </c>
      <c r="CN97" s="4">
        <v>1</v>
      </c>
      <c r="CO97" s="4">
        <v>0</v>
      </c>
      <c r="CP97" s="4">
        <v>0</v>
      </c>
      <c r="CQ97" s="4">
        <v>0</v>
      </c>
      <c r="CR97" s="4" t="str">
        <f t="shared" ref="CR97" si="30">B97</f>
        <v>熔炉</v>
      </c>
      <c r="CS97" s="4">
        <v>0</v>
      </c>
      <c r="CT97" s="4">
        <v>3</v>
      </c>
      <c r="CU97" s="4">
        <v>10</v>
      </c>
      <c r="CV97" s="4">
        <v>604001</v>
      </c>
      <c r="CW97" s="4" t="s">
        <v>113</v>
      </c>
      <c r="CX97" s="4">
        <v>50</v>
      </c>
      <c r="CY97" s="4">
        <v>605001</v>
      </c>
      <c r="CZ97" s="4" t="s">
        <v>122</v>
      </c>
      <c r="DA97" s="4">
        <v>300</v>
      </c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25" t="s">
        <v>420</v>
      </c>
      <c r="DO97" s="4"/>
    </row>
    <row r="98" spans="1:119" ht="114.75" customHeight="1" x14ac:dyDescent="0.15">
      <c r="A98" s="4">
        <v>106001</v>
      </c>
      <c r="B98" s="6" t="s">
        <v>257</v>
      </c>
      <c r="C98" s="47" t="s">
        <v>683</v>
      </c>
      <c r="D98" s="26"/>
      <c r="E98" s="26">
        <v>0</v>
      </c>
      <c r="F98" s="5">
        <v>1</v>
      </c>
      <c r="G98" s="26">
        <v>1</v>
      </c>
      <c r="H98" s="4">
        <v>6</v>
      </c>
      <c r="I98" s="5">
        <v>1</v>
      </c>
      <c r="J98" s="5"/>
      <c r="K98" s="5"/>
      <c r="L98" s="5"/>
      <c r="M98" s="8">
        <v>0</v>
      </c>
      <c r="N98" s="4" t="s">
        <v>258</v>
      </c>
      <c r="O98" s="25">
        <v>0</v>
      </c>
      <c r="P98" s="25">
        <v>0</v>
      </c>
      <c r="Q98" s="25">
        <v>0</v>
      </c>
      <c r="R98" s="4">
        <v>1</v>
      </c>
      <c r="S98" s="4">
        <v>0</v>
      </c>
      <c r="T98" s="4">
        <v>0</v>
      </c>
      <c r="U98" s="4">
        <v>0</v>
      </c>
      <c r="V98" s="5">
        <v>1</v>
      </c>
      <c r="W98" s="5">
        <v>0</v>
      </c>
      <c r="X98" s="5">
        <v>1</v>
      </c>
      <c r="Y98" s="6" t="s">
        <v>257</v>
      </c>
      <c r="Z98" s="5">
        <v>0</v>
      </c>
      <c r="AA98" s="5">
        <v>0</v>
      </c>
      <c r="AB98" s="5">
        <v>1</v>
      </c>
      <c r="AC98" s="5">
        <v>2</v>
      </c>
      <c r="AD98" s="5">
        <v>0</v>
      </c>
      <c r="AE98" s="3">
        <v>0</v>
      </c>
      <c r="AF98" s="5">
        <v>0</v>
      </c>
      <c r="AG98" s="4">
        <v>0</v>
      </c>
      <c r="AH98" s="25">
        <v>0</v>
      </c>
      <c r="AI98" s="26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4">
        <v>1</v>
      </c>
      <c r="AQ98" s="4"/>
      <c r="AR98" s="13">
        <v>1</v>
      </c>
      <c r="AS98" s="13">
        <v>1</v>
      </c>
      <c r="AT98" s="4">
        <v>1</v>
      </c>
      <c r="AU98" s="4">
        <v>1</v>
      </c>
      <c r="AV98" s="12">
        <v>0</v>
      </c>
      <c r="AW98" s="4">
        <v>0</v>
      </c>
      <c r="AX98" s="4">
        <v>1</v>
      </c>
      <c r="AY98" s="4">
        <v>1</v>
      </c>
      <c r="AZ98" s="4">
        <v>0</v>
      </c>
      <c r="BA98" s="4" t="s">
        <v>259</v>
      </c>
      <c r="BB98" s="5">
        <v>1</v>
      </c>
      <c r="BC98" s="17" t="s">
        <v>109</v>
      </c>
      <c r="BD98" s="17" t="s">
        <v>110</v>
      </c>
      <c r="BE98" s="17" t="s">
        <v>109</v>
      </c>
      <c r="BF98" s="17" t="s">
        <v>379</v>
      </c>
      <c r="BG98" s="4" t="str">
        <f t="shared" ref="BG98:BG111" si="31">B98</f>
        <v>军营</v>
      </c>
      <c r="BH98" s="20">
        <v>4</v>
      </c>
      <c r="BI98" s="4">
        <v>2</v>
      </c>
      <c r="BJ98" s="4">
        <v>0</v>
      </c>
      <c r="BK98" s="4">
        <v>0</v>
      </c>
      <c r="BL98" s="4">
        <v>1234</v>
      </c>
      <c r="BM98" s="4">
        <v>1</v>
      </c>
      <c r="BN98" s="4">
        <v>1</v>
      </c>
      <c r="BO98" s="4">
        <v>0</v>
      </c>
      <c r="BP98" s="4">
        <v>1</v>
      </c>
      <c r="BQ98" s="4">
        <v>0</v>
      </c>
      <c r="BR98" s="4">
        <v>0</v>
      </c>
      <c r="BS98" s="4">
        <v>1</v>
      </c>
      <c r="BT98" s="4">
        <v>0</v>
      </c>
      <c r="BU98" s="4">
        <v>1</v>
      </c>
      <c r="BV98" s="4">
        <v>0</v>
      </c>
      <c r="BW98" s="4">
        <v>4</v>
      </c>
      <c r="BX98" s="4">
        <v>1</v>
      </c>
      <c r="BY98" s="4">
        <v>1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4</v>
      </c>
      <c r="CF98" s="4">
        <v>0</v>
      </c>
      <c r="CG98" s="4">
        <v>0</v>
      </c>
      <c r="CH98" s="4">
        <v>1</v>
      </c>
      <c r="CI98" s="4">
        <v>1</v>
      </c>
      <c r="CJ98" s="4">
        <v>1</v>
      </c>
      <c r="CK98" s="4">
        <v>1</v>
      </c>
      <c r="CL98" s="4">
        <v>1000</v>
      </c>
      <c r="CM98" s="4">
        <v>0</v>
      </c>
      <c r="CN98" s="4">
        <v>1</v>
      </c>
      <c r="CO98" s="4">
        <v>0</v>
      </c>
      <c r="CP98" s="4">
        <v>0</v>
      </c>
      <c r="CQ98" s="4">
        <v>0</v>
      </c>
      <c r="CR98" s="4" t="str">
        <f t="shared" ref="CR98:CR111" si="32">B98</f>
        <v>军营</v>
      </c>
      <c r="CS98" s="4">
        <v>0</v>
      </c>
      <c r="CT98" s="4">
        <v>5</v>
      </c>
      <c r="CU98" s="4">
        <v>20</v>
      </c>
      <c r="CV98" s="4">
        <v>604001</v>
      </c>
      <c r="CW98" s="4" t="s">
        <v>113</v>
      </c>
      <c r="CX98" s="4">
        <v>200</v>
      </c>
      <c r="CY98" s="4">
        <v>605001</v>
      </c>
      <c r="CZ98" s="4" t="s">
        <v>122</v>
      </c>
      <c r="DA98" s="4">
        <v>200</v>
      </c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31" t="s">
        <v>712</v>
      </c>
      <c r="DO98" s="4"/>
    </row>
    <row r="99" spans="1:119" x14ac:dyDescent="0.15">
      <c r="A99" s="4">
        <v>106005</v>
      </c>
      <c r="B99" s="28" t="s">
        <v>473</v>
      </c>
      <c r="C99" s="47" t="s">
        <v>683</v>
      </c>
      <c r="D99" s="26"/>
      <c r="E99" s="26">
        <v>0</v>
      </c>
      <c r="F99" s="5">
        <v>1</v>
      </c>
      <c r="G99" s="26">
        <v>1</v>
      </c>
      <c r="H99" s="4">
        <v>6</v>
      </c>
      <c r="I99" s="5">
        <v>1</v>
      </c>
      <c r="J99" s="26"/>
      <c r="K99" s="26"/>
      <c r="L99" s="26"/>
      <c r="M99" s="8">
        <v>0</v>
      </c>
      <c r="N99" s="25" t="s">
        <v>474</v>
      </c>
      <c r="O99" s="25">
        <v>0</v>
      </c>
      <c r="P99" s="25">
        <v>0</v>
      </c>
      <c r="Q99" s="25">
        <v>0</v>
      </c>
      <c r="R99" s="4">
        <v>1</v>
      </c>
      <c r="S99" s="4">
        <v>0</v>
      </c>
      <c r="T99" s="4">
        <v>0</v>
      </c>
      <c r="U99" s="4">
        <v>0</v>
      </c>
      <c r="V99" s="5">
        <v>1</v>
      </c>
      <c r="W99" s="5">
        <v>0</v>
      </c>
      <c r="X99" s="5">
        <v>1</v>
      </c>
      <c r="Y99" s="28" t="s">
        <v>473</v>
      </c>
      <c r="Z99" s="5">
        <v>0</v>
      </c>
      <c r="AA99" s="5">
        <v>0</v>
      </c>
      <c r="AB99" s="5">
        <v>1</v>
      </c>
      <c r="AC99" s="5">
        <v>0</v>
      </c>
      <c r="AD99" s="5">
        <v>0</v>
      </c>
      <c r="AE99" s="3">
        <v>0</v>
      </c>
      <c r="AF99" s="5">
        <v>0</v>
      </c>
      <c r="AG99" s="4">
        <v>0</v>
      </c>
      <c r="AH99" s="25">
        <v>0</v>
      </c>
      <c r="AI99" s="26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4">
        <v>1</v>
      </c>
      <c r="AQ99" s="4"/>
      <c r="AR99" s="13">
        <v>0</v>
      </c>
      <c r="AS99" s="13">
        <v>0</v>
      </c>
      <c r="AT99" s="4">
        <v>0</v>
      </c>
      <c r="AU99" s="4">
        <v>0</v>
      </c>
      <c r="AV99" s="12">
        <v>0</v>
      </c>
      <c r="AW99" s="4">
        <v>0</v>
      </c>
      <c r="AX99" s="4">
        <v>1</v>
      </c>
      <c r="AY99" s="4">
        <v>1</v>
      </c>
      <c r="AZ99" s="4">
        <v>0</v>
      </c>
      <c r="BA99" s="25" t="s">
        <v>475</v>
      </c>
      <c r="BB99" s="5">
        <v>1</v>
      </c>
      <c r="BC99" s="17" t="s">
        <v>109</v>
      </c>
      <c r="BD99" s="17" t="s">
        <v>110</v>
      </c>
      <c r="BE99" s="17" t="s">
        <v>109</v>
      </c>
      <c r="BF99" s="17" t="s">
        <v>309</v>
      </c>
      <c r="BG99" s="4" t="str">
        <f>B99</f>
        <v>王座</v>
      </c>
      <c r="BH99" s="20">
        <v>5</v>
      </c>
      <c r="BI99" s="4">
        <v>6</v>
      </c>
      <c r="BJ99" s="4">
        <v>0</v>
      </c>
      <c r="BK99" s="4">
        <v>0</v>
      </c>
      <c r="BL99" s="4">
        <v>124</v>
      </c>
      <c r="BM99" s="4">
        <v>0</v>
      </c>
      <c r="BN99" s="4">
        <v>1</v>
      </c>
      <c r="BO99" s="4">
        <v>0</v>
      </c>
      <c r="BP99" s="4">
        <v>1</v>
      </c>
      <c r="BQ99" s="4">
        <v>0</v>
      </c>
      <c r="BR99" s="4">
        <v>0</v>
      </c>
      <c r="BS99" s="4">
        <v>1</v>
      </c>
      <c r="BT99" s="4">
        <v>0</v>
      </c>
      <c r="BU99" s="4">
        <v>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4</v>
      </c>
      <c r="CF99" s="4">
        <v>0</v>
      </c>
      <c r="CG99" s="4">
        <v>1</v>
      </c>
      <c r="CH99" s="4">
        <v>1</v>
      </c>
      <c r="CI99" s="4">
        <v>1</v>
      </c>
      <c r="CJ99" s="4">
        <v>1</v>
      </c>
      <c r="CK99" s="4">
        <v>1</v>
      </c>
      <c r="CL99" s="4">
        <v>5000</v>
      </c>
      <c r="CM99" s="4">
        <v>1</v>
      </c>
      <c r="CN99" s="4">
        <v>1</v>
      </c>
      <c r="CO99" s="4">
        <v>0</v>
      </c>
      <c r="CP99" s="4">
        <v>0</v>
      </c>
      <c r="CQ99" s="4">
        <v>0</v>
      </c>
      <c r="CR99" s="4" t="str">
        <f>B99</f>
        <v>王座</v>
      </c>
      <c r="CS99" s="4">
        <v>0</v>
      </c>
      <c r="CT99" s="4">
        <v>3</v>
      </c>
      <c r="CU99" s="4">
        <v>20</v>
      </c>
      <c r="CV99" s="4">
        <v>604001</v>
      </c>
      <c r="CW99" s="4" t="s">
        <v>113</v>
      </c>
      <c r="CX99" s="4">
        <v>100</v>
      </c>
      <c r="CY99" s="4">
        <v>605001</v>
      </c>
      <c r="CZ99" s="4" t="s">
        <v>122</v>
      </c>
      <c r="DA99" s="4">
        <v>200</v>
      </c>
      <c r="DB99" s="4">
        <v>608001</v>
      </c>
      <c r="DC99" s="4" t="s">
        <v>119</v>
      </c>
      <c r="DD99" s="4">
        <v>10</v>
      </c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</row>
    <row r="100" spans="1:119" x14ac:dyDescent="0.15">
      <c r="A100" s="4">
        <v>106004</v>
      </c>
      <c r="B100" s="28" t="s">
        <v>386</v>
      </c>
      <c r="C100" s="47" t="s">
        <v>683</v>
      </c>
      <c r="D100" s="26"/>
      <c r="E100" s="26">
        <v>0</v>
      </c>
      <c r="F100" s="5">
        <v>1</v>
      </c>
      <c r="G100" s="26">
        <v>1</v>
      </c>
      <c r="H100" s="4">
        <v>6</v>
      </c>
      <c r="I100" s="5">
        <v>1</v>
      </c>
      <c r="J100" s="26"/>
      <c r="K100" s="26"/>
      <c r="L100" s="26"/>
      <c r="M100" s="8">
        <v>0</v>
      </c>
      <c r="N100" s="4" t="s">
        <v>258</v>
      </c>
      <c r="O100" s="25">
        <v>0</v>
      </c>
      <c r="P100" s="25">
        <v>0</v>
      </c>
      <c r="Q100" s="25">
        <v>0</v>
      </c>
      <c r="R100" s="4">
        <v>1</v>
      </c>
      <c r="S100" s="4">
        <v>0</v>
      </c>
      <c r="T100" s="4">
        <v>0</v>
      </c>
      <c r="U100" s="4">
        <v>0</v>
      </c>
      <c r="V100" s="5">
        <v>1</v>
      </c>
      <c r="W100" s="5">
        <v>0</v>
      </c>
      <c r="X100" s="5">
        <v>1</v>
      </c>
      <c r="Y100" s="28" t="s">
        <v>386</v>
      </c>
      <c r="Z100" s="5">
        <v>0</v>
      </c>
      <c r="AA100" s="5">
        <v>0</v>
      </c>
      <c r="AB100" s="5">
        <v>1</v>
      </c>
      <c r="AC100" s="5">
        <v>2</v>
      </c>
      <c r="AD100" s="5">
        <v>0</v>
      </c>
      <c r="AE100" s="3">
        <v>0</v>
      </c>
      <c r="AF100" s="5">
        <v>0</v>
      </c>
      <c r="AG100" s="4">
        <v>0</v>
      </c>
      <c r="AH100" s="25">
        <v>0</v>
      </c>
      <c r="AI100" s="26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4">
        <v>1</v>
      </c>
      <c r="AQ100" s="4"/>
      <c r="AR100" s="13">
        <v>0</v>
      </c>
      <c r="AS100" s="13">
        <v>0</v>
      </c>
      <c r="AT100" s="4">
        <v>0</v>
      </c>
      <c r="AU100" s="4">
        <v>0</v>
      </c>
      <c r="AV100" s="12">
        <v>0</v>
      </c>
      <c r="AW100" s="4">
        <v>0</v>
      </c>
      <c r="AX100" s="4">
        <v>1</v>
      </c>
      <c r="AY100" s="4">
        <v>1</v>
      </c>
      <c r="AZ100" s="4">
        <v>0</v>
      </c>
      <c r="BA100" s="25" t="s">
        <v>385</v>
      </c>
      <c r="BB100" s="5">
        <v>1</v>
      </c>
      <c r="BC100" s="17" t="s">
        <v>109</v>
      </c>
      <c r="BD100" s="17" t="s">
        <v>110</v>
      </c>
      <c r="BE100" s="17" t="s">
        <v>109</v>
      </c>
      <c r="BF100" s="17" t="s">
        <v>309</v>
      </c>
      <c r="BG100" s="4" t="str">
        <f>B100</f>
        <v>野营</v>
      </c>
      <c r="BH100" s="20">
        <v>1</v>
      </c>
      <c r="BI100" s="4">
        <v>1</v>
      </c>
      <c r="BJ100" s="4">
        <v>0</v>
      </c>
      <c r="BK100" s="4">
        <v>0</v>
      </c>
      <c r="BL100" s="4">
        <v>1234</v>
      </c>
      <c r="BM100" s="4">
        <v>1</v>
      </c>
      <c r="BN100" s="4">
        <v>1</v>
      </c>
      <c r="BO100" s="4">
        <v>0</v>
      </c>
      <c r="BP100" s="4">
        <v>0</v>
      </c>
      <c r="BQ100" s="4">
        <v>0</v>
      </c>
      <c r="BR100" s="4">
        <v>0</v>
      </c>
      <c r="BS100" s="4">
        <v>1</v>
      </c>
      <c r="BT100" s="4">
        <v>0</v>
      </c>
      <c r="BU100" s="4">
        <v>1</v>
      </c>
      <c r="BV100" s="4">
        <v>0</v>
      </c>
      <c r="BW100" s="4">
        <v>2</v>
      </c>
      <c r="BX100" s="4">
        <v>1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4</v>
      </c>
      <c r="CF100" s="4">
        <v>0</v>
      </c>
      <c r="CG100" s="4">
        <v>0</v>
      </c>
      <c r="CH100" s="4">
        <v>1</v>
      </c>
      <c r="CI100" s="4">
        <v>1</v>
      </c>
      <c r="CJ100" s="4">
        <v>1</v>
      </c>
      <c r="CK100" s="4">
        <v>1</v>
      </c>
      <c r="CL100" s="4">
        <v>200</v>
      </c>
      <c r="CM100" s="4">
        <v>1</v>
      </c>
      <c r="CN100" s="4">
        <v>1</v>
      </c>
      <c r="CO100" s="4">
        <v>0</v>
      </c>
      <c r="CP100" s="4">
        <v>0</v>
      </c>
      <c r="CQ100" s="4">
        <v>0</v>
      </c>
      <c r="CR100" s="4" t="str">
        <f t="shared" ref="CR100" si="33">B100</f>
        <v>野营</v>
      </c>
      <c r="CS100" s="4">
        <v>0</v>
      </c>
      <c r="CT100" s="4">
        <v>1</v>
      </c>
      <c r="CU100" s="4">
        <v>0</v>
      </c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</row>
    <row r="101" spans="1:119" x14ac:dyDescent="0.15">
      <c r="A101" s="4">
        <v>106008</v>
      </c>
      <c r="B101" s="38" t="s">
        <v>579</v>
      </c>
      <c r="C101" s="47" t="s">
        <v>110</v>
      </c>
      <c r="D101" s="26"/>
      <c r="E101" s="26">
        <v>0</v>
      </c>
      <c r="F101" s="5">
        <v>0</v>
      </c>
      <c r="G101" s="26">
        <v>1</v>
      </c>
      <c r="H101" s="4">
        <v>6</v>
      </c>
      <c r="I101" s="5">
        <v>1</v>
      </c>
      <c r="J101" s="26"/>
      <c r="K101" s="26"/>
      <c r="L101" s="26"/>
      <c r="M101" s="8">
        <v>0</v>
      </c>
      <c r="N101" s="25" t="s">
        <v>580</v>
      </c>
      <c r="O101" s="25">
        <v>0</v>
      </c>
      <c r="P101" s="25">
        <v>0</v>
      </c>
      <c r="Q101" s="25">
        <v>0</v>
      </c>
      <c r="R101" s="4">
        <v>1</v>
      </c>
      <c r="S101" s="4">
        <v>0</v>
      </c>
      <c r="T101" s="4">
        <v>0</v>
      </c>
      <c r="U101" s="4">
        <v>0</v>
      </c>
      <c r="V101" s="5">
        <v>1</v>
      </c>
      <c r="W101" s="5">
        <v>0</v>
      </c>
      <c r="X101" s="5">
        <v>1</v>
      </c>
      <c r="Y101" s="38" t="s">
        <v>579</v>
      </c>
      <c r="Z101" s="5">
        <v>0</v>
      </c>
      <c r="AA101" s="5">
        <v>0</v>
      </c>
      <c r="AB101" s="5">
        <v>1</v>
      </c>
      <c r="AC101" s="5">
        <v>0</v>
      </c>
      <c r="AD101" s="5">
        <v>0</v>
      </c>
      <c r="AE101" s="3">
        <v>0</v>
      </c>
      <c r="AF101" s="5">
        <v>0</v>
      </c>
      <c r="AG101" s="4">
        <v>0</v>
      </c>
      <c r="AH101" s="25">
        <v>0</v>
      </c>
      <c r="AI101" s="26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4">
        <v>1</v>
      </c>
      <c r="AQ101" s="4"/>
      <c r="AR101" s="13">
        <v>0</v>
      </c>
      <c r="AS101" s="13">
        <v>0</v>
      </c>
      <c r="AT101" s="4">
        <v>0</v>
      </c>
      <c r="AU101" s="4">
        <v>0</v>
      </c>
      <c r="AV101" s="12">
        <v>0</v>
      </c>
      <c r="AW101" s="4">
        <v>0</v>
      </c>
      <c r="AX101" s="4">
        <v>0</v>
      </c>
      <c r="AY101" s="4">
        <v>0</v>
      </c>
      <c r="AZ101" s="4">
        <v>0</v>
      </c>
      <c r="BA101" s="25" t="s">
        <v>581</v>
      </c>
      <c r="BB101" s="5">
        <v>1</v>
      </c>
      <c r="BC101" s="17" t="s">
        <v>109</v>
      </c>
      <c r="BD101" s="17" t="s">
        <v>110</v>
      </c>
      <c r="BE101" s="17" t="s">
        <v>109</v>
      </c>
      <c r="BF101" s="17" t="s">
        <v>309</v>
      </c>
      <c r="BG101" s="4" t="str">
        <f>B101</f>
        <v>训练场</v>
      </c>
      <c r="BH101" s="20">
        <v>7</v>
      </c>
      <c r="BI101" s="4">
        <v>7</v>
      </c>
      <c r="BJ101" s="4">
        <v>0</v>
      </c>
      <c r="BK101" s="4">
        <v>0</v>
      </c>
      <c r="BL101" s="4">
        <v>1</v>
      </c>
      <c r="BM101" s="4">
        <v>1</v>
      </c>
      <c r="BN101" s="4">
        <v>1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1</v>
      </c>
      <c r="CB101" s="4">
        <v>0</v>
      </c>
      <c r="CC101" s="4">
        <v>20</v>
      </c>
      <c r="CD101" s="4">
        <v>0</v>
      </c>
      <c r="CE101" s="4">
        <v>4</v>
      </c>
      <c r="CF101" s="4">
        <v>0</v>
      </c>
      <c r="CG101" s="4">
        <v>0</v>
      </c>
      <c r="CH101" s="4">
        <v>1</v>
      </c>
      <c r="CI101" s="4">
        <v>1</v>
      </c>
      <c r="CJ101" s="4">
        <v>1</v>
      </c>
      <c r="CK101" s="4">
        <v>1</v>
      </c>
      <c r="CL101" s="4">
        <v>200</v>
      </c>
      <c r="CM101" s="4">
        <v>1</v>
      </c>
      <c r="CN101" s="4">
        <v>1</v>
      </c>
      <c r="CO101" s="4">
        <v>0</v>
      </c>
      <c r="CP101" s="4">
        <v>0</v>
      </c>
      <c r="CQ101" s="4">
        <v>0</v>
      </c>
      <c r="CR101" s="4" t="str">
        <f t="shared" ref="CR101" si="34">B101</f>
        <v>训练场</v>
      </c>
      <c r="CS101" s="4">
        <v>0</v>
      </c>
      <c r="CT101" s="4">
        <v>3</v>
      </c>
      <c r="CU101" s="4">
        <v>300</v>
      </c>
      <c r="CV101" s="4">
        <v>604001</v>
      </c>
      <c r="CW101" s="4" t="s">
        <v>113</v>
      </c>
      <c r="CX101" s="4">
        <v>500</v>
      </c>
      <c r="CY101" s="4">
        <v>605001</v>
      </c>
      <c r="CZ101" s="4" t="s">
        <v>122</v>
      </c>
      <c r="DA101" s="4">
        <v>500</v>
      </c>
      <c r="DB101" s="4">
        <v>603001</v>
      </c>
      <c r="DC101" s="4" t="s">
        <v>116</v>
      </c>
      <c r="DD101" s="4">
        <v>100</v>
      </c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</row>
    <row r="102" spans="1:119" ht="17.25" customHeight="1" x14ac:dyDescent="0.15">
      <c r="A102" s="4">
        <v>106002</v>
      </c>
      <c r="B102" s="6" t="s">
        <v>260</v>
      </c>
      <c r="C102" s="47" t="s">
        <v>686</v>
      </c>
      <c r="D102" s="26"/>
      <c r="E102" s="26">
        <v>0</v>
      </c>
      <c r="F102" s="5">
        <v>1</v>
      </c>
      <c r="G102" s="26">
        <v>1</v>
      </c>
      <c r="H102" s="4">
        <v>6</v>
      </c>
      <c r="I102" s="5">
        <v>1</v>
      </c>
      <c r="J102" s="5"/>
      <c r="K102" s="5"/>
      <c r="L102" s="5"/>
      <c r="M102" s="8">
        <v>0</v>
      </c>
      <c r="N102" s="4" t="s">
        <v>261</v>
      </c>
      <c r="O102" s="25">
        <v>0</v>
      </c>
      <c r="P102" s="25">
        <v>0</v>
      </c>
      <c r="Q102" s="25">
        <v>0</v>
      </c>
      <c r="R102" s="4">
        <v>1</v>
      </c>
      <c r="S102" s="4">
        <v>0</v>
      </c>
      <c r="T102" s="4">
        <v>0</v>
      </c>
      <c r="U102" s="4">
        <v>0</v>
      </c>
      <c r="V102" s="5">
        <v>1</v>
      </c>
      <c r="W102" s="5">
        <v>0</v>
      </c>
      <c r="X102" s="5">
        <v>1</v>
      </c>
      <c r="Y102" s="6" t="s">
        <v>260</v>
      </c>
      <c r="Z102" s="5">
        <v>0</v>
      </c>
      <c r="AA102" s="5">
        <v>0</v>
      </c>
      <c r="AB102" s="5">
        <v>1</v>
      </c>
      <c r="AC102" s="5">
        <v>2</v>
      </c>
      <c r="AD102" s="5">
        <v>0</v>
      </c>
      <c r="AE102" s="3">
        <v>0</v>
      </c>
      <c r="AF102" s="5">
        <v>0</v>
      </c>
      <c r="AG102" s="4">
        <v>0</v>
      </c>
      <c r="AH102" s="25">
        <v>0</v>
      </c>
      <c r="AI102" s="26">
        <v>0</v>
      </c>
      <c r="AJ102" s="5">
        <v>0</v>
      </c>
      <c r="AK102" s="5">
        <v>0</v>
      </c>
      <c r="AL102" s="5">
        <v>1</v>
      </c>
      <c r="AM102" s="5">
        <v>0</v>
      </c>
      <c r="AN102" s="5">
        <v>1</v>
      </c>
      <c r="AO102" s="5">
        <v>1</v>
      </c>
      <c r="AP102" s="4">
        <v>1</v>
      </c>
      <c r="AQ102" s="4"/>
      <c r="AR102" s="13">
        <v>1</v>
      </c>
      <c r="AS102" s="13">
        <v>0</v>
      </c>
      <c r="AT102" s="4">
        <v>0</v>
      </c>
      <c r="AU102" s="4">
        <v>0</v>
      </c>
      <c r="AV102" s="12">
        <v>0</v>
      </c>
      <c r="AW102" s="4">
        <v>1</v>
      </c>
      <c r="AX102" s="4">
        <v>1</v>
      </c>
      <c r="AY102" s="4">
        <v>1</v>
      </c>
      <c r="AZ102" s="4">
        <v>0</v>
      </c>
      <c r="BA102" s="4" t="s">
        <v>262</v>
      </c>
      <c r="BB102" s="5">
        <v>1</v>
      </c>
      <c r="BC102" s="17" t="s">
        <v>109</v>
      </c>
      <c r="BD102" s="17" t="s">
        <v>110</v>
      </c>
      <c r="BE102" s="17" t="s">
        <v>109</v>
      </c>
      <c r="BF102" s="17" t="s">
        <v>379</v>
      </c>
      <c r="BG102" s="4" t="str">
        <f t="shared" si="31"/>
        <v>牢房</v>
      </c>
      <c r="BH102" s="20">
        <v>1</v>
      </c>
      <c r="BI102" s="4">
        <v>1</v>
      </c>
      <c r="BJ102" s="4">
        <v>0</v>
      </c>
      <c r="BK102" s="4">
        <v>0</v>
      </c>
      <c r="BL102" s="4">
        <v>1</v>
      </c>
      <c r="BM102" s="4">
        <v>1</v>
      </c>
      <c r="BN102" s="4">
        <v>0</v>
      </c>
      <c r="BO102" s="4">
        <v>0</v>
      </c>
      <c r="BP102" s="4">
        <v>1</v>
      </c>
      <c r="BQ102" s="4">
        <v>1</v>
      </c>
      <c r="BR102" s="4">
        <v>1</v>
      </c>
      <c r="BS102" s="4">
        <v>0</v>
      </c>
      <c r="BT102" s="4">
        <v>0</v>
      </c>
      <c r="BU102" s="4">
        <v>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4</v>
      </c>
      <c r="CF102" s="4">
        <v>0</v>
      </c>
      <c r="CG102" s="4">
        <v>0</v>
      </c>
      <c r="CH102" s="4">
        <v>1</v>
      </c>
      <c r="CI102" s="4">
        <v>7</v>
      </c>
      <c r="CJ102" s="4">
        <v>7</v>
      </c>
      <c r="CK102" s="4">
        <v>15</v>
      </c>
      <c r="CL102" s="4">
        <v>50</v>
      </c>
      <c r="CM102" s="4">
        <v>0</v>
      </c>
      <c r="CN102" s="4">
        <v>1</v>
      </c>
      <c r="CO102" s="4">
        <v>1</v>
      </c>
      <c r="CP102" s="4">
        <v>0</v>
      </c>
      <c r="CQ102" s="4">
        <v>0</v>
      </c>
      <c r="CR102" s="4" t="str">
        <f t="shared" si="32"/>
        <v>牢房</v>
      </c>
      <c r="CS102" s="4">
        <v>0</v>
      </c>
      <c r="CT102" s="4">
        <v>1</v>
      </c>
      <c r="CU102" s="4">
        <v>1</v>
      </c>
      <c r="CV102" s="4">
        <v>604001</v>
      </c>
      <c r="CW102" s="4" t="s">
        <v>113</v>
      </c>
      <c r="CX102" s="4">
        <v>1</v>
      </c>
      <c r="CY102" s="4">
        <v>605001</v>
      </c>
      <c r="CZ102" s="4" t="s">
        <v>122</v>
      </c>
      <c r="DA102" s="4">
        <v>1</v>
      </c>
      <c r="DB102" s="4">
        <v>603001</v>
      </c>
      <c r="DC102" s="4" t="s">
        <v>116</v>
      </c>
      <c r="DD102" s="4">
        <v>1</v>
      </c>
      <c r="DE102" s="4"/>
      <c r="DF102" s="4"/>
      <c r="DG102" s="4"/>
      <c r="DH102" s="4"/>
      <c r="DI102" s="4"/>
      <c r="DJ102" s="4"/>
      <c r="DK102" s="4"/>
      <c r="DL102" s="4"/>
      <c r="DM102" s="4"/>
      <c r="DN102" s="31" t="s">
        <v>497</v>
      </c>
      <c r="DO102" s="25" t="s">
        <v>740</v>
      </c>
    </row>
    <row r="103" spans="1:119" x14ac:dyDescent="0.15">
      <c r="A103" s="4">
        <v>106003</v>
      </c>
      <c r="B103" s="6" t="s">
        <v>263</v>
      </c>
      <c r="C103" s="47" t="s">
        <v>110</v>
      </c>
      <c r="D103" s="26"/>
      <c r="E103" s="26">
        <v>0</v>
      </c>
      <c r="F103" s="5">
        <v>0</v>
      </c>
      <c r="G103" s="26">
        <v>1</v>
      </c>
      <c r="H103" s="4">
        <v>6</v>
      </c>
      <c r="I103" s="5">
        <v>0</v>
      </c>
      <c r="J103" s="5"/>
      <c r="K103" s="5"/>
      <c r="L103" s="5"/>
      <c r="M103" s="8">
        <v>0</v>
      </c>
      <c r="N103" s="4" t="s">
        <v>264</v>
      </c>
      <c r="O103" s="25">
        <v>1</v>
      </c>
      <c r="P103" s="25">
        <v>0</v>
      </c>
      <c r="Q103" s="25">
        <v>0</v>
      </c>
      <c r="R103" s="4">
        <v>1</v>
      </c>
      <c r="S103" s="4">
        <v>0</v>
      </c>
      <c r="T103" s="4">
        <v>0</v>
      </c>
      <c r="U103" s="4">
        <v>0</v>
      </c>
      <c r="V103" s="5">
        <v>0</v>
      </c>
      <c r="W103" s="5">
        <v>0</v>
      </c>
      <c r="X103" s="5">
        <v>1</v>
      </c>
      <c r="Y103" s="6" t="s">
        <v>263</v>
      </c>
      <c r="Z103" s="5">
        <v>0</v>
      </c>
      <c r="AA103" s="5">
        <v>0</v>
      </c>
      <c r="AB103" s="5">
        <v>1</v>
      </c>
      <c r="AC103" s="5">
        <v>2</v>
      </c>
      <c r="AD103" s="5">
        <v>0</v>
      </c>
      <c r="AE103" s="3">
        <v>1</v>
      </c>
      <c r="AF103" s="5">
        <v>0</v>
      </c>
      <c r="AG103" s="4">
        <v>0</v>
      </c>
      <c r="AH103" s="25">
        <v>0</v>
      </c>
      <c r="AI103" s="26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4">
        <v>1</v>
      </c>
      <c r="AQ103" s="4"/>
      <c r="AR103" s="13">
        <v>0</v>
      </c>
      <c r="AS103" s="13">
        <v>0</v>
      </c>
      <c r="AT103" s="4">
        <v>1</v>
      </c>
      <c r="AU103" s="4">
        <v>0</v>
      </c>
      <c r="AV103" s="12">
        <v>0</v>
      </c>
      <c r="AW103" s="4">
        <v>0</v>
      </c>
      <c r="AX103" s="4">
        <v>0</v>
      </c>
      <c r="AY103" s="4">
        <v>0</v>
      </c>
      <c r="AZ103" s="4">
        <v>0</v>
      </c>
      <c r="BA103" s="4" t="s">
        <v>265</v>
      </c>
      <c r="BB103" s="5">
        <v>1</v>
      </c>
      <c r="BC103" s="17" t="s">
        <v>109</v>
      </c>
      <c r="BD103" s="17" t="s">
        <v>110</v>
      </c>
      <c r="BE103" s="17" t="s">
        <v>109</v>
      </c>
      <c r="BF103" s="17" t="s">
        <v>379</v>
      </c>
      <c r="BG103" s="4" t="str">
        <f t="shared" si="31"/>
        <v>大炮</v>
      </c>
      <c r="BH103" s="20">
        <v>1</v>
      </c>
      <c r="BI103" s="4">
        <v>1</v>
      </c>
      <c r="BJ103" s="4">
        <v>0</v>
      </c>
      <c r="BK103" s="4">
        <v>0</v>
      </c>
      <c r="BL103" s="4">
        <v>1234</v>
      </c>
      <c r="BM103" s="4">
        <v>1</v>
      </c>
      <c r="BN103" s="4">
        <v>1</v>
      </c>
      <c r="BO103" s="4">
        <v>0</v>
      </c>
      <c r="BP103" s="4">
        <v>0</v>
      </c>
      <c r="BQ103" s="4">
        <v>1</v>
      </c>
      <c r="BR103" s="4">
        <v>0</v>
      </c>
      <c r="BS103" s="4">
        <v>0</v>
      </c>
      <c r="BT103" s="4">
        <v>0</v>
      </c>
      <c r="BU103" s="4">
        <v>1</v>
      </c>
      <c r="BV103" s="4">
        <v>0</v>
      </c>
      <c r="BW103" s="4">
        <v>0</v>
      </c>
      <c r="BX103" s="4">
        <v>1</v>
      </c>
      <c r="BY103" s="4">
        <v>0</v>
      </c>
      <c r="BZ103" s="4">
        <v>0</v>
      </c>
      <c r="CA103" s="4">
        <v>1</v>
      </c>
      <c r="CB103" s="4">
        <v>0</v>
      </c>
      <c r="CC103" s="4">
        <v>30</v>
      </c>
      <c r="CD103" s="4">
        <v>0</v>
      </c>
      <c r="CE103" s="4">
        <v>4</v>
      </c>
      <c r="CF103" s="4">
        <v>0</v>
      </c>
      <c r="CG103" s="4">
        <v>0</v>
      </c>
      <c r="CH103" s="4">
        <v>1</v>
      </c>
      <c r="CI103" s="4">
        <v>1</v>
      </c>
      <c r="CJ103" s="4">
        <v>1</v>
      </c>
      <c r="CK103" s="4">
        <v>1</v>
      </c>
      <c r="CL103" s="4">
        <v>1000</v>
      </c>
      <c r="CM103" s="4">
        <v>1</v>
      </c>
      <c r="CN103" s="4">
        <v>1</v>
      </c>
      <c r="CO103" s="4">
        <v>0</v>
      </c>
      <c r="CP103" s="4">
        <v>0</v>
      </c>
      <c r="CQ103" s="4">
        <v>0</v>
      </c>
      <c r="CR103" s="4" t="str">
        <f t="shared" si="32"/>
        <v>大炮</v>
      </c>
      <c r="CS103" s="4">
        <v>0</v>
      </c>
      <c r="CT103" s="4">
        <v>5</v>
      </c>
      <c r="CU103" s="4">
        <v>20</v>
      </c>
      <c r="CV103" s="4">
        <v>605001</v>
      </c>
      <c r="CW103" s="4" t="s">
        <v>122</v>
      </c>
      <c r="CX103" s="4">
        <v>100</v>
      </c>
      <c r="CY103" s="4">
        <v>603001</v>
      </c>
      <c r="CZ103" s="4" t="s">
        <v>116</v>
      </c>
      <c r="DA103" s="4">
        <v>500</v>
      </c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</row>
    <row r="104" spans="1:119" x14ac:dyDescent="0.15">
      <c r="A104" s="4">
        <v>106006</v>
      </c>
      <c r="B104" s="28" t="s">
        <v>478</v>
      </c>
      <c r="C104" s="47" t="s">
        <v>110</v>
      </c>
      <c r="D104" s="26"/>
      <c r="E104" s="26">
        <v>0</v>
      </c>
      <c r="F104" s="5">
        <v>0</v>
      </c>
      <c r="G104" s="26">
        <v>1</v>
      </c>
      <c r="H104" s="4">
        <v>6</v>
      </c>
      <c r="I104" s="5">
        <v>0</v>
      </c>
      <c r="J104" s="26"/>
      <c r="K104" s="26"/>
      <c r="L104" s="26"/>
      <c r="M104" s="8">
        <v>0</v>
      </c>
      <c r="N104" s="25" t="s">
        <v>479</v>
      </c>
      <c r="O104" s="25">
        <v>1</v>
      </c>
      <c r="P104" s="25">
        <v>0</v>
      </c>
      <c r="Q104" s="25">
        <v>0</v>
      </c>
      <c r="R104" s="4">
        <v>1</v>
      </c>
      <c r="S104" s="4">
        <v>0</v>
      </c>
      <c r="T104" s="4">
        <v>0</v>
      </c>
      <c r="U104" s="4">
        <v>0</v>
      </c>
      <c r="V104" s="5">
        <v>0</v>
      </c>
      <c r="W104" s="5">
        <v>0</v>
      </c>
      <c r="X104" s="5">
        <v>1</v>
      </c>
      <c r="Y104" s="28" t="s">
        <v>478</v>
      </c>
      <c r="Z104" s="5">
        <v>0</v>
      </c>
      <c r="AA104" s="5">
        <v>0</v>
      </c>
      <c r="AB104" s="5">
        <v>1</v>
      </c>
      <c r="AC104" s="5">
        <v>0</v>
      </c>
      <c r="AD104" s="5">
        <v>0</v>
      </c>
      <c r="AE104" s="3">
        <v>0</v>
      </c>
      <c r="AF104" s="5">
        <v>0</v>
      </c>
      <c r="AG104" s="4">
        <v>0</v>
      </c>
      <c r="AH104" s="25">
        <v>0</v>
      </c>
      <c r="AI104" s="26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4">
        <v>1</v>
      </c>
      <c r="AQ104" s="4"/>
      <c r="AR104" s="13">
        <v>0</v>
      </c>
      <c r="AS104" s="13">
        <v>0</v>
      </c>
      <c r="AT104" s="4">
        <v>1</v>
      </c>
      <c r="AU104" s="4">
        <v>0</v>
      </c>
      <c r="AV104" s="12">
        <v>0</v>
      </c>
      <c r="AW104" s="4">
        <v>0</v>
      </c>
      <c r="AX104" s="4">
        <v>0</v>
      </c>
      <c r="AY104" s="4">
        <v>0</v>
      </c>
      <c r="AZ104" s="4">
        <v>0</v>
      </c>
      <c r="BA104" s="25" t="s">
        <v>480</v>
      </c>
      <c r="BB104" s="5">
        <v>1</v>
      </c>
      <c r="BC104" s="17" t="s">
        <v>109</v>
      </c>
      <c r="BD104" s="17" t="s">
        <v>110</v>
      </c>
      <c r="BE104" s="17" t="s">
        <v>109</v>
      </c>
      <c r="BF104" s="17" t="s">
        <v>309</v>
      </c>
      <c r="BG104" s="4" t="str">
        <f t="shared" ref="BG104" si="35">B104</f>
        <v>地雷</v>
      </c>
      <c r="BH104" s="20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1</v>
      </c>
      <c r="BN104" s="4">
        <v>1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1</v>
      </c>
      <c r="BY104" s="4">
        <v>0</v>
      </c>
      <c r="BZ104" s="4">
        <v>0</v>
      </c>
      <c r="CA104" s="4">
        <v>1</v>
      </c>
      <c r="CB104" s="4">
        <v>0</v>
      </c>
      <c r="CC104" s="4">
        <v>3</v>
      </c>
      <c r="CD104" s="4">
        <v>0</v>
      </c>
      <c r="CE104" s="4">
        <v>4</v>
      </c>
      <c r="CF104" s="4">
        <v>0</v>
      </c>
      <c r="CG104" s="4">
        <v>0</v>
      </c>
      <c r="CH104" s="4">
        <v>1</v>
      </c>
      <c r="CI104" s="4">
        <v>1</v>
      </c>
      <c r="CJ104" s="4">
        <v>1</v>
      </c>
      <c r="CK104" s="4">
        <v>1</v>
      </c>
      <c r="CL104" s="4">
        <v>200</v>
      </c>
      <c r="CM104" s="4">
        <v>1</v>
      </c>
      <c r="CN104" s="4">
        <v>1</v>
      </c>
      <c r="CO104" s="4">
        <v>0</v>
      </c>
      <c r="CP104" s="4">
        <v>0</v>
      </c>
      <c r="CQ104" s="4">
        <v>0</v>
      </c>
      <c r="CR104" s="4" t="str">
        <f t="shared" ref="CR104" si="36">B104</f>
        <v>地雷</v>
      </c>
      <c r="CS104" s="4">
        <v>0</v>
      </c>
      <c r="CT104" s="4">
        <v>2</v>
      </c>
      <c r="CU104" s="4">
        <v>20</v>
      </c>
      <c r="CV104" s="25">
        <v>422001</v>
      </c>
      <c r="CW104" s="25" t="s">
        <v>481</v>
      </c>
      <c r="CX104" s="25">
        <v>10</v>
      </c>
      <c r="CY104" s="25">
        <v>603001</v>
      </c>
      <c r="CZ104" s="25" t="s">
        <v>482</v>
      </c>
      <c r="DA104" s="4">
        <v>10</v>
      </c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</row>
    <row r="105" spans="1:119" x14ac:dyDescent="0.15">
      <c r="A105" s="4">
        <v>102010</v>
      </c>
      <c r="B105" s="25" t="s">
        <v>317</v>
      </c>
      <c r="C105" s="47" t="s">
        <v>110</v>
      </c>
      <c r="D105" s="26"/>
      <c r="E105" s="26">
        <v>0</v>
      </c>
      <c r="F105" s="5">
        <v>0</v>
      </c>
      <c r="G105" s="26">
        <v>1</v>
      </c>
      <c r="H105" s="4">
        <v>6</v>
      </c>
      <c r="I105" s="4">
        <v>1</v>
      </c>
      <c r="J105" s="25"/>
      <c r="K105" s="25"/>
      <c r="L105" s="25"/>
      <c r="M105" s="8">
        <v>0</v>
      </c>
      <c r="N105" s="25" t="s">
        <v>318</v>
      </c>
      <c r="O105" s="25">
        <v>0</v>
      </c>
      <c r="P105" s="25">
        <v>0</v>
      </c>
      <c r="Q105" s="25">
        <v>0</v>
      </c>
      <c r="R105" s="4">
        <v>1</v>
      </c>
      <c r="S105" s="4">
        <v>0</v>
      </c>
      <c r="T105" s="4">
        <v>0</v>
      </c>
      <c r="U105" s="4">
        <v>0</v>
      </c>
      <c r="V105" s="5">
        <v>1</v>
      </c>
      <c r="W105" s="5">
        <v>0</v>
      </c>
      <c r="X105" s="5">
        <v>1</v>
      </c>
      <c r="Y105" s="25" t="s">
        <v>317</v>
      </c>
      <c r="Z105" s="5">
        <v>0</v>
      </c>
      <c r="AA105" s="5">
        <v>0</v>
      </c>
      <c r="AB105" s="5">
        <v>1</v>
      </c>
      <c r="AC105" s="5">
        <v>0</v>
      </c>
      <c r="AD105" s="5">
        <v>0</v>
      </c>
      <c r="AE105" s="3">
        <v>1</v>
      </c>
      <c r="AF105" s="5">
        <v>0</v>
      </c>
      <c r="AG105" s="4">
        <v>0</v>
      </c>
      <c r="AH105" s="25">
        <v>0</v>
      </c>
      <c r="AI105" s="26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4">
        <v>0</v>
      </c>
      <c r="AQ105" s="4"/>
      <c r="AR105" s="4">
        <v>0</v>
      </c>
      <c r="AS105" s="4">
        <v>0</v>
      </c>
      <c r="AT105" s="4">
        <v>1</v>
      </c>
      <c r="AU105" s="4">
        <v>0</v>
      </c>
      <c r="AV105" s="12">
        <v>0</v>
      </c>
      <c r="AW105" s="4">
        <v>0</v>
      </c>
      <c r="AX105" s="4">
        <v>0</v>
      </c>
      <c r="AY105" s="4">
        <v>0</v>
      </c>
      <c r="AZ105" s="4">
        <v>0</v>
      </c>
      <c r="BA105" s="25" t="s">
        <v>319</v>
      </c>
      <c r="BB105" s="5">
        <v>0</v>
      </c>
      <c r="BC105" s="17" t="s">
        <v>109</v>
      </c>
      <c r="BD105" s="17" t="s">
        <v>110</v>
      </c>
      <c r="BE105" s="17" t="s">
        <v>541</v>
      </c>
      <c r="BF105" s="17" t="s">
        <v>379</v>
      </c>
      <c r="BG105" s="4" t="str">
        <f>B105</f>
        <v>传送门</v>
      </c>
      <c r="BH105" s="20">
        <v>3</v>
      </c>
      <c r="BI105" s="4">
        <v>2</v>
      </c>
      <c r="BJ105" s="4">
        <v>0</v>
      </c>
      <c r="BK105" s="4">
        <v>0</v>
      </c>
      <c r="BL105" s="4">
        <v>1</v>
      </c>
      <c r="BM105" s="4">
        <v>1</v>
      </c>
      <c r="BN105" s="4">
        <v>1</v>
      </c>
      <c r="BO105" s="4">
        <v>0</v>
      </c>
      <c r="BP105" s="4">
        <v>0</v>
      </c>
      <c r="BQ105" s="4">
        <v>0</v>
      </c>
      <c r="BR105" s="4">
        <v>1</v>
      </c>
      <c r="BS105" s="4">
        <v>0</v>
      </c>
      <c r="BT105" s="4">
        <v>0</v>
      </c>
      <c r="BU105" s="4">
        <v>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4</v>
      </c>
      <c r="CF105" s="4">
        <v>0</v>
      </c>
      <c r="CG105" s="4">
        <v>0</v>
      </c>
      <c r="CH105" s="4">
        <v>1</v>
      </c>
      <c r="CI105" s="4">
        <v>1</v>
      </c>
      <c r="CJ105" s="4">
        <v>1</v>
      </c>
      <c r="CK105" s="4">
        <v>1</v>
      </c>
      <c r="CL105" s="4">
        <v>5000</v>
      </c>
      <c r="CM105" s="4">
        <v>0</v>
      </c>
      <c r="CN105" s="4">
        <v>1</v>
      </c>
      <c r="CO105" s="4">
        <v>0</v>
      </c>
      <c r="CP105" s="4">
        <v>0</v>
      </c>
      <c r="CQ105" s="4">
        <v>0</v>
      </c>
      <c r="CR105" s="4" t="str">
        <f t="shared" ref="CR105" si="37">B105</f>
        <v>传送门</v>
      </c>
      <c r="CS105" s="4">
        <v>0</v>
      </c>
      <c r="CT105" s="4">
        <v>2</v>
      </c>
      <c r="CU105" s="4">
        <v>20</v>
      </c>
      <c r="CV105" s="4">
        <v>603001</v>
      </c>
      <c r="CW105" s="4" t="s">
        <v>116</v>
      </c>
      <c r="CX105" s="4">
        <v>100</v>
      </c>
      <c r="CY105" s="4">
        <v>612002</v>
      </c>
      <c r="CZ105" s="4" t="s">
        <v>320</v>
      </c>
      <c r="DA105" s="4">
        <v>100</v>
      </c>
      <c r="DB105" s="4">
        <v>612003</v>
      </c>
      <c r="DC105" s="4" t="s">
        <v>321</v>
      </c>
      <c r="DD105" s="4">
        <v>100</v>
      </c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</row>
    <row r="106" spans="1:119" x14ac:dyDescent="0.15">
      <c r="A106" s="4">
        <v>106007</v>
      </c>
      <c r="B106" s="28" t="s">
        <v>502</v>
      </c>
      <c r="C106" s="47" t="s">
        <v>110</v>
      </c>
      <c r="D106" s="26"/>
      <c r="E106" s="26">
        <v>0</v>
      </c>
      <c r="F106" s="5">
        <v>0</v>
      </c>
      <c r="G106" s="26">
        <v>1</v>
      </c>
      <c r="H106" s="4">
        <v>6</v>
      </c>
      <c r="I106" s="5">
        <v>1</v>
      </c>
      <c r="J106" s="26"/>
      <c r="K106" s="26"/>
      <c r="L106" s="26"/>
      <c r="M106" s="8">
        <v>0</v>
      </c>
      <c r="N106" s="25" t="s">
        <v>503</v>
      </c>
      <c r="O106" s="25">
        <v>1</v>
      </c>
      <c r="P106" s="25">
        <v>0</v>
      </c>
      <c r="Q106" s="25">
        <v>0</v>
      </c>
      <c r="R106" s="4">
        <v>1</v>
      </c>
      <c r="S106" s="4">
        <v>0</v>
      </c>
      <c r="T106" s="4">
        <v>0</v>
      </c>
      <c r="U106" s="4">
        <v>0</v>
      </c>
      <c r="V106" s="5">
        <v>0</v>
      </c>
      <c r="W106" s="5">
        <v>0</v>
      </c>
      <c r="X106" s="5">
        <v>1</v>
      </c>
      <c r="Y106" s="28" t="s">
        <v>502</v>
      </c>
      <c r="Z106" s="5">
        <v>0</v>
      </c>
      <c r="AA106" s="5">
        <v>0</v>
      </c>
      <c r="AB106" s="5">
        <v>1</v>
      </c>
      <c r="AC106" s="5">
        <v>0</v>
      </c>
      <c r="AD106" s="5">
        <v>0</v>
      </c>
      <c r="AE106" s="3">
        <v>1</v>
      </c>
      <c r="AF106" s="5">
        <v>0</v>
      </c>
      <c r="AG106" s="4">
        <v>0</v>
      </c>
      <c r="AH106" s="25">
        <v>0</v>
      </c>
      <c r="AI106" s="26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4">
        <v>1</v>
      </c>
      <c r="AQ106" s="4"/>
      <c r="AR106" s="13">
        <v>0</v>
      </c>
      <c r="AS106" s="13">
        <v>0</v>
      </c>
      <c r="AT106" s="4">
        <v>1</v>
      </c>
      <c r="AU106" s="4">
        <v>0</v>
      </c>
      <c r="AV106" s="12">
        <v>0</v>
      </c>
      <c r="AW106" s="4">
        <v>0</v>
      </c>
      <c r="AX106" s="4">
        <v>0</v>
      </c>
      <c r="AY106" s="4">
        <v>0</v>
      </c>
      <c r="AZ106" s="4">
        <v>0</v>
      </c>
      <c r="BA106" s="25" t="s">
        <v>504</v>
      </c>
      <c r="BB106" s="5">
        <v>1</v>
      </c>
      <c r="BC106" s="17" t="s">
        <v>109</v>
      </c>
      <c r="BD106" s="17" t="s">
        <v>110</v>
      </c>
      <c r="BE106" s="17" t="s">
        <v>109</v>
      </c>
      <c r="BF106" s="17" t="s">
        <v>309</v>
      </c>
      <c r="BG106" s="4" t="str">
        <f t="shared" ref="BG106" si="38">B106</f>
        <v>水晶球</v>
      </c>
      <c r="BH106" s="20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1</v>
      </c>
      <c r="BN106" s="4">
        <v>1</v>
      </c>
      <c r="BO106" s="4">
        <v>0</v>
      </c>
      <c r="BP106" s="4">
        <v>0</v>
      </c>
      <c r="BQ106" s="4">
        <v>1</v>
      </c>
      <c r="BR106" s="4">
        <v>0</v>
      </c>
      <c r="BS106" s="4">
        <v>0</v>
      </c>
      <c r="BT106" s="4">
        <v>0</v>
      </c>
      <c r="BU106" s="4">
        <v>1</v>
      </c>
      <c r="BV106" s="4">
        <v>0</v>
      </c>
      <c r="BW106" s="4">
        <v>3</v>
      </c>
      <c r="BX106" s="4">
        <v>1</v>
      </c>
      <c r="BY106" s="4">
        <v>1</v>
      </c>
      <c r="BZ106" s="4">
        <v>1</v>
      </c>
      <c r="CA106" s="4">
        <v>0</v>
      </c>
      <c r="CB106" s="4">
        <v>0</v>
      </c>
      <c r="CC106" s="4">
        <v>0</v>
      </c>
      <c r="CD106" s="4">
        <v>0</v>
      </c>
      <c r="CE106" s="4">
        <v>4</v>
      </c>
      <c r="CF106" s="4">
        <v>0</v>
      </c>
      <c r="CG106" s="4">
        <v>0</v>
      </c>
      <c r="CH106" s="4">
        <v>1</v>
      </c>
      <c r="CI106" s="4">
        <v>1</v>
      </c>
      <c r="CJ106" s="4">
        <v>1</v>
      </c>
      <c r="CK106" s="4">
        <v>1</v>
      </c>
      <c r="CL106" s="4">
        <v>200</v>
      </c>
      <c r="CM106" s="4">
        <v>1</v>
      </c>
      <c r="CN106" s="4">
        <v>1</v>
      </c>
      <c r="CO106" s="4">
        <v>0</v>
      </c>
      <c r="CP106" s="4">
        <v>0</v>
      </c>
      <c r="CQ106" s="4">
        <v>0</v>
      </c>
      <c r="CR106" s="4" t="str">
        <f t="shared" ref="CR106" si="39">B106</f>
        <v>水晶球</v>
      </c>
      <c r="CS106" s="4">
        <v>0</v>
      </c>
      <c r="CT106" s="4">
        <v>2</v>
      </c>
      <c r="CU106" s="4">
        <v>20</v>
      </c>
      <c r="CV106" s="4">
        <v>612002</v>
      </c>
      <c r="CW106" s="4" t="s">
        <v>320</v>
      </c>
      <c r="CX106" s="4">
        <v>100</v>
      </c>
      <c r="CY106" s="4">
        <v>608001</v>
      </c>
      <c r="CZ106" s="4" t="s">
        <v>119</v>
      </c>
      <c r="DA106" s="4">
        <v>1</v>
      </c>
      <c r="DB106" s="4"/>
      <c r="DC106" s="4"/>
      <c r="DD106" s="4"/>
      <c r="DE106" s="4">
        <v>612002</v>
      </c>
      <c r="DF106" s="4" t="s">
        <v>320</v>
      </c>
      <c r="DG106" s="4">
        <v>50</v>
      </c>
      <c r="DH106" s="4"/>
      <c r="DI106" s="4"/>
      <c r="DJ106" s="4"/>
      <c r="DK106" s="4"/>
      <c r="DL106" s="4"/>
      <c r="DM106" s="4"/>
      <c r="DN106" s="4"/>
      <c r="DO106" s="4"/>
    </row>
    <row r="107" spans="1:119" x14ac:dyDescent="0.15">
      <c r="A107" s="4">
        <v>107001</v>
      </c>
      <c r="B107" s="10" t="s">
        <v>266</v>
      </c>
      <c r="C107" s="47" t="s">
        <v>110</v>
      </c>
      <c r="D107" s="26"/>
      <c r="E107" s="26">
        <v>0</v>
      </c>
      <c r="F107" s="5">
        <v>0</v>
      </c>
      <c r="G107" s="26">
        <v>0</v>
      </c>
      <c r="H107" s="4">
        <v>0</v>
      </c>
      <c r="I107" s="5">
        <v>0</v>
      </c>
      <c r="J107" s="5"/>
      <c r="K107" s="5"/>
      <c r="L107" s="5"/>
      <c r="M107" s="8">
        <v>0</v>
      </c>
      <c r="N107" s="4" t="s">
        <v>153</v>
      </c>
      <c r="O107" s="25">
        <v>0</v>
      </c>
      <c r="P107" s="25">
        <v>0</v>
      </c>
      <c r="Q107" s="25">
        <v>0</v>
      </c>
      <c r="R107" s="4">
        <v>1</v>
      </c>
      <c r="S107" s="4">
        <v>0</v>
      </c>
      <c r="T107" s="4">
        <v>0</v>
      </c>
      <c r="U107" s="4">
        <v>0</v>
      </c>
      <c r="V107" s="5">
        <v>0</v>
      </c>
      <c r="W107" s="5">
        <v>1</v>
      </c>
      <c r="X107" s="5">
        <v>1</v>
      </c>
      <c r="Y107" s="10" t="s">
        <v>266</v>
      </c>
      <c r="Z107" s="5">
        <v>0</v>
      </c>
      <c r="AA107" s="5">
        <v>0</v>
      </c>
      <c r="AB107" s="5">
        <v>1</v>
      </c>
      <c r="AC107" s="5">
        <v>0</v>
      </c>
      <c r="AD107" s="5">
        <v>0</v>
      </c>
      <c r="AE107" s="3">
        <v>0</v>
      </c>
      <c r="AF107" s="5">
        <v>0</v>
      </c>
      <c r="AG107" s="4">
        <v>0</v>
      </c>
      <c r="AH107" s="25">
        <v>0</v>
      </c>
      <c r="AI107" s="26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4">
        <v>0</v>
      </c>
      <c r="AQ107" s="4"/>
      <c r="AR107" s="13">
        <v>1</v>
      </c>
      <c r="AS107" s="13">
        <v>1</v>
      </c>
      <c r="AT107" s="4">
        <v>1</v>
      </c>
      <c r="AU107" s="4">
        <v>0</v>
      </c>
      <c r="AV107" s="12">
        <v>0</v>
      </c>
      <c r="AW107" s="4">
        <v>0</v>
      </c>
      <c r="AX107" s="4">
        <v>0</v>
      </c>
      <c r="AY107" s="4">
        <v>0</v>
      </c>
      <c r="AZ107" s="4">
        <v>0</v>
      </c>
      <c r="BA107" s="4" t="s">
        <v>489</v>
      </c>
      <c r="BB107" s="5">
        <v>1</v>
      </c>
      <c r="BC107" s="23" t="s">
        <v>110</v>
      </c>
      <c r="BD107" s="17" t="s">
        <v>109</v>
      </c>
      <c r="BE107" s="17" t="s">
        <v>540</v>
      </c>
      <c r="BF107" s="17" t="s">
        <v>379</v>
      </c>
      <c r="BG107" s="4" t="str">
        <f t="shared" si="31"/>
        <v>废弃矿井</v>
      </c>
      <c r="BH107" s="20">
        <v>3</v>
      </c>
      <c r="BI107" s="4">
        <v>3</v>
      </c>
      <c r="BJ107" s="4">
        <v>0</v>
      </c>
      <c r="BK107" s="4">
        <v>0</v>
      </c>
      <c r="BL107" s="4">
        <v>1</v>
      </c>
      <c r="BM107" s="4">
        <v>0</v>
      </c>
      <c r="BN107" s="4">
        <v>0</v>
      </c>
      <c r="BO107" s="4">
        <v>0</v>
      </c>
      <c r="BP107" s="4">
        <v>0</v>
      </c>
      <c r="BQ107" s="4">
        <v>1</v>
      </c>
      <c r="BR107" s="4">
        <v>0</v>
      </c>
      <c r="BS107" s="4">
        <v>0</v>
      </c>
      <c r="BT107" s="4">
        <v>0</v>
      </c>
      <c r="BU107" s="4">
        <v>1</v>
      </c>
      <c r="BV107" s="4">
        <v>0</v>
      </c>
      <c r="BW107" s="4">
        <v>2</v>
      </c>
      <c r="BX107" s="4">
        <v>2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3</v>
      </c>
      <c r="CF107" s="4">
        <v>0</v>
      </c>
      <c r="CG107" s="4">
        <v>0</v>
      </c>
      <c r="CH107" s="4">
        <v>0</v>
      </c>
      <c r="CI107" s="4">
        <v>1</v>
      </c>
      <c r="CJ107" s="4">
        <v>1</v>
      </c>
      <c r="CK107" s="4">
        <v>1</v>
      </c>
      <c r="CL107" s="4">
        <v>500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 t="str">
        <f t="shared" si="32"/>
        <v>废弃矿井</v>
      </c>
      <c r="CS107" s="4">
        <v>0</v>
      </c>
      <c r="CT107" s="4">
        <v>1</v>
      </c>
      <c r="CU107" s="4">
        <v>20</v>
      </c>
      <c r="CV107" s="4"/>
      <c r="CW107" s="4"/>
      <c r="CX107" s="4"/>
      <c r="CY107" s="4"/>
      <c r="CZ107" s="4"/>
      <c r="DA107" s="4"/>
      <c r="DB107" s="4"/>
      <c r="DC107" s="4"/>
      <c r="DD107" s="4"/>
      <c r="DE107" s="4">
        <v>604001</v>
      </c>
      <c r="DF107" s="4" t="s">
        <v>113</v>
      </c>
      <c r="DG107" s="4">
        <v>100</v>
      </c>
      <c r="DH107" s="4">
        <v>605001</v>
      </c>
      <c r="DI107" s="4" t="s">
        <v>122</v>
      </c>
      <c r="DJ107" s="4">
        <v>1000</v>
      </c>
      <c r="DK107" s="4">
        <v>603001</v>
      </c>
      <c r="DL107" s="4" t="s">
        <v>116</v>
      </c>
      <c r="DM107" s="4">
        <v>100</v>
      </c>
      <c r="DN107" s="4"/>
      <c r="DO107" s="4"/>
    </row>
    <row r="108" spans="1:119" x14ac:dyDescent="0.15">
      <c r="A108" s="4">
        <v>107003</v>
      </c>
      <c r="B108" s="12" t="s">
        <v>267</v>
      </c>
      <c r="C108" s="47" t="s">
        <v>110</v>
      </c>
      <c r="D108" s="26"/>
      <c r="E108" s="26">
        <v>0</v>
      </c>
      <c r="F108" s="5">
        <v>0</v>
      </c>
      <c r="G108" s="26">
        <v>0</v>
      </c>
      <c r="H108" s="4">
        <v>0</v>
      </c>
      <c r="I108" s="4">
        <v>0</v>
      </c>
      <c r="J108" s="4"/>
      <c r="K108" s="4"/>
      <c r="L108" s="4"/>
      <c r="M108" s="8">
        <v>0</v>
      </c>
      <c r="N108" s="4" t="s">
        <v>268</v>
      </c>
      <c r="O108" s="25">
        <v>0</v>
      </c>
      <c r="P108" s="25">
        <v>0</v>
      </c>
      <c r="Q108" s="25">
        <v>0</v>
      </c>
      <c r="R108" s="4">
        <v>1</v>
      </c>
      <c r="S108" s="4">
        <v>0</v>
      </c>
      <c r="T108" s="4">
        <v>0</v>
      </c>
      <c r="U108" s="4">
        <v>0</v>
      </c>
      <c r="V108" s="5">
        <v>0</v>
      </c>
      <c r="W108" s="5">
        <v>1</v>
      </c>
      <c r="X108" s="5">
        <v>1</v>
      </c>
      <c r="Y108" s="12" t="s">
        <v>267</v>
      </c>
      <c r="Z108" s="5">
        <v>0</v>
      </c>
      <c r="AA108" s="5">
        <v>0</v>
      </c>
      <c r="AB108" s="5">
        <v>1</v>
      </c>
      <c r="AC108" s="5">
        <v>0</v>
      </c>
      <c r="AD108" s="5">
        <v>0</v>
      </c>
      <c r="AE108" s="3">
        <v>0</v>
      </c>
      <c r="AF108" s="5">
        <v>0</v>
      </c>
      <c r="AG108" s="4">
        <v>0</v>
      </c>
      <c r="AH108" s="25">
        <v>0</v>
      </c>
      <c r="AI108" s="26">
        <v>0</v>
      </c>
      <c r="AJ108" s="5">
        <v>0</v>
      </c>
      <c r="AK108" s="5">
        <v>0</v>
      </c>
      <c r="AL108" s="5">
        <v>0</v>
      </c>
      <c r="AM108" s="4">
        <v>0</v>
      </c>
      <c r="AN108" s="5">
        <v>0</v>
      </c>
      <c r="AO108" s="5">
        <v>0</v>
      </c>
      <c r="AP108" s="4">
        <v>1</v>
      </c>
      <c r="AQ108" s="4"/>
      <c r="AR108" s="16">
        <v>1</v>
      </c>
      <c r="AS108" s="13">
        <v>1</v>
      </c>
      <c r="AT108" s="4">
        <v>0</v>
      </c>
      <c r="AU108" s="4">
        <v>0</v>
      </c>
      <c r="AV108" s="12">
        <v>0</v>
      </c>
      <c r="AW108" s="4">
        <v>0</v>
      </c>
      <c r="AX108" s="4">
        <v>0</v>
      </c>
      <c r="AY108" s="4">
        <v>0</v>
      </c>
      <c r="AZ108" s="4">
        <v>0</v>
      </c>
      <c r="BA108" s="4" t="s">
        <v>353</v>
      </c>
      <c r="BB108" s="5">
        <v>1</v>
      </c>
      <c r="BC108" s="17" t="s">
        <v>109</v>
      </c>
      <c r="BD108" s="17" t="s">
        <v>110</v>
      </c>
      <c r="BE108" s="17" t="s">
        <v>109</v>
      </c>
      <c r="BF108" s="17" t="s">
        <v>379</v>
      </c>
      <c r="BG108" s="4" t="str">
        <f t="shared" si="31"/>
        <v>墓碑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1</v>
      </c>
      <c r="BS108" s="4">
        <v>0</v>
      </c>
      <c r="BT108" s="4">
        <v>0</v>
      </c>
      <c r="BU108" s="4">
        <v>1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4</v>
      </c>
      <c r="CF108" s="4">
        <v>0</v>
      </c>
      <c r="CG108" s="4">
        <v>0</v>
      </c>
      <c r="CH108" s="4">
        <v>0</v>
      </c>
      <c r="CI108" s="4">
        <v>1</v>
      </c>
      <c r="CJ108" s="4">
        <v>1</v>
      </c>
      <c r="CK108" s="4">
        <v>1</v>
      </c>
      <c r="CL108" s="4">
        <v>100</v>
      </c>
      <c r="CM108" s="4">
        <v>0</v>
      </c>
      <c r="CN108" s="4">
        <v>1</v>
      </c>
      <c r="CO108" s="4">
        <v>0</v>
      </c>
      <c r="CP108" s="4">
        <v>0</v>
      </c>
      <c r="CQ108" s="4">
        <v>0</v>
      </c>
      <c r="CR108" s="4" t="str">
        <f t="shared" si="32"/>
        <v>墓碑</v>
      </c>
      <c r="CS108" s="4">
        <v>0</v>
      </c>
      <c r="CT108" s="4">
        <v>1</v>
      </c>
      <c r="CU108" s="4">
        <v>0</v>
      </c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</row>
    <row r="109" spans="1:119" x14ac:dyDescent="0.15">
      <c r="A109" s="4">
        <v>107004</v>
      </c>
      <c r="B109" s="6" t="s">
        <v>269</v>
      </c>
      <c r="C109" s="47" t="s">
        <v>110</v>
      </c>
      <c r="D109" s="26"/>
      <c r="E109" s="26">
        <v>0</v>
      </c>
      <c r="F109" s="5">
        <v>0</v>
      </c>
      <c r="G109" s="26">
        <v>0</v>
      </c>
      <c r="H109" s="4">
        <v>0</v>
      </c>
      <c r="I109" s="5">
        <v>0</v>
      </c>
      <c r="J109" s="5"/>
      <c r="K109" s="5"/>
      <c r="L109" s="5"/>
      <c r="M109" s="8">
        <v>0</v>
      </c>
      <c r="N109" s="25" t="s">
        <v>635</v>
      </c>
      <c r="O109" s="25">
        <v>0</v>
      </c>
      <c r="P109" s="25">
        <v>0</v>
      </c>
      <c r="Q109" s="25">
        <v>0</v>
      </c>
      <c r="R109" s="4">
        <v>1</v>
      </c>
      <c r="S109" s="4">
        <v>0</v>
      </c>
      <c r="T109" s="4">
        <v>0</v>
      </c>
      <c r="U109" s="4">
        <v>0</v>
      </c>
      <c r="V109" s="5">
        <v>0</v>
      </c>
      <c r="W109" s="5">
        <v>1</v>
      </c>
      <c r="X109" s="5">
        <v>1</v>
      </c>
      <c r="Y109" s="6" t="s">
        <v>269</v>
      </c>
      <c r="Z109" s="5">
        <v>0</v>
      </c>
      <c r="AA109" s="5">
        <v>0</v>
      </c>
      <c r="AB109" s="5">
        <v>1</v>
      </c>
      <c r="AC109" s="5">
        <v>2</v>
      </c>
      <c r="AD109" s="5">
        <v>0</v>
      </c>
      <c r="AE109" s="3">
        <v>0</v>
      </c>
      <c r="AF109" s="5">
        <v>0</v>
      </c>
      <c r="AG109" s="4">
        <v>0</v>
      </c>
      <c r="AH109" s="25">
        <v>0</v>
      </c>
      <c r="AI109" s="26">
        <v>0</v>
      </c>
      <c r="AJ109" s="5">
        <v>0</v>
      </c>
      <c r="AK109" s="5">
        <v>1</v>
      </c>
      <c r="AL109" s="5">
        <v>0</v>
      </c>
      <c r="AM109" s="5">
        <v>0</v>
      </c>
      <c r="AN109" s="5">
        <v>0</v>
      </c>
      <c r="AO109" s="5">
        <v>0</v>
      </c>
      <c r="AP109" s="4">
        <v>1</v>
      </c>
      <c r="AQ109" s="4"/>
      <c r="AR109" s="13">
        <v>0</v>
      </c>
      <c r="AS109" s="13">
        <v>0</v>
      </c>
      <c r="AT109" s="4">
        <v>1</v>
      </c>
      <c r="AU109" s="4">
        <v>1</v>
      </c>
      <c r="AV109" s="12">
        <v>0</v>
      </c>
      <c r="AW109" s="4">
        <v>0</v>
      </c>
      <c r="AX109" s="4">
        <v>0</v>
      </c>
      <c r="AY109" s="4">
        <v>0</v>
      </c>
      <c r="AZ109" s="4">
        <v>0</v>
      </c>
      <c r="BA109" s="25" t="s">
        <v>542</v>
      </c>
      <c r="BB109" s="5">
        <v>1</v>
      </c>
      <c r="BC109" s="17" t="s">
        <v>109</v>
      </c>
      <c r="BD109" s="17" t="s">
        <v>109</v>
      </c>
      <c r="BE109" s="17" t="s">
        <v>109</v>
      </c>
      <c r="BF109" s="17" t="s">
        <v>379</v>
      </c>
      <c r="BG109" s="4" t="str">
        <f t="shared" si="31"/>
        <v>强盗营地</v>
      </c>
      <c r="BH109" s="20">
        <v>1</v>
      </c>
      <c r="BI109" s="4">
        <v>1</v>
      </c>
      <c r="BJ109" s="4">
        <v>0</v>
      </c>
      <c r="BK109" s="4">
        <v>0</v>
      </c>
      <c r="BL109" s="4">
        <v>1234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1</v>
      </c>
      <c r="BT109" s="4">
        <v>0</v>
      </c>
      <c r="BU109" s="4">
        <v>1</v>
      </c>
      <c r="BV109" s="4">
        <v>0</v>
      </c>
      <c r="BW109" s="4">
        <v>4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4</v>
      </c>
      <c r="CF109" s="4">
        <v>0</v>
      </c>
      <c r="CG109" s="4">
        <v>1</v>
      </c>
      <c r="CH109" s="4">
        <v>1</v>
      </c>
      <c r="CI109" s="4">
        <v>1</v>
      </c>
      <c r="CJ109" s="4">
        <v>1</v>
      </c>
      <c r="CK109" s="4">
        <v>1</v>
      </c>
      <c r="CL109" s="4">
        <v>1000</v>
      </c>
      <c r="CM109" s="4">
        <v>0</v>
      </c>
      <c r="CN109" s="4">
        <v>1</v>
      </c>
      <c r="CO109" s="4">
        <v>0</v>
      </c>
      <c r="CP109" s="4">
        <v>0</v>
      </c>
      <c r="CQ109" s="4">
        <v>0</v>
      </c>
      <c r="CR109" s="4" t="str">
        <f t="shared" si="32"/>
        <v>强盗营地</v>
      </c>
      <c r="CS109" s="4">
        <v>0</v>
      </c>
      <c r="CT109" s="4">
        <v>1</v>
      </c>
      <c r="CU109" s="4">
        <v>20</v>
      </c>
      <c r="CV109" s="4">
        <v>604001</v>
      </c>
      <c r="CW109" s="4" t="s">
        <v>113</v>
      </c>
      <c r="CX109" s="4">
        <v>100</v>
      </c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</row>
    <row r="110" spans="1:119" x14ac:dyDescent="0.15">
      <c r="A110" s="4">
        <v>107005</v>
      </c>
      <c r="B110" s="6" t="s">
        <v>271</v>
      </c>
      <c r="C110" s="47" t="s">
        <v>110</v>
      </c>
      <c r="D110" s="26"/>
      <c r="E110" s="26">
        <v>0</v>
      </c>
      <c r="F110" s="5">
        <v>0</v>
      </c>
      <c r="G110" s="26">
        <v>0</v>
      </c>
      <c r="H110" s="4">
        <v>0</v>
      </c>
      <c r="I110" s="5">
        <v>0</v>
      </c>
      <c r="J110" s="5"/>
      <c r="K110" s="5"/>
      <c r="L110" s="5"/>
      <c r="M110" s="8">
        <v>0</v>
      </c>
      <c r="N110" s="25" t="s">
        <v>648</v>
      </c>
      <c r="O110" s="25">
        <v>0</v>
      </c>
      <c r="P110" s="25">
        <v>0</v>
      </c>
      <c r="Q110" s="25">
        <v>0</v>
      </c>
      <c r="R110" s="4">
        <v>1</v>
      </c>
      <c r="S110" s="4">
        <v>0</v>
      </c>
      <c r="T110" s="4">
        <v>0</v>
      </c>
      <c r="U110" s="4">
        <v>0</v>
      </c>
      <c r="V110" s="5">
        <v>0</v>
      </c>
      <c r="W110" s="5">
        <v>1</v>
      </c>
      <c r="X110" s="5">
        <v>1</v>
      </c>
      <c r="Y110" s="6" t="s">
        <v>271</v>
      </c>
      <c r="Z110" s="5">
        <v>0</v>
      </c>
      <c r="AA110" s="5">
        <v>0</v>
      </c>
      <c r="AB110" s="5">
        <v>1</v>
      </c>
      <c r="AC110" s="5">
        <v>2</v>
      </c>
      <c r="AD110" s="5">
        <v>0</v>
      </c>
      <c r="AE110" s="3">
        <v>0</v>
      </c>
      <c r="AF110" s="5">
        <v>0</v>
      </c>
      <c r="AG110" s="4">
        <v>0</v>
      </c>
      <c r="AH110" s="25">
        <v>0</v>
      </c>
      <c r="AI110" s="26">
        <v>0</v>
      </c>
      <c r="AJ110" s="5">
        <v>0</v>
      </c>
      <c r="AK110" s="5">
        <v>1</v>
      </c>
      <c r="AL110" s="5">
        <v>0</v>
      </c>
      <c r="AM110" s="5">
        <v>0</v>
      </c>
      <c r="AN110" s="5">
        <v>0</v>
      </c>
      <c r="AO110" s="5">
        <v>0</v>
      </c>
      <c r="AP110" s="4">
        <v>1</v>
      </c>
      <c r="AQ110" s="4"/>
      <c r="AR110" s="13">
        <v>1</v>
      </c>
      <c r="AS110" s="13">
        <v>1</v>
      </c>
      <c r="AT110" s="4">
        <v>1</v>
      </c>
      <c r="AU110" s="4">
        <v>1</v>
      </c>
      <c r="AV110" s="12">
        <v>0</v>
      </c>
      <c r="AW110" s="4">
        <v>0</v>
      </c>
      <c r="AX110" s="4">
        <v>0</v>
      </c>
      <c r="AY110" s="4">
        <v>0</v>
      </c>
      <c r="AZ110" s="4">
        <v>0</v>
      </c>
      <c r="BA110" s="4" t="s">
        <v>270</v>
      </c>
      <c r="BB110" s="5">
        <v>1</v>
      </c>
      <c r="BC110" s="17" t="s">
        <v>109</v>
      </c>
      <c r="BD110" s="17" t="s">
        <v>109</v>
      </c>
      <c r="BE110" s="17" t="s">
        <v>109</v>
      </c>
      <c r="BF110" s="17" t="s">
        <v>379</v>
      </c>
      <c r="BG110" s="4" t="str">
        <f t="shared" si="31"/>
        <v>蛮族军营</v>
      </c>
      <c r="BH110" s="20">
        <v>4</v>
      </c>
      <c r="BI110" s="4">
        <v>2</v>
      </c>
      <c r="BJ110" s="4">
        <v>0</v>
      </c>
      <c r="BK110" s="4">
        <v>0</v>
      </c>
      <c r="BL110" s="4">
        <v>1234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1</v>
      </c>
      <c r="BT110" s="4">
        <v>0</v>
      </c>
      <c r="BU110" s="4">
        <v>1</v>
      </c>
      <c r="BV110" s="4">
        <v>0</v>
      </c>
      <c r="BW110" s="4">
        <v>4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4</v>
      </c>
      <c r="CF110" s="4">
        <v>0</v>
      </c>
      <c r="CG110" s="4">
        <v>1</v>
      </c>
      <c r="CH110" s="4">
        <v>1</v>
      </c>
      <c r="CI110" s="4">
        <v>1</v>
      </c>
      <c r="CJ110" s="4">
        <v>1</v>
      </c>
      <c r="CK110" s="4">
        <v>1</v>
      </c>
      <c r="CL110" s="4">
        <v>1000</v>
      </c>
      <c r="CM110" s="4">
        <v>0</v>
      </c>
      <c r="CN110" s="4">
        <v>1</v>
      </c>
      <c r="CO110" s="4">
        <v>0</v>
      </c>
      <c r="CP110" s="4">
        <v>0</v>
      </c>
      <c r="CQ110" s="4">
        <v>0</v>
      </c>
      <c r="CR110" s="4" t="str">
        <f t="shared" si="32"/>
        <v>蛮族军营</v>
      </c>
      <c r="CS110" s="4">
        <v>0</v>
      </c>
      <c r="CT110" s="4">
        <v>1</v>
      </c>
      <c r="CU110" s="4">
        <v>20</v>
      </c>
      <c r="CV110" s="4">
        <v>604001</v>
      </c>
      <c r="CW110" s="4" t="s">
        <v>113</v>
      </c>
      <c r="CX110" s="4">
        <v>200</v>
      </c>
      <c r="CY110" s="4">
        <v>605001</v>
      </c>
      <c r="CZ110" s="4" t="s">
        <v>122</v>
      </c>
      <c r="DA110" s="4">
        <v>200</v>
      </c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</row>
    <row r="111" spans="1:119" x14ac:dyDescent="0.15">
      <c r="A111" s="4">
        <v>110001</v>
      </c>
      <c r="B111" s="16" t="s">
        <v>275</v>
      </c>
      <c r="C111" s="47" t="s">
        <v>110</v>
      </c>
      <c r="D111" s="26"/>
      <c r="E111" s="26">
        <v>0</v>
      </c>
      <c r="F111" s="5">
        <v>0</v>
      </c>
      <c r="G111" s="26">
        <v>0</v>
      </c>
      <c r="H111" s="4">
        <v>0</v>
      </c>
      <c r="I111" s="5">
        <v>0</v>
      </c>
      <c r="J111" s="4"/>
      <c r="K111" s="4"/>
      <c r="L111" s="4"/>
      <c r="M111" s="8">
        <v>0</v>
      </c>
      <c r="N111" s="25" t="s">
        <v>607</v>
      </c>
      <c r="O111" s="25">
        <v>0</v>
      </c>
      <c r="P111" s="25">
        <v>0</v>
      </c>
      <c r="Q111" s="25">
        <v>0</v>
      </c>
      <c r="R111" s="4">
        <v>0</v>
      </c>
      <c r="S111" s="4">
        <v>0</v>
      </c>
      <c r="T111" s="4">
        <v>0</v>
      </c>
      <c r="U111" s="4">
        <v>0</v>
      </c>
      <c r="V111" s="5">
        <v>0</v>
      </c>
      <c r="W111" s="5">
        <v>0</v>
      </c>
      <c r="X111" s="5">
        <v>1</v>
      </c>
      <c r="Y111" s="16" t="s">
        <v>275</v>
      </c>
      <c r="Z111" s="5">
        <v>0</v>
      </c>
      <c r="AA111" s="5">
        <v>0</v>
      </c>
      <c r="AB111" s="5">
        <v>1</v>
      </c>
      <c r="AC111" s="5">
        <v>0</v>
      </c>
      <c r="AD111" s="5">
        <v>0</v>
      </c>
      <c r="AE111" s="3">
        <v>0</v>
      </c>
      <c r="AF111" s="5">
        <v>0</v>
      </c>
      <c r="AG111" s="4">
        <v>0</v>
      </c>
      <c r="AH111" s="25">
        <v>0</v>
      </c>
      <c r="AI111" s="26">
        <v>0</v>
      </c>
      <c r="AJ111" s="5">
        <v>0</v>
      </c>
      <c r="AK111" s="5">
        <v>0</v>
      </c>
      <c r="AL111" s="5">
        <v>0</v>
      </c>
      <c r="AM111" s="4">
        <v>0</v>
      </c>
      <c r="AN111" s="5">
        <v>0</v>
      </c>
      <c r="AO111" s="5">
        <v>0</v>
      </c>
      <c r="AP111" s="4">
        <v>0</v>
      </c>
      <c r="AQ111" s="4"/>
      <c r="AR111" s="4">
        <v>1</v>
      </c>
      <c r="AS111" s="4">
        <v>1</v>
      </c>
      <c r="AT111" s="4">
        <v>0</v>
      </c>
      <c r="AU111" s="4">
        <v>0</v>
      </c>
      <c r="AV111" s="12">
        <v>0</v>
      </c>
      <c r="AW111" s="4">
        <v>0</v>
      </c>
      <c r="AX111" s="4">
        <v>0</v>
      </c>
      <c r="AY111" s="4">
        <v>0</v>
      </c>
      <c r="AZ111" s="4">
        <v>0</v>
      </c>
      <c r="BA111" s="4" t="s">
        <v>277</v>
      </c>
      <c r="BB111" s="5">
        <v>0</v>
      </c>
      <c r="BC111" s="17" t="s">
        <v>109</v>
      </c>
      <c r="BD111" s="17" t="s">
        <v>109</v>
      </c>
      <c r="BE111" s="17" t="s">
        <v>110</v>
      </c>
      <c r="BF111" s="17" t="s">
        <v>379</v>
      </c>
      <c r="BG111" s="4" t="str">
        <f t="shared" si="31"/>
        <v>小城堡</v>
      </c>
      <c r="BH111" s="4">
        <v>3</v>
      </c>
      <c r="BI111" s="4">
        <v>3</v>
      </c>
      <c r="BJ111" s="4">
        <v>0</v>
      </c>
      <c r="BK111" s="4">
        <v>0</v>
      </c>
      <c r="BL111" s="4">
        <v>1234</v>
      </c>
      <c r="BM111" s="4">
        <v>0</v>
      </c>
      <c r="BN111" s="4">
        <v>0</v>
      </c>
      <c r="BO111" s="4">
        <v>0</v>
      </c>
      <c r="BP111" s="4">
        <v>1</v>
      </c>
      <c r="BQ111" s="4">
        <v>0</v>
      </c>
      <c r="BR111" s="4">
        <v>0</v>
      </c>
      <c r="BS111" s="4">
        <v>0</v>
      </c>
      <c r="BT111" s="4">
        <v>0</v>
      </c>
      <c r="BU111" s="4">
        <v>1</v>
      </c>
      <c r="BV111" s="4">
        <v>0</v>
      </c>
      <c r="BW111" s="4">
        <v>3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4</v>
      </c>
      <c r="CF111" s="4">
        <v>0</v>
      </c>
      <c r="CG111" s="4">
        <v>0</v>
      </c>
      <c r="CH111" s="4">
        <v>0</v>
      </c>
      <c r="CI111" s="4">
        <v>1</v>
      </c>
      <c r="CJ111" s="4">
        <v>1</v>
      </c>
      <c r="CK111" s="4">
        <v>1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 t="str">
        <f t="shared" si="32"/>
        <v>小城堡</v>
      </c>
      <c r="CS111" s="4">
        <v>0</v>
      </c>
      <c r="CT111" s="4">
        <v>1</v>
      </c>
      <c r="CU111" s="4">
        <v>0</v>
      </c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</row>
    <row r="112" spans="1:119" x14ac:dyDescent="0.15">
      <c r="A112" s="4">
        <v>110002</v>
      </c>
      <c r="B112" s="16" t="s">
        <v>278</v>
      </c>
      <c r="C112" s="47" t="s">
        <v>110</v>
      </c>
      <c r="D112" s="26"/>
      <c r="E112" s="26">
        <v>0</v>
      </c>
      <c r="F112" s="5">
        <v>0</v>
      </c>
      <c r="G112" s="26">
        <v>0</v>
      </c>
      <c r="H112" s="4">
        <v>0</v>
      </c>
      <c r="I112" s="5">
        <v>0</v>
      </c>
      <c r="J112" s="4"/>
      <c r="K112" s="4"/>
      <c r="L112" s="4"/>
      <c r="M112" s="8">
        <v>0</v>
      </c>
      <c r="N112" s="4" t="s">
        <v>276</v>
      </c>
      <c r="O112" s="25">
        <v>0</v>
      </c>
      <c r="P112" s="25">
        <v>0</v>
      </c>
      <c r="Q112" s="25">
        <v>0</v>
      </c>
      <c r="R112" s="4">
        <v>0</v>
      </c>
      <c r="S112" s="4">
        <v>0</v>
      </c>
      <c r="T112" s="4">
        <v>0</v>
      </c>
      <c r="U112" s="4">
        <v>0</v>
      </c>
      <c r="V112" s="5">
        <v>0</v>
      </c>
      <c r="W112" s="5">
        <v>0</v>
      </c>
      <c r="X112" s="5">
        <v>1</v>
      </c>
      <c r="Y112" s="16" t="s">
        <v>278</v>
      </c>
      <c r="Z112" s="5">
        <v>0</v>
      </c>
      <c r="AA112" s="5">
        <v>0</v>
      </c>
      <c r="AB112" s="5">
        <v>1</v>
      </c>
      <c r="AC112" s="5">
        <v>0</v>
      </c>
      <c r="AD112" s="5">
        <v>0</v>
      </c>
      <c r="AE112" s="3">
        <v>0</v>
      </c>
      <c r="AF112" s="5">
        <v>0</v>
      </c>
      <c r="AG112" s="4">
        <v>0</v>
      </c>
      <c r="AH112" s="25">
        <v>0</v>
      </c>
      <c r="AI112" s="26">
        <v>0</v>
      </c>
      <c r="AJ112" s="5">
        <v>0</v>
      </c>
      <c r="AK112" s="5">
        <v>0</v>
      </c>
      <c r="AL112" s="5">
        <v>0</v>
      </c>
      <c r="AM112" s="4">
        <v>0</v>
      </c>
      <c r="AN112" s="5">
        <v>0</v>
      </c>
      <c r="AO112" s="5">
        <v>0</v>
      </c>
      <c r="AP112" s="4">
        <v>0</v>
      </c>
      <c r="AQ112" s="4"/>
      <c r="AR112" s="4">
        <v>1</v>
      </c>
      <c r="AS112" s="4">
        <v>1</v>
      </c>
      <c r="AT112" s="4">
        <v>0</v>
      </c>
      <c r="AU112" s="4">
        <v>0</v>
      </c>
      <c r="AV112" s="12">
        <v>0</v>
      </c>
      <c r="AW112" s="4">
        <v>0</v>
      </c>
      <c r="AX112" s="4">
        <v>0</v>
      </c>
      <c r="AY112" s="4">
        <v>0</v>
      </c>
      <c r="AZ112" s="4">
        <v>0</v>
      </c>
      <c r="BA112" s="4" t="s">
        <v>277</v>
      </c>
      <c r="BB112" s="5">
        <v>0</v>
      </c>
      <c r="BC112" s="17" t="s">
        <v>109</v>
      </c>
      <c r="BD112" s="17" t="s">
        <v>109</v>
      </c>
      <c r="BE112" s="17" t="s">
        <v>110</v>
      </c>
      <c r="BF112" s="17" t="s">
        <v>379</v>
      </c>
      <c r="BG112" s="4" t="str">
        <f t="shared" ref="BG112:BG138" si="40">B112</f>
        <v>大城堡</v>
      </c>
      <c r="BH112" s="4">
        <v>5</v>
      </c>
      <c r="BI112" s="4">
        <v>4</v>
      </c>
      <c r="BJ112" s="4">
        <v>0</v>
      </c>
      <c r="BK112" s="4">
        <v>0</v>
      </c>
      <c r="BL112" s="4">
        <v>1234</v>
      </c>
      <c r="BM112" s="4">
        <v>0</v>
      </c>
      <c r="BN112" s="4">
        <v>0</v>
      </c>
      <c r="BO112" s="4">
        <v>0</v>
      </c>
      <c r="BP112" s="4">
        <v>1</v>
      </c>
      <c r="BQ112" s="4">
        <v>0</v>
      </c>
      <c r="BR112" s="4">
        <v>0</v>
      </c>
      <c r="BS112" s="4">
        <v>0</v>
      </c>
      <c r="BT112" s="4">
        <v>0</v>
      </c>
      <c r="BU112" s="4">
        <v>1</v>
      </c>
      <c r="BV112" s="4">
        <v>0</v>
      </c>
      <c r="BW112" s="4">
        <v>3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4</v>
      </c>
      <c r="CF112" s="4">
        <v>0</v>
      </c>
      <c r="CG112" s="4">
        <v>0</v>
      </c>
      <c r="CH112" s="4">
        <v>0</v>
      </c>
      <c r="CI112" s="4">
        <v>1</v>
      </c>
      <c r="CJ112" s="4">
        <v>1</v>
      </c>
      <c r="CK112" s="4">
        <v>1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 t="str">
        <f t="shared" ref="CR112:CR128" si="41">B112</f>
        <v>大城堡</v>
      </c>
      <c r="CS112" s="4">
        <v>0</v>
      </c>
      <c r="CT112" s="4">
        <v>1</v>
      </c>
      <c r="CU112" s="4">
        <v>0</v>
      </c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</row>
    <row r="113" spans="1:119" x14ac:dyDescent="0.15">
      <c r="A113" s="4">
        <v>110003</v>
      </c>
      <c r="B113" s="16" t="s">
        <v>279</v>
      </c>
      <c r="C113" s="47" t="s">
        <v>110</v>
      </c>
      <c r="D113" s="26"/>
      <c r="E113" s="26">
        <v>0</v>
      </c>
      <c r="F113" s="5">
        <v>0</v>
      </c>
      <c r="G113" s="26">
        <v>0</v>
      </c>
      <c r="H113" s="4">
        <v>0</v>
      </c>
      <c r="I113" s="5">
        <v>0</v>
      </c>
      <c r="J113" s="4"/>
      <c r="K113" s="4"/>
      <c r="L113" s="4"/>
      <c r="M113" s="8">
        <v>0</v>
      </c>
      <c r="N113" s="25" t="s">
        <v>612</v>
      </c>
      <c r="O113" s="25">
        <v>0</v>
      </c>
      <c r="P113" s="25">
        <v>0</v>
      </c>
      <c r="Q113" s="25">
        <v>0</v>
      </c>
      <c r="R113" s="4">
        <v>0</v>
      </c>
      <c r="S113" s="4">
        <v>0</v>
      </c>
      <c r="T113" s="4">
        <v>0</v>
      </c>
      <c r="U113" s="4">
        <v>0</v>
      </c>
      <c r="V113" s="5">
        <v>0</v>
      </c>
      <c r="W113" s="5">
        <v>0</v>
      </c>
      <c r="X113" s="5">
        <v>1</v>
      </c>
      <c r="Y113" s="16" t="s">
        <v>279</v>
      </c>
      <c r="Z113" s="5">
        <v>0</v>
      </c>
      <c r="AA113" s="5">
        <v>0</v>
      </c>
      <c r="AB113" s="5">
        <v>1</v>
      </c>
      <c r="AC113" s="5">
        <v>0</v>
      </c>
      <c r="AD113" s="5">
        <v>0</v>
      </c>
      <c r="AE113" s="3">
        <v>0</v>
      </c>
      <c r="AF113" s="5">
        <v>0</v>
      </c>
      <c r="AG113" s="4">
        <v>0</v>
      </c>
      <c r="AH113" s="25">
        <v>0</v>
      </c>
      <c r="AI113" s="26">
        <v>0</v>
      </c>
      <c r="AJ113" s="5">
        <v>0</v>
      </c>
      <c r="AK113" s="5">
        <v>0</v>
      </c>
      <c r="AL113" s="5">
        <v>0</v>
      </c>
      <c r="AM113" s="4">
        <v>0</v>
      </c>
      <c r="AN113" s="5">
        <v>0</v>
      </c>
      <c r="AO113" s="5">
        <v>0</v>
      </c>
      <c r="AP113" s="4">
        <v>0</v>
      </c>
      <c r="AQ113" s="4"/>
      <c r="AR113" s="4">
        <v>1</v>
      </c>
      <c r="AS113" s="4">
        <v>1</v>
      </c>
      <c r="AT113" s="4">
        <v>0</v>
      </c>
      <c r="AU113" s="4">
        <v>0</v>
      </c>
      <c r="AV113" s="12">
        <v>0</v>
      </c>
      <c r="AW113" s="4">
        <v>0</v>
      </c>
      <c r="AX113" s="4">
        <v>0</v>
      </c>
      <c r="AY113" s="4">
        <v>0</v>
      </c>
      <c r="AZ113" s="4">
        <v>0</v>
      </c>
      <c r="BA113" s="4" t="s">
        <v>280</v>
      </c>
      <c r="BB113" s="5">
        <v>0</v>
      </c>
      <c r="BC113" s="17" t="s">
        <v>109</v>
      </c>
      <c r="BD113" s="17" t="s">
        <v>109</v>
      </c>
      <c r="BE113" s="17" t="s">
        <v>110</v>
      </c>
      <c r="BF113" s="17" t="s">
        <v>379</v>
      </c>
      <c r="BG113" s="4" t="str">
        <f t="shared" si="40"/>
        <v>小村庄</v>
      </c>
      <c r="BH113" s="4">
        <v>12</v>
      </c>
      <c r="BI113" s="4">
        <v>12</v>
      </c>
      <c r="BJ113" s="4">
        <v>0</v>
      </c>
      <c r="BK113" s="4">
        <v>0</v>
      </c>
      <c r="BL113" s="4">
        <v>1234</v>
      </c>
      <c r="BM113" s="4">
        <v>0</v>
      </c>
      <c r="BN113" s="4">
        <v>0</v>
      </c>
      <c r="BO113" s="4">
        <v>0</v>
      </c>
      <c r="BP113" s="4">
        <v>1</v>
      </c>
      <c r="BQ113" s="4">
        <v>0</v>
      </c>
      <c r="BR113" s="4">
        <v>0</v>
      </c>
      <c r="BS113" s="4">
        <v>0</v>
      </c>
      <c r="BT113" s="4">
        <v>0</v>
      </c>
      <c r="BU113" s="4">
        <v>1</v>
      </c>
      <c r="BV113" s="4">
        <v>0</v>
      </c>
      <c r="BW113" s="4">
        <v>3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4</v>
      </c>
      <c r="CF113" s="4">
        <v>0</v>
      </c>
      <c r="CG113" s="4">
        <v>0</v>
      </c>
      <c r="CH113" s="4">
        <v>0</v>
      </c>
      <c r="CI113" s="4">
        <v>1</v>
      </c>
      <c r="CJ113" s="4">
        <v>1</v>
      </c>
      <c r="CK113" s="4">
        <v>1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 t="str">
        <f t="shared" si="41"/>
        <v>小村庄</v>
      </c>
      <c r="CS113" s="4">
        <v>0</v>
      </c>
      <c r="CT113" s="4">
        <v>1</v>
      </c>
      <c r="CU113" s="4">
        <v>0</v>
      </c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</row>
    <row r="114" spans="1:119" x14ac:dyDescent="0.15">
      <c r="A114" s="4">
        <v>110004</v>
      </c>
      <c r="B114" s="16" t="s">
        <v>281</v>
      </c>
      <c r="C114" s="47" t="s">
        <v>110</v>
      </c>
      <c r="D114" s="26"/>
      <c r="E114" s="26">
        <v>0</v>
      </c>
      <c r="F114" s="5">
        <v>0</v>
      </c>
      <c r="G114" s="26">
        <v>0</v>
      </c>
      <c r="H114" s="4">
        <v>0</v>
      </c>
      <c r="I114" s="5">
        <v>0</v>
      </c>
      <c r="J114" s="4"/>
      <c r="K114" s="4"/>
      <c r="L114" s="4"/>
      <c r="M114" s="8">
        <v>0</v>
      </c>
      <c r="N114" s="25" t="s">
        <v>612</v>
      </c>
      <c r="O114" s="25">
        <v>0</v>
      </c>
      <c r="P114" s="25">
        <v>0</v>
      </c>
      <c r="Q114" s="25">
        <v>0</v>
      </c>
      <c r="R114" s="4">
        <v>0</v>
      </c>
      <c r="S114" s="4">
        <v>0</v>
      </c>
      <c r="T114" s="4">
        <v>0</v>
      </c>
      <c r="U114" s="4">
        <v>0</v>
      </c>
      <c r="V114" s="5">
        <v>0</v>
      </c>
      <c r="W114" s="5">
        <v>0</v>
      </c>
      <c r="X114" s="5">
        <v>1</v>
      </c>
      <c r="Y114" s="16" t="s">
        <v>281</v>
      </c>
      <c r="Z114" s="5">
        <v>0</v>
      </c>
      <c r="AA114" s="5">
        <v>0</v>
      </c>
      <c r="AB114" s="5">
        <v>1</v>
      </c>
      <c r="AC114" s="5">
        <v>0</v>
      </c>
      <c r="AD114" s="5">
        <v>0</v>
      </c>
      <c r="AE114" s="3">
        <v>0</v>
      </c>
      <c r="AF114" s="5">
        <v>0</v>
      </c>
      <c r="AG114" s="4">
        <v>0</v>
      </c>
      <c r="AH114" s="25">
        <v>0</v>
      </c>
      <c r="AI114" s="26">
        <v>0</v>
      </c>
      <c r="AJ114" s="5">
        <v>0</v>
      </c>
      <c r="AK114" s="5">
        <v>0</v>
      </c>
      <c r="AL114" s="5">
        <v>0</v>
      </c>
      <c r="AM114" s="4">
        <v>0</v>
      </c>
      <c r="AN114" s="5">
        <v>0</v>
      </c>
      <c r="AO114" s="5">
        <v>0</v>
      </c>
      <c r="AP114" s="4">
        <v>0</v>
      </c>
      <c r="AQ114" s="4"/>
      <c r="AR114" s="4">
        <v>1</v>
      </c>
      <c r="AS114" s="4">
        <v>1</v>
      </c>
      <c r="AT114" s="4">
        <v>0</v>
      </c>
      <c r="AU114" s="4">
        <v>0</v>
      </c>
      <c r="AV114" s="12">
        <v>0</v>
      </c>
      <c r="AW114" s="4">
        <v>0</v>
      </c>
      <c r="AX114" s="4">
        <v>0</v>
      </c>
      <c r="AY114" s="4">
        <v>0</v>
      </c>
      <c r="AZ114" s="4">
        <v>0</v>
      </c>
      <c r="BA114" s="4" t="s">
        <v>280</v>
      </c>
      <c r="BB114" s="5">
        <v>0</v>
      </c>
      <c r="BC114" s="17" t="s">
        <v>109</v>
      </c>
      <c r="BD114" s="17" t="s">
        <v>109</v>
      </c>
      <c r="BE114" s="17" t="s">
        <v>110</v>
      </c>
      <c r="BF114" s="17" t="s">
        <v>379</v>
      </c>
      <c r="BG114" s="4" t="str">
        <f t="shared" si="40"/>
        <v>大村庄</v>
      </c>
      <c r="BH114" s="4">
        <v>12</v>
      </c>
      <c r="BI114" s="4">
        <v>12</v>
      </c>
      <c r="BJ114" s="4">
        <v>0</v>
      </c>
      <c r="BK114" s="4">
        <v>0</v>
      </c>
      <c r="BL114" s="4">
        <v>1234</v>
      </c>
      <c r="BM114" s="4">
        <v>0</v>
      </c>
      <c r="BN114" s="4">
        <v>0</v>
      </c>
      <c r="BO114" s="4">
        <v>0</v>
      </c>
      <c r="BP114" s="4">
        <v>1</v>
      </c>
      <c r="BQ114" s="4">
        <v>0</v>
      </c>
      <c r="BR114" s="4">
        <v>0</v>
      </c>
      <c r="BS114" s="4">
        <v>0</v>
      </c>
      <c r="BT114" s="4">
        <v>0</v>
      </c>
      <c r="BU114" s="4">
        <v>1</v>
      </c>
      <c r="BV114" s="4">
        <v>0</v>
      </c>
      <c r="BW114" s="4">
        <v>3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4</v>
      </c>
      <c r="CF114" s="4">
        <v>0</v>
      </c>
      <c r="CG114" s="4">
        <v>0</v>
      </c>
      <c r="CH114" s="4">
        <v>0</v>
      </c>
      <c r="CI114" s="4">
        <v>1</v>
      </c>
      <c r="CJ114" s="4">
        <v>1</v>
      </c>
      <c r="CK114" s="4">
        <v>1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 t="str">
        <f t="shared" si="41"/>
        <v>大村庄</v>
      </c>
      <c r="CS114" s="4">
        <v>0</v>
      </c>
      <c r="CT114" s="4">
        <v>1</v>
      </c>
      <c r="CU114" s="4">
        <v>0</v>
      </c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</row>
    <row r="115" spans="1:119" x14ac:dyDescent="0.15">
      <c r="A115" s="4">
        <v>110005</v>
      </c>
      <c r="B115" s="16" t="s">
        <v>282</v>
      </c>
      <c r="C115" s="47" t="s">
        <v>110</v>
      </c>
      <c r="D115" s="26"/>
      <c r="E115" s="26">
        <v>0</v>
      </c>
      <c r="F115" s="5">
        <v>0</v>
      </c>
      <c r="G115" s="26">
        <v>0</v>
      </c>
      <c r="H115" s="4">
        <v>0</v>
      </c>
      <c r="I115" s="5">
        <v>0</v>
      </c>
      <c r="J115" s="4"/>
      <c r="K115" s="4"/>
      <c r="L115" s="4"/>
      <c r="M115" s="8">
        <v>0</v>
      </c>
      <c r="N115" s="25" t="s">
        <v>612</v>
      </c>
      <c r="O115" s="25">
        <v>0</v>
      </c>
      <c r="P115" s="25">
        <v>0</v>
      </c>
      <c r="Q115" s="25">
        <v>0</v>
      </c>
      <c r="R115" s="4">
        <v>0</v>
      </c>
      <c r="S115" s="4">
        <v>0</v>
      </c>
      <c r="T115" s="4">
        <v>0</v>
      </c>
      <c r="U115" s="4">
        <v>0</v>
      </c>
      <c r="V115" s="5">
        <v>0</v>
      </c>
      <c r="W115" s="5">
        <v>0</v>
      </c>
      <c r="X115" s="5">
        <v>1</v>
      </c>
      <c r="Y115" s="16" t="s">
        <v>282</v>
      </c>
      <c r="Z115" s="5">
        <v>0</v>
      </c>
      <c r="AA115" s="5">
        <v>0</v>
      </c>
      <c r="AB115" s="5">
        <v>1</v>
      </c>
      <c r="AC115" s="5">
        <v>0</v>
      </c>
      <c r="AD115" s="5">
        <v>0</v>
      </c>
      <c r="AE115" s="3">
        <v>0</v>
      </c>
      <c r="AF115" s="5">
        <v>0</v>
      </c>
      <c r="AG115" s="4">
        <v>0</v>
      </c>
      <c r="AH115" s="25">
        <v>0</v>
      </c>
      <c r="AI115" s="26">
        <v>0</v>
      </c>
      <c r="AJ115" s="5">
        <v>0</v>
      </c>
      <c r="AK115" s="5">
        <v>0</v>
      </c>
      <c r="AL115" s="5">
        <v>0</v>
      </c>
      <c r="AM115" s="4">
        <v>0</v>
      </c>
      <c r="AN115" s="5">
        <v>0</v>
      </c>
      <c r="AO115" s="5">
        <v>0</v>
      </c>
      <c r="AP115" s="4">
        <v>0</v>
      </c>
      <c r="AQ115" s="4"/>
      <c r="AR115" s="4">
        <v>1</v>
      </c>
      <c r="AS115" s="4">
        <v>1</v>
      </c>
      <c r="AT115" s="4">
        <v>0</v>
      </c>
      <c r="AU115" s="4">
        <v>0</v>
      </c>
      <c r="AV115" s="12">
        <v>0</v>
      </c>
      <c r="AW115" s="4">
        <v>0</v>
      </c>
      <c r="AX115" s="4">
        <v>0</v>
      </c>
      <c r="AY115" s="4">
        <v>0</v>
      </c>
      <c r="AZ115" s="4">
        <v>0</v>
      </c>
      <c r="BA115" s="4" t="s">
        <v>280</v>
      </c>
      <c r="BB115" s="5">
        <v>0</v>
      </c>
      <c r="BC115" s="17" t="s">
        <v>109</v>
      </c>
      <c r="BD115" s="17" t="s">
        <v>109</v>
      </c>
      <c r="BE115" s="17" t="s">
        <v>110</v>
      </c>
      <c r="BF115" s="17" t="s">
        <v>379</v>
      </c>
      <c r="BG115" s="4" t="str">
        <f t="shared" si="40"/>
        <v>渔村</v>
      </c>
      <c r="BH115" s="4">
        <v>3</v>
      </c>
      <c r="BI115" s="4">
        <v>4</v>
      </c>
      <c r="BJ115" s="4">
        <v>0</v>
      </c>
      <c r="BK115" s="4">
        <v>0</v>
      </c>
      <c r="BL115" s="4">
        <v>3</v>
      </c>
      <c r="BM115" s="4">
        <v>0</v>
      </c>
      <c r="BN115" s="4">
        <v>0</v>
      </c>
      <c r="BO115" s="4">
        <v>0</v>
      </c>
      <c r="BP115" s="4">
        <v>1</v>
      </c>
      <c r="BQ115" s="4">
        <v>0</v>
      </c>
      <c r="BR115" s="4">
        <v>0</v>
      </c>
      <c r="BS115" s="4">
        <v>0</v>
      </c>
      <c r="BT115" s="4">
        <v>0</v>
      </c>
      <c r="BU115" s="4">
        <v>1</v>
      </c>
      <c r="BV115" s="4">
        <v>0</v>
      </c>
      <c r="BW115" s="4">
        <v>3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4</v>
      </c>
      <c r="CF115" s="4">
        <v>0</v>
      </c>
      <c r="CG115" s="4">
        <v>0</v>
      </c>
      <c r="CH115" s="4">
        <v>0</v>
      </c>
      <c r="CI115" s="4">
        <v>1</v>
      </c>
      <c r="CJ115" s="4">
        <v>1</v>
      </c>
      <c r="CK115" s="4">
        <v>1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 t="str">
        <f t="shared" si="41"/>
        <v>渔村</v>
      </c>
      <c r="CS115" s="4">
        <v>0</v>
      </c>
      <c r="CT115" s="4">
        <v>1</v>
      </c>
      <c r="CU115" s="4">
        <v>0</v>
      </c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</row>
    <row r="116" spans="1:119" x14ac:dyDescent="0.15">
      <c r="A116" s="4">
        <v>110006</v>
      </c>
      <c r="B116" s="16" t="s">
        <v>283</v>
      </c>
      <c r="C116" s="47" t="s">
        <v>110</v>
      </c>
      <c r="D116" s="26"/>
      <c r="E116" s="26">
        <v>0</v>
      </c>
      <c r="F116" s="5">
        <v>0</v>
      </c>
      <c r="G116" s="26">
        <v>0</v>
      </c>
      <c r="H116" s="4">
        <v>0</v>
      </c>
      <c r="I116" s="5">
        <v>0</v>
      </c>
      <c r="J116" s="4"/>
      <c r="K116" s="4"/>
      <c r="L116" s="4"/>
      <c r="M116" s="8">
        <v>0</v>
      </c>
      <c r="N116" s="25" t="s">
        <v>612</v>
      </c>
      <c r="O116" s="25">
        <v>0</v>
      </c>
      <c r="P116" s="25">
        <v>0</v>
      </c>
      <c r="Q116" s="25">
        <v>0</v>
      </c>
      <c r="R116" s="4">
        <v>0</v>
      </c>
      <c r="S116" s="4">
        <v>0</v>
      </c>
      <c r="T116" s="4">
        <v>0</v>
      </c>
      <c r="U116" s="4">
        <v>0</v>
      </c>
      <c r="V116" s="5">
        <v>0</v>
      </c>
      <c r="W116" s="5">
        <v>0</v>
      </c>
      <c r="X116" s="5">
        <v>1</v>
      </c>
      <c r="Y116" s="16" t="s">
        <v>283</v>
      </c>
      <c r="Z116" s="5">
        <v>0</v>
      </c>
      <c r="AA116" s="5">
        <v>0</v>
      </c>
      <c r="AB116" s="5">
        <v>1</v>
      </c>
      <c r="AC116" s="5">
        <v>0</v>
      </c>
      <c r="AD116" s="5">
        <v>0</v>
      </c>
      <c r="AE116" s="3">
        <v>0</v>
      </c>
      <c r="AF116" s="5">
        <v>0</v>
      </c>
      <c r="AG116" s="4">
        <v>0</v>
      </c>
      <c r="AH116" s="25">
        <v>0</v>
      </c>
      <c r="AI116" s="26">
        <v>0</v>
      </c>
      <c r="AJ116" s="5">
        <v>0</v>
      </c>
      <c r="AK116" s="5">
        <v>0</v>
      </c>
      <c r="AL116" s="5">
        <v>0</v>
      </c>
      <c r="AM116" s="4">
        <v>0</v>
      </c>
      <c r="AN116" s="5">
        <v>0</v>
      </c>
      <c r="AO116" s="5">
        <v>0</v>
      </c>
      <c r="AP116" s="4">
        <v>0</v>
      </c>
      <c r="AQ116" s="4"/>
      <c r="AR116" s="4">
        <v>1</v>
      </c>
      <c r="AS116" s="4">
        <v>1</v>
      </c>
      <c r="AT116" s="4">
        <v>0</v>
      </c>
      <c r="AU116" s="4">
        <v>0</v>
      </c>
      <c r="AV116" s="12">
        <v>0</v>
      </c>
      <c r="AW116" s="4">
        <v>0</v>
      </c>
      <c r="AX116" s="4">
        <v>0</v>
      </c>
      <c r="AY116" s="4">
        <v>0</v>
      </c>
      <c r="AZ116" s="4">
        <v>0</v>
      </c>
      <c r="BA116" s="25" t="s">
        <v>705</v>
      </c>
      <c r="BB116" s="5">
        <v>0</v>
      </c>
      <c r="BC116" s="17" t="s">
        <v>109</v>
      </c>
      <c r="BD116" s="17" t="s">
        <v>109</v>
      </c>
      <c r="BE116" s="17" t="s">
        <v>110</v>
      </c>
      <c r="BF116" s="17" t="s">
        <v>379</v>
      </c>
      <c r="BG116" s="4" t="str">
        <f t="shared" si="40"/>
        <v>小部落</v>
      </c>
      <c r="BH116" s="4">
        <v>3</v>
      </c>
      <c r="BI116" s="4">
        <v>3</v>
      </c>
      <c r="BJ116" s="4">
        <v>0</v>
      </c>
      <c r="BK116" s="4">
        <v>0</v>
      </c>
      <c r="BL116" s="4">
        <v>1234</v>
      </c>
      <c r="BM116" s="4">
        <v>0</v>
      </c>
      <c r="BN116" s="4">
        <v>0</v>
      </c>
      <c r="BO116" s="4">
        <v>0</v>
      </c>
      <c r="BP116" s="4">
        <v>1</v>
      </c>
      <c r="BQ116" s="4">
        <v>0</v>
      </c>
      <c r="BR116" s="4">
        <v>0</v>
      </c>
      <c r="BS116" s="4">
        <v>0</v>
      </c>
      <c r="BT116" s="4">
        <v>0</v>
      </c>
      <c r="BU116" s="4">
        <v>1</v>
      </c>
      <c r="BV116" s="4">
        <v>0</v>
      </c>
      <c r="BW116" s="4">
        <v>3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4</v>
      </c>
      <c r="CF116" s="4">
        <v>0</v>
      </c>
      <c r="CG116" s="4">
        <v>0</v>
      </c>
      <c r="CH116" s="4">
        <v>0</v>
      </c>
      <c r="CI116" s="4">
        <v>1</v>
      </c>
      <c r="CJ116" s="4">
        <v>1</v>
      </c>
      <c r="CK116" s="4">
        <v>1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 t="str">
        <f t="shared" si="41"/>
        <v>小部落</v>
      </c>
      <c r="CS116" s="4">
        <v>0</v>
      </c>
      <c r="CT116" s="4">
        <v>1</v>
      </c>
      <c r="CU116" s="4">
        <v>0</v>
      </c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</row>
    <row r="117" spans="1:119" x14ac:dyDescent="0.15">
      <c r="A117" s="4">
        <v>110007</v>
      </c>
      <c r="B117" s="16" t="s">
        <v>284</v>
      </c>
      <c r="C117" s="47" t="s">
        <v>110</v>
      </c>
      <c r="D117" s="26"/>
      <c r="E117" s="26">
        <v>0</v>
      </c>
      <c r="F117" s="5">
        <v>0</v>
      </c>
      <c r="G117" s="26">
        <v>0</v>
      </c>
      <c r="H117" s="4">
        <v>0</v>
      </c>
      <c r="I117" s="5">
        <v>0</v>
      </c>
      <c r="J117" s="4"/>
      <c r="K117" s="4"/>
      <c r="L117" s="4"/>
      <c r="M117" s="8">
        <v>0</v>
      </c>
      <c r="N117" s="25" t="s">
        <v>612</v>
      </c>
      <c r="O117" s="25">
        <v>0</v>
      </c>
      <c r="P117" s="25">
        <v>0</v>
      </c>
      <c r="Q117" s="25">
        <v>0</v>
      </c>
      <c r="R117" s="4">
        <v>0</v>
      </c>
      <c r="S117" s="4">
        <v>0</v>
      </c>
      <c r="T117" s="4">
        <v>0</v>
      </c>
      <c r="U117" s="4">
        <v>0</v>
      </c>
      <c r="V117" s="5">
        <v>0</v>
      </c>
      <c r="W117" s="5">
        <v>0</v>
      </c>
      <c r="X117" s="5">
        <v>1</v>
      </c>
      <c r="Y117" s="38" t="s">
        <v>699</v>
      </c>
      <c r="Z117" s="5">
        <v>0</v>
      </c>
      <c r="AA117" s="5">
        <v>0</v>
      </c>
      <c r="AB117" s="5">
        <v>1</v>
      </c>
      <c r="AC117" s="5">
        <v>0</v>
      </c>
      <c r="AD117" s="5">
        <v>0</v>
      </c>
      <c r="AE117" s="3">
        <v>0</v>
      </c>
      <c r="AF117" s="5">
        <v>0</v>
      </c>
      <c r="AG117" s="4">
        <v>0</v>
      </c>
      <c r="AH117" s="25">
        <v>0</v>
      </c>
      <c r="AI117" s="26">
        <v>0</v>
      </c>
      <c r="AJ117" s="5">
        <v>0</v>
      </c>
      <c r="AK117" s="5">
        <v>0</v>
      </c>
      <c r="AL117" s="5">
        <v>0</v>
      </c>
      <c r="AM117" s="4">
        <v>0</v>
      </c>
      <c r="AN117" s="5">
        <v>0</v>
      </c>
      <c r="AO117" s="5">
        <v>0</v>
      </c>
      <c r="AP117" s="4">
        <v>0</v>
      </c>
      <c r="AQ117" s="4"/>
      <c r="AR117" s="4">
        <v>1</v>
      </c>
      <c r="AS117" s="4">
        <v>1</v>
      </c>
      <c r="AT117" s="4">
        <v>0</v>
      </c>
      <c r="AU117" s="4">
        <v>0</v>
      </c>
      <c r="AV117" s="12">
        <v>0</v>
      </c>
      <c r="AW117" s="4">
        <v>0</v>
      </c>
      <c r="AX117" s="4">
        <v>0</v>
      </c>
      <c r="AY117" s="4">
        <v>0</v>
      </c>
      <c r="AZ117" s="4">
        <v>0</v>
      </c>
      <c r="BA117" s="4" t="s">
        <v>108</v>
      </c>
      <c r="BB117" s="5">
        <v>0</v>
      </c>
      <c r="BC117" s="17" t="s">
        <v>109</v>
      </c>
      <c r="BD117" s="17" t="s">
        <v>109</v>
      </c>
      <c r="BE117" s="17" t="s">
        <v>110</v>
      </c>
      <c r="BF117" s="17" t="s">
        <v>379</v>
      </c>
      <c r="BG117" s="4" t="str">
        <f t="shared" si="40"/>
        <v>大部落</v>
      </c>
      <c r="BH117" s="4">
        <v>7</v>
      </c>
      <c r="BI117" s="4">
        <v>3</v>
      </c>
      <c r="BJ117" s="4">
        <v>0</v>
      </c>
      <c r="BK117" s="4">
        <v>0</v>
      </c>
      <c r="BL117" s="4">
        <v>1234</v>
      </c>
      <c r="BM117" s="4">
        <v>0</v>
      </c>
      <c r="BN117" s="4">
        <v>0</v>
      </c>
      <c r="BO117" s="4">
        <v>0</v>
      </c>
      <c r="BP117" s="4">
        <v>1</v>
      </c>
      <c r="BQ117" s="4">
        <v>0</v>
      </c>
      <c r="BR117" s="4">
        <v>0</v>
      </c>
      <c r="BS117" s="4">
        <v>0</v>
      </c>
      <c r="BT117" s="4">
        <v>0</v>
      </c>
      <c r="BU117" s="4">
        <v>1</v>
      </c>
      <c r="BV117" s="4">
        <v>0</v>
      </c>
      <c r="BW117" s="4">
        <v>3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4</v>
      </c>
      <c r="CF117" s="4">
        <v>0</v>
      </c>
      <c r="CG117" s="4">
        <v>0</v>
      </c>
      <c r="CH117" s="4">
        <v>0</v>
      </c>
      <c r="CI117" s="4">
        <v>1</v>
      </c>
      <c r="CJ117" s="4">
        <v>1</v>
      </c>
      <c r="CK117" s="4">
        <v>1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 t="str">
        <f t="shared" si="41"/>
        <v>大部落</v>
      </c>
      <c r="CS117" s="4">
        <v>0</v>
      </c>
      <c r="CT117" s="4">
        <v>1</v>
      </c>
      <c r="CU117" s="4">
        <v>0</v>
      </c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</row>
    <row r="118" spans="1:119" x14ac:dyDescent="0.15">
      <c r="A118" s="4">
        <v>110008</v>
      </c>
      <c r="B118" s="38" t="s">
        <v>691</v>
      </c>
      <c r="C118" s="47" t="s">
        <v>110</v>
      </c>
      <c r="D118" s="26"/>
      <c r="E118" s="26">
        <v>0</v>
      </c>
      <c r="F118" s="5">
        <v>0</v>
      </c>
      <c r="G118" s="26">
        <v>0</v>
      </c>
      <c r="H118" s="4">
        <v>0</v>
      </c>
      <c r="I118" s="5">
        <v>0</v>
      </c>
      <c r="J118" s="4"/>
      <c r="K118" s="4"/>
      <c r="L118" s="4"/>
      <c r="M118" s="8">
        <v>0</v>
      </c>
      <c r="N118" s="25" t="s">
        <v>694</v>
      </c>
      <c r="O118" s="25">
        <v>0</v>
      </c>
      <c r="P118" s="25">
        <v>0</v>
      </c>
      <c r="Q118" s="25">
        <v>0</v>
      </c>
      <c r="R118" s="4">
        <v>0</v>
      </c>
      <c r="S118" s="4">
        <v>0</v>
      </c>
      <c r="T118" s="4">
        <v>0</v>
      </c>
      <c r="U118" s="4">
        <v>0</v>
      </c>
      <c r="V118" s="5">
        <v>0</v>
      </c>
      <c r="W118" s="5">
        <v>0</v>
      </c>
      <c r="X118" s="5">
        <v>1</v>
      </c>
      <c r="Y118" s="38" t="s">
        <v>693</v>
      </c>
      <c r="Z118" s="5">
        <v>0</v>
      </c>
      <c r="AA118" s="5">
        <v>0</v>
      </c>
      <c r="AB118" s="5">
        <v>1</v>
      </c>
      <c r="AC118" s="5">
        <v>0</v>
      </c>
      <c r="AD118" s="5">
        <v>0</v>
      </c>
      <c r="AE118" s="3">
        <v>0</v>
      </c>
      <c r="AF118" s="5">
        <v>0</v>
      </c>
      <c r="AG118" s="4">
        <v>0</v>
      </c>
      <c r="AH118" s="25">
        <v>0</v>
      </c>
      <c r="AI118" s="26">
        <v>0</v>
      </c>
      <c r="AJ118" s="5">
        <v>0</v>
      </c>
      <c r="AK118" s="5">
        <v>0</v>
      </c>
      <c r="AL118" s="5">
        <v>0</v>
      </c>
      <c r="AM118" s="4">
        <v>0</v>
      </c>
      <c r="AN118" s="5">
        <v>0</v>
      </c>
      <c r="AO118" s="5">
        <v>0</v>
      </c>
      <c r="AP118" s="4">
        <v>0</v>
      </c>
      <c r="AQ118" s="4"/>
      <c r="AR118" s="4">
        <v>0</v>
      </c>
      <c r="AS118" s="4">
        <v>0</v>
      </c>
      <c r="AT118" s="4">
        <v>0</v>
      </c>
      <c r="AU118" s="4">
        <v>0</v>
      </c>
      <c r="AV118" s="12">
        <v>0</v>
      </c>
      <c r="AW118" s="4">
        <v>0</v>
      </c>
      <c r="AX118" s="4">
        <v>0</v>
      </c>
      <c r="AY118" s="4">
        <v>0</v>
      </c>
      <c r="AZ118" s="4">
        <v>0</v>
      </c>
      <c r="BA118" s="25" t="s">
        <v>692</v>
      </c>
      <c r="BB118" s="5">
        <v>0</v>
      </c>
      <c r="BC118" s="17" t="s">
        <v>109</v>
      </c>
      <c r="BD118" s="17" t="s">
        <v>109</v>
      </c>
      <c r="BE118" s="17" t="s">
        <v>110</v>
      </c>
      <c r="BF118" s="17" t="s">
        <v>309</v>
      </c>
      <c r="BG118" s="4" t="str">
        <f t="shared" si="40"/>
        <v>龙之试炼柱</v>
      </c>
      <c r="BH118" s="4">
        <v>4</v>
      </c>
      <c r="BI118" s="4">
        <v>2</v>
      </c>
      <c r="BJ118" s="4">
        <v>0</v>
      </c>
      <c r="BK118" s="4">
        <v>0</v>
      </c>
      <c r="BL118" s="4">
        <v>1234</v>
      </c>
      <c r="BM118" s="4">
        <v>0</v>
      </c>
      <c r="BN118" s="4">
        <v>0</v>
      </c>
      <c r="BO118" s="4">
        <v>0</v>
      </c>
      <c r="BP118" s="4">
        <v>1</v>
      </c>
      <c r="BQ118" s="4">
        <v>0</v>
      </c>
      <c r="BR118" s="4">
        <v>0</v>
      </c>
      <c r="BS118" s="4">
        <v>0</v>
      </c>
      <c r="BT118" s="4">
        <v>0</v>
      </c>
      <c r="BU118" s="4">
        <v>1</v>
      </c>
      <c r="BV118" s="4">
        <v>0</v>
      </c>
      <c r="BW118" s="4">
        <v>3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4</v>
      </c>
      <c r="CF118" s="4">
        <v>0</v>
      </c>
      <c r="CG118" s="4">
        <v>0</v>
      </c>
      <c r="CH118" s="4">
        <v>0</v>
      </c>
      <c r="CI118" s="4">
        <v>1</v>
      </c>
      <c r="CJ118" s="4">
        <v>1</v>
      </c>
      <c r="CK118" s="4">
        <v>1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 t="str">
        <f t="shared" si="41"/>
        <v>龙之试炼柱</v>
      </c>
      <c r="CS118" s="4">
        <v>0</v>
      </c>
      <c r="CT118" s="4">
        <v>1</v>
      </c>
      <c r="CU118" s="4">
        <v>0</v>
      </c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</row>
    <row r="119" spans="1:119" x14ac:dyDescent="0.15">
      <c r="A119" s="4">
        <v>110009</v>
      </c>
      <c r="B119" s="38" t="s">
        <v>695</v>
      </c>
      <c r="C119" s="47" t="s">
        <v>110</v>
      </c>
      <c r="D119" s="26"/>
      <c r="E119" s="26">
        <v>0</v>
      </c>
      <c r="F119" s="5">
        <v>0</v>
      </c>
      <c r="G119" s="26">
        <v>0</v>
      </c>
      <c r="H119" s="4">
        <v>0</v>
      </c>
      <c r="I119" s="5">
        <v>0</v>
      </c>
      <c r="J119" s="4"/>
      <c r="K119" s="4"/>
      <c r="L119" s="4"/>
      <c r="M119" s="8">
        <v>0</v>
      </c>
      <c r="N119" s="25" t="s">
        <v>701</v>
      </c>
      <c r="O119" s="25">
        <v>0</v>
      </c>
      <c r="P119" s="25">
        <v>0</v>
      </c>
      <c r="Q119" s="25">
        <v>0</v>
      </c>
      <c r="R119" s="4">
        <v>0</v>
      </c>
      <c r="S119" s="4">
        <v>0</v>
      </c>
      <c r="T119" s="4">
        <v>0</v>
      </c>
      <c r="U119" s="4">
        <v>0</v>
      </c>
      <c r="V119" s="5">
        <v>0</v>
      </c>
      <c r="W119" s="5">
        <v>0</v>
      </c>
      <c r="X119" s="5">
        <v>1</v>
      </c>
      <c r="Y119" s="38" t="s">
        <v>695</v>
      </c>
      <c r="Z119" s="5">
        <v>0</v>
      </c>
      <c r="AA119" s="5">
        <v>0</v>
      </c>
      <c r="AB119" s="5">
        <v>1</v>
      </c>
      <c r="AC119" s="5">
        <v>0</v>
      </c>
      <c r="AD119" s="5">
        <v>0</v>
      </c>
      <c r="AE119" s="3">
        <v>0</v>
      </c>
      <c r="AF119" s="5">
        <v>0</v>
      </c>
      <c r="AG119" s="4">
        <v>0</v>
      </c>
      <c r="AH119" s="25">
        <v>0</v>
      </c>
      <c r="AI119" s="26">
        <v>0</v>
      </c>
      <c r="AJ119" s="5">
        <v>0</v>
      </c>
      <c r="AK119" s="5">
        <v>0</v>
      </c>
      <c r="AL119" s="5">
        <v>0</v>
      </c>
      <c r="AM119" s="4">
        <v>0</v>
      </c>
      <c r="AN119" s="5">
        <v>0</v>
      </c>
      <c r="AO119" s="5">
        <v>0</v>
      </c>
      <c r="AP119" s="4">
        <v>0</v>
      </c>
      <c r="AQ119" s="4"/>
      <c r="AR119" s="4">
        <v>1</v>
      </c>
      <c r="AS119" s="4">
        <v>1</v>
      </c>
      <c r="AT119" s="4">
        <v>0</v>
      </c>
      <c r="AU119" s="4">
        <v>0</v>
      </c>
      <c r="AV119" s="12">
        <v>0</v>
      </c>
      <c r="AW119" s="4">
        <v>0</v>
      </c>
      <c r="AX119" s="4">
        <v>0</v>
      </c>
      <c r="AY119" s="4">
        <v>0</v>
      </c>
      <c r="AZ119" s="4">
        <v>0</v>
      </c>
      <c r="BA119" s="25" t="s">
        <v>702</v>
      </c>
      <c r="BB119" s="5">
        <v>0</v>
      </c>
      <c r="BC119" s="30" t="s">
        <v>703</v>
      </c>
      <c r="BD119" s="17" t="s">
        <v>109</v>
      </c>
      <c r="BE119" s="17" t="s">
        <v>110</v>
      </c>
      <c r="BF119" s="17" t="s">
        <v>309</v>
      </c>
      <c r="BG119" s="13" t="str">
        <f t="shared" si="40"/>
        <v>要塞</v>
      </c>
      <c r="BH119" s="4">
        <v>5</v>
      </c>
      <c r="BI119" s="4">
        <v>4</v>
      </c>
      <c r="BJ119" s="4">
        <v>0</v>
      </c>
      <c r="BK119" s="4">
        <v>0</v>
      </c>
      <c r="BL119" s="4">
        <v>1234</v>
      </c>
      <c r="BM119" s="4">
        <v>0</v>
      </c>
      <c r="BN119" s="4">
        <v>0</v>
      </c>
      <c r="BO119" s="4">
        <v>0</v>
      </c>
      <c r="BP119" s="4">
        <v>1</v>
      </c>
      <c r="BQ119" s="4">
        <v>0</v>
      </c>
      <c r="BR119" s="4">
        <v>0</v>
      </c>
      <c r="BS119" s="4">
        <v>0</v>
      </c>
      <c r="BT119" s="4">
        <v>0</v>
      </c>
      <c r="BU119" s="4">
        <v>1</v>
      </c>
      <c r="BV119" s="4">
        <v>0</v>
      </c>
      <c r="BW119" s="4">
        <v>3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4</v>
      </c>
      <c r="CF119" s="4">
        <v>0</v>
      </c>
      <c r="CG119" s="4">
        <v>0</v>
      </c>
      <c r="CH119" s="4">
        <v>0</v>
      </c>
      <c r="CI119" s="4">
        <v>1</v>
      </c>
      <c r="CJ119" s="4">
        <v>1</v>
      </c>
      <c r="CK119" s="4">
        <v>1</v>
      </c>
      <c r="CL119" s="4">
        <v>50000</v>
      </c>
      <c r="CM119" s="4">
        <v>1</v>
      </c>
      <c r="CN119" s="4">
        <v>1</v>
      </c>
      <c r="CO119" s="4">
        <v>0</v>
      </c>
      <c r="CP119" s="4">
        <v>0</v>
      </c>
      <c r="CQ119" s="4">
        <v>0</v>
      </c>
      <c r="CR119" s="4" t="str">
        <f t="shared" si="41"/>
        <v>要塞</v>
      </c>
      <c r="CS119" s="4">
        <v>0</v>
      </c>
      <c r="CT119" s="4">
        <v>1</v>
      </c>
      <c r="CU119" s="4">
        <v>0</v>
      </c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</row>
    <row r="120" spans="1:119" x14ac:dyDescent="0.15">
      <c r="A120" s="4">
        <v>110010</v>
      </c>
      <c r="B120" s="38" t="s">
        <v>696</v>
      </c>
      <c r="C120" s="47" t="s">
        <v>110</v>
      </c>
      <c r="D120" s="26"/>
      <c r="E120" s="26">
        <v>0</v>
      </c>
      <c r="F120" s="5">
        <v>0</v>
      </c>
      <c r="G120" s="26">
        <v>0</v>
      </c>
      <c r="H120" s="4">
        <v>0</v>
      </c>
      <c r="I120" s="5">
        <v>0</v>
      </c>
      <c r="J120" s="4"/>
      <c r="K120" s="4"/>
      <c r="L120" s="4"/>
      <c r="M120" s="8">
        <v>0</v>
      </c>
      <c r="N120" s="25" t="s">
        <v>700</v>
      </c>
      <c r="O120" s="25">
        <v>0</v>
      </c>
      <c r="P120" s="25">
        <v>0</v>
      </c>
      <c r="Q120" s="25">
        <v>0</v>
      </c>
      <c r="R120" s="4">
        <v>0</v>
      </c>
      <c r="S120" s="4">
        <v>0</v>
      </c>
      <c r="T120" s="4">
        <v>0</v>
      </c>
      <c r="U120" s="4">
        <v>0</v>
      </c>
      <c r="V120" s="5">
        <v>0</v>
      </c>
      <c r="W120" s="5">
        <v>0</v>
      </c>
      <c r="X120" s="5">
        <v>1</v>
      </c>
      <c r="Y120" s="38" t="s">
        <v>696</v>
      </c>
      <c r="Z120" s="5">
        <v>0</v>
      </c>
      <c r="AA120" s="5">
        <v>0</v>
      </c>
      <c r="AB120" s="5">
        <v>1</v>
      </c>
      <c r="AC120" s="5">
        <v>0</v>
      </c>
      <c r="AD120" s="5">
        <v>0</v>
      </c>
      <c r="AE120" s="3">
        <v>0</v>
      </c>
      <c r="AF120" s="5">
        <v>0</v>
      </c>
      <c r="AG120" s="4">
        <v>0</v>
      </c>
      <c r="AH120" s="25">
        <v>0</v>
      </c>
      <c r="AI120" s="26">
        <v>0</v>
      </c>
      <c r="AJ120" s="5">
        <v>0</v>
      </c>
      <c r="AK120" s="5">
        <v>0</v>
      </c>
      <c r="AL120" s="5">
        <v>0</v>
      </c>
      <c r="AM120" s="4">
        <v>0</v>
      </c>
      <c r="AN120" s="5">
        <v>0</v>
      </c>
      <c r="AO120" s="5">
        <v>0</v>
      </c>
      <c r="AP120" s="4">
        <v>0</v>
      </c>
      <c r="AQ120" s="4"/>
      <c r="AR120" s="4">
        <v>0</v>
      </c>
      <c r="AS120" s="4">
        <v>0</v>
      </c>
      <c r="AT120" s="4">
        <v>0</v>
      </c>
      <c r="AU120" s="4">
        <v>0</v>
      </c>
      <c r="AV120" s="12">
        <v>0</v>
      </c>
      <c r="AW120" s="4">
        <v>0</v>
      </c>
      <c r="AX120" s="4">
        <v>0</v>
      </c>
      <c r="AY120" s="4">
        <v>0</v>
      </c>
      <c r="AZ120" s="4">
        <v>0</v>
      </c>
      <c r="BA120" s="25" t="s">
        <v>702</v>
      </c>
      <c r="BB120" s="5">
        <v>0</v>
      </c>
      <c r="BC120" s="30" t="s">
        <v>703</v>
      </c>
      <c r="BD120" s="17" t="s">
        <v>109</v>
      </c>
      <c r="BE120" s="17" t="s">
        <v>110</v>
      </c>
      <c r="BF120" s="17" t="s">
        <v>309</v>
      </c>
      <c r="BG120" s="4" t="str">
        <f t="shared" si="40"/>
        <v>战场据点</v>
      </c>
      <c r="BH120" s="4">
        <v>2</v>
      </c>
      <c r="BI120" s="4">
        <v>2</v>
      </c>
      <c r="BJ120" s="4">
        <v>0</v>
      </c>
      <c r="BK120" s="4">
        <v>0</v>
      </c>
      <c r="BL120" s="4">
        <v>1234</v>
      </c>
      <c r="BM120" s="4">
        <v>0</v>
      </c>
      <c r="BN120" s="4">
        <v>0</v>
      </c>
      <c r="BO120" s="4">
        <v>0</v>
      </c>
      <c r="BP120" s="4">
        <v>1</v>
      </c>
      <c r="BQ120" s="4">
        <v>0</v>
      </c>
      <c r="BR120" s="4">
        <v>0</v>
      </c>
      <c r="BS120" s="4">
        <v>0</v>
      </c>
      <c r="BT120" s="4">
        <v>0</v>
      </c>
      <c r="BU120" s="4">
        <v>1</v>
      </c>
      <c r="BV120" s="4">
        <v>0</v>
      </c>
      <c r="BW120" s="4">
        <v>5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4</v>
      </c>
      <c r="CF120" s="4">
        <v>0</v>
      </c>
      <c r="CG120" s="4">
        <v>0</v>
      </c>
      <c r="CH120" s="4">
        <v>0</v>
      </c>
      <c r="CI120" s="4">
        <v>1</v>
      </c>
      <c r="CJ120" s="4">
        <v>1</v>
      </c>
      <c r="CK120" s="4">
        <v>1</v>
      </c>
      <c r="CL120" s="4">
        <v>10000</v>
      </c>
      <c r="CM120" s="4">
        <v>1</v>
      </c>
      <c r="CN120" s="4">
        <v>1</v>
      </c>
      <c r="CO120" s="4">
        <v>0</v>
      </c>
      <c r="CP120" s="4">
        <v>0</v>
      </c>
      <c r="CQ120" s="4">
        <v>0</v>
      </c>
      <c r="CR120" s="4" t="str">
        <f t="shared" si="41"/>
        <v>战场据点</v>
      </c>
      <c r="CS120" s="4">
        <v>0</v>
      </c>
      <c r="CT120" s="4">
        <v>1</v>
      </c>
      <c r="CU120" s="4">
        <v>0</v>
      </c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</row>
    <row r="121" spans="1:119" x14ac:dyDescent="0.15">
      <c r="A121" s="4">
        <v>110011</v>
      </c>
      <c r="B121" s="38" t="s">
        <v>697</v>
      </c>
      <c r="C121" s="47" t="s">
        <v>110</v>
      </c>
      <c r="D121" s="26"/>
      <c r="E121" s="26">
        <v>0</v>
      </c>
      <c r="F121" s="5">
        <v>0</v>
      </c>
      <c r="G121" s="26">
        <v>0</v>
      </c>
      <c r="H121" s="4">
        <v>0</v>
      </c>
      <c r="I121" s="5">
        <v>0</v>
      </c>
      <c r="J121" s="4"/>
      <c r="K121" s="4"/>
      <c r="L121" s="4"/>
      <c r="M121" s="8">
        <v>0</v>
      </c>
      <c r="N121" s="25" t="s">
        <v>698</v>
      </c>
      <c r="O121" s="25">
        <v>0</v>
      </c>
      <c r="P121" s="25">
        <v>0</v>
      </c>
      <c r="Q121" s="25">
        <v>0</v>
      </c>
      <c r="R121" s="4">
        <v>0</v>
      </c>
      <c r="S121" s="4">
        <v>0</v>
      </c>
      <c r="T121" s="4">
        <v>0</v>
      </c>
      <c r="U121" s="4">
        <v>0</v>
      </c>
      <c r="V121" s="5">
        <v>0</v>
      </c>
      <c r="W121" s="5">
        <v>0</v>
      </c>
      <c r="X121" s="5">
        <v>1</v>
      </c>
      <c r="Y121" s="38" t="s">
        <v>697</v>
      </c>
      <c r="Z121" s="5">
        <v>0</v>
      </c>
      <c r="AA121" s="5">
        <v>0</v>
      </c>
      <c r="AB121" s="5">
        <v>1</v>
      </c>
      <c r="AC121" s="5">
        <v>0</v>
      </c>
      <c r="AD121" s="5">
        <v>0</v>
      </c>
      <c r="AE121" s="3">
        <v>0</v>
      </c>
      <c r="AF121" s="5">
        <v>0</v>
      </c>
      <c r="AG121" s="4">
        <v>0</v>
      </c>
      <c r="AH121" s="25">
        <v>0</v>
      </c>
      <c r="AI121" s="26">
        <v>0</v>
      </c>
      <c r="AJ121" s="5">
        <v>0</v>
      </c>
      <c r="AK121" s="5">
        <v>0</v>
      </c>
      <c r="AL121" s="5">
        <v>0</v>
      </c>
      <c r="AM121" s="4">
        <v>0</v>
      </c>
      <c r="AN121" s="5">
        <v>0</v>
      </c>
      <c r="AO121" s="5">
        <v>0</v>
      </c>
      <c r="AP121" s="4">
        <v>0</v>
      </c>
      <c r="AQ121" s="4"/>
      <c r="AR121" s="4">
        <v>0</v>
      </c>
      <c r="AS121" s="4">
        <v>0</v>
      </c>
      <c r="AT121" s="4">
        <v>0</v>
      </c>
      <c r="AU121" s="4">
        <v>0</v>
      </c>
      <c r="AV121" s="12">
        <v>0</v>
      </c>
      <c r="AW121" s="4">
        <v>0</v>
      </c>
      <c r="AX121" s="4">
        <v>0</v>
      </c>
      <c r="AY121" s="4">
        <v>0</v>
      </c>
      <c r="AZ121" s="4">
        <v>0</v>
      </c>
      <c r="BA121" s="25" t="s">
        <v>702</v>
      </c>
      <c r="BB121" s="5">
        <v>0</v>
      </c>
      <c r="BC121" s="30" t="s">
        <v>703</v>
      </c>
      <c r="BD121" s="17" t="s">
        <v>109</v>
      </c>
      <c r="BE121" s="17" t="s">
        <v>110</v>
      </c>
      <c r="BF121" s="17" t="s">
        <v>309</v>
      </c>
      <c r="BG121" s="4" t="str">
        <f t="shared" ref="BG121" si="42">B121</f>
        <v>远征营地</v>
      </c>
      <c r="BH121" s="20">
        <v>5</v>
      </c>
      <c r="BI121" s="4">
        <v>3</v>
      </c>
      <c r="BJ121" s="4">
        <v>0</v>
      </c>
      <c r="BK121" s="4">
        <v>0</v>
      </c>
      <c r="BL121" s="4">
        <v>1234</v>
      </c>
      <c r="BM121" s="4">
        <v>0</v>
      </c>
      <c r="BN121" s="4">
        <v>0</v>
      </c>
      <c r="BO121" s="4">
        <v>0</v>
      </c>
      <c r="BP121" s="4">
        <v>1</v>
      </c>
      <c r="BQ121" s="4">
        <v>0</v>
      </c>
      <c r="BR121" s="4">
        <v>0</v>
      </c>
      <c r="BS121" s="4">
        <v>0</v>
      </c>
      <c r="BT121" s="4">
        <v>0</v>
      </c>
      <c r="BU121" s="4">
        <v>1</v>
      </c>
      <c r="BV121" s="4">
        <v>0</v>
      </c>
      <c r="BW121" s="4">
        <v>3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4</v>
      </c>
      <c r="CF121" s="4">
        <v>0</v>
      </c>
      <c r="CG121" s="4">
        <v>0</v>
      </c>
      <c r="CH121" s="4">
        <v>0</v>
      </c>
      <c r="CI121" s="4">
        <v>1</v>
      </c>
      <c r="CJ121" s="4">
        <v>1</v>
      </c>
      <c r="CK121" s="4">
        <v>1</v>
      </c>
      <c r="CL121" s="4">
        <v>20000</v>
      </c>
      <c r="CM121" s="4">
        <v>1</v>
      </c>
      <c r="CN121" s="4">
        <v>1</v>
      </c>
      <c r="CO121" s="4">
        <v>0</v>
      </c>
      <c r="CP121" s="4">
        <v>0</v>
      </c>
      <c r="CQ121" s="4">
        <v>0</v>
      </c>
      <c r="CR121" s="4" t="str">
        <f t="shared" ref="CR121:CR122" si="43">B121</f>
        <v>远征营地</v>
      </c>
      <c r="CS121" s="4">
        <v>0</v>
      </c>
      <c r="CT121" s="4">
        <v>1</v>
      </c>
      <c r="CU121" s="4">
        <v>0</v>
      </c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</row>
    <row r="122" spans="1:119" x14ac:dyDescent="0.15">
      <c r="A122" s="4">
        <v>110012</v>
      </c>
      <c r="B122" s="38" t="s">
        <v>706</v>
      </c>
      <c r="C122" s="47" t="s">
        <v>110</v>
      </c>
      <c r="D122" s="26"/>
      <c r="E122" s="26">
        <v>0</v>
      </c>
      <c r="F122" s="5">
        <v>0</v>
      </c>
      <c r="G122" s="26">
        <v>0</v>
      </c>
      <c r="H122" s="4">
        <v>0</v>
      </c>
      <c r="I122" s="5">
        <v>0</v>
      </c>
      <c r="J122" s="4"/>
      <c r="K122" s="4"/>
      <c r="L122" s="4"/>
      <c r="M122" s="8">
        <v>0</v>
      </c>
      <c r="N122" s="25" t="s">
        <v>704</v>
      </c>
      <c r="O122" s="25">
        <v>0</v>
      </c>
      <c r="P122" s="25">
        <v>0</v>
      </c>
      <c r="Q122" s="25">
        <v>0</v>
      </c>
      <c r="R122" s="4">
        <v>0</v>
      </c>
      <c r="S122" s="4">
        <v>0</v>
      </c>
      <c r="T122" s="4">
        <v>0</v>
      </c>
      <c r="U122" s="4">
        <v>0</v>
      </c>
      <c r="V122" s="5">
        <v>0</v>
      </c>
      <c r="W122" s="5">
        <v>0</v>
      </c>
      <c r="X122" s="5">
        <v>1</v>
      </c>
      <c r="Y122" s="38" t="s">
        <v>706</v>
      </c>
      <c r="Z122" s="5">
        <v>0</v>
      </c>
      <c r="AA122" s="5">
        <v>0</v>
      </c>
      <c r="AB122" s="5">
        <v>1</v>
      </c>
      <c r="AC122" s="5">
        <v>0</v>
      </c>
      <c r="AD122" s="5">
        <v>0</v>
      </c>
      <c r="AE122" s="3">
        <v>0</v>
      </c>
      <c r="AF122" s="5">
        <v>0</v>
      </c>
      <c r="AG122" s="4">
        <v>0</v>
      </c>
      <c r="AH122" s="25">
        <v>0</v>
      </c>
      <c r="AI122" s="26">
        <v>0</v>
      </c>
      <c r="AJ122" s="5">
        <v>0</v>
      </c>
      <c r="AK122" s="5">
        <v>0</v>
      </c>
      <c r="AL122" s="5">
        <v>0</v>
      </c>
      <c r="AM122" s="4">
        <v>0</v>
      </c>
      <c r="AN122" s="5">
        <v>0</v>
      </c>
      <c r="AO122" s="5">
        <v>0</v>
      </c>
      <c r="AP122" s="4">
        <v>0</v>
      </c>
      <c r="AQ122" s="4"/>
      <c r="AR122" s="4">
        <v>0</v>
      </c>
      <c r="AS122" s="4">
        <v>0</v>
      </c>
      <c r="AT122" s="4">
        <v>0</v>
      </c>
      <c r="AU122" s="4">
        <v>0</v>
      </c>
      <c r="AV122" s="12">
        <v>0</v>
      </c>
      <c r="AW122" s="4">
        <v>0</v>
      </c>
      <c r="AX122" s="4">
        <v>0</v>
      </c>
      <c r="AY122" s="4">
        <v>0</v>
      </c>
      <c r="AZ122" s="4">
        <v>0</v>
      </c>
      <c r="BA122" s="25" t="s">
        <v>472</v>
      </c>
      <c r="BB122" s="5">
        <v>0</v>
      </c>
      <c r="BC122" s="30" t="s">
        <v>309</v>
      </c>
      <c r="BD122" s="17" t="s">
        <v>109</v>
      </c>
      <c r="BE122" s="17" t="s">
        <v>110</v>
      </c>
      <c r="BF122" s="17" t="s">
        <v>309</v>
      </c>
      <c r="BG122" s="4" t="str">
        <f>B122</f>
        <v>被敌人占领的战场据点</v>
      </c>
      <c r="BH122" s="4">
        <v>2</v>
      </c>
      <c r="BI122" s="4">
        <v>2</v>
      </c>
      <c r="BJ122" s="4">
        <v>0</v>
      </c>
      <c r="BK122" s="4">
        <v>0</v>
      </c>
      <c r="BL122" s="4">
        <v>1234</v>
      </c>
      <c r="BM122" s="4">
        <v>0</v>
      </c>
      <c r="BN122" s="4">
        <v>0</v>
      </c>
      <c r="BO122" s="4">
        <v>0</v>
      </c>
      <c r="BP122" s="4">
        <v>1</v>
      </c>
      <c r="BQ122" s="4">
        <v>0</v>
      </c>
      <c r="BR122" s="4">
        <v>0</v>
      </c>
      <c r="BS122" s="4">
        <v>0</v>
      </c>
      <c r="BT122" s="4">
        <v>0</v>
      </c>
      <c r="BU122" s="4">
        <v>1</v>
      </c>
      <c r="BV122" s="4">
        <v>0</v>
      </c>
      <c r="BW122" s="4">
        <v>5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4</v>
      </c>
      <c r="CF122" s="4">
        <v>0</v>
      </c>
      <c r="CG122" s="4">
        <v>0</v>
      </c>
      <c r="CH122" s="4">
        <v>0</v>
      </c>
      <c r="CI122" s="4">
        <v>1</v>
      </c>
      <c r="CJ122" s="4">
        <v>1</v>
      </c>
      <c r="CK122" s="4">
        <v>1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 t="str">
        <f t="shared" si="43"/>
        <v>被敌人占领的战场据点</v>
      </c>
      <c r="CS122" s="4">
        <v>0</v>
      </c>
      <c r="CT122" s="4">
        <v>1</v>
      </c>
      <c r="CU122" s="4">
        <v>0</v>
      </c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</row>
    <row r="123" spans="1:119" x14ac:dyDescent="0.15">
      <c r="A123" s="4">
        <v>108001</v>
      </c>
      <c r="B123" s="4" t="s">
        <v>285</v>
      </c>
      <c r="C123" s="47" t="s">
        <v>110</v>
      </c>
      <c r="D123" s="26"/>
      <c r="E123" s="26">
        <v>0</v>
      </c>
      <c r="F123" s="5">
        <v>0</v>
      </c>
      <c r="G123" s="26">
        <v>0</v>
      </c>
      <c r="H123" s="4">
        <v>0</v>
      </c>
      <c r="I123" s="5">
        <v>0</v>
      </c>
      <c r="J123" s="4"/>
      <c r="K123" s="4"/>
      <c r="L123" s="25" t="s">
        <v>535</v>
      </c>
      <c r="M123" s="8">
        <v>1</v>
      </c>
      <c r="N123" s="25" t="s">
        <v>534</v>
      </c>
      <c r="O123" s="25">
        <v>0</v>
      </c>
      <c r="P123" s="25">
        <v>0</v>
      </c>
      <c r="Q123" s="25">
        <v>0</v>
      </c>
      <c r="R123" s="4">
        <v>1</v>
      </c>
      <c r="S123" s="4">
        <v>0</v>
      </c>
      <c r="T123" s="4">
        <v>0</v>
      </c>
      <c r="U123" s="4">
        <v>0</v>
      </c>
      <c r="V123" s="5">
        <v>0</v>
      </c>
      <c r="W123" s="5">
        <v>1</v>
      </c>
      <c r="X123" s="5">
        <v>1</v>
      </c>
      <c r="Y123" s="4" t="s">
        <v>285</v>
      </c>
      <c r="Z123" s="5">
        <v>0</v>
      </c>
      <c r="AA123" s="5">
        <v>0</v>
      </c>
      <c r="AB123" s="5">
        <v>1</v>
      </c>
      <c r="AC123" s="5">
        <v>0</v>
      </c>
      <c r="AD123" s="5">
        <v>0</v>
      </c>
      <c r="AE123" s="3">
        <v>0</v>
      </c>
      <c r="AF123" s="5">
        <v>0</v>
      </c>
      <c r="AG123" s="4">
        <v>0</v>
      </c>
      <c r="AH123" s="25">
        <v>0</v>
      </c>
      <c r="AI123" s="26">
        <v>0</v>
      </c>
      <c r="AJ123" s="5">
        <v>0</v>
      </c>
      <c r="AK123" s="5">
        <v>0</v>
      </c>
      <c r="AL123" s="5">
        <v>0</v>
      </c>
      <c r="AM123" s="4">
        <v>0</v>
      </c>
      <c r="AN123" s="5">
        <v>0</v>
      </c>
      <c r="AO123" s="5">
        <v>0</v>
      </c>
      <c r="AP123" s="4">
        <v>0</v>
      </c>
      <c r="AQ123" s="4"/>
      <c r="AR123" s="16">
        <v>0</v>
      </c>
      <c r="AS123" s="13">
        <v>0</v>
      </c>
      <c r="AT123" s="4">
        <v>0</v>
      </c>
      <c r="AU123" s="4">
        <v>0</v>
      </c>
      <c r="AV123" s="12">
        <v>0</v>
      </c>
      <c r="AW123" s="4">
        <v>0</v>
      </c>
      <c r="AX123" s="4">
        <v>0</v>
      </c>
      <c r="AY123" s="4">
        <v>0</v>
      </c>
      <c r="AZ123" s="4">
        <v>0</v>
      </c>
      <c r="BA123" s="4" t="s">
        <v>286</v>
      </c>
      <c r="BB123" s="5">
        <v>1</v>
      </c>
      <c r="BC123" s="23" t="s">
        <v>110</v>
      </c>
      <c r="BD123" s="17" t="s">
        <v>109</v>
      </c>
      <c r="BE123" s="17" t="s">
        <v>109</v>
      </c>
      <c r="BF123" s="17" t="s">
        <v>379</v>
      </c>
      <c r="BG123" s="4" t="str">
        <f t="shared" si="40"/>
        <v>古墓</v>
      </c>
      <c r="BH123" s="4">
        <v>3</v>
      </c>
      <c r="BI123" s="4">
        <v>3</v>
      </c>
      <c r="BJ123" s="4">
        <v>0</v>
      </c>
      <c r="BK123" s="4">
        <v>0</v>
      </c>
      <c r="BL123" s="4">
        <v>124</v>
      </c>
      <c r="BM123" s="4">
        <v>0</v>
      </c>
      <c r="BN123" s="4">
        <v>1</v>
      </c>
      <c r="BO123" s="4">
        <v>1</v>
      </c>
      <c r="BP123" s="4">
        <v>1</v>
      </c>
      <c r="BQ123" s="4">
        <v>0</v>
      </c>
      <c r="BR123" s="4">
        <v>0</v>
      </c>
      <c r="BS123" s="4">
        <v>0</v>
      </c>
      <c r="BT123" s="4">
        <v>0</v>
      </c>
      <c r="BU123" s="4">
        <v>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4</v>
      </c>
      <c r="CF123" s="4">
        <v>0</v>
      </c>
      <c r="CG123" s="4">
        <v>0</v>
      </c>
      <c r="CH123" s="4">
        <v>0</v>
      </c>
      <c r="CI123" s="4">
        <v>1</v>
      </c>
      <c r="CJ123" s="4">
        <v>1</v>
      </c>
      <c r="CK123" s="4">
        <v>1</v>
      </c>
      <c r="CL123" s="4">
        <v>1000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 t="str">
        <f t="shared" si="41"/>
        <v>古墓</v>
      </c>
      <c r="CS123" s="4">
        <v>0</v>
      </c>
      <c r="CT123" s="4">
        <v>6</v>
      </c>
      <c r="CU123" s="4">
        <v>300</v>
      </c>
      <c r="CV123" s="4"/>
      <c r="CW123" s="4"/>
      <c r="CX123" s="4"/>
      <c r="CY123" s="4"/>
      <c r="CZ123" s="4"/>
      <c r="DA123" s="4"/>
      <c r="DB123" s="4"/>
      <c r="DC123" s="4"/>
      <c r="DD123" s="4"/>
      <c r="DE123" s="4">
        <v>612001</v>
      </c>
      <c r="DF123" s="24" t="s">
        <v>287</v>
      </c>
      <c r="DG123" s="4">
        <v>100</v>
      </c>
      <c r="DH123" s="4"/>
      <c r="DI123" s="4"/>
      <c r="DJ123" s="4"/>
      <c r="DK123" s="4"/>
      <c r="DL123" s="4"/>
      <c r="DM123" s="4"/>
      <c r="DN123" s="4"/>
      <c r="DO123" s="4"/>
    </row>
    <row r="124" spans="1:119" x14ac:dyDescent="0.15">
      <c r="A124" s="4">
        <v>108002</v>
      </c>
      <c r="B124" s="4" t="s">
        <v>288</v>
      </c>
      <c r="C124" s="47" t="s">
        <v>110</v>
      </c>
      <c r="D124" s="26"/>
      <c r="E124" s="26">
        <v>0</v>
      </c>
      <c r="F124" s="5">
        <v>0</v>
      </c>
      <c r="G124" s="26">
        <v>0</v>
      </c>
      <c r="H124" s="4">
        <v>0</v>
      </c>
      <c r="I124" s="5">
        <v>0</v>
      </c>
      <c r="J124" s="4"/>
      <c r="K124" s="4"/>
      <c r="L124" s="4"/>
      <c r="M124" s="8">
        <v>0</v>
      </c>
      <c r="N124" s="4" t="s">
        <v>289</v>
      </c>
      <c r="O124" s="25">
        <v>0</v>
      </c>
      <c r="P124" s="25">
        <v>0</v>
      </c>
      <c r="Q124" s="25">
        <v>0</v>
      </c>
      <c r="R124" s="4">
        <v>1</v>
      </c>
      <c r="S124" s="4">
        <v>0</v>
      </c>
      <c r="T124" s="4">
        <v>0</v>
      </c>
      <c r="U124" s="4">
        <v>0</v>
      </c>
      <c r="V124" s="5">
        <v>0</v>
      </c>
      <c r="W124" s="5">
        <v>1</v>
      </c>
      <c r="X124" s="5">
        <v>1</v>
      </c>
      <c r="Y124" s="4" t="s">
        <v>288</v>
      </c>
      <c r="Z124" s="5">
        <v>0</v>
      </c>
      <c r="AA124" s="5">
        <v>0</v>
      </c>
      <c r="AB124" s="5">
        <v>1</v>
      </c>
      <c r="AC124" s="5">
        <v>2</v>
      </c>
      <c r="AD124" s="5">
        <v>0</v>
      </c>
      <c r="AE124" s="3">
        <v>0</v>
      </c>
      <c r="AF124" s="5">
        <v>0</v>
      </c>
      <c r="AG124" s="4">
        <v>0</v>
      </c>
      <c r="AH124" s="25">
        <v>0</v>
      </c>
      <c r="AI124" s="26">
        <v>0</v>
      </c>
      <c r="AJ124" s="5">
        <v>0</v>
      </c>
      <c r="AK124" s="5">
        <v>1</v>
      </c>
      <c r="AL124" s="5">
        <v>0</v>
      </c>
      <c r="AM124" s="4">
        <v>0</v>
      </c>
      <c r="AN124" s="5">
        <v>0</v>
      </c>
      <c r="AO124" s="5">
        <v>0</v>
      </c>
      <c r="AP124" s="4">
        <v>0</v>
      </c>
      <c r="AQ124" s="4"/>
      <c r="AR124" s="16">
        <v>1</v>
      </c>
      <c r="AS124" s="13">
        <v>1</v>
      </c>
      <c r="AT124" s="4">
        <v>0</v>
      </c>
      <c r="AU124" s="4">
        <v>0</v>
      </c>
      <c r="AV124" s="12">
        <v>0</v>
      </c>
      <c r="AW124" s="4">
        <v>0</v>
      </c>
      <c r="AX124" s="4">
        <v>0</v>
      </c>
      <c r="AY124" s="4">
        <v>0</v>
      </c>
      <c r="AZ124" s="4">
        <v>0</v>
      </c>
      <c r="BA124" s="25" t="s">
        <v>511</v>
      </c>
      <c r="BB124" s="5">
        <v>1</v>
      </c>
      <c r="BC124" s="17" t="s">
        <v>109</v>
      </c>
      <c r="BD124" s="17" t="s">
        <v>109</v>
      </c>
      <c r="BE124" s="17" t="s">
        <v>109</v>
      </c>
      <c r="BF124" s="17" t="s">
        <v>379</v>
      </c>
      <c r="BG124" s="4" t="str">
        <f t="shared" si="40"/>
        <v>蜂巢</v>
      </c>
      <c r="BH124" s="4">
        <v>3</v>
      </c>
      <c r="BI124" s="4">
        <v>2</v>
      </c>
      <c r="BJ124" s="4">
        <v>0</v>
      </c>
      <c r="BK124" s="4">
        <v>0</v>
      </c>
      <c r="BL124" s="4">
        <v>1234</v>
      </c>
      <c r="BM124" s="4">
        <v>0</v>
      </c>
      <c r="BN124" s="4">
        <v>0</v>
      </c>
      <c r="BO124" s="4">
        <v>0</v>
      </c>
      <c r="BP124" s="4">
        <v>1</v>
      </c>
      <c r="BQ124" s="4">
        <v>0</v>
      </c>
      <c r="BR124" s="4">
        <v>0</v>
      </c>
      <c r="BS124" s="4">
        <v>0</v>
      </c>
      <c r="BT124" s="4">
        <v>0</v>
      </c>
      <c r="BU124" s="4">
        <v>1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4</v>
      </c>
      <c r="CF124" s="4">
        <v>0</v>
      </c>
      <c r="CG124" s="4">
        <v>0</v>
      </c>
      <c r="CH124" s="4">
        <v>0</v>
      </c>
      <c r="CI124" s="4">
        <v>1</v>
      </c>
      <c r="CJ124" s="4">
        <v>1</v>
      </c>
      <c r="CK124" s="4">
        <v>1</v>
      </c>
      <c r="CL124" s="4">
        <v>1000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 t="str">
        <f t="shared" si="41"/>
        <v>蜂巢</v>
      </c>
      <c r="CS124" s="4">
        <v>0</v>
      </c>
      <c r="CT124" s="4">
        <v>1</v>
      </c>
      <c r="CU124" s="4">
        <v>0</v>
      </c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</row>
    <row r="125" spans="1:119" x14ac:dyDescent="0.15">
      <c r="A125" s="4">
        <v>108003</v>
      </c>
      <c r="B125" s="4" t="s">
        <v>290</v>
      </c>
      <c r="C125" s="47" t="s">
        <v>110</v>
      </c>
      <c r="D125" s="26"/>
      <c r="E125" s="26">
        <v>0</v>
      </c>
      <c r="F125" s="5">
        <v>0</v>
      </c>
      <c r="G125" s="26">
        <v>0</v>
      </c>
      <c r="H125" s="4">
        <v>0</v>
      </c>
      <c r="I125" s="5">
        <v>0</v>
      </c>
      <c r="J125" s="4"/>
      <c r="K125" s="25" t="s">
        <v>539</v>
      </c>
      <c r="L125" s="4"/>
      <c r="M125" s="8">
        <v>0</v>
      </c>
      <c r="N125" s="4" t="s">
        <v>291</v>
      </c>
      <c r="O125" s="25">
        <v>0</v>
      </c>
      <c r="P125" s="25">
        <v>0</v>
      </c>
      <c r="Q125" s="25">
        <v>0</v>
      </c>
      <c r="R125" s="4">
        <v>1</v>
      </c>
      <c r="S125" s="4">
        <v>0</v>
      </c>
      <c r="T125" s="4">
        <v>0</v>
      </c>
      <c r="U125" s="4">
        <v>0</v>
      </c>
      <c r="V125" s="5">
        <v>0</v>
      </c>
      <c r="W125" s="5">
        <v>1</v>
      </c>
      <c r="X125" s="5">
        <v>1</v>
      </c>
      <c r="Y125" s="4" t="s">
        <v>290</v>
      </c>
      <c r="Z125" s="5">
        <v>0</v>
      </c>
      <c r="AA125" s="5">
        <v>0</v>
      </c>
      <c r="AB125" s="5">
        <v>1</v>
      </c>
      <c r="AC125" s="5">
        <v>0</v>
      </c>
      <c r="AD125" s="5">
        <v>0</v>
      </c>
      <c r="AE125" s="3">
        <v>0</v>
      </c>
      <c r="AF125" s="5">
        <v>0</v>
      </c>
      <c r="AG125" s="4">
        <v>0</v>
      </c>
      <c r="AH125" s="25">
        <v>0</v>
      </c>
      <c r="AI125" s="26">
        <v>0</v>
      </c>
      <c r="AJ125" s="5">
        <v>0</v>
      </c>
      <c r="AK125" s="5">
        <v>1</v>
      </c>
      <c r="AL125" s="5">
        <v>0</v>
      </c>
      <c r="AM125" s="4">
        <v>0</v>
      </c>
      <c r="AN125" s="5">
        <v>0</v>
      </c>
      <c r="AO125" s="5">
        <v>0</v>
      </c>
      <c r="AP125" s="4">
        <v>0</v>
      </c>
      <c r="AQ125" s="4"/>
      <c r="AR125" s="16">
        <v>0</v>
      </c>
      <c r="AS125" s="13">
        <v>0</v>
      </c>
      <c r="AT125" s="4">
        <v>0</v>
      </c>
      <c r="AU125" s="4">
        <v>0</v>
      </c>
      <c r="AV125" s="12">
        <v>0</v>
      </c>
      <c r="AW125" s="4">
        <v>0</v>
      </c>
      <c r="AX125" s="4">
        <v>0</v>
      </c>
      <c r="AY125" s="4">
        <v>0</v>
      </c>
      <c r="AZ125" s="4">
        <v>0</v>
      </c>
      <c r="BA125" s="4" t="s">
        <v>292</v>
      </c>
      <c r="BB125" s="5">
        <v>1</v>
      </c>
      <c r="BC125" s="23" t="s">
        <v>110</v>
      </c>
      <c r="BD125" s="17" t="s">
        <v>109</v>
      </c>
      <c r="BE125" s="17" t="s">
        <v>109</v>
      </c>
      <c r="BF125" s="17" t="s">
        <v>379</v>
      </c>
      <c r="BG125" s="4" t="str">
        <f t="shared" si="40"/>
        <v>金字塔</v>
      </c>
      <c r="BH125" s="4">
        <v>5</v>
      </c>
      <c r="BI125" s="4">
        <v>3</v>
      </c>
      <c r="BJ125" s="4">
        <v>0</v>
      </c>
      <c r="BK125" s="4">
        <v>0</v>
      </c>
      <c r="BL125" s="4">
        <v>1</v>
      </c>
      <c r="BM125" s="4">
        <v>0</v>
      </c>
      <c r="BN125" s="4">
        <v>1</v>
      </c>
      <c r="BO125" s="4">
        <v>1</v>
      </c>
      <c r="BP125" s="4">
        <v>1</v>
      </c>
      <c r="BQ125" s="4">
        <v>0</v>
      </c>
      <c r="BR125" s="4">
        <v>0</v>
      </c>
      <c r="BS125" s="4">
        <v>0</v>
      </c>
      <c r="BT125" s="4">
        <v>0</v>
      </c>
      <c r="BU125" s="4">
        <v>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4</v>
      </c>
      <c r="CF125" s="4">
        <v>0</v>
      </c>
      <c r="CG125" s="4">
        <v>0</v>
      </c>
      <c r="CH125" s="4">
        <v>0</v>
      </c>
      <c r="CI125" s="4">
        <v>1</v>
      </c>
      <c r="CJ125" s="4">
        <v>1</v>
      </c>
      <c r="CK125" s="4">
        <v>1</v>
      </c>
      <c r="CL125" s="4">
        <v>10000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 t="str">
        <f t="shared" si="41"/>
        <v>金字塔</v>
      </c>
      <c r="CS125" s="4">
        <v>0</v>
      </c>
      <c r="CT125" s="4">
        <v>5</v>
      </c>
      <c r="CU125" s="4">
        <v>0</v>
      </c>
      <c r="CV125" s="4">
        <v>605001</v>
      </c>
      <c r="CW125" s="4" t="s">
        <v>122</v>
      </c>
      <c r="CX125" s="4">
        <v>5000</v>
      </c>
      <c r="CY125" s="4">
        <v>603001</v>
      </c>
      <c r="CZ125" s="4" t="s">
        <v>116</v>
      </c>
      <c r="DA125" s="4">
        <v>100</v>
      </c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</row>
    <row r="126" spans="1:119" x14ac:dyDescent="0.15">
      <c r="A126" s="4">
        <v>108004</v>
      </c>
      <c r="B126" s="4" t="s">
        <v>293</v>
      </c>
      <c r="C126" s="47" t="s">
        <v>110</v>
      </c>
      <c r="D126" s="26"/>
      <c r="E126" s="26">
        <v>0</v>
      </c>
      <c r="F126" s="5">
        <v>0</v>
      </c>
      <c r="G126" s="26">
        <v>0</v>
      </c>
      <c r="H126" s="4">
        <v>0</v>
      </c>
      <c r="I126" s="5">
        <v>0</v>
      </c>
      <c r="J126" s="4"/>
      <c r="K126" s="4"/>
      <c r="L126" s="4"/>
      <c r="M126" s="8">
        <v>0</v>
      </c>
      <c r="N126" s="4" t="s">
        <v>294</v>
      </c>
      <c r="O126" s="25">
        <v>0</v>
      </c>
      <c r="P126" s="25">
        <v>0</v>
      </c>
      <c r="Q126" s="25">
        <v>0</v>
      </c>
      <c r="R126" s="4">
        <v>1</v>
      </c>
      <c r="S126" s="4">
        <v>0</v>
      </c>
      <c r="T126" s="4">
        <v>0</v>
      </c>
      <c r="U126" s="4">
        <v>0</v>
      </c>
      <c r="V126" s="5">
        <v>0</v>
      </c>
      <c r="W126" s="5">
        <v>1</v>
      </c>
      <c r="X126" s="5">
        <v>1</v>
      </c>
      <c r="Y126" s="4" t="s">
        <v>293</v>
      </c>
      <c r="Z126" s="5">
        <v>0</v>
      </c>
      <c r="AA126" s="5">
        <v>0</v>
      </c>
      <c r="AB126" s="5">
        <v>1</v>
      </c>
      <c r="AC126" s="5">
        <v>2</v>
      </c>
      <c r="AD126" s="5">
        <v>0</v>
      </c>
      <c r="AE126" s="3">
        <v>0</v>
      </c>
      <c r="AF126" s="5">
        <v>0</v>
      </c>
      <c r="AG126" s="4">
        <v>0</v>
      </c>
      <c r="AH126" s="25">
        <v>0</v>
      </c>
      <c r="AI126" s="26">
        <v>0</v>
      </c>
      <c r="AJ126" s="5">
        <v>0</v>
      </c>
      <c r="AK126" s="5">
        <v>1</v>
      </c>
      <c r="AL126" s="5">
        <v>0</v>
      </c>
      <c r="AM126" s="4">
        <v>0</v>
      </c>
      <c r="AN126" s="4">
        <v>0</v>
      </c>
      <c r="AO126" s="4">
        <v>0</v>
      </c>
      <c r="AP126" s="4">
        <v>0</v>
      </c>
      <c r="AQ126" s="4"/>
      <c r="AR126" s="16">
        <v>0</v>
      </c>
      <c r="AS126" s="13">
        <v>0</v>
      </c>
      <c r="AT126" s="4">
        <v>0</v>
      </c>
      <c r="AU126" s="4">
        <v>0</v>
      </c>
      <c r="AV126" s="12">
        <v>0</v>
      </c>
      <c r="AW126" s="4">
        <v>0</v>
      </c>
      <c r="AX126" s="4">
        <v>0</v>
      </c>
      <c r="AY126" s="4">
        <v>0</v>
      </c>
      <c r="AZ126" s="4">
        <v>0</v>
      </c>
      <c r="BA126" s="25" t="s">
        <v>430</v>
      </c>
      <c r="BB126" s="4">
        <v>1</v>
      </c>
      <c r="BC126" s="21" t="s">
        <v>109</v>
      </c>
      <c r="BD126" s="21" t="s">
        <v>109</v>
      </c>
      <c r="BE126" s="21" t="s">
        <v>109</v>
      </c>
      <c r="BF126" s="17" t="s">
        <v>379</v>
      </c>
      <c r="BG126" s="4" t="str">
        <f t="shared" si="40"/>
        <v>巨型蘑菇</v>
      </c>
      <c r="BH126" s="4">
        <v>3</v>
      </c>
      <c r="BI126" s="4">
        <v>2</v>
      </c>
      <c r="BJ126" s="4">
        <v>0</v>
      </c>
      <c r="BK126" s="4">
        <v>0</v>
      </c>
      <c r="BL126" s="4">
        <v>1234</v>
      </c>
      <c r="BM126" s="4">
        <v>0</v>
      </c>
      <c r="BN126" s="4">
        <v>0</v>
      </c>
      <c r="BO126" s="4">
        <v>0</v>
      </c>
      <c r="BP126" s="4">
        <v>1</v>
      </c>
      <c r="BQ126" s="4">
        <v>0</v>
      </c>
      <c r="BR126" s="4">
        <v>0</v>
      </c>
      <c r="BS126" s="4">
        <v>0</v>
      </c>
      <c r="BT126" s="4">
        <v>0</v>
      </c>
      <c r="BU126" s="4">
        <v>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4</v>
      </c>
      <c r="CF126" s="4">
        <v>0</v>
      </c>
      <c r="CG126" s="4">
        <v>0</v>
      </c>
      <c r="CH126" s="4">
        <v>0</v>
      </c>
      <c r="CI126" s="4">
        <v>1</v>
      </c>
      <c r="CJ126" s="4">
        <v>1</v>
      </c>
      <c r="CK126" s="4">
        <v>1</v>
      </c>
      <c r="CL126" s="4">
        <v>1000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 t="str">
        <f t="shared" si="41"/>
        <v>巨型蘑菇</v>
      </c>
      <c r="CS126" s="4">
        <v>0</v>
      </c>
      <c r="CT126" s="4">
        <v>1</v>
      </c>
      <c r="CU126" s="4">
        <v>0</v>
      </c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</row>
    <row r="127" spans="1:119" x14ac:dyDescent="0.15">
      <c r="A127" s="4">
        <v>108005</v>
      </c>
      <c r="B127" s="4" t="s">
        <v>295</v>
      </c>
      <c r="C127" s="47" t="s">
        <v>110</v>
      </c>
      <c r="D127" s="26"/>
      <c r="E127" s="26">
        <v>0</v>
      </c>
      <c r="F127" s="5">
        <v>0</v>
      </c>
      <c r="G127" s="26">
        <v>0</v>
      </c>
      <c r="H127" s="4">
        <v>0</v>
      </c>
      <c r="I127" s="5">
        <v>0</v>
      </c>
      <c r="J127" s="4"/>
      <c r="K127" s="4"/>
      <c r="L127" s="4"/>
      <c r="M127" s="8">
        <v>0</v>
      </c>
      <c r="N127" s="4" t="s">
        <v>296</v>
      </c>
      <c r="O127" s="25">
        <v>0</v>
      </c>
      <c r="P127" s="25">
        <v>0</v>
      </c>
      <c r="Q127" s="25">
        <v>0</v>
      </c>
      <c r="R127" s="4">
        <v>1</v>
      </c>
      <c r="S127" s="4">
        <v>0</v>
      </c>
      <c r="T127" s="4">
        <v>0</v>
      </c>
      <c r="U127" s="4">
        <v>0</v>
      </c>
      <c r="V127" s="5">
        <v>0</v>
      </c>
      <c r="W127" s="5">
        <v>1</v>
      </c>
      <c r="X127" s="5">
        <v>1</v>
      </c>
      <c r="Y127" s="4" t="s">
        <v>295</v>
      </c>
      <c r="Z127" s="5">
        <v>0</v>
      </c>
      <c r="AA127" s="5">
        <v>0</v>
      </c>
      <c r="AB127" s="5">
        <v>1</v>
      </c>
      <c r="AC127" s="5">
        <v>2</v>
      </c>
      <c r="AD127" s="5">
        <v>0</v>
      </c>
      <c r="AE127" s="3">
        <v>0</v>
      </c>
      <c r="AF127" s="5">
        <v>0</v>
      </c>
      <c r="AG127" s="4">
        <v>0</v>
      </c>
      <c r="AH127" s="25">
        <v>0</v>
      </c>
      <c r="AI127" s="26">
        <v>0</v>
      </c>
      <c r="AJ127" s="5">
        <v>0</v>
      </c>
      <c r="AK127" s="5">
        <v>1</v>
      </c>
      <c r="AL127" s="5">
        <v>0</v>
      </c>
      <c r="AM127" s="4">
        <v>0</v>
      </c>
      <c r="AN127" s="4">
        <v>0</v>
      </c>
      <c r="AO127" s="4">
        <v>0</v>
      </c>
      <c r="AP127" s="4">
        <v>0</v>
      </c>
      <c r="AQ127" s="4"/>
      <c r="AR127" s="16">
        <v>1</v>
      </c>
      <c r="AS127" s="13">
        <v>1</v>
      </c>
      <c r="AT127" s="4">
        <v>0</v>
      </c>
      <c r="AU127" s="4">
        <v>0</v>
      </c>
      <c r="AV127" s="12">
        <v>0</v>
      </c>
      <c r="AW127" s="4">
        <v>0</v>
      </c>
      <c r="AX127" s="4">
        <v>0</v>
      </c>
      <c r="AY127" s="4">
        <v>0</v>
      </c>
      <c r="AZ127" s="4">
        <v>0</v>
      </c>
      <c r="BA127" s="4" t="s">
        <v>297</v>
      </c>
      <c r="BB127" s="4">
        <v>1</v>
      </c>
      <c r="BC127" s="21" t="s">
        <v>109</v>
      </c>
      <c r="BD127" s="21" t="s">
        <v>109</v>
      </c>
      <c r="BE127" s="21" t="s">
        <v>109</v>
      </c>
      <c r="BF127" s="17" t="s">
        <v>379</v>
      </c>
      <c r="BG127" s="4" t="str">
        <f t="shared" si="40"/>
        <v>巨树</v>
      </c>
      <c r="BH127" s="4">
        <v>3</v>
      </c>
      <c r="BI127" s="4">
        <v>2</v>
      </c>
      <c r="BJ127" s="4">
        <v>0</v>
      </c>
      <c r="BK127" s="4">
        <v>0</v>
      </c>
      <c r="BL127" s="4">
        <v>1234</v>
      </c>
      <c r="BM127" s="4">
        <v>0</v>
      </c>
      <c r="BN127" s="4">
        <v>0</v>
      </c>
      <c r="BO127" s="4">
        <v>0</v>
      </c>
      <c r="BP127" s="4">
        <v>1</v>
      </c>
      <c r="BQ127" s="4">
        <v>0</v>
      </c>
      <c r="BR127" s="4">
        <v>0</v>
      </c>
      <c r="BS127" s="4">
        <v>0</v>
      </c>
      <c r="BT127" s="4">
        <v>0</v>
      </c>
      <c r="BU127" s="4">
        <v>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4</v>
      </c>
      <c r="CF127" s="4">
        <v>0</v>
      </c>
      <c r="CG127" s="4">
        <v>0</v>
      </c>
      <c r="CH127" s="4">
        <v>0</v>
      </c>
      <c r="CI127" s="4">
        <v>1</v>
      </c>
      <c r="CJ127" s="4">
        <v>1</v>
      </c>
      <c r="CK127" s="4">
        <v>1</v>
      </c>
      <c r="CL127" s="4">
        <v>3000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 t="str">
        <f t="shared" si="41"/>
        <v>巨树</v>
      </c>
      <c r="CS127" s="4">
        <v>0</v>
      </c>
      <c r="CT127" s="4">
        <v>1</v>
      </c>
      <c r="CU127" s="4">
        <v>0</v>
      </c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</row>
    <row r="128" spans="1:119" x14ac:dyDescent="0.15">
      <c r="A128" s="4">
        <v>108006</v>
      </c>
      <c r="B128" s="4" t="s">
        <v>298</v>
      </c>
      <c r="C128" s="47" t="s">
        <v>110</v>
      </c>
      <c r="D128" s="26"/>
      <c r="E128" s="26">
        <v>0</v>
      </c>
      <c r="F128" s="5">
        <v>0</v>
      </c>
      <c r="G128" s="26">
        <v>0</v>
      </c>
      <c r="H128" s="4">
        <v>0</v>
      </c>
      <c r="I128" s="5">
        <v>0</v>
      </c>
      <c r="J128" s="4"/>
      <c r="K128" s="4"/>
      <c r="L128" s="4"/>
      <c r="M128" s="8">
        <v>0</v>
      </c>
      <c r="N128" s="4" t="s">
        <v>299</v>
      </c>
      <c r="O128" s="25">
        <v>0</v>
      </c>
      <c r="P128" s="25">
        <v>0</v>
      </c>
      <c r="Q128" s="25">
        <v>0</v>
      </c>
      <c r="R128" s="4">
        <v>1</v>
      </c>
      <c r="S128" s="4">
        <v>0</v>
      </c>
      <c r="T128" s="4">
        <v>0</v>
      </c>
      <c r="U128" s="4">
        <v>0</v>
      </c>
      <c r="V128" s="5">
        <v>0</v>
      </c>
      <c r="W128" s="5">
        <v>1</v>
      </c>
      <c r="X128" s="5">
        <v>1</v>
      </c>
      <c r="Y128" s="4" t="s">
        <v>298</v>
      </c>
      <c r="Z128" s="5">
        <v>0</v>
      </c>
      <c r="AA128" s="5">
        <v>0</v>
      </c>
      <c r="AB128" s="5">
        <v>1</v>
      </c>
      <c r="AC128" s="5">
        <v>0</v>
      </c>
      <c r="AD128" s="5">
        <v>0</v>
      </c>
      <c r="AE128" s="3">
        <v>0</v>
      </c>
      <c r="AF128" s="5">
        <v>0</v>
      </c>
      <c r="AG128" s="4">
        <v>0</v>
      </c>
      <c r="AH128" s="25">
        <v>0</v>
      </c>
      <c r="AI128" s="26">
        <v>0</v>
      </c>
      <c r="AJ128" s="5">
        <v>0</v>
      </c>
      <c r="AK128" s="5">
        <v>0</v>
      </c>
      <c r="AL128" s="5">
        <v>0</v>
      </c>
      <c r="AM128" s="4">
        <v>0</v>
      </c>
      <c r="AN128" s="4">
        <v>0</v>
      </c>
      <c r="AO128" s="4">
        <v>0</v>
      </c>
      <c r="AP128" s="4">
        <v>0</v>
      </c>
      <c r="AQ128" s="4"/>
      <c r="AR128" s="16">
        <v>0</v>
      </c>
      <c r="AS128" s="13">
        <v>0</v>
      </c>
      <c r="AT128" s="4">
        <v>0</v>
      </c>
      <c r="AU128" s="4">
        <v>0</v>
      </c>
      <c r="AV128" s="12">
        <v>0</v>
      </c>
      <c r="AW128" s="4">
        <v>0</v>
      </c>
      <c r="AX128" s="4">
        <v>0</v>
      </c>
      <c r="AY128" s="4">
        <v>0</v>
      </c>
      <c r="AZ128" s="4">
        <v>0</v>
      </c>
      <c r="BA128" s="25" t="s">
        <v>487</v>
      </c>
      <c r="BB128" s="4">
        <v>0</v>
      </c>
      <c r="BC128" s="21" t="s">
        <v>109</v>
      </c>
      <c r="BD128" s="21" t="s">
        <v>109</v>
      </c>
      <c r="BE128" s="21" t="s">
        <v>110</v>
      </c>
      <c r="BF128" s="17" t="s">
        <v>379</v>
      </c>
      <c r="BG128" s="4" t="str">
        <f t="shared" si="40"/>
        <v>巨型蛋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4</v>
      </c>
      <c r="CF128" s="4">
        <v>0</v>
      </c>
      <c r="CG128" s="4">
        <v>0</v>
      </c>
      <c r="CH128" s="4">
        <v>0</v>
      </c>
      <c r="CI128" s="4">
        <v>1</v>
      </c>
      <c r="CJ128" s="4">
        <v>1</v>
      </c>
      <c r="CK128" s="4">
        <v>1</v>
      </c>
      <c r="CL128" s="4">
        <v>1000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 t="str">
        <f t="shared" si="41"/>
        <v>巨型蛋</v>
      </c>
      <c r="CS128" s="4">
        <v>0</v>
      </c>
      <c r="CT128" s="4">
        <v>1</v>
      </c>
      <c r="CU128" s="4">
        <v>10</v>
      </c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</row>
    <row r="129" spans="1:119" x14ac:dyDescent="0.15">
      <c r="A129" s="4">
        <v>108007</v>
      </c>
      <c r="B129" s="25" t="s">
        <v>313</v>
      </c>
      <c r="C129" s="47" t="s">
        <v>110</v>
      </c>
      <c r="D129" s="26"/>
      <c r="E129" s="26">
        <v>0</v>
      </c>
      <c r="F129" s="5">
        <v>0</v>
      </c>
      <c r="G129" s="26">
        <v>0</v>
      </c>
      <c r="H129" s="4">
        <v>0</v>
      </c>
      <c r="I129" s="5">
        <v>0</v>
      </c>
      <c r="J129" s="25"/>
      <c r="K129" s="25"/>
      <c r="L129" s="25"/>
      <c r="M129" s="8">
        <v>0</v>
      </c>
      <c r="N129" s="25" t="s">
        <v>312</v>
      </c>
      <c r="O129" s="25">
        <v>0</v>
      </c>
      <c r="P129" s="25">
        <v>0</v>
      </c>
      <c r="Q129" s="25">
        <v>0</v>
      </c>
      <c r="R129" s="4">
        <v>1</v>
      </c>
      <c r="S129" s="4">
        <v>0</v>
      </c>
      <c r="T129" s="4">
        <v>0</v>
      </c>
      <c r="U129" s="4">
        <v>0</v>
      </c>
      <c r="V129" s="5">
        <v>0</v>
      </c>
      <c r="W129" s="5">
        <v>1</v>
      </c>
      <c r="X129" s="5">
        <v>1</v>
      </c>
      <c r="Y129" s="25" t="s">
        <v>313</v>
      </c>
      <c r="Z129" s="5">
        <v>0</v>
      </c>
      <c r="AA129" s="5">
        <v>0</v>
      </c>
      <c r="AB129" s="5">
        <v>1</v>
      </c>
      <c r="AC129" s="5">
        <v>0</v>
      </c>
      <c r="AD129" s="5">
        <v>0</v>
      </c>
      <c r="AE129" s="3">
        <v>0</v>
      </c>
      <c r="AF129" s="5">
        <v>0</v>
      </c>
      <c r="AG129" s="4">
        <v>0</v>
      </c>
      <c r="AH129" s="25">
        <v>0</v>
      </c>
      <c r="AI129" s="26">
        <v>0</v>
      </c>
      <c r="AJ129" s="5">
        <v>0</v>
      </c>
      <c r="AK129" s="5">
        <v>0</v>
      </c>
      <c r="AL129" s="5">
        <v>0</v>
      </c>
      <c r="AM129" s="4">
        <v>0</v>
      </c>
      <c r="AN129" s="4">
        <v>0</v>
      </c>
      <c r="AO129" s="4">
        <v>0</v>
      </c>
      <c r="AP129" s="4">
        <v>0</v>
      </c>
      <c r="AQ129" s="4"/>
      <c r="AR129" s="16">
        <v>0</v>
      </c>
      <c r="AS129" s="13">
        <v>0</v>
      </c>
      <c r="AT129" s="4">
        <v>0</v>
      </c>
      <c r="AU129" s="4">
        <v>0</v>
      </c>
      <c r="AV129" s="12">
        <v>0</v>
      </c>
      <c r="AW129" s="4">
        <v>0</v>
      </c>
      <c r="AX129" s="4">
        <v>0</v>
      </c>
      <c r="AY129" s="4">
        <v>0</v>
      </c>
      <c r="AZ129" s="4">
        <v>0</v>
      </c>
      <c r="BA129" s="25" t="s">
        <v>486</v>
      </c>
      <c r="BB129" s="4">
        <v>1</v>
      </c>
      <c r="BC129" s="21" t="s">
        <v>109</v>
      </c>
      <c r="BD129" s="21" t="s">
        <v>314</v>
      </c>
      <c r="BE129" s="21" t="s">
        <v>333</v>
      </c>
      <c r="BF129" s="17" t="s">
        <v>379</v>
      </c>
      <c r="BG129" s="4" t="str">
        <f t="shared" si="40"/>
        <v>沉船遗迹</v>
      </c>
      <c r="BH129" s="4">
        <v>4</v>
      </c>
      <c r="BI129" s="4">
        <v>2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1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4</v>
      </c>
      <c r="CF129" s="4">
        <v>0</v>
      </c>
      <c r="CG129" s="4">
        <v>0</v>
      </c>
      <c r="CH129" s="4">
        <v>0</v>
      </c>
      <c r="CI129" s="4">
        <v>1</v>
      </c>
      <c r="CJ129" s="4">
        <v>1</v>
      </c>
      <c r="CK129" s="4">
        <v>1</v>
      </c>
      <c r="CL129" s="4">
        <v>500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 t="str">
        <f t="shared" ref="CR129:CR138" si="44">B129</f>
        <v>沉船遗迹</v>
      </c>
      <c r="CS129" s="4">
        <v>0</v>
      </c>
      <c r="CT129" s="4">
        <v>3</v>
      </c>
      <c r="CU129" s="4">
        <v>0</v>
      </c>
      <c r="CV129" s="4">
        <v>604001</v>
      </c>
      <c r="CW129" s="4" t="s">
        <v>113</v>
      </c>
      <c r="CX129" s="4">
        <v>300</v>
      </c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</row>
    <row r="130" spans="1:119" x14ac:dyDescent="0.15">
      <c r="A130" s="4">
        <v>108008</v>
      </c>
      <c r="B130" s="25" t="s">
        <v>425</v>
      </c>
      <c r="C130" s="47" t="s">
        <v>110</v>
      </c>
      <c r="D130" s="26"/>
      <c r="E130" s="26">
        <v>0</v>
      </c>
      <c r="F130" s="5">
        <v>0</v>
      </c>
      <c r="G130" s="26">
        <v>0</v>
      </c>
      <c r="H130" s="4">
        <v>0</v>
      </c>
      <c r="I130" s="5">
        <v>0</v>
      </c>
      <c r="J130" s="25"/>
      <c r="K130" s="25"/>
      <c r="L130" s="25"/>
      <c r="M130" s="8">
        <v>0</v>
      </c>
      <c r="N130" s="25" t="s">
        <v>426</v>
      </c>
      <c r="O130" s="25">
        <v>1</v>
      </c>
      <c r="P130" s="25">
        <v>0</v>
      </c>
      <c r="Q130" s="25">
        <v>1</v>
      </c>
      <c r="R130" s="4">
        <v>1</v>
      </c>
      <c r="S130" s="4">
        <v>0</v>
      </c>
      <c r="T130" s="4">
        <v>0</v>
      </c>
      <c r="U130" s="4">
        <v>0</v>
      </c>
      <c r="V130" s="5">
        <v>0</v>
      </c>
      <c r="W130" s="5">
        <v>1</v>
      </c>
      <c r="X130" s="5">
        <v>1</v>
      </c>
      <c r="Y130" s="25" t="s">
        <v>425</v>
      </c>
      <c r="Z130" s="5">
        <v>0</v>
      </c>
      <c r="AA130" s="5">
        <v>0</v>
      </c>
      <c r="AB130" s="5">
        <v>1</v>
      </c>
      <c r="AC130" s="5">
        <v>2</v>
      </c>
      <c r="AD130" s="5">
        <v>0</v>
      </c>
      <c r="AE130" s="5">
        <v>0</v>
      </c>
      <c r="AF130" s="5">
        <v>0</v>
      </c>
      <c r="AG130" s="4">
        <v>0</v>
      </c>
      <c r="AH130" s="25">
        <v>0</v>
      </c>
      <c r="AI130" s="26">
        <v>0</v>
      </c>
      <c r="AJ130" s="5">
        <v>0</v>
      </c>
      <c r="AK130" s="5">
        <v>1</v>
      </c>
      <c r="AL130" s="5">
        <v>0</v>
      </c>
      <c r="AM130" s="4">
        <v>0</v>
      </c>
      <c r="AN130" s="4">
        <v>0</v>
      </c>
      <c r="AO130" s="4">
        <v>0</v>
      </c>
      <c r="AP130" s="4">
        <v>0</v>
      </c>
      <c r="AQ130" s="4"/>
      <c r="AR130" s="16">
        <v>0</v>
      </c>
      <c r="AS130" s="13">
        <v>0</v>
      </c>
      <c r="AT130" s="4">
        <v>0</v>
      </c>
      <c r="AU130" s="4">
        <v>0</v>
      </c>
      <c r="AV130" s="12">
        <v>0</v>
      </c>
      <c r="AW130" s="4">
        <v>0</v>
      </c>
      <c r="AX130" s="4">
        <v>0</v>
      </c>
      <c r="AY130" s="4">
        <v>0</v>
      </c>
      <c r="AZ130" s="4">
        <v>0</v>
      </c>
      <c r="BA130" s="25" t="s">
        <v>431</v>
      </c>
      <c r="BB130" s="4">
        <v>0</v>
      </c>
      <c r="BC130" s="49" t="s">
        <v>333</v>
      </c>
      <c r="BD130" s="27" t="s">
        <v>309</v>
      </c>
      <c r="BE130" s="27" t="s">
        <v>333</v>
      </c>
      <c r="BF130" s="17" t="s">
        <v>309</v>
      </c>
      <c r="BG130" s="25" t="s">
        <v>425</v>
      </c>
      <c r="BH130" s="4">
        <v>4</v>
      </c>
      <c r="BI130" s="4">
        <v>3</v>
      </c>
      <c r="BJ130" s="4">
        <v>0</v>
      </c>
      <c r="BK130" s="4">
        <v>0</v>
      </c>
      <c r="BL130" s="4">
        <v>1234</v>
      </c>
      <c r="BM130" s="4">
        <v>0</v>
      </c>
      <c r="BN130" s="4">
        <v>0</v>
      </c>
      <c r="BO130" s="4">
        <v>0</v>
      </c>
      <c r="BP130" s="4">
        <v>1</v>
      </c>
      <c r="BQ130" s="4">
        <v>0</v>
      </c>
      <c r="BR130" s="4">
        <v>0</v>
      </c>
      <c r="BS130" s="4">
        <v>0</v>
      </c>
      <c r="BT130" s="4">
        <v>0</v>
      </c>
      <c r="BU130" s="4">
        <v>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3</v>
      </c>
      <c r="CF130" s="4">
        <v>0</v>
      </c>
      <c r="CG130" s="4">
        <v>0</v>
      </c>
      <c r="CH130" s="4">
        <v>0</v>
      </c>
      <c r="CI130" s="4">
        <v>1</v>
      </c>
      <c r="CJ130" s="4">
        <v>1</v>
      </c>
      <c r="CK130" s="4">
        <v>1</v>
      </c>
      <c r="CL130" s="4">
        <v>1000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25" t="s">
        <v>425</v>
      </c>
      <c r="CS130" s="4">
        <v>0</v>
      </c>
      <c r="CT130" s="4">
        <v>5</v>
      </c>
      <c r="CU130" s="4">
        <v>10</v>
      </c>
      <c r="CV130" s="4">
        <v>604001</v>
      </c>
      <c r="CW130" s="4" t="s">
        <v>113</v>
      </c>
      <c r="CX130" s="4">
        <v>500</v>
      </c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25" t="s">
        <v>647</v>
      </c>
      <c r="DO130" s="4"/>
    </row>
    <row r="131" spans="1:119" x14ac:dyDescent="0.15">
      <c r="A131" s="4">
        <v>108011</v>
      </c>
      <c r="B131" s="25" t="s">
        <v>620</v>
      </c>
      <c r="C131" s="47" t="s">
        <v>110</v>
      </c>
      <c r="D131" s="26"/>
      <c r="E131" s="26">
        <v>0</v>
      </c>
      <c r="F131" s="5">
        <v>0</v>
      </c>
      <c r="G131" s="26">
        <v>0</v>
      </c>
      <c r="H131" s="4">
        <v>0</v>
      </c>
      <c r="I131" s="5">
        <v>0</v>
      </c>
      <c r="J131" s="25"/>
      <c r="K131" s="25"/>
      <c r="L131" s="25"/>
      <c r="M131" s="8">
        <v>0</v>
      </c>
      <c r="N131" s="25" t="s">
        <v>426</v>
      </c>
      <c r="O131" s="25">
        <v>1</v>
      </c>
      <c r="P131" s="25">
        <v>0</v>
      </c>
      <c r="Q131" s="25">
        <v>1</v>
      </c>
      <c r="R131" s="4">
        <v>1</v>
      </c>
      <c r="S131" s="4">
        <v>0</v>
      </c>
      <c r="T131" s="4">
        <v>0</v>
      </c>
      <c r="U131" s="4">
        <v>0</v>
      </c>
      <c r="V131" s="5">
        <v>0</v>
      </c>
      <c r="W131" s="5">
        <v>1</v>
      </c>
      <c r="X131" s="5">
        <v>1</v>
      </c>
      <c r="Y131" s="25" t="s">
        <v>620</v>
      </c>
      <c r="Z131" s="5">
        <v>0</v>
      </c>
      <c r="AA131" s="5">
        <v>0</v>
      </c>
      <c r="AB131" s="5">
        <v>1</v>
      </c>
      <c r="AC131" s="5">
        <v>2</v>
      </c>
      <c r="AD131" s="5">
        <v>0</v>
      </c>
      <c r="AE131" s="5">
        <v>0</v>
      </c>
      <c r="AF131" s="5">
        <v>0</v>
      </c>
      <c r="AG131" s="4">
        <v>0</v>
      </c>
      <c r="AH131" s="25">
        <v>0</v>
      </c>
      <c r="AI131" s="26">
        <v>0</v>
      </c>
      <c r="AJ131" s="5">
        <v>0</v>
      </c>
      <c r="AK131" s="5">
        <v>1</v>
      </c>
      <c r="AL131" s="5">
        <v>0</v>
      </c>
      <c r="AM131" s="4">
        <v>0</v>
      </c>
      <c r="AN131" s="4">
        <v>0</v>
      </c>
      <c r="AO131" s="4">
        <v>0</v>
      </c>
      <c r="AP131" s="4">
        <v>0</v>
      </c>
      <c r="AQ131" s="4"/>
      <c r="AR131" s="16">
        <v>0</v>
      </c>
      <c r="AS131" s="13">
        <v>0</v>
      </c>
      <c r="AT131" s="4">
        <v>0</v>
      </c>
      <c r="AU131" s="4">
        <v>0</v>
      </c>
      <c r="AV131" s="12">
        <v>0</v>
      </c>
      <c r="AW131" s="4">
        <v>0</v>
      </c>
      <c r="AX131" s="4">
        <v>0</v>
      </c>
      <c r="AY131" s="4">
        <v>0</v>
      </c>
      <c r="AZ131" s="4">
        <v>0</v>
      </c>
      <c r="BA131" s="25" t="s">
        <v>431</v>
      </c>
      <c r="BB131" s="4">
        <v>0</v>
      </c>
      <c r="BC131" s="49" t="s">
        <v>333</v>
      </c>
      <c r="BD131" s="27" t="s">
        <v>309</v>
      </c>
      <c r="BE131" s="27" t="s">
        <v>333</v>
      </c>
      <c r="BF131" s="17" t="s">
        <v>309</v>
      </c>
      <c r="BG131" s="25" t="s">
        <v>620</v>
      </c>
      <c r="BH131" s="4">
        <v>4</v>
      </c>
      <c r="BI131" s="4">
        <v>3</v>
      </c>
      <c r="BJ131" s="4">
        <v>0</v>
      </c>
      <c r="BK131" s="4">
        <v>0</v>
      </c>
      <c r="BL131" s="4">
        <v>1234</v>
      </c>
      <c r="BM131" s="4">
        <v>0</v>
      </c>
      <c r="BN131" s="4">
        <v>0</v>
      </c>
      <c r="BO131" s="4">
        <v>0</v>
      </c>
      <c r="BP131" s="4">
        <v>1</v>
      </c>
      <c r="BQ131" s="4">
        <v>0</v>
      </c>
      <c r="BR131" s="4">
        <v>0</v>
      </c>
      <c r="BS131" s="4">
        <v>0</v>
      </c>
      <c r="BT131" s="4">
        <v>0</v>
      </c>
      <c r="BU131" s="4">
        <v>1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3</v>
      </c>
      <c r="CF131" s="4">
        <v>0</v>
      </c>
      <c r="CG131" s="4">
        <v>0</v>
      </c>
      <c r="CH131" s="4">
        <v>0</v>
      </c>
      <c r="CI131" s="4">
        <v>1</v>
      </c>
      <c r="CJ131" s="4">
        <v>1</v>
      </c>
      <c r="CK131" s="4">
        <v>1</v>
      </c>
      <c r="CL131" s="4">
        <v>1000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25" t="s">
        <v>620</v>
      </c>
      <c r="CS131" s="4">
        <v>0</v>
      </c>
      <c r="CT131" s="4">
        <v>5</v>
      </c>
      <c r="CU131" s="4">
        <v>10</v>
      </c>
      <c r="CV131" s="4">
        <v>604001</v>
      </c>
      <c r="CW131" s="4" t="s">
        <v>113</v>
      </c>
      <c r="CX131" s="4">
        <v>500</v>
      </c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25" t="s">
        <v>647</v>
      </c>
      <c r="DO131" s="4"/>
    </row>
    <row r="132" spans="1:119" x14ac:dyDescent="0.15">
      <c r="A132" s="36" t="s">
        <v>452</v>
      </c>
      <c r="B132" s="25" t="s">
        <v>453</v>
      </c>
      <c r="C132" s="47" t="s">
        <v>110</v>
      </c>
      <c r="D132" s="26"/>
      <c r="E132" s="26">
        <v>0</v>
      </c>
      <c r="F132" s="5">
        <v>0</v>
      </c>
      <c r="G132" s="26">
        <v>0</v>
      </c>
      <c r="H132" s="4">
        <v>0</v>
      </c>
      <c r="I132" s="5">
        <v>0</v>
      </c>
      <c r="J132" s="25"/>
      <c r="K132" s="25"/>
      <c r="L132" s="25"/>
      <c r="M132" s="8">
        <v>0</v>
      </c>
      <c r="N132" s="25" t="s">
        <v>454</v>
      </c>
      <c r="O132" s="25">
        <v>0</v>
      </c>
      <c r="P132" s="25">
        <v>0</v>
      </c>
      <c r="Q132" s="25">
        <v>0</v>
      </c>
      <c r="R132" s="4">
        <v>1</v>
      </c>
      <c r="S132" s="4">
        <v>0</v>
      </c>
      <c r="T132" s="4">
        <v>0</v>
      </c>
      <c r="U132" s="4">
        <v>0</v>
      </c>
      <c r="V132" s="5">
        <v>0</v>
      </c>
      <c r="W132" s="5">
        <v>0</v>
      </c>
      <c r="X132" s="5">
        <v>1</v>
      </c>
      <c r="Y132" s="25" t="s">
        <v>453</v>
      </c>
      <c r="Z132" s="5">
        <v>0</v>
      </c>
      <c r="AA132" s="5">
        <v>0</v>
      </c>
      <c r="AB132" s="5">
        <v>1</v>
      </c>
      <c r="AC132" s="5">
        <v>0</v>
      </c>
      <c r="AD132" s="5">
        <v>0</v>
      </c>
      <c r="AE132" s="3">
        <v>0</v>
      </c>
      <c r="AF132" s="5">
        <v>0</v>
      </c>
      <c r="AG132" s="4">
        <v>0</v>
      </c>
      <c r="AH132" s="25">
        <v>0</v>
      </c>
      <c r="AI132" s="26">
        <v>0</v>
      </c>
      <c r="AJ132" s="4">
        <v>0</v>
      </c>
      <c r="AK132" s="5">
        <v>0</v>
      </c>
      <c r="AL132" s="5">
        <v>0</v>
      </c>
      <c r="AM132" s="4">
        <v>0</v>
      </c>
      <c r="AN132" s="4">
        <v>0</v>
      </c>
      <c r="AO132" s="4">
        <v>0</v>
      </c>
      <c r="AP132" s="4">
        <v>0</v>
      </c>
      <c r="AQ132" s="4"/>
      <c r="AR132" s="16">
        <v>0</v>
      </c>
      <c r="AS132" s="13">
        <v>0</v>
      </c>
      <c r="AT132" s="4">
        <v>0</v>
      </c>
      <c r="AU132" s="4">
        <v>0</v>
      </c>
      <c r="AV132" s="12">
        <v>0</v>
      </c>
      <c r="AW132" s="4">
        <v>0</v>
      </c>
      <c r="AX132" s="4">
        <v>0</v>
      </c>
      <c r="AY132" s="4">
        <v>0</v>
      </c>
      <c r="AZ132" s="4">
        <v>0</v>
      </c>
      <c r="BA132" s="25" t="s">
        <v>455</v>
      </c>
      <c r="BB132" s="4">
        <v>0</v>
      </c>
      <c r="BC132" s="27" t="s">
        <v>477</v>
      </c>
      <c r="BD132" s="27" t="s">
        <v>333</v>
      </c>
      <c r="BE132" s="21" t="s">
        <v>485</v>
      </c>
      <c r="BF132" s="17" t="s">
        <v>309</v>
      </c>
      <c r="BG132" s="4" t="str">
        <f t="shared" ref="BG132:BG133" si="45">B132</f>
        <v>图腾之柱</v>
      </c>
      <c r="BH132" s="4">
        <v>4</v>
      </c>
      <c r="BI132" s="4">
        <v>4</v>
      </c>
      <c r="BJ132" s="4">
        <v>0</v>
      </c>
      <c r="BK132" s="4">
        <v>0</v>
      </c>
      <c r="BL132" s="4">
        <v>1</v>
      </c>
      <c r="BM132" s="4">
        <v>0</v>
      </c>
      <c r="BN132" s="4">
        <v>1</v>
      </c>
      <c r="BO132" s="4">
        <v>1</v>
      </c>
      <c r="BP132" s="4">
        <v>1</v>
      </c>
      <c r="BQ132" s="4">
        <v>0</v>
      </c>
      <c r="BR132" s="4">
        <v>0</v>
      </c>
      <c r="BS132" s="4">
        <v>0</v>
      </c>
      <c r="BT132" s="4">
        <v>0</v>
      </c>
      <c r="BU132" s="4">
        <v>1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4</v>
      </c>
      <c r="CF132" s="4">
        <v>0</v>
      </c>
      <c r="CG132" s="4">
        <v>0</v>
      </c>
      <c r="CH132" s="4">
        <v>0</v>
      </c>
      <c r="CI132" s="4">
        <v>1</v>
      </c>
      <c r="CJ132" s="4">
        <v>1</v>
      </c>
      <c r="CK132" s="4">
        <v>1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 t="str">
        <f t="shared" ref="CR132:CR133" si="46">B132</f>
        <v>图腾之柱</v>
      </c>
      <c r="CS132" s="4">
        <v>0</v>
      </c>
      <c r="CT132" s="4">
        <v>5</v>
      </c>
      <c r="CU132" s="4">
        <v>100</v>
      </c>
      <c r="CV132" s="4">
        <v>608001</v>
      </c>
      <c r="CW132" s="4" t="s">
        <v>119</v>
      </c>
      <c r="CX132" s="4">
        <v>100</v>
      </c>
      <c r="CY132" s="4">
        <v>605001</v>
      </c>
      <c r="CZ132" s="4" t="s">
        <v>122</v>
      </c>
      <c r="DA132" s="4">
        <v>1000</v>
      </c>
      <c r="DB132" s="4"/>
      <c r="DC132" s="25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25"/>
      <c r="DO132" s="4"/>
    </row>
    <row r="133" spans="1:119" ht="15.75" customHeight="1" x14ac:dyDescent="0.15">
      <c r="A133" s="4">
        <v>108010</v>
      </c>
      <c r="B133" s="26" t="s">
        <v>446</v>
      </c>
      <c r="C133" s="47" t="s">
        <v>110</v>
      </c>
      <c r="D133" s="26"/>
      <c r="E133" s="26">
        <v>0</v>
      </c>
      <c r="F133" s="5">
        <v>0</v>
      </c>
      <c r="G133" s="26">
        <v>0</v>
      </c>
      <c r="H133" s="4">
        <v>0</v>
      </c>
      <c r="I133" s="5">
        <v>0</v>
      </c>
      <c r="J133" s="26"/>
      <c r="K133" s="26"/>
      <c r="L133" s="26"/>
      <c r="M133" s="8">
        <v>0</v>
      </c>
      <c r="N133" s="25" t="s">
        <v>605</v>
      </c>
      <c r="O133" s="25">
        <v>0</v>
      </c>
      <c r="P133" s="25">
        <v>0</v>
      </c>
      <c r="Q133" s="25">
        <v>0</v>
      </c>
      <c r="R133" s="4">
        <v>1</v>
      </c>
      <c r="S133" s="4">
        <v>0</v>
      </c>
      <c r="T133" s="4">
        <v>0</v>
      </c>
      <c r="U133" s="4">
        <v>0</v>
      </c>
      <c r="V133" s="5">
        <v>0</v>
      </c>
      <c r="W133" s="5">
        <v>0</v>
      </c>
      <c r="X133" s="5">
        <v>0</v>
      </c>
      <c r="Y133" s="26" t="s">
        <v>446</v>
      </c>
      <c r="Z133" s="5">
        <v>0</v>
      </c>
      <c r="AA133" s="5">
        <v>0</v>
      </c>
      <c r="AB133" s="5">
        <v>1</v>
      </c>
      <c r="AC133" s="5">
        <v>0</v>
      </c>
      <c r="AD133" s="5">
        <v>0</v>
      </c>
      <c r="AE133" s="3">
        <v>0</v>
      </c>
      <c r="AF133" s="5">
        <v>0</v>
      </c>
      <c r="AG133" s="4">
        <v>0</v>
      </c>
      <c r="AH133" s="25">
        <v>0</v>
      </c>
      <c r="AI133" s="26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4">
        <v>0</v>
      </c>
      <c r="AQ133" s="4"/>
      <c r="AR133" s="13">
        <v>1</v>
      </c>
      <c r="AS133" s="13">
        <v>1</v>
      </c>
      <c r="AT133" s="4">
        <v>1</v>
      </c>
      <c r="AU133" s="4">
        <v>1</v>
      </c>
      <c r="AV133" s="12">
        <v>0</v>
      </c>
      <c r="AW133" s="4">
        <v>1</v>
      </c>
      <c r="AX133" s="4">
        <v>0</v>
      </c>
      <c r="AY133" s="4">
        <v>0</v>
      </c>
      <c r="AZ133" s="4">
        <v>0</v>
      </c>
      <c r="BA133" s="25" t="s">
        <v>472</v>
      </c>
      <c r="BB133" s="5">
        <v>0</v>
      </c>
      <c r="BC133" s="17" t="s">
        <v>109</v>
      </c>
      <c r="BD133" s="17" t="s">
        <v>110</v>
      </c>
      <c r="BE133" s="17" t="s">
        <v>333</v>
      </c>
      <c r="BF133" s="17" t="s">
        <v>309</v>
      </c>
      <c r="BG133" s="4" t="str">
        <f t="shared" si="45"/>
        <v>布道台</v>
      </c>
      <c r="BH133" s="20">
        <v>2</v>
      </c>
      <c r="BI133" s="4">
        <v>2</v>
      </c>
      <c r="BJ133" s="4">
        <v>0</v>
      </c>
      <c r="BK133" s="4">
        <v>0</v>
      </c>
      <c r="BL133" s="4">
        <v>1234</v>
      </c>
      <c r="BM133" s="4">
        <v>1</v>
      </c>
      <c r="BN133" s="4">
        <v>1</v>
      </c>
      <c r="BO133" s="4">
        <v>0</v>
      </c>
      <c r="BP133" s="4">
        <v>0</v>
      </c>
      <c r="BQ133" s="4">
        <v>0</v>
      </c>
      <c r="BR133" s="4">
        <v>1</v>
      </c>
      <c r="BS133" s="4">
        <v>0</v>
      </c>
      <c r="BT133" s="4">
        <v>0</v>
      </c>
      <c r="BU133" s="4">
        <v>1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4</v>
      </c>
      <c r="CF133" s="4">
        <v>0</v>
      </c>
      <c r="CG133" s="4">
        <v>0</v>
      </c>
      <c r="CH133" s="4">
        <v>1</v>
      </c>
      <c r="CI133" s="4">
        <v>1</v>
      </c>
      <c r="CJ133" s="4">
        <v>1</v>
      </c>
      <c r="CK133" s="4">
        <v>1</v>
      </c>
      <c r="CL133" s="4">
        <v>100</v>
      </c>
      <c r="CM133" s="4">
        <v>0</v>
      </c>
      <c r="CN133" s="4">
        <v>1</v>
      </c>
      <c r="CO133" s="4">
        <v>0</v>
      </c>
      <c r="CP133" s="4">
        <v>0</v>
      </c>
      <c r="CQ133" s="4">
        <v>0</v>
      </c>
      <c r="CR133" s="4" t="str">
        <f t="shared" si="46"/>
        <v>布道台</v>
      </c>
      <c r="CS133" s="4">
        <v>0</v>
      </c>
      <c r="CT133" s="4">
        <v>1</v>
      </c>
      <c r="CU133" s="4">
        <v>20</v>
      </c>
      <c r="CV133" s="4">
        <v>604001</v>
      </c>
      <c r="CW133" s="4" t="s">
        <v>113</v>
      </c>
      <c r="CX133" s="4">
        <v>50</v>
      </c>
      <c r="CY133" s="4">
        <v>605001</v>
      </c>
      <c r="CZ133" s="4" t="s">
        <v>122</v>
      </c>
      <c r="DA133" s="4">
        <v>150</v>
      </c>
      <c r="DB133" s="4">
        <v>603001</v>
      </c>
      <c r="DC133" s="4" t="s">
        <v>116</v>
      </c>
      <c r="DD133" s="4">
        <v>10</v>
      </c>
      <c r="DE133" s="4"/>
      <c r="DF133" s="4"/>
      <c r="DG133" s="4"/>
      <c r="DH133" s="4"/>
      <c r="DI133" s="4"/>
      <c r="DJ133" s="4"/>
      <c r="DK133" s="4"/>
      <c r="DL133" s="4"/>
      <c r="DM133" s="4"/>
      <c r="DN133" s="31"/>
      <c r="DO133" s="4"/>
    </row>
    <row r="134" spans="1:119" x14ac:dyDescent="0.15">
      <c r="A134" s="4">
        <v>108012</v>
      </c>
      <c r="B134" s="25" t="s">
        <v>630</v>
      </c>
      <c r="C134" s="47" t="s">
        <v>110</v>
      </c>
      <c r="D134" s="26"/>
      <c r="E134" s="26">
        <v>0</v>
      </c>
      <c r="F134" s="5">
        <v>1</v>
      </c>
      <c r="G134" s="26">
        <v>0</v>
      </c>
      <c r="H134" s="4">
        <v>0</v>
      </c>
      <c r="I134" s="5">
        <v>0</v>
      </c>
      <c r="J134" s="4"/>
      <c r="K134" s="4"/>
      <c r="L134" s="25"/>
      <c r="M134" s="8">
        <v>1</v>
      </c>
      <c r="N134" s="25" t="s">
        <v>631</v>
      </c>
      <c r="O134" s="25">
        <v>0</v>
      </c>
      <c r="P134" s="25">
        <v>0</v>
      </c>
      <c r="Q134" s="25">
        <v>0</v>
      </c>
      <c r="R134" s="4">
        <v>1</v>
      </c>
      <c r="S134" s="4">
        <v>0</v>
      </c>
      <c r="T134" s="4">
        <v>0</v>
      </c>
      <c r="U134" s="4">
        <v>0</v>
      </c>
      <c r="V134" s="5">
        <v>0</v>
      </c>
      <c r="W134" s="5">
        <v>0</v>
      </c>
      <c r="X134" s="5">
        <v>1</v>
      </c>
      <c r="Y134" s="25" t="s">
        <v>630</v>
      </c>
      <c r="Z134" s="5">
        <v>0</v>
      </c>
      <c r="AA134" s="5">
        <v>0</v>
      </c>
      <c r="AB134" s="5">
        <v>1</v>
      </c>
      <c r="AC134" s="5">
        <v>0</v>
      </c>
      <c r="AD134" s="5">
        <v>0</v>
      </c>
      <c r="AE134" s="3">
        <v>0</v>
      </c>
      <c r="AF134" s="5">
        <v>0</v>
      </c>
      <c r="AG134" s="4">
        <v>0</v>
      </c>
      <c r="AH134" s="25">
        <v>0</v>
      </c>
      <c r="AI134" s="26">
        <v>0</v>
      </c>
      <c r="AJ134" s="4">
        <v>0</v>
      </c>
      <c r="AK134" s="5">
        <v>0</v>
      </c>
      <c r="AL134" s="5">
        <v>0</v>
      </c>
      <c r="AM134" s="4">
        <v>0</v>
      </c>
      <c r="AN134" s="4">
        <v>0</v>
      </c>
      <c r="AO134" s="4">
        <v>0</v>
      </c>
      <c r="AP134" s="4">
        <v>0</v>
      </c>
      <c r="AQ134" s="4"/>
      <c r="AR134" s="16">
        <v>0</v>
      </c>
      <c r="AS134" s="13">
        <v>0</v>
      </c>
      <c r="AT134" s="4">
        <v>0</v>
      </c>
      <c r="AU134" s="4">
        <v>0</v>
      </c>
      <c r="AV134" s="12">
        <v>0</v>
      </c>
      <c r="AW134" s="4">
        <v>1</v>
      </c>
      <c r="AX134" s="4">
        <v>0</v>
      </c>
      <c r="AY134" s="4">
        <v>0</v>
      </c>
      <c r="AZ134" s="4">
        <v>0</v>
      </c>
      <c r="BA134" s="25" t="s">
        <v>615</v>
      </c>
      <c r="BB134" s="4">
        <v>1</v>
      </c>
      <c r="BC134" s="21" t="s">
        <v>109</v>
      </c>
      <c r="BD134" s="27" t="s">
        <v>309</v>
      </c>
      <c r="BE134" s="21" t="s">
        <v>333</v>
      </c>
      <c r="BF134" s="17" t="s">
        <v>309</v>
      </c>
      <c r="BG134" s="4" t="str">
        <f t="shared" ref="BG134" si="47">B134</f>
        <v>国王的永恒圣殿</v>
      </c>
      <c r="BH134" s="4">
        <v>15</v>
      </c>
      <c r="BI134" s="4">
        <v>10</v>
      </c>
      <c r="BJ134" s="4">
        <v>0</v>
      </c>
      <c r="BK134" s="4">
        <v>0</v>
      </c>
      <c r="BL134" s="4">
        <v>1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1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4</v>
      </c>
      <c r="CF134" s="4">
        <v>0</v>
      </c>
      <c r="CG134" s="4">
        <v>1</v>
      </c>
      <c r="CH134" s="4">
        <v>0</v>
      </c>
      <c r="CI134" s="4">
        <v>1</v>
      </c>
      <c r="CJ134" s="4">
        <v>1</v>
      </c>
      <c r="CK134" s="4">
        <v>1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 t="str">
        <f t="shared" ref="CR134" si="48">B134</f>
        <v>国王的永恒圣殿</v>
      </c>
      <c r="CS134" s="4">
        <v>0</v>
      </c>
      <c r="CT134" s="4">
        <v>500</v>
      </c>
      <c r="CU134" s="4">
        <v>100</v>
      </c>
      <c r="CV134" s="4">
        <v>608001</v>
      </c>
      <c r="CW134" s="4" t="s">
        <v>119</v>
      </c>
      <c r="CX134" s="4">
        <v>10000</v>
      </c>
      <c r="CY134" s="4">
        <v>612002</v>
      </c>
      <c r="CZ134" s="4" t="s">
        <v>320</v>
      </c>
      <c r="DA134" s="4">
        <v>10000</v>
      </c>
      <c r="DB134" s="4">
        <v>605001</v>
      </c>
      <c r="DC134" s="4" t="s">
        <v>122</v>
      </c>
      <c r="DD134" s="4">
        <v>50000</v>
      </c>
      <c r="DE134" s="4"/>
      <c r="DF134" s="4"/>
      <c r="DG134" s="4"/>
      <c r="DH134" s="4"/>
      <c r="DI134" s="4"/>
      <c r="DJ134" s="4"/>
      <c r="DK134" s="4"/>
      <c r="DL134" s="4"/>
      <c r="DM134" s="4"/>
      <c r="DN134" s="25"/>
      <c r="DO134" s="4"/>
    </row>
    <row r="135" spans="1:119" x14ac:dyDescent="0.15">
      <c r="A135" s="4">
        <v>111001</v>
      </c>
      <c r="B135" s="25" t="s">
        <v>307</v>
      </c>
      <c r="C135" s="47" t="s">
        <v>110</v>
      </c>
      <c r="D135" s="26"/>
      <c r="E135" s="26">
        <v>0</v>
      </c>
      <c r="F135" s="5">
        <v>0</v>
      </c>
      <c r="G135" s="26">
        <v>1</v>
      </c>
      <c r="H135" s="4">
        <v>6</v>
      </c>
      <c r="I135" s="5">
        <v>1</v>
      </c>
      <c r="J135" s="25"/>
      <c r="K135" s="4"/>
      <c r="L135" s="25" t="s">
        <v>531</v>
      </c>
      <c r="M135" s="8">
        <v>1</v>
      </c>
      <c r="N135" s="25" t="s">
        <v>528</v>
      </c>
      <c r="O135" s="25">
        <v>0</v>
      </c>
      <c r="P135" s="25">
        <v>0</v>
      </c>
      <c r="Q135" s="25">
        <v>0</v>
      </c>
      <c r="R135" s="4">
        <v>1</v>
      </c>
      <c r="S135" s="4">
        <v>0</v>
      </c>
      <c r="T135" s="4">
        <v>0</v>
      </c>
      <c r="U135" s="4">
        <v>0</v>
      </c>
      <c r="V135" s="5">
        <v>0</v>
      </c>
      <c r="W135" s="5">
        <v>0</v>
      </c>
      <c r="X135" s="5">
        <v>1</v>
      </c>
      <c r="Y135" s="25" t="s">
        <v>307</v>
      </c>
      <c r="Z135" s="5">
        <v>0</v>
      </c>
      <c r="AA135" s="5">
        <v>0</v>
      </c>
      <c r="AB135" s="5">
        <v>1</v>
      </c>
      <c r="AC135" s="5">
        <v>0</v>
      </c>
      <c r="AD135" s="5">
        <v>0</v>
      </c>
      <c r="AE135" s="3">
        <v>0</v>
      </c>
      <c r="AF135" s="5">
        <v>0</v>
      </c>
      <c r="AG135" s="4">
        <v>0</v>
      </c>
      <c r="AH135" s="25">
        <v>0</v>
      </c>
      <c r="AI135" s="26">
        <v>0</v>
      </c>
      <c r="AJ135" s="5">
        <v>0</v>
      </c>
      <c r="AK135" s="5">
        <v>0</v>
      </c>
      <c r="AL135" s="5">
        <v>0</v>
      </c>
      <c r="AM135" s="4">
        <v>0</v>
      </c>
      <c r="AN135" s="4">
        <v>0</v>
      </c>
      <c r="AO135" s="4">
        <v>0</v>
      </c>
      <c r="AP135" s="4">
        <v>0</v>
      </c>
      <c r="AQ135" s="4"/>
      <c r="AR135" s="16">
        <v>0</v>
      </c>
      <c r="AS135" s="13">
        <v>0</v>
      </c>
      <c r="AT135" s="4">
        <v>0</v>
      </c>
      <c r="AU135" s="4">
        <v>0</v>
      </c>
      <c r="AV135" s="12">
        <v>0</v>
      </c>
      <c r="AW135" s="4">
        <v>0</v>
      </c>
      <c r="AX135" s="4">
        <v>0</v>
      </c>
      <c r="AY135" s="4">
        <v>0</v>
      </c>
      <c r="AZ135" s="4">
        <v>0</v>
      </c>
      <c r="BA135" s="4" t="s">
        <v>108</v>
      </c>
      <c r="BB135" s="4">
        <v>1</v>
      </c>
      <c r="BC135" s="27" t="s">
        <v>606</v>
      </c>
      <c r="BD135" s="27" t="s">
        <v>309</v>
      </c>
      <c r="BE135" s="21" t="s">
        <v>110</v>
      </c>
      <c r="BF135" s="17" t="s">
        <v>379</v>
      </c>
      <c r="BG135" s="4" t="str">
        <f t="shared" si="40"/>
        <v>方尖碑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1</v>
      </c>
      <c r="BN135" s="4">
        <v>1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1</v>
      </c>
      <c r="BV135" s="4">
        <v>0</v>
      </c>
      <c r="BW135" s="4">
        <v>2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4</v>
      </c>
      <c r="CF135" s="4">
        <v>0</v>
      </c>
      <c r="CG135" s="4">
        <v>0</v>
      </c>
      <c r="CH135" s="4">
        <v>0</v>
      </c>
      <c r="CI135" s="4">
        <v>1</v>
      </c>
      <c r="CJ135" s="4">
        <v>1</v>
      </c>
      <c r="CK135" s="4">
        <v>1</v>
      </c>
      <c r="CL135" s="4">
        <v>500</v>
      </c>
      <c r="CM135" s="4">
        <v>0</v>
      </c>
      <c r="CN135" s="4">
        <v>1</v>
      </c>
      <c r="CO135" s="4">
        <v>0</v>
      </c>
      <c r="CP135" s="4">
        <v>0</v>
      </c>
      <c r="CQ135" s="4">
        <v>0</v>
      </c>
      <c r="CR135" s="4" t="str">
        <f t="shared" si="44"/>
        <v>方尖碑</v>
      </c>
      <c r="CS135" s="4">
        <v>0</v>
      </c>
      <c r="CT135" s="4">
        <v>3</v>
      </c>
      <c r="CU135" s="4">
        <v>20</v>
      </c>
      <c r="CV135" s="4">
        <v>605001</v>
      </c>
      <c r="CW135" s="4" t="s">
        <v>122</v>
      </c>
      <c r="CX135" s="4">
        <v>100</v>
      </c>
      <c r="CY135" s="4">
        <v>608001</v>
      </c>
      <c r="CZ135" s="4" t="s">
        <v>119</v>
      </c>
      <c r="DA135" s="4">
        <v>10</v>
      </c>
      <c r="DB135" s="4">
        <v>612001</v>
      </c>
      <c r="DC135" s="24" t="s">
        <v>287</v>
      </c>
      <c r="DD135" s="4">
        <v>100</v>
      </c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</row>
    <row r="136" spans="1:119" x14ac:dyDescent="0.15">
      <c r="A136" s="4">
        <v>111002</v>
      </c>
      <c r="B136" s="25" t="s">
        <v>306</v>
      </c>
      <c r="C136" s="47" t="s">
        <v>110</v>
      </c>
      <c r="D136" s="26"/>
      <c r="E136" s="26">
        <v>0</v>
      </c>
      <c r="F136" s="5">
        <v>0</v>
      </c>
      <c r="G136" s="26">
        <v>1</v>
      </c>
      <c r="H136" s="4">
        <v>6</v>
      </c>
      <c r="I136" s="5">
        <v>1</v>
      </c>
      <c r="J136" s="25"/>
      <c r="K136" s="4"/>
      <c r="L136" s="25"/>
      <c r="M136" s="8">
        <v>0</v>
      </c>
      <c r="N136" s="4" t="s">
        <v>394</v>
      </c>
      <c r="O136" s="25">
        <v>0</v>
      </c>
      <c r="P136" s="25">
        <v>0</v>
      </c>
      <c r="Q136" s="25">
        <v>0</v>
      </c>
      <c r="R136" s="4">
        <v>1</v>
      </c>
      <c r="S136" s="4">
        <v>0</v>
      </c>
      <c r="T136" s="4">
        <v>0</v>
      </c>
      <c r="U136" s="4">
        <v>0</v>
      </c>
      <c r="V136" s="5">
        <v>0</v>
      </c>
      <c r="W136" s="5">
        <v>0</v>
      </c>
      <c r="X136" s="5">
        <v>1</v>
      </c>
      <c r="Y136" s="25" t="s">
        <v>306</v>
      </c>
      <c r="Z136" s="5">
        <v>0</v>
      </c>
      <c r="AA136" s="5">
        <v>0</v>
      </c>
      <c r="AB136" s="5">
        <v>1</v>
      </c>
      <c r="AC136" s="5">
        <v>1</v>
      </c>
      <c r="AD136" s="5">
        <v>0</v>
      </c>
      <c r="AE136" s="3">
        <v>0</v>
      </c>
      <c r="AF136" s="5">
        <v>0</v>
      </c>
      <c r="AG136" s="4">
        <v>0</v>
      </c>
      <c r="AH136" s="25">
        <v>0</v>
      </c>
      <c r="AI136" s="26">
        <v>0</v>
      </c>
      <c r="AJ136" s="5">
        <v>0</v>
      </c>
      <c r="AK136" s="5">
        <v>0</v>
      </c>
      <c r="AL136" s="5">
        <v>0</v>
      </c>
      <c r="AM136" s="4">
        <v>0</v>
      </c>
      <c r="AN136" s="4">
        <v>0</v>
      </c>
      <c r="AO136" s="4">
        <v>0</v>
      </c>
      <c r="AP136" s="4">
        <v>0</v>
      </c>
      <c r="AQ136" s="4"/>
      <c r="AR136" s="16">
        <v>0</v>
      </c>
      <c r="AS136" s="13">
        <v>0</v>
      </c>
      <c r="AT136" s="4">
        <v>0</v>
      </c>
      <c r="AU136" s="4">
        <v>0</v>
      </c>
      <c r="AV136" s="12">
        <v>0</v>
      </c>
      <c r="AW136" s="4">
        <v>1</v>
      </c>
      <c r="AX136" s="4">
        <v>0</v>
      </c>
      <c r="AY136" s="4">
        <v>0</v>
      </c>
      <c r="AZ136" s="4">
        <v>0</v>
      </c>
      <c r="BA136" s="4" t="s">
        <v>300</v>
      </c>
      <c r="BB136" s="4">
        <v>1</v>
      </c>
      <c r="BC136" s="21" t="s">
        <v>109</v>
      </c>
      <c r="BD136" s="27" t="s">
        <v>309</v>
      </c>
      <c r="BE136" s="21" t="s">
        <v>540</v>
      </c>
      <c r="BF136" s="17" t="s">
        <v>379</v>
      </c>
      <c r="BG136" s="4" t="str">
        <f t="shared" si="40"/>
        <v>泰坦祭坛</v>
      </c>
      <c r="BH136" s="4">
        <v>2</v>
      </c>
      <c r="BI136" s="4">
        <v>2</v>
      </c>
      <c r="BJ136" s="4">
        <v>0</v>
      </c>
      <c r="BK136" s="4">
        <v>0</v>
      </c>
      <c r="BL136" s="4">
        <v>1234</v>
      </c>
      <c r="BM136" s="4">
        <v>1</v>
      </c>
      <c r="BN136" s="4">
        <v>1</v>
      </c>
      <c r="BO136" s="4">
        <v>0</v>
      </c>
      <c r="BP136" s="4">
        <v>0</v>
      </c>
      <c r="BQ136" s="4">
        <v>0</v>
      </c>
      <c r="BR136" s="4">
        <v>1</v>
      </c>
      <c r="BS136" s="4">
        <v>0</v>
      </c>
      <c r="BT136" s="4">
        <v>0</v>
      </c>
      <c r="BU136" s="4">
        <v>1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4</v>
      </c>
      <c r="CF136" s="4">
        <v>0</v>
      </c>
      <c r="CG136" s="4">
        <v>0</v>
      </c>
      <c r="CH136" s="4">
        <v>0</v>
      </c>
      <c r="CI136" s="4">
        <v>1</v>
      </c>
      <c r="CJ136" s="4">
        <v>1</v>
      </c>
      <c r="CK136" s="4">
        <v>1</v>
      </c>
      <c r="CL136" s="4">
        <v>300</v>
      </c>
      <c r="CM136" s="4">
        <v>0</v>
      </c>
      <c r="CN136" s="4">
        <v>1</v>
      </c>
      <c r="CO136" s="4">
        <v>0</v>
      </c>
      <c r="CP136" s="4">
        <v>0</v>
      </c>
      <c r="CQ136" s="4">
        <v>0</v>
      </c>
      <c r="CR136" s="4" t="str">
        <f t="shared" si="44"/>
        <v>泰坦祭坛</v>
      </c>
      <c r="CS136" s="4">
        <v>0</v>
      </c>
      <c r="CT136" s="4">
        <v>2</v>
      </c>
      <c r="CU136" s="4">
        <v>20</v>
      </c>
      <c r="CV136" s="4">
        <v>605001</v>
      </c>
      <c r="CW136" s="4" t="s">
        <v>122</v>
      </c>
      <c r="CX136" s="4">
        <v>100</v>
      </c>
      <c r="CY136" s="4">
        <v>608001</v>
      </c>
      <c r="CZ136" s="4" t="s">
        <v>119</v>
      </c>
      <c r="DA136" s="4">
        <v>10</v>
      </c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25" t="s">
        <v>311</v>
      </c>
      <c r="DO136" s="4"/>
    </row>
    <row r="137" spans="1:119" x14ac:dyDescent="0.15">
      <c r="A137" s="33" t="s">
        <v>390</v>
      </c>
      <c r="B137" s="4" t="s">
        <v>391</v>
      </c>
      <c r="C137" s="47" t="s">
        <v>110</v>
      </c>
      <c r="D137" s="26"/>
      <c r="E137" s="26">
        <v>0</v>
      </c>
      <c r="F137" s="5">
        <v>0</v>
      </c>
      <c r="G137" s="26">
        <v>1</v>
      </c>
      <c r="H137" s="4">
        <v>6</v>
      </c>
      <c r="I137" s="5">
        <v>1</v>
      </c>
      <c r="J137" s="4"/>
      <c r="K137" s="4"/>
      <c r="L137" s="25" t="s">
        <v>533</v>
      </c>
      <c r="M137" s="8">
        <v>1</v>
      </c>
      <c r="N137" s="4" t="s">
        <v>397</v>
      </c>
      <c r="O137" s="25">
        <v>0</v>
      </c>
      <c r="P137" s="25">
        <v>0</v>
      </c>
      <c r="Q137" s="25">
        <v>0</v>
      </c>
      <c r="R137" s="4">
        <v>1</v>
      </c>
      <c r="S137" s="4">
        <v>0</v>
      </c>
      <c r="T137" s="4">
        <v>0</v>
      </c>
      <c r="U137" s="4">
        <v>0</v>
      </c>
      <c r="V137" s="5">
        <v>0</v>
      </c>
      <c r="W137" s="5">
        <v>0</v>
      </c>
      <c r="X137" s="5">
        <v>1</v>
      </c>
      <c r="Y137" s="4" t="s">
        <v>391</v>
      </c>
      <c r="Z137" s="5">
        <v>0</v>
      </c>
      <c r="AA137" s="5">
        <v>0</v>
      </c>
      <c r="AB137" s="5">
        <v>1</v>
      </c>
      <c r="AC137" s="5">
        <v>2</v>
      </c>
      <c r="AD137" s="5">
        <v>0</v>
      </c>
      <c r="AE137" s="3">
        <v>0</v>
      </c>
      <c r="AF137" s="5">
        <v>0</v>
      </c>
      <c r="AG137" s="4">
        <v>0</v>
      </c>
      <c r="AH137" s="25">
        <v>0</v>
      </c>
      <c r="AI137" s="26">
        <v>0</v>
      </c>
      <c r="AJ137" s="4">
        <v>0</v>
      </c>
      <c r="AK137" s="5">
        <v>0</v>
      </c>
      <c r="AL137" s="5">
        <v>0</v>
      </c>
      <c r="AM137" s="4">
        <v>0</v>
      </c>
      <c r="AN137" s="4">
        <v>0</v>
      </c>
      <c r="AO137" s="4">
        <v>0</v>
      </c>
      <c r="AP137" s="4">
        <v>0</v>
      </c>
      <c r="AQ137" s="4"/>
      <c r="AR137" s="16">
        <v>0</v>
      </c>
      <c r="AS137" s="13">
        <v>0</v>
      </c>
      <c r="AT137" s="4">
        <v>0</v>
      </c>
      <c r="AU137" s="4">
        <v>0</v>
      </c>
      <c r="AV137" s="12">
        <v>0</v>
      </c>
      <c r="AW137" s="4">
        <v>1</v>
      </c>
      <c r="AX137" s="4">
        <v>0</v>
      </c>
      <c r="AY137" s="4">
        <v>0</v>
      </c>
      <c r="AZ137" s="4">
        <v>0</v>
      </c>
      <c r="BA137" s="4" t="s">
        <v>396</v>
      </c>
      <c r="BB137" s="4">
        <v>1</v>
      </c>
      <c r="BC137" s="21" t="s">
        <v>109</v>
      </c>
      <c r="BD137" s="27" t="s">
        <v>309</v>
      </c>
      <c r="BE137" s="21" t="s">
        <v>540</v>
      </c>
      <c r="BF137" s="17" t="s">
        <v>309</v>
      </c>
      <c r="BG137" s="4" t="str">
        <f t="shared" si="40"/>
        <v>光明祭坛</v>
      </c>
      <c r="BH137" s="4">
        <v>4</v>
      </c>
      <c r="BI137" s="4">
        <v>4</v>
      </c>
      <c r="BJ137" s="4">
        <v>0</v>
      </c>
      <c r="BK137" s="4">
        <v>0</v>
      </c>
      <c r="BL137" s="4">
        <v>1</v>
      </c>
      <c r="BM137" s="4">
        <v>1</v>
      </c>
      <c r="BN137" s="4">
        <v>1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1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4</v>
      </c>
      <c r="CF137" s="4">
        <v>0</v>
      </c>
      <c r="CG137" s="4">
        <v>0</v>
      </c>
      <c r="CH137" s="4">
        <v>0</v>
      </c>
      <c r="CI137" s="4">
        <v>1</v>
      </c>
      <c r="CJ137" s="4">
        <v>1</v>
      </c>
      <c r="CK137" s="4">
        <v>1</v>
      </c>
      <c r="CL137" s="4">
        <v>300</v>
      </c>
      <c r="CM137" s="4">
        <v>0</v>
      </c>
      <c r="CN137" s="4">
        <v>1</v>
      </c>
      <c r="CO137" s="4">
        <v>0</v>
      </c>
      <c r="CP137" s="4">
        <v>0</v>
      </c>
      <c r="CQ137" s="4">
        <v>0</v>
      </c>
      <c r="CR137" s="4" t="str">
        <f t="shared" si="44"/>
        <v>光明祭坛</v>
      </c>
      <c r="CS137" s="4">
        <v>0</v>
      </c>
      <c r="CT137" s="4">
        <v>3</v>
      </c>
      <c r="CU137" s="4">
        <v>20</v>
      </c>
      <c r="CV137" s="4">
        <v>608001</v>
      </c>
      <c r="CW137" s="4" t="s">
        <v>119</v>
      </c>
      <c r="CX137" s="4">
        <v>100</v>
      </c>
      <c r="CY137" s="4">
        <v>612003</v>
      </c>
      <c r="CZ137" s="4" t="s">
        <v>321</v>
      </c>
      <c r="DA137" s="4">
        <v>100</v>
      </c>
      <c r="DB137" s="4">
        <v>612001</v>
      </c>
      <c r="DC137" s="25" t="s">
        <v>287</v>
      </c>
      <c r="DD137" s="4">
        <v>100</v>
      </c>
      <c r="DE137" s="4"/>
      <c r="DF137" s="4"/>
      <c r="DG137" s="4"/>
      <c r="DH137" s="4"/>
      <c r="DI137" s="4"/>
      <c r="DJ137" s="4"/>
      <c r="DK137" s="4"/>
      <c r="DL137" s="4"/>
      <c r="DM137" s="4"/>
      <c r="DN137" s="25"/>
      <c r="DO137" s="4"/>
    </row>
    <row r="138" spans="1:119" x14ac:dyDescent="0.15">
      <c r="A138" s="33" t="s">
        <v>392</v>
      </c>
      <c r="B138" s="4" t="s">
        <v>393</v>
      </c>
      <c r="C138" s="47" t="s">
        <v>110</v>
      </c>
      <c r="D138" s="26"/>
      <c r="E138" s="26">
        <v>0</v>
      </c>
      <c r="F138" s="5">
        <v>0</v>
      </c>
      <c r="G138" s="26">
        <v>1</v>
      </c>
      <c r="H138" s="4">
        <v>6</v>
      </c>
      <c r="I138" s="5">
        <v>1</v>
      </c>
      <c r="J138" s="4"/>
      <c r="K138" s="4"/>
      <c r="L138" s="25" t="s">
        <v>532</v>
      </c>
      <c r="M138" s="8">
        <v>1</v>
      </c>
      <c r="N138" s="4" t="s">
        <v>397</v>
      </c>
      <c r="O138" s="25">
        <v>0</v>
      </c>
      <c r="P138" s="25">
        <v>0</v>
      </c>
      <c r="Q138" s="25">
        <v>0</v>
      </c>
      <c r="R138" s="4">
        <v>1</v>
      </c>
      <c r="S138" s="4">
        <v>0</v>
      </c>
      <c r="T138" s="4">
        <v>0</v>
      </c>
      <c r="U138" s="4">
        <v>0</v>
      </c>
      <c r="V138" s="5">
        <v>0</v>
      </c>
      <c r="W138" s="5">
        <v>0</v>
      </c>
      <c r="X138" s="5">
        <v>1</v>
      </c>
      <c r="Y138" s="4" t="s">
        <v>393</v>
      </c>
      <c r="Z138" s="5">
        <v>0</v>
      </c>
      <c r="AA138" s="5">
        <v>0</v>
      </c>
      <c r="AB138" s="5">
        <v>1</v>
      </c>
      <c r="AC138" s="5">
        <v>2</v>
      </c>
      <c r="AD138" s="5">
        <v>0</v>
      </c>
      <c r="AE138" s="3">
        <v>0</v>
      </c>
      <c r="AF138" s="5">
        <v>0</v>
      </c>
      <c r="AG138" s="4">
        <v>0</v>
      </c>
      <c r="AH138" s="25">
        <v>0</v>
      </c>
      <c r="AI138" s="26">
        <v>0</v>
      </c>
      <c r="AJ138" s="4">
        <v>0</v>
      </c>
      <c r="AK138" s="5">
        <v>0</v>
      </c>
      <c r="AL138" s="5">
        <v>0</v>
      </c>
      <c r="AM138" s="4">
        <v>0</v>
      </c>
      <c r="AN138" s="4">
        <v>0</v>
      </c>
      <c r="AO138" s="4">
        <v>0</v>
      </c>
      <c r="AP138" s="4">
        <v>0</v>
      </c>
      <c r="AQ138" s="4"/>
      <c r="AR138" s="16">
        <v>0</v>
      </c>
      <c r="AS138" s="13">
        <v>0</v>
      </c>
      <c r="AT138" s="4">
        <v>0</v>
      </c>
      <c r="AU138" s="4">
        <v>0</v>
      </c>
      <c r="AV138" s="12">
        <v>0</v>
      </c>
      <c r="AW138" s="4">
        <v>1</v>
      </c>
      <c r="AX138" s="4">
        <v>0</v>
      </c>
      <c r="AY138" s="4">
        <v>0</v>
      </c>
      <c r="AZ138" s="4">
        <v>0</v>
      </c>
      <c r="BA138" s="4" t="s">
        <v>395</v>
      </c>
      <c r="BB138" s="4">
        <v>1</v>
      </c>
      <c r="BC138" s="21" t="s">
        <v>109</v>
      </c>
      <c r="BD138" s="27" t="s">
        <v>309</v>
      </c>
      <c r="BE138" s="21" t="s">
        <v>540</v>
      </c>
      <c r="BF138" s="17" t="s">
        <v>309</v>
      </c>
      <c r="BG138" s="4" t="str">
        <f t="shared" si="40"/>
        <v>黑暗祭坛</v>
      </c>
      <c r="BH138" s="4">
        <v>4</v>
      </c>
      <c r="BI138" s="4">
        <v>4</v>
      </c>
      <c r="BJ138" s="4">
        <v>0</v>
      </c>
      <c r="BK138" s="4">
        <v>0</v>
      </c>
      <c r="BL138" s="4">
        <v>1</v>
      </c>
      <c r="BM138" s="4">
        <v>1</v>
      </c>
      <c r="BN138" s="4">
        <v>1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4</v>
      </c>
      <c r="CF138" s="4">
        <v>0</v>
      </c>
      <c r="CG138" s="4">
        <v>0</v>
      </c>
      <c r="CH138" s="4">
        <v>0</v>
      </c>
      <c r="CI138" s="4">
        <v>1</v>
      </c>
      <c r="CJ138" s="4">
        <v>1</v>
      </c>
      <c r="CK138" s="4">
        <v>1</v>
      </c>
      <c r="CL138" s="4">
        <v>300</v>
      </c>
      <c r="CM138" s="4">
        <v>0</v>
      </c>
      <c r="CN138" s="4">
        <v>1</v>
      </c>
      <c r="CO138" s="4">
        <v>0</v>
      </c>
      <c r="CP138" s="4">
        <v>0</v>
      </c>
      <c r="CQ138" s="4">
        <v>0</v>
      </c>
      <c r="CR138" s="4" t="str">
        <f t="shared" si="44"/>
        <v>黑暗祭坛</v>
      </c>
      <c r="CS138" s="4">
        <v>0</v>
      </c>
      <c r="CT138" s="4">
        <v>3</v>
      </c>
      <c r="CU138" s="4">
        <v>20</v>
      </c>
      <c r="CV138" s="4">
        <v>608001</v>
      </c>
      <c r="CW138" s="4" t="s">
        <v>119</v>
      </c>
      <c r="CX138" s="4">
        <v>100</v>
      </c>
      <c r="CY138" s="4">
        <v>612002</v>
      </c>
      <c r="CZ138" s="4" t="s">
        <v>320</v>
      </c>
      <c r="DA138" s="4">
        <v>100</v>
      </c>
      <c r="DB138" s="4">
        <v>612001</v>
      </c>
      <c r="DC138" s="25" t="s">
        <v>287</v>
      </c>
      <c r="DD138" s="4">
        <v>100</v>
      </c>
      <c r="DE138" s="4"/>
      <c r="DF138" s="4"/>
      <c r="DG138" s="4"/>
      <c r="DH138" s="4"/>
      <c r="DI138" s="4"/>
      <c r="DJ138" s="4"/>
      <c r="DK138" s="4"/>
      <c r="DL138" s="4"/>
      <c r="DM138" s="4"/>
      <c r="DN138" s="25"/>
      <c r="DO138" s="4"/>
    </row>
    <row r="139" spans="1:119" x14ac:dyDescent="0.15">
      <c r="A139" s="4">
        <v>111005</v>
      </c>
      <c r="B139" s="25" t="s">
        <v>613</v>
      </c>
      <c r="C139" s="47" t="s">
        <v>110</v>
      </c>
      <c r="D139" s="26"/>
      <c r="E139" s="26">
        <v>0</v>
      </c>
      <c r="F139" s="5">
        <v>1</v>
      </c>
      <c r="G139" s="26">
        <v>1</v>
      </c>
      <c r="H139" s="4">
        <v>6</v>
      </c>
      <c r="I139" s="5">
        <v>1</v>
      </c>
      <c r="J139" s="4"/>
      <c r="K139" s="4"/>
      <c r="L139" s="25"/>
      <c r="M139" s="8">
        <v>1</v>
      </c>
      <c r="N139" s="25" t="s">
        <v>614</v>
      </c>
      <c r="O139" s="25">
        <v>0</v>
      </c>
      <c r="P139" s="25">
        <v>0</v>
      </c>
      <c r="Q139" s="25">
        <v>0</v>
      </c>
      <c r="R139" s="4">
        <v>1</v>
      </c>
      <c r="S139" s="4">
        <v>0</v>
      </c>
      <c r="T139" s="4">
        <v>0</v>
      </c>
      <c r="U139" s="4">
        <v>0</v>
      </c>
      <c r="V139" s="5">
        <v>0</v>
      </c>
      <c r="W139" s="5">
        <v>0</v>
      </c>
      <c r="X139" s="5">
        <v>1</v>
      </c>
      <c r="Y139" s="25" t="s">
        <v>613</v>
      </c>
      <c r="Z139" s="5">
        <v>0</v>
      </c>
      <c r="AA139" s="5">
        <v>0</v>
      </c>
      <c r="AB139" s="5">
        <v>1</v>
      </c>
      <c r="AC139" s="5">
        <v>0</v>
      </c>
      <c r="AD139" s="5">
        <v>0</v>
      </c>
      <c r="AE139" s="3">
        <v>0</v>
      </c>
      <c r="AF139" s="5">
        <v>0</v>
      </c>
      <c r="AG139" s="4">
        <v>0</v>
      </c>
      <c r="AH139" s="25">
        <v>0</v>
      </c>
      <c r="AI139" s="26">
        <v>0</v>
      </c>
      <c r="AJ139" s="4">
        <v>0</v>
      </c>
      <c r="AK139" s="5">
        <v>0</v>
      </c>
      <c r="AL139" s="5">
        <v>0</v>
      </c>
      <c r="AM139" s="4">
        <v>0</v>
      </c>
      <c r="AN139" s="4">
        <v>0</v>
      </c>
      <c r="AO139" s="4">
        <v>0</v>
      </c>
      <c r="AP139" s="4">
        <v>0</v>
      </c>
      <c r="AQ139" s="4"/>
      <c r="AR139" s="16">
        <v>0</v>
      </c>
      <c r="AS139" s="13">
        <v>0</v>
      </c>
      <c r="AT139" s="4">
        <v>0</v>
      </c>
      <c r="AU139" s="4">
        <v>0</v>
      </c>
      <c r="AV139" s="12">
        <v>0</v>
      </c>
      <c r="AW139" s="4">
        <v>1</v>
      </c>
      <c r="AX139" s="4">
        <v>0</v>
      </c>
      <c r="AY139" s="4">
        <v>0</v>
      </c>
      <c r="AZ139" s="4">
        <v>0</v>
      </c>
      <c r="BA139" s="25" t="s">
        <v>615</v>
      </c>
      <c r="BB139" s="4">
        <v>1</v>
      </c>
      <c r="BC139" s="21" t="s">
        <v>109</v>
      </c>
      <c r="BD139" s="27" t="s">
        <v>309</v>
      </c>
      <c r="BE139" s="21" t="s">
        <v>333</v>
      </c>
      <c r="BF139" s="17" t="s">
        <v>309</v>
      </c>
      <c r="BG139" s="4" t="str">
        <f t="shared" ref="BG139" si="49">B139</f>
        <v>永恒圣殿</v>
      </c>
      <c r="BH139" s="4">
        <v>15</v>
      </c>
      <c r="BI139" s="4">
        <v>10</v>
      </c>
      <c r="BJ139" s="4">
        <v>0</v>
      </c>
      <c r="BK139" s="4">
        <v>0</v>
      </c>
      <c r="BL139" s="4">
        <v>1</v>
      </c>
      <c r="BM139" s="4">
        <v>1</v>
      </c>
      <c r="BN139" s="4">
        <v>1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4</v>
      </c>
      <c r="CF139" s="4">
        <v>0</v>
      </c>
      <c r="CG139" s="4">
        <v>1</v>
      </c>
      <c r="CH139" s="4">
        <v>0</v>
      </c>
      <c r="CI139" s="4">
        <v>1</v>
      </c>
      <c r="CJ139" s="4">
        <v>1</v>
      </c>
      <c r="CK139" s="4">
        <v>1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 t="str">
        <f t="shared" ref="CR139" si="50">B139</f>
        <v>永恒圣殿</v>
      </c>
      <c r="CS139" s="4">
        <v>0</v>
      </c>
      <c r="CT139" s="4">
        <v>500</v>
      </c>
      <c r="CU139" s="4">
        <v>100</v>
      </c>
      <c r="CV139" s="4">
        <v>608001</v>
      </c>
      <c r="CW139" s="4" t="s">
        <v>119</v>
      </c>
      <c r="CX139" s="4">
        <v>10000</v>
      </c>
      <c r="CY139" s="4">
        <v>612002</v>
      </c>
      <c r="CZ139" s="4" t="s">
        <v>320</v>
      </c>
      <c r="DA139" s="4">
        <v>10000</v>
      </c>
      <c r="DB139" s="4">
        <v>605001</v>
      </c>
      <c r="DC139" s="4" t="s">
        <v>122</v>
      </c>
      <c r="DD139" s="4">
        <v>50000</v>
      </c>
      <c r="DE139" s="4"/>
      <c r="DF139" s="4"/>
      <c r="DG139" s="4"/>
      <c r="DH139" s="4"/>
      <c r="DI139" s="4"/>
      <c r="DJ139" s="4"/>
      <c r="DK139" s="4"/>
      <c r="DL139" s="4"/>
      <c r="DM139" s="4"/>
      <c r="DN139" s="25"/>
      <c r="DO139" s="4"/>
    </row>
    <row r="140" spans="1:119" x14ac:dyDescent="0.15">
      <c r="A140" s="4">
        <v>112001</v>
      </c>
      <c r="B140" s="38" t="s">
        <v>492</v>
      </c>
      <c r="C140" s="47" t="s">
        <v>110</v>
      </c>
      <c r="D140" s="26"/>
      <c r="E140" s="26">
        <v>0</v>
      </c>
      <c r="F140" s="5">
        <v>0</v>
      </c>
      <c r="G140" s="26">
        <v>0</v>
      </c>
      <c r="H140" s="4">
        <v>0</v>
      </c>
      <c r="I140" s="5">
        <v>1</v>
      </c>
      <c r="J140" s="25"/>
      <c r="K140" s="25"/>
      <c r="L140" s="25"/>
      <c r="M140" s="8">
        <v>0</v>
      </c>
      <c r="N140" s="25" t="s">
        <v>493</v>
      </c>
      <c r="O140" s="25">
        <v>0</v>
      </c>
      <c r="P140" s="25">
        <v>0</v>
      </c>
      <c r="Q140" s="25">
        <v>0</v>
      </c>
      <c r="R140" s="4">
        <v>0</v>
      </c>
      <c r="S140" s="4">
        <v>0</v>
      </c>
      <c r="T140" s="4">
        <v>0</v>
      </c>
      <c r="U140" s="4">
        <v>0</v>
      </c>
      <c r="V140" s="5">
        <v>0</v>
      </c>
      <c r="W140" s="5">
        <v>0</v>
      </c>
      <c r="X140" s="5">
        <v>1</v>
      </c>
      <c r="Y140" s="38" t="s">
        <v>492</v>
      </c>
      <c r="Z140" s="5">
        <v>0</v>
      </c>
      <c r="AA140" s="5">
        <v>0</v>
      </c>
      <c r="AB140" s="5">
        <v>1</v>
      </c>
      <c r="AC140" s="5">
        <v>0</v>
      </c>
      <c r="AD140" s="5">
        <v>0</v>
      </c>
      <c r="AE140" s="3">
        <v>0</v>
      </c>
      <c r="AF140" s="5">
        <v>0</v>
      </c>
      <c r="AG140" s="4">
        <v>0</v>
      </c>
      <c r="AH140" s="25">
        <v>0</v>
      </c>
      <c r="AI140" s="26">
        <v>0</v>
      </c>
      <c r="AJ140" s="5">
        <v>0</v>
      </c>
      <c r="AK140" s="5">
        <v>0</v>
      </c>
      <c r="AL140" s="5">
        <v>0</v>
      </c>
      <c r="AM140" s="4">
        <v>0</v>
      </c>
      <c r="AN140" s="5">
        <v>0</v>
      </c>
      <c r="AO140" s="5">
        <v>0</v>
      </c>
      <c r="AP140" s="4">
        <v>0</v>
      </c>
      <c r="AQ140" s="4"/>
      <c r="AR140" s="4">
        <v>0</v>
      </c>
      <c r="AS140" s="4">
        <v>0</v>
      </c>
      <c r="AT140" s="4">
        <v>0</v>
      </c>
      <c r="AU140" s="4">
        <v>0</v>
      </c>
      <c r="AV140" s="12">
        <v>0</v>
      </c>
      <c r="AW140" s="4">
        <v>0</v>
      </c>
      <c r="AX140" s="4">
        <v>0</v>
      </c>
      <c r="AY140" s="4">
        <v>0</v>
      </c>
      <c r="AZ140" s="4">
        <v>0</v>
      </c>
      <c r="BA140" s="25" t="s">
        <v>494</v>
      </c>
      <c r="BB140" s="5">
        <v>0</v>
      </c>
      <c r="BC140" s="17" t="s">
        <v>109</v>
      </c>
      <c r="BD140" s="17" t="s">
        <v>109</v>
      </c>
      <c r="BE140" s="17" t="s">
        <v>110</v>
      </c>
      <c r="BF140" s="17" t="s">
        <v>309</v>
      </c>
      <c r="BG140" s="4" t="str">
        <f t="shared" ref="BG140" si="51">B140</f>
        <v>旗帜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2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4</v>
      </c>
      <c r="CF140" s="4">
        <v>0</v>
      </c>
      <c r="CG140" s="4">
        <v>0</v>
      </c>
      <c r="CH140" s="4">
        <v>0</v>
      </c>
      <c r="CI140" s="4">
        <v>1</v>
      </c>
      <c r="CJ140" s="4">
        <v>1</v>
      </c>
      <c r="CK140" s="4">
        <v>1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 t="str">
        <f t="shared" ref="CR140" si="52">B140</f>
        <v>旗帜</v>
      </c>
      <c r="CS140" s="4">
        <v>0</v>
      </c>
      <c r="CT140" s="4">
        <v>1</v>
      </c>
      <c r="CU140" s="4">
        <v>0</v>
      </c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</row>
  </sheetData>
  <autoFilter ref="B1:B140" xr:uid="{00000000-0001-0000-0000-000000000000}"/>
  <phoneticPr fontId="4" type="noConversion"/>
  <conditionalFormatting sqref="G1:G1048576">
    <cfRule type="colorScale" priority="30">
      <colorScale>
        <cfvo type="min"/>
        <cfvo type="max"/>
        <color rgb="FFFCFCFF"/>
        <color rgb="FF63BE7B"/>
      </colorScale>
    </cfRule>
  </conditionalFormatting>
  <conditionalFormatting sqref="H1:I104857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8:I58 BT58">
    <cfRule type="colorScale" priority="191">
      <colorScale>
        <cfvo type="min"/>
        <cfvo type="max"/>
        <color rgb="FFFFEF9C"/>
        <color rgb="FF63BE7B"/>
      </colorScale>
    </cfRule>
  </conditionalFormatting>
  <conditionalFormatting sqref="H78:I78 H34:I34 BT34 BT78 I41:I45 I59 I74:I75 I47:I57">
    <cfRule type="colorScale" priority="3044">
      <colorScale>
        <cfvo type="min"/>
        <cfvo type="max"/>
        <color rgb="FFFFEF9C"/>
        <color rgb="FF63BE7B"/>
      </colorScale>
    </cfRule>
  </conditionalFormatting>
  <conditionalFormatting sqref="H89:I89 BT89">
    <cfRule type="colorScale" priority="207">
      <colorScale>
        <cfvo type="min"/>
        <cfvo type="max"/>
        <color rgb="FFFFEF9C"/>
        <color rgb="FF63BE7B"/>
      </colorScale>
    </cfRule>
  </conditionalFormatting>
  <conditionalFormatting sqref="H103:I103 BT103">
    <cfRule type="colorScale" priority="126">
      <colorScale>
        <cfvo type="min"/>
        <cfvo type="max"/>
        <color rgb="FFFFEF9C"/>
        <color rgb="FF63BE7B"/>
      </colorScale>
    </cfRule>
  </conditionalFormatting>
  <conditionalFormatting sqref="H106:I106 BT104 H104:I104 BT106">
    <cfRule type="colorScale" priority="41">
      <colorScale>
        <cfvo type="min"/>
        <cfvo type="max"/>
        <color rgb="FFFFEF9C"/>
        <color rgb="FF63BE7B"/>
      </colorScale>
    </cfRule>
    <cfRule type="colorScale" priority="38">
      <colorScale>
        <cfvo type="min"/>
        <cfvo type="max"/>
        <color rgb="FFFFEF9C"/>
        <color rgb="FF63BE7B"/>
      </colorScale>
    </cfRule>
  </conditionalFormatting>
  <conditionalFormatting sqref="H109:I109 BT109 I110">
    <cfRule type="colorScale" priority="149">
      <colorScale>
        <cfvo type="min"/>
        <cfvo type="max"/>
        <color rgb="FFFFEF9C"/>
        <color rgb="FF63BE7B"/>
      </colorScale>
    </cfRule>
  </conditionalFormatting>
  <conditionalFormatting sqref="H110:I110 BT110">
    <cfRule type="colorScale" priority="153">
      <colorScale>
        <cfvo type="min"/>
        <cfvo type="max"/>
        <color rgb="FFFFEF9C"/>
        <color rgb="FF63BE7B"/>
      </colorScale>
    </cfRule>
  </conditionalFormatting>
  <conditionalFormatting sqref="H123:I123 BT123">
    <cfRule type="colorScale" priority="188">
      <colorScale>
        <cfvo type="min"/>
        <cfvo type="max"/>
        <color rgb="FFFFEF9C"/>
        <color rgb="FF63BE7B"/>
      </colorScale>
    </cfRule>
  </conditionalFormatting>
  <conditionalFormatting sqref="H124:I124 BT124">
    <cfRule type="colorScale" priority="184">
      <colorScale>
        <cfvo type="min"/>
        <cfvo type="max"/>
        <color rgb="FFFFEF9C"/>
        <color rgb="FF63BE7B"/>
      </colorScale>
    </cfRule>
  </conditionalFormatting>
  <conditionalFormatting sqref="H125:I125 BT125">
    <cfRule type="colorScale" priority="180">
      <colorScale>
        <cfvo type="min"/>
        <cfvo type="max"/>
        <color rgb="FFFFEF9C"/>
        <color rgb="FF63BE7B"/>
      </colorScale>
    </cfRule>
  </conditionalFormatting>
  <conditionalFormatting sqref="H126:I126 BT126">
    <cfRule type="colorScale" priority="176">
      <colorScale>
        <cfvo type="min"/>
        <cfvo type="max"/>
        <color rgb="FFFFEF9C"/>
        <color rgb="FF63BE7B"/>
      </colorScale>
    </cfRule>
  </conditionalFormatting>
  <conditionalFormatting sqref="H127:I127 BT127">
    <cfRule type="colorScale" priority="172">
      <colorScale>
        <cfvo type="min"/>
        <cfvo type="max"/>
        <color rgb="FFFFEF9C"/>
        <color rgb="FF63BE7B"/>
      </colorScale>
    </cfRule>
  </conditionalFormatting>
  <conditionalFormatting sqref="H129:I130">
    <cfRule type="colorScale" priority="102">
      <colorScale>
        <cfvo type="min"/>
        <cfvo type="max"/>
        <color rgb="FFFFEF9C"/>
        <color rgb="FF63BE7B"/>
      </colorScale>
    </cfRule>
  </conditionalFormatting>
  <conditionalFormatting sqref="H131:I131 BT131">
    <cfRule type="colorScale" priority="26">
      <colorScale>
        <cfvo type="min"/>
        <cfvo type="max"/>
        <color rgb="FFFFEF9C"/>
        <color rgb="FF63BE7B"/>
      </colorScale>
    </cfRule>
  </conditionalFormatting>
  <conditionalFormatting sqref="H131:I131">
    <cfRule type="colorScale" priority="24">
      <colorScale>
        <cfvo type="min"/>
        <cfvo type="max"/>
        <color rgb="FFFFEF9C"/>
        <color rgb="FF63BE7B"/>
      </colorScale>
    </cfRule>
  </conditionalFormatting>
  <conditionalFormatting sqref="H134:I134 BT134">
    <cfRule type="colorScale" priority="11">
      <colorScale>
        <cfvo type="min"/>
        <cfvo type="max"/>
        <color rgb="FFFFEF9C"/>
        <color rgb="FF63BE7B"/>
      </colorScale>
    </cfRule>
  </conditionalFormatting>
  <conditionalFormatting sqref="H135:I135 BT135">
    <cfRule type="colorScale" priority="122">
      <colorScale>
        <cfvo type="min"/>
        <cfvo type="max"/>
        <color rgb="FFFFEF9C"/>
        <color rgb="FF63BE7B"/>
      </colorScale>
    </cfRule>
  </conditionalFormatting>
  <conditionalFormatting sqref="H136:I136 BT136 I137:I140">
    <cfRule type="colorScale" priority="107">
      <colorScale>
        <cfvo type="min"/>
        <cfvo type="max"/>
        <color rgb="FFFFEF9C"/>
        <color rgb="FF63BE7B"/>
      </colorScale>
    </cfRule>
  </conditionalFormatting>
  <conditionalFormatting sqref="H137:I137 BT137">
    <cfRule type="colorScale" priority="72">
      <colorScale>
        <cfvo type="min"/>
        <cfvo type="max"/>
        <color rgb="FFFFEF9C"/>
        <color rgb="FF63BE7B"/>
      </colorScale>
    </cfRule>
  </conditionalFormatting>
  <conditionalFormatting sqref="I134">
    <cfRule type="colorScale" priority="12">
      <colorScale>
        <cfvo type="min"/>
        <cfvo type="max"/>
        <color rgb="FFFFEF9C"/>
        <color rgb="FF63BE7B"/>
      </colorScale>
    </cfRule>
  </conditionalFormatting>
  <conditionalFormatting sqref="T1:U1048576">
    <cfRule type="colorScale" priority="54">
      <colorScale>
        <cfvo type="min"/>
        <cfvo type="max"/>
        <color rgb="FFFCFCFF"/>
        <color rgb="FFF8696B"/>
      </colorScale>
    </cfRule>
  </conditionalFormatting>
  <conditionalFormatting sqref="AC1:AC1048576">
    <cfRule type="colorScale" priority="18">
      <colorScale>
        <cfvo type="min"/>
        <cfvo type="max"/>
        <color rgb="FFFCFCFF"/>
        <color rgb="FF63BE7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D1:AD1048576">
    <cfRule type="colorScale" priority="16">
      <colorScale>
        <cfvo type="min"/>
        <cfvo type="max"/>
        <color rgb="FFFCFCFF"/>
        <color rgb="FF63BE7B"/>
      </colorScale>
    </cfRule>
  </conditionalFormatting>
  <conditionalFormatting sqref="AJ1:AK2 AJ3:AL1048576">
    <cfRule type="colorScale" priority="81">
      <colorScale>
        <cfvo type="min"/>
        <cfvo type="max"/>
        <color rgb="FFFCFCFF"/>
        <color rgb="FFF8696B"/>
      </colorScale>
    </cfRule>
  </conditionalFormatting>
  <conditionalFormatting sqref="AJ131:AL131">
    <cfRule type="colorScale" priority="19">
      <colorScale>
        <cfvo type="min"/>
        <cfvo type="max"/>
        <color rgb="FFF8696B"/>
        <color rgb="FFFCFCFF"/>
      </colorScale>
    </cfRule>
  </conditionalFormatting>
  <conditionalFormatting sqref="AJ132:AL132">
    <cfRule type="colorScale" priority="53">
      <colorScale>
        <cfvo type="min"/>
        <cfvo type="max"/>
        <color rgb="FFF8696B"/>
        <color rgb="FFFCFCFF"/>
      </colorScale>
    </cfRule>
  </conditionalFormatting>
  <conditionalFormatting sqref="AJ133:AL133">
    <cfRule type="colorScale" priority="31">
      <colorScale>
        <cfvo type="min"/>
        <cfvo type="max"/>
        <color rgb="FFF8696B"/>
        <color rgb="FFFCFCFF"/>
      </colorScale>
    </cfRule>
  </conditionalFormatting>
  <conditionalFormatting sqref="AJ134:AL134">
    <cfRule type="colorScale" priority="10">
      <colorScale>
        <cfvo type="min"/>
        <cfvo type="max"/>
        <color rgb="FFF8696B"/>
        <color rgb="FFFCFCFF"/>
      </colorScale>
    </cfRule>
  </conditionalFormatting>
  <conditionalFormatting sqref="AJ135:AL136 AJ3:AL130 AK4:AK140">
    <cfRule type="colorScale" priority="82">
      <colorScale>
        <cfvo type="min"/>
        <cfvo type="max"/>
        <color rgb="FFF8696B"/>
        <color rgb="FFFCFCFF"/>
      </colorScale>
    </cfRule>
  </conditionalFormatting>
  <conditionalFormatting sqref="AJ137:AL137">
    <cfRule type="colorScale" priority="71">
      <colorScale>
        <cfvo type="min"/>
        <cfvo type="max"/>
        <color rgb="FFF8696B"/>
        <color rgb="FFFCFCFF"/>
      </colorScale>
    </cfRule>
  </conditionalFormatting>
  <conditionalFormatting sqref="AJ138:AL139">
    <cfRule type="colorScale" priority="62">
      <colorScale>
        <cfvo type="min"/>
        <cfvo type="max"/>
        <color rgb="FFF8696B"/>
        <color rgb="FFFCFCFF"/>
      </colorScale>
    </cfRule>
  </conditionalFormatting>
  <conditionalFormatting sqref="AJ140:AL140">
    <cfRule type="colorScale" priority="32">
      <colorScale>
        <cfvo type="min"/>
        <cfvo type="max"/>
        <color rgb="FFF8696B"/>
        <color rgb="FFFCFCFF"/>
      </colorScale>
    </cfRule>
  </conditionalFormatting>
  <conditionalFormatting sqref="AL1:AL2">
    <cfRule type="colorScale" priority="77">
      <colorScale>
        <cfvo type="min"/>
        <cfvo type="max"/>
        <color rgb="FFFCFCFF"/>
        <color rgb="FFF8696B"/>
      </colorScale>
    </cfRule>
  </conditionalFormatting>
  <conditionalFormatting sqref="AM1:AN1048576">
    <cfRule type="colorScale" priority="135">
      <colorScale>
        <cfvo type="min"/>
        <cfvo type="max"/>
        <color rgb="FFFCFCFF"/>
        <color rgb="FFF8696B"/>
      </colorScale>
    </cfRule>
  </conditionalFormatting>
  <conditionalFormatting sqref="AN1:AO1048576 F1:F1048576">
    <cfRule type="colorScale" priority="131">
      <colorScale>
        <cfvo type="min"/>
        <cfvo type="max"/>
        <color rgb="FFFCFCFF"/>
        <color rgb="FFF8696B"/>
      </colorScale>
    </cfRule>
  </conditionalFormatting>
  <conditionalFormatting sqref="AO1:AO1048576 F1:F1048576">
    <cfRule type="colorScale" priority="133">
      <colorScale>
        <cfvo type="min"/>
        <cfvo type="max"/>
        <color rgb="FFF8696B"/>
        <color rgb="FFFCFCFF"/>
      </colorScale>
    </cfRule>
  </conditionalFormatting>
  <conditionalFormatting sqref="AS1:AS1048576">
    <cfRule type="colorScale" priority="78">
      <colorScale>
        <cfvo type="min"/>
        <cfvo type="max"/>
        <color rgb="FFFCFCFF"/>
        <color rgb="FF63BE7B"/>
      </colorScale>
    </cfRule>
  </conditionalFormatting>
  <conditionalFormatting sqref="AX1:AZ1048576">
    <cfRule type="colorScale" priority="51">
      <colorScale>
        <cfvo type="min"/>
        <cfvo type="max"/>
        <color rgb="FFFCFCFF"/>
        <color rgb="FFF8696B"/>
      </colorScale>
    </cfRule>
  </conditionalFormatting>
  <conditionalFormatting sqref="AX58:AZ58">
    <cfRule type="colorScale" priority="310">
      <colorScale>
        <cfvo type="min"/>
        <cfvo type="max"/>
        <color rgb="FFFCFCFF"/>
        <color rgb="FF63BE7B"/>
      </colorScale>
    </cfRule>
  </conditionalFormatting>
  <conditionalFormatting sqref="AX97:AZ97 AX91:AZ94 AX85:AZ85 AX73:AZ73">
    <cfRule type="colorScale" priority="2723">
      <colorScale>
        <cfvo type="min"/>
        <cfvo type="max"/>
        <color rgb="FFFCFCFF"/>
        <color rgb="FF63BE7B"/>
      </colorScale>
    </cfRule>
  </conditionalFormatting>
  <conditionalFormatting sqref="AX97:AZ97 AX92:AZ94 AX73:AZ73">
    <cfRule type="colorScale" priority="2382">
      <colorScale>
        <cfvo type="min"/>
        <cfvo type="max"/>
        <color rgb="FFFCFCFF"/>
        <color rgb="FF63BE7B"/>
      </colorScale>
    </cfRule>
  </conditionalFormatting>
  <conditionalFormatting sqref="AX97:AZ97 AX93:AZ94 AX73:AZ73">
    <cfRule type="colorScale" priority="2385">
      <colorScale>
        <cfvo type="min"/>
        <cfvo type="max"/>
        <color rgb="FFFCFCFF"/>
        <color rgb="FF63BE7B"/>
      </colorScale>
    </cfRule>
  </conditionalFormatting>
  <conditionalFormatting sqref="AX99:AZ101">
    <cfRule type="colorScale" priority="75">
      <colorScale>
        <cfvo type="min"/>
        <cfvo type="max"/>
        <color rgb="FFFCFCFF"/>
        <color rgb="FF63BE7B"/>
      </colorScale>
    </cfRule>
  </conditionalFormatting>
  <conditionalFormatting sqref="AX102:AZ103">
    <cfRule type="colorScale" priority="338">
      <colorScale>
        <cfvo type="min"/>
        <cfvo type="max"/>
        <color rgb="FFFCFCFF"/>
        <color rgb="FF63BE7B"/>
      </colorScale>
    </cfRule>
  </conditionalFormatting>
  <conditionalFormatting sqref="AX103:AZ103">
    <cfRule type="colorScale" priority="125">
      <colorScale>
        <cfvo type="min"/>
        <cfvo type="max"/>
        <color rgb="FFFCFCFF"/>
        <color rgb="FF63BE7B"/>
      </colorScale>
    </cfRule>
  </conditionalFormatting>
  <conditionalFormatting sqref="AX104:AZ104 AX106:AZ106">
    <cfRule type="colorScale" priority="37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AX107:AZ108 AX105:AZ105 AX98:AZ98 AZ58 AZ91:AZ94 AZ85 AZ96:AZ110 AZ73 AZ123:AZ131 AX132:AZ1048576 AX86:AZ90 AX95:AZ96 AX111:AZ122 AX59:AZ72 AX74:AZ84 AX1:AZ57">
    <cfRule type="colorScale" priority="3238">
      <colorScale>
        <cfvo type="min"/>
        <cfvo type="max"/>
        <color rgb="FFFCFCFF"/>
        <color rgb="FF63BE7B"/>
      </colorScale>
    </cfRule>
  </conditionalFormatting>
  <conditionalFormatting sqref="AX109:AZ109">
    <cfRule type="colorScale" priority="335">
      <colorScale>
        <cfvo type="min"/>
        <cfvo type="max"/>
        <color rgb="FFFCFCFF"/>
        <color rgb="FF63BE7B"/>
      </colorScale>
    </cfRule>
  </conditionalFormatting>
  <conditionalFormatting sqref="AX110:AZ110">
    <cfRule type="colorScale" priority="332">
      <colorScale>
        <cfvo type="min"/>
        <cfvo type="max"/>
        <color rgb="FFFCFCFF"/>
        <color rgb="FF63BE7B"/>
      </colorScale>
    </cfRule>
  </conditionalFormatting>
  <conditionalFormatting sqref="AX123:AZ123">
    <cfRule type="colorScale" priority="312">
      <colorScale>
        <cfvo type="min"/>
        <cfvo type="max"/>
        <color rgb="FFFCFCFF"/>
        <color rgb="FF63BE7B"/>
      </colorScale>
    </cfRule>
  </conditionalFormatting>
  <conditionalFormatting sqref="AX124:AZ124">
    <cfRule type="colorScale" priority="315">
      <colorScale>
        <cfvo type="min"/>
        <cfvo type="max"/>
        <color rgb="FFFCFCFF"/>
        <color rgb="FF63BE7B"/>
      </colorScale>
    </cfRule>
  </conditionalFormatting>
  <conditionalFormatting sqref="AX125:AZ125">
    <cfRule type="colorScale" priority="318">
      <colorScale>
        <cfvo type="min"/>
        <cfvo type="max"/>
        <color rgb="FFFCFCFF"/>
        <color rgb="FF63BE7B"/>
      </colorScale>
    </cfRule>
  </conditionalFormatting>
  <conditionalFormatting sqref="AX126:AZ126">
    <cfRule type="colorScale" priority="321">
      <colorScale>
        <cfvo type="min"/>
        <cfvo type="max"/>
        <color rgb="FFFCFCFF"/>
        <color rgb="FF63BE7B"/>
      </colorScale>
    </cfRule>
  </conditionalFormatting>
  <conditionalFormatting sqref="AX127:AZ127">
    <cfRule type="colorScale" priority="324">
      <colorScale>
        <cfvo type="min"/>
        <cfvo type="max"/>
        <color rgb="FFFCFCFF"/>
        <color rgb="FF63BE7B"/>
      </colorScale>
    </cfRule>
  </conditionalFormatting>
  <conditionalFormatting sqref="AX128:AZ130">
    <cfRule type="colorScale" priority="330">
      <colorScale>
        <cfvo type="min"/>
        <cfvo type="max"/>
        <color rgb="FFFCFCFF"/>
        <color rgb="FF63BE7B"/>
      </colorScale>
    </cfRule>
  </conditionalFormatting>
  <conditionalFormatting sqref="AX129:AZ130">
    <cfRule type="colorScale" priority="101">
      <colorScale>
        <cfvo type="min"/>
        <cfvo type="max"/>
        <color rgb="FFFCFCFF"/>
        <color rgb="FF63BE7B"/>
      </colorScale>
    </cfRule>
  </conditionalFormatting>
  <conditionalFormatting sqref="AX131:AZ131">
    <cfRule type="colorScale" priority="23">
      <colorScale>
        <cfvo type="min"/>
        <cfvo type="max"/>
        <color rgb="FFFCFCFF"/>
        <color rgb="FF63BE7B"/>
      </colorScale>
    </cfRule>
    <cfRule type="colorScale" priority="28">
      <colorScale>
        <cfvo type="min"/>
        <cfvo type="max"/>
        <color rgb="FFFCFCFF"/>
        <color rgb="FF63BE7B"/>
      </colorScale>
    </cfRule>
  </conditionalFormatting>
  <conditionalFormatting sqref="AX132:AZ132">
    <cfRule type="colorScale" priority="52">
      <colorScale>
        <cfvo type="min"/>
        <cfvo type="max"/>
        <color rgb="FFFCFCFF"/>
        <color rgb="FF63BE7B"/>
      </colorScale>
    </cfRule>
  </conditionalFormatting>
  <conditionalFormatting sqref="AX134:AZ134">
    <cfRule type="colorScale" priority="9">
      <colorScale>
        <cfvo type="min"/>
        <cfvo type="max"/>
        <color rgb="FFFCFCFF"/>
        <color rgb="FF63BE7B"/>
      </colorScale>
    </cfRule>
  </conditionalFormatting>
  <conditionalFormatting sqref="AX135:AZ135">
    <cfRule type="colorScale" priority="121">
      <colorScale>
        <cfvo type="min"/>
        <cfvo type="max"/>
        <color rgb="FFFCFCFF"/>
        <color rgb="FF63BE7B"/>
      </colorScale>
    </cfRule>
  </conditionalFormatting>
  <conditionalFormatting sqref="AX136:AZ136">
    <cfRule type="colorScale" priority="106">
      <colorScale>
        <cfvo type="min"/>
        <cfvo type="max"/>
        <color rgb="FFFCFCFF"/>
        <color rgb="FF63BE7B"/>
      </colorScale>
    </cfRule>
  </conditionalFormatting>
  <conditionalFormatting sqref="AX137:AZ137">
    <cfRule type="colorScale" priority="70">
      <colorScale>
        <cfvo type="min"/>
        <cfvo type="max"/>
        <color rgb="FFFCFCFF"/>
        <color rgb="FF63BE7B"/>
      </colorScale>
    </cfRule>
  </conditionalFormatting>
  <conditionalFormatting sqref="AX138:AZ139">
    <cfRule type="colorScale" priority="61">
      <colorScale>
        <cfvo type="min"/>
        <cfvo type="max"/>
        <color rgb="FFFCFCFF"/>
        <color rgb="FF63BE7B"/>
      </colorScale>
    </cfRule>
  </conditionalFormatting>
  <conditionalFormatting sqref="BN1:BO1048576">
    <cfRule type="colorScale" priority="4">
      <colorScale>
        <cfvo type="min"/>
        <cfvo type="max"/>
        <color rgb="FFFCFCFF"/>
        <color rgb="FF63BE7B"/>
      </colorScale>
    </cfRule>
  </conditionalFormatting>
  <conditionalFormatting sqref="BO1:BO1048576">
    <cfRule type="colorScale" priority="3">
      <colorScale>
        <cfvo type="min"/>
        <cfvo type="max"/>
        <color rgb="FFFCFCFF"/>
        <color rgb="FFF8696B"/>
      </colorScale>
    </cfRule>
  </conditionalFormatting>
  <conditionalFormatting sqref="BP1:BP1048576">
    <cfRule type="colorScale" priority="127">
      <colorScale>
        <cfvo type="min"/>
        <cfvo type="max"/>
        <color rgb="FFFCFCFF"/>
        <color rgb="FFF8696B"/>
      </colorScale>
    </cfRule>
  </conditionalFormatting>
  <conditionalFormatting sqref="BP141:BP1048576 BP132 BP1:BP2 BP134:BP139">
    <cfRule type="colorScale" priority="2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:BQ1048576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28:BR130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29:BR130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3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3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35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36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37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38:BR139 BR132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58:BS58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78:BS78 BR34:BS34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89:BS89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90:BS90 BR77:BS77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97:BS97 BR91:BS94 BR73:BS73">
    <cfRule type="colorScale" priority="2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97:BS97 BR91:BS94 BR85:BS85 BR73:BS73">
    <cfRule type="colorScale" priority="2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97:BS97 BR92:BS94 BR73:BS73">
    <cfRule type="colorScale" priority="2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97:BS97 BR93:BS94 BR73:BS73">
    <cfRule type="colorScale" priority="2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99:BS101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02:BS103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03:BS103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04:BS104 BR106:BS106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09:BS109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10:BS110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34:BS13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35:BS1048576 BR105:BS105 BR107:BS108 BR123:BR127 BR98:BS98 BR95:BS96 BR132:BS133 BR86:BS88 BR74:BS76 BR111:BS122 BR59:BS72 BR79:BS84 BR1:BS33 BR35:BS57">
    <cfRule type="colorScale" priority="3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3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4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5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6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7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8:BS130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9:BS130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3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3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35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36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37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38:BS139 BS132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39:BT40 H39:I40">
    <cfRule type="colorScale" priority="204">
      <colorScale>
        <cfvo type="min"/>
        <cfvo type="max"/>
        <color rgb="FFFFEF9C"/>
        <color rgb="FF63BE7B"/>
      </colorScale>
    </cfRule>
  </conditionalFormatting>
  <conditionalFormatting sqref="BT77 BT90 H90:I90 H77:I77">
    <cfRule type="colorScale" priority="210">
      <colorScale>
        <cfvo type="min"/>
        <cfvo type="max"/>
        <color rgb="FFFFEF9C"/>
        <color rgb="FF63BE7B"/>
      </colorScale>
    </cfRule>
  </conditionalFormatting>
  <conditionalFormatting sqref="BT91:BT94 BT85 BT97 BT73 H91:I94 H85:I85 H97:I97 H73:I73">
    <cfRule type="colorScale" priority="2746">
      <colorScale>
        <cfvo type="min"/>
        <cfvo type="max"/>
        <color rgb="FFFFEF9C"/>
        <color rgb="FF63BE7B"/>
      </colorScale>
    </cfRule>
  </conditionalFormatting>
  <conditionalFormatting sqref="BT91:BT94 BT97 BT73">
    <cfRule type="colorScale" priority="2432">
      <colorScale>
        <cfvo type="min"/>
        <cfvo type="max"/>
        <color rgb="FFFFEF9C"/>
        <color rgb="FF63BE7B"/>
      </colorScale>
    </cfRule>
  </conditionalFormatting>
  <conditionalFormatting sqref="BT92:BT94 BT97 BT73 H92:I94 H97:I97 H73:I73">
    <cfRule type="colorScale" priority="2435">
      <colorScale>
        <cfvo type="min"/>
        <cfvo type="max"/>
        <color rgb="FFFFEF9C"/>
        <color rgb="FF63BE7B"/>
      </colorScale>
    </cfRule>
  </conditionalFormatting>
  <conditionalFormatting sqref="BT93:BT94 BT97 BT73 H93:I94 H97:I97 H73:I73">
    <cfRule type="colorScale" priority="2441">
      <colorScale>
        <cfvo type="min"/>
        <cfvo type="max"/>
        <color rgb="FFFFEF9C"/>
        <color rgb="FF63BE7B"/>
      </colorScale>
    </cfRule>
  </conditionalFormatting>
  <conditionalFormatting sqref="BT102:BT103 H102:I103">
    <cfRule type="colorScale" priority="145">
      <colorScale>
        <cfvo type="min"/>
        <cfvo type="max"/>
        <color rgb="FFFFEF9C"/>
        <color rgb="FF63BE7B"/>
      </colorScale>
    </cfRule>
  </conditionalFormatting>
  <conditionalFormatting sqref="BT128:BT130 H128:I130">
    <cfRule type="colorScale" priority="162">
      <colorScale>
        <cfvo type="min"/>
        <cfvo type="max"/>
        <color rgb="FFFFEF9C"/>
        <color rgb="FF63BE7B"/>
      </colorScale>
    </cfRule>
  </conditionalFormatting>
  <conditionalFormatting sqref="BT129:BT130">
    <cfRule type="colorScale" priority="100">
      <colorScale>
        <cfvo type="min"/>
        <cfvo type="max"/>
        <color rgb="FFFFEF9C"/>
        <color rgb="FF63BE7B"/>
      </colorScale>
    </cfRule>
  </conditionalFormatting>
  <conditionalFormatting sqref="BT131">
    <cfRule type="colorScale" priority="22">
      <colorScale>
        <cfvo type="min"/>
        <cfvo type="max"/>
        <color rgb="FFFFEF9C"/>
        <color rgb="FF63BE7B"/>
      </colorScale>
    </cfRule>
  </conditionalFormatting>
  <conditionalFormatting sqref="BT132:BT1048576 AJ1:AK2 H107:I108 BT107:BT108 BT105 H105:I105 BT95:BT96 BT98:BT101 H98:I101 BT59:BT72 BT79:BT84 BT86:BT88 BT74:BT76 I76:I78 I85:I91 H59:I72 H79:I84 H86:I88 H74:I76 I97 H95:I96 I99:I102 BT111:BT122 BT35:BT38 H111:I1048576 H35:I38 BT1:BT33 H1:I33 BT41:BT57 H41:I57 V1:W1048576 AJ3:AL1048576">
    <cfRule type="colorScale" priority="3039">
      <colorScale>
        <cfvo type="min"/>
        <cfvo type="max"/>
        <color rgb="FFFFEF9C"/>
        <color rgb="FF63BE7B"/>
      </colorScale>
    </cfRule>
  </conditionalFormatting>
  <conditionalFormatting sqref="BT138:BT139 H132:I132 BT132 H138:I139">
    <cfRule type="colorScale" priority="63">
      <colorScale>
        <cfvo type="min"/>
        <cfvo type="max"/>
        <color rgb="FFFFEF9C"/>
        <color rgb="FF63BE7B"/>
      </colorScale>
    </cfRule>
  </conditionalFormatting>
  <conditionalFormatting sqref="BY1:BY1048576">
    <cfRule type="colorScale" priority="2">
      <colorScale>
        <cfvo type="min"/>
        <cfvo type="max"/>
        <color rgb="FFFCFCFF"/>
        <color rgb="FF63BE7B"/>
      </colorScale>
    </cfRule>
  </conditionalFormatting>
  <conditionalFormatting sqref="BZ1:BZ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CA1:CB1048576">
    <cfRule type="colorScale" priority="80">
      <colorScale>
        <cfvo type="min"/>
        <cfvo type="max"/>
        <color theme="0"/>
        <color rgb="FFFF0000"/>
      </colorScale>
    </cfRule>
  </conditionalFormatting>
  <conditionalFormatting sqref="CO1:CO1048576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34 CT84 CT107 CT43 CO78 CT34 CT89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37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58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59:CO64 CO46 CO51:CO57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68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89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90 CO77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91:CO94 CO85 CO97 CO73">
    <cfRule type="colorScale" priority="27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91:CO94 CO97 CO73">
    <cfRule type="colorScale" priority="2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92:CO94 CO97 CO73">
    <cfRule type="colorScale" priority="2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93:CO94 CO97 CO73">
    <cfRule type="colorScale" priority="2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95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02:CO103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03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04 CO10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08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09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10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11:CO122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23 CT123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3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35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36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37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38:CO139 CO132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40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41:CO1048576 CO96 CO41:CO45 CO47:CO50 CO107 CO105 CO76 CO71:CO72 CO74 CO65:CO67 CO69 CO79:CO84 CO87:CO88 CO98:CO101 CT137:CT1048576 CO1:CO3 CO35:CO36 CT132:CT134 CO132:CO139 CO5:CO33 CT1:CT122">
    <cfRule type="colorScale" priority="3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P1:CQ1048576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:CT1048576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T11 CT115 CT67:CT68 CT38 CO38 CT98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41 CO70 CT109 CO75 CT77 CT75 CT81 CO86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99:CT101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06 CT10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16:CT122 CT102:CT103 CT70 CT79 CT86 CT12 CT66 CT10 CT39:CT40 CO39:CO40">
    <cfRule type="colorScale" priority="25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25 CO125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26 CO126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27 CO127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3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35:CT136 CO128:CO131 CT128:CT131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35:CT136 CO129:CO131 CT129:CT131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35:CT136 CT124:CT131 CO124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37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38:CT139 CT132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T140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2026-02-07T08:33:07Z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FCB21DFD6B4A4FCDAAA9F9C69EDDCB7D</vt:lpwstr>
  </property>
</Properties>
</file>